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18937\EXCELCNV\abc18789-7886-429c-897a-a6ce7ed8d14b\"/>
    </mc:Choice>
  </mc:AlternateContent>
  <xr:revisionPtr revIDLastSave="0" documentId="8_{DB87CC63-D443-45F0-BD04-CE614BF01F95}" xr6:coauthVersionLast="47" xr6:coauthVersionMax="47" xr10:uidLastSave="{00000000-0000-0000-0000-000000000000}"/>
  <bookViews>
    <workbookView xWindow="-60" yWindow="-60" windowWidth="15480" windowHeight="11640" xr2:uid="{5989C15A-D9E3-4D94-BCDF-8CEFD5F5DFCC}"/>
  </bookViews>
  <sheets>
    <sheet name="cleaned" sheetId="3" r:id="rId1"/>
    <sheet name="Cleaning" sheetId="2" r:id="rId2"/>
    <sheet name="Dataset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2" l="1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Y2" i="2" a="1"/>
  <c r="Y2" i="2"/>
  <c r="Y3" i="2" a="1"/>
  <c r="Y3" i="2"/>
  <c r="Y4" i="2" a="1"/>
  <c r="Y4" i="2"/>
  <c r="Y5" i="2" a="1"/>
  <c r="Y5" i="2"/>
  <c r="Y6" i="2" a="1"/>
  <c r="Y6" i="2"/>
  <c r="Y7" i="2" a="1"/>
  <c r="Y7" i="2"/>
  <c r="Y8" i="2" a="1"/>
  <c r="Y8" i="2"/>
  <c r="Y9" i="2" a="1"/>
  <c r="Y9" i="2"/>
  <c r="Y10" i="2" a="1"/>
  <c r="Y10" i="2"/>
  <c r="Y11" i="2" a="1"/>
  <c r="Y11" i="2"/>
  <c r="Y12" i="2" a="1"/>
  <c r="Y12" i="2"/>
  <c r="Y13" i="2" a="1"/>
  <c r="Y13" i="2"/>
  <c r="Y14" i="2" a="1"/>
  <c r="Y14" i="2"/>
  <c r="Y15" i="2" a="1"/>
  <c r="Y15" i="2"/>
  <c r="Y16" i="2" a="1"/>
  <c r="Y16" i="2"/>
  <c r="Y17" i="2" a="1"/>
  <c r="Y17" i="2"/>
  <c r="Y18" i="2" a="1"/>
  <c r="Y18" i="2"/>
  <c r="Y19" i="2" a="1"/>
  <c r="Y19" i="2" s="1"/>
  <c r="Y20" i="2" a="1"/>
  <c r="Y20" i="2" s="1"/>
  <c r="Y21" i="2" a="1"/>
  <c r="Y21" i="2" s="1"/>
  <c r="Y22" i="2" a="1"/>
  <c r="Y22" i="2" s="1"/>
  <c r="Y23" i="2" a="1"/>
  <c r="Y23" i="2" s="1"/>
  <c r="Y24" i="2" a="1"/>
  <c r="Y24" i="2" s="1"/>
  <c r="Y25" i="2" a="1"/>
  <c r="Y25" i="2" s="1"/>
  <c r="Y26" i="2" a="1"/>
  <c r="Y26" i="2" s="1"/>
  <c r="Y27" i="2" a="1"/>
  <c r="Y27" i="2" s="1"/>
  <c r="Y28" i="2" a="1"/>
  <c r="Y28" i="2" s="1"/>
  <c r="Y29" i="2" a="1"/>
  <c r="Y29" i="2" s="1"/>
  <c r="Y30" i="2" a="1"/>
  <c r="Y30" i="2" s="1"/>
  <c r="Y31" i="2" a="1"/>
  <c r="Y31" i="2" s="1"/>
  <c r="Y32" i="2" a="1"/>
  <c r="Y32" i="2" s="1"/>
  <c r="Y33" i="2" a="1"/>
  <c r="Y33" i="2" s="1"/>
  <c r="Y34" i="2" a="1"/>
  <c r="Y34" i="2" s="1"/>
  <c r="Y35" i="2" a="1"/>
  <c r="Y35" i="2" s="1"/>
  <c r="Y36" i="2" a="1"/>
  <c r="Y36" i="2" s="1"/>
  <c r="Y37" i="2" a="1"/>
  <c r="Y37" i="2" s="1"/>
  <c r="Y38" i="2" a="1"/>
  <c r="Y38" i="2" s="1"/>
  <c r="Y39" i="2" a="1"/>
  <c r="Y39" i="2" s="1"/>
  <c r="Y40" i="2" a="1"/>
  <c r="Y40" i="2" s="1"/>
  <c r="Y41" i="2" a="1"/>
  <c r="Y41" i="2" s="1"/>
  <c r="Y42" i="2" a="1"/>
  <c r="Y42" i="2" s="1"/>
  <c r="Y43" i="2" a="1"/>
  <c r="Y43" i="2" s="1"/>
  <c r="Y44" i="2" a="1"/>
  <c r="Y44" i="2" s="1"/>
  <c r="Y45" i="2" a="1"/>
  <c r="Y45" i="2" s="1"/>
  <c r="Y46" i="2" a="1"/>
  <c r="Y46" i="2" s="1"/>
  <c r="Y47" i="2" a="1"/>
  <c r="Y47" i="2" s="1"/>
  <c r="Y48" i="2" a="1"/>
  <c r="Y48" i="2" s="1"/>
  <c r="Y49" i="2" a="1"/>
  <c r="Y49" i="2" s="1"/>
  <c r="Y50" i="2" a="1"/>
  <c r="Y50" i="2" s="1"/>
  <c r="Y51" i="2" a="1"/>
  <c r="Y51" i="2"/>
  <c r="Y52" i="2" a="1"/>
  <c r="Y52" i="2" s="1"/>
  <c r="Y53" i="2" a="1"/>
  <c r="Y53" i="2" s="1"/>
  <c r="Y54" i="2" a="1"/>
  <c r="Y54" i="2" s="1"/>
  <c r="Y55" i="2" a="1"/>
  <c r="Y55" i="2" s="1"/>
  <c r="Y56" i="2" a="1"/>
  <c r="Y56" i="2" s="1"/>
  <c r="Y57" i="2" a="1"/>
  <c r="Y57" i="2" s="1"/>
  <c r="Y58" i="2" a="1"/>
  <c r="Y58" i="2" s="1"/>
  <c r="Y59" i="2" a="1"/>
  <c r="Y59" i="2" s="1"/>
  <c r="Y60" i="2" a="1"/>
  <c r="Y60" i="2" s="1"/>
  <c r="Y61" i="2" a="1"/>
  <c r="Y61" i="2" s="1"/>
  <c r="Y62" i="2" a="1"/>
  <c r="Y62" i="2" s="1"/>
  <c r="Y63" i="2" a="1"/>
  <c r="Y63" i="2" s="1"/>
  <c r="Y64" i="2" a="1"/>
  <c r="Y64" i="2" s="1"/>
  <c r="Y65" i="2" a="1"/>
  <c r="Y65" i="2" s="1"/>
  <c r="Y66" i="2" a="1"/>
  <c r="Y66" i="2" s="1"/>
  <c r="Y67" i="2" a="1"/>
  <c r="Y67" i="2" s="1"/>
  <c r="Y68" i="2" a="1"/>
  <c r="Y68" i="2" s="1"/>
  <c r="Y69" i="2" a="1"/>
  <c r="Y69" i="2" s="1"/>
  <c r="Y70" i="2" a="1"/>
  <c r="Y70" i="2" s="1"/>
  <c r="Y71" i="2" a="1"/>
  <c r="Y71" i="2" s="1"/>
  <c r="Y72" i="2" a="1"/>
  <c r="Y72" i="2" s="1"/>
  <c r="Y73" i="2" a="1"/>
  <c r="Y73" i="2" s="1"/>
  <c r="Y74" i="2" a="1"/>
  <c r="Y74" i="2" s="1"/>
  <c r="Y75" i="2" a="1"/>
  <c r="Y75" i="2" s="1"/>
  <c r="Y76" i="2" a="1"/>
  <c r="Y76" i="2" s="1"/>
  <c r="Y77" i="2" a="1"/>
  <c r="Y77" i="2" s="1"/>
  <c r="Y78" i="2" a="1"/>
  <c r="Y78" i="2" s="1"/>
  <c r="Y79" i="2" a="1"/>
  <c r="Y79" i="2" s="1"/>
  <c r="Y80" i="2" a="1"/>
  <c r="Y80" i="2" s="1"/>
  <c r="Y81" i="2" a="1"/>
  <c r="Y81" i="2" s="1"/>
  <c r="Y82" i="2" a="1"/>
  <c r="Y82" i="2" s="1"/>
  <c r="Y83" i="2" a="1"/>
  <c r="Y83" i="2" s="1"/>
  <c r="Y84" i="2" a="1"/>
  <c r="Y84" i="2" s="1"/>
  <c r="Y85" i="2" a="1"/>
  <c r="Y85" i="2" s="1"/>
  <c r="Y86" i="2" a="1"/>
  <c r="Y86" i="2" s="1"/>
  <c r="Y87" i="2" a="1"/>
  <c r="Y87" i="2" s="1"/>
  <c r="Y88" i="2" a="1"/>
  <c r="Y88" i="2" s="1"/>
  <c r="Y89" i="2" a="1"/>
  <c r="Y89" i="2" s="1"/>
  <c r="Y90" i="2" a="1"/>
  <c r="Y90" i="2" s="1"/>
  <c r="Y91" i="2" a="1"/>
  <c r="Y91" i="2" s="1"/>
  <c r="Y92" i="2" a="1"/>
  <c r="Y92" i="2" s="1"/>
  <c r="Y93" i="2" a="1"/>
  <c r="Y93" i="2" s="1"/>
  <c r="Y94" i="2" a="1"/>
  <c r="Y94" i="2" s="1"/>
  <c r="Y95" i="2" a="1"/>
  <c r="Y95" i="2" s="1"/>
  <c r="Y96" i="2" a="1"/>
  <c r="Y96" i="2" s="1"/>
  <c r="Y97" i="2" a="1"/>
  <c r="Y97" i="2" s="1"/>
  <c r="Y98" i="2" a="1"/>
  <c r="Y98" i="2" s="1"/>
  <c r="Y99" i="2" a="1"/>
  <c r="Y99" i="2" s="1"/>
  <c r="Y100" i="2" a="1"/>
  <c r="Y100" i="2" s="1"/>
  <c r="Y101" i="2" a="1"/>
  <c r="Y101" i="2" s="1"/>
  <c r="Y102" i="2" a="1"/>
  <c r="Y102" i="2" s="1"/>
  <c r="Y103" i="2" a="1"/>
  <c r="Y103" i="2" s="1"/>
  <c r="Y104" i="2" a="1"/>
  <c r="Y104" i="2" s="1"/>
  <c r="Y105" i="2" a="1"/>
  <c r="Y105" i="2" s="1"/>
  <c r="Y106" i="2" a="1"/>
  <c r="Y106" i="2" s="1"/>
  <c r="Y107" i="2" a="1"/>
  <c r="Y107" i="2" s="1"/>
  <c r="Y108" i="2" a="1"/>
  <c r="Y108" i="2" s="1"/>
  <c r="Y109" i="2" a="1"/>
  <c r="Y109" i="2" s="1"/>
  <c r="Y110" i="2" a="1"/>
  <c r="Y110" i="2" s="1"/>
  <c r="Y111" i="2" a="1"/>
  <c r="Y111" i="2" s="1"/>
  <c r="Y112" i="2" a="1"/>
  <c r="Y112" i="2" s="1"/>
  <c r="Y113" i="2" a="1"/>
  <c r="Y113" i="2" s="1"/>
  <c r="Y114" i="2" a="1"/>
  <c r="Y114" i="2"/>
  <c r="Y115" i="2" a="1"/>
  <c r="Y115" i="2" s="1"/>
  <c r="Y116" i="2" a="1"/>
  <c r="Y116" i="2" s="1"/>
  <c r="Y117" i="2" a="1"/>
  <c r="Y117" i="2" s="1"/>
  <c r="Y118" i="2" a="1"/>
  <c r="Y118" i="2" s="1"/>
  <c r="Y119" i="2" a="1"/>
  <c r="Y119" i="2" s="1"/>
  <c r="Y120" i="2" a="1"/>
  <c r="Y120" i="2" s="1"/>
  <c r="Y121" i="2" a="1"/>
  <c r="Y121" i="2" s="1"/>
  <c r="Y122" i="2" a="1"/>
  <c r="Y122" i="2" s="1"/>
  <c r="Y123" i="2" a="1"/>
  <c r="Y123" i="2" s="1"/>
  <c r="Y124" i="2" a="1"/>
  <c r="Y124" i="2" s="1"/>
  <c r="Y125" i="2" a="1"/>
  <c r="Y125" i="2" s="1"/>
  <c r="Y126" i="2" a="1"/>
  <c r="Y126" i="2" s="1"/>
  <c r="Y127" i="2" a="1"/>
  <c r="Y127" i="2" s="1"/>
  <c r="Y128" i="2" a="1"/>
  <c r="Y128" i="2" s="1"/>
  <c r="Y129" i="2" a="1"/>
  <c r="Y129" i="2" s="1"/>
  <c r="Y130" i="2" a="1"/>
  <c r="Y130" i="2" s="1"/>
  <c r="Y131" i="2" a="1"/>
  <c r="Y131" i="2" s="1"/>
  <c r="Y132" i="2" a="1"/>
  <c r="Y132" i="2" s="1"/>
  <c r="Y133" i="2" a="1"/>
  <c r="Y133" i="2" s="1"/>
  <c r="Y134" i="2" a="1"/>
  <c r="Y134" i="2" s="1"/>
  <c r="Y135" i="2" a="1"/>
  <c r="Y135" i="2" s="1"/>
  <c r="Y136" i="2" a="1"/>
  <c r="Y136" i="2" s="1"/>
  <c r="Y137" i="2" a="1"/>
  <c r="Y137" i="2" s="1"/>
  <c r="Y138" i="2" a="1"/>
  <c r="Y138" i="2" s="1"/>
  <c r="Y139" i="2" a="1"/>
  <c r="Y139" i="2" s="1"/>
  <c r="Y140" i="2" a="1"/>
  <c r="Y140" i="2" s="1"/>
  <c r="Y141" i="2" a="1"/>
  <c r="Y141" i="2" s="1"/>
  <c r="Y142" i="2" a="1"/>
  <c r="Y142" i="2" s="1"/>
  <c r="Y143" i="2" a="1"/>
  <c r="Y143" i="2" s="1"/>
  <c r="Y144" i="2" a="1"/>
  <c r="Y144" i="2" s="1"/>
  <c r="Y145" i="2" a="1"/>
  <c r="Y145" i="2" s="1"/>
  <c r="Y146" i="2" a="1"/>
  <c r="Y146" i="2" s="1"/>
  <c r="Y147" i="2" a="1"/>
  <c r="Y147" i="2" s="1"/>
  <c r="Y148" i="2" a="1"/>
  <c r="Y148" i="2" s="1"/>
  <c r="Y149" i="2" a="1"/>
  <c r="Y149" i="2" s="1"/>
  <c r="Y150" i="2" a="1"/>
  <c r="Y150" i="2" s="1"/>
  <c r="Y151" i="2" a="1"/>
  <c r="Y151" i="2" s="1"/>
  <c r="Y152" i="2" a="1"/>
  <c r="Y152" i="2" s="1"/>
  <c r="Y153" i="2" a="1"/>
  <c r="Y153" i="2" s="1"/>
  <c r="Y154" i="2" a="1"/>
  <c r="Y154" i="2" s="1"/>
  <c r="Y155" i="2" a="1"/>
  <c r="Y155" i="2" s="1"/>
  <c r="Y156" i="2" a="1"/>
  <c r="Y156" i="2" s="1"/>
  <c r="Y157" i="2" a="1"/>
  <c r="Y157" i="2" s="1"/>
  <c r="Y158" i="2" a="1"/>
  <c r="Y158" i="2" s="1"/>
  <c r="Y159" i="2" a="1"/>
  <c r="Y159" i="2" s="1"/>
  <c r="Y160" i="2" a="1"/>
  <c r="Y160" i="2" s="1"/>
  <c r="Y161" i="2" a="1"/>
  <c r="Y161" i="2" s="1"/>
  <c r="Y162" i="2" a="1"/>
  <c r="Y162" i="2" s="1"/>
  <c r="Y163" i="2" a="1"/>
  <c r="Y163" i="2" s="1"/>
  <c r="Y164" i="2" a="1"/>
  <c r="Y164" i="2" s="1"/>
  <c r="Y165" i="2" a="1"/>
  <c r="Y165" i="2" s="1"/>
  <c r="Y166" i="2" a="1"/>
  <c r="Y166" i="2" s="1"/>
  <c r="Y167" i="2" a="1"/>
  <c r="Y167" i="2" s="1"/>
  <c r="Y168" i="2" a="1"/>
  <c r="Y168" i="2" s="1"/>
  <c r="Y169" i="2" a="1"/>
  <c r="Y169" i="2" s="1"/>
  <c r="Y170" i="2" a="1"/>
  <c r="Y170" i="2" s="1"/>
  <c r="Y171" i="2" a="1"/>
  <c r="Y171" i="2" s="1"/>
  <c r="Y172" i="2" a="1"/>
  <c r="Y172" i="2" s="1"/>
  <c r="Y173" i="2" a="1"/>
  <c r="Y173" i="2" s="1"/>
  <c r="Y174" i="2" a="1"/>
  <c r="Y174" i="2" s="1"/>
  <c r="Y175" i="2" a="1"/>
  <c r="Y175" i="2" s="1"/>
  <c r="Y176" i="2" a="1"/>
  <c r="Y176" i="2" s="1"/>
  <c r="Y177" i="2" a="1"/>
  <c r="Y177" i="2" s="1"/>
  <c r="Y178" i="2" a="1"/>
  <c r="Y178" i="2" s="1"/>
  <c r="Y179" i="2" a="1"/>
  <c r="Y179" i="2" s="1"/>
  <c r="Y180" i="2" a="1"/>
  <c r="Y180" i="2" s="1"/>
  <c r="Y181" i="2" a="1"/>
  <c r="Y181" i="2" s="1"/>
  <c r="Y182" i="2" a="1"/>
  <c r="Y182" i="2" s="1"/>
  <c r="Y183" i="2" a="1"/>
  <c r="Y183" i="2" s="1"/>
  <c r="Y184" i="2" a="1"/>
  <c r="Y184" i="2" s="1"/>
  <c r="Y185" i="2" a="1"/>
  <c r="Y185" i="2" s="1"/>
  <c r="Y186" i="2" a="1"/>
  <c r="Y186" i="2" s="1"/>
  <c r="Y187" i="2" a="1"/>
  <c r="Y187" i="2" s="1"/>
  <c r="Y188" i="2" a="1"/>
  <c r="Y188" i="2" s="1"/>
  <c r="Y189" i="2" a="1"/>
  <c r="Y189" i="2" s="1"/>
  <c r="Y190" i="2" a="1"/>
  <c r="Y190" i="2" s="1"/>
  <c r="Y191" i="2" a="1"/>
  <c r="Y191" i="2" s="1"/>
  <c r="Y192" i="2" a="1"/>
  <c r="Y192" i="2" s="1"/>
  <c r="Y193" i="2" a="1"/>
  <c r="Y193" i="2" s="1"/>
  <c r="Y194" i="2" a="1"/>
  <c r="Y194" i="2" s="1"/>
  <c r="Y195" i="2" a="1"/>
  <c r="Y195" i="2" s="1"/>
  <c r="Y196" i="2" a="1"/>
  <c r="Y196" i="2" s="1"/>
  <c r="Y197" i="2" a="1"/>
  <c r="Y197" i="2" s="1"/>
  <c r="Y198" i="2" a="1"/>
  <c r="Y198" i="2" s="1"/>
  <c r="Y199" i="2" a="1"/>
  <c r="Y199" i="2" s="1"/>
  <c r="Y200" i="2" a="1"/>
  <c r="Y200" i="2" s="1"/>
  <c r="Y201" i="2" a="1"/>
  <c r="Y201" i="2" s="1"/>
  <c r="Y202" i="2" a="1"/>
  <c r="Y202" i="2" s="1"/>
  <c r="Y203" i="2" a="1"/>
  <c r="Y203" i="2" s="1"/>
  <c r="Y204" i="2" a="1"/>
  <c r="Y204" i="2" s="1"/>
  <c r="Y205" i="2" a="1"/>
  <c r="Y205" i="2" s="1"/>
  <c r="Y206" i="2" a="1"/>
  <c r="Y206" i="2" s="1"/>
  <c r="Y207" i="2" a="1"/>
  <c r="Y207" i="2" s="1"/>
  <c r="Y208" i="2" a="1"/>
  <c r="Y208" i="2" s="1"/>
  <c r="Y209" i="2" a="1"/>
  <c r="Y209" i="2" s="1"/>
  <c r="Y210" i="2" a="1"/>
  <c r="Y210" i="2" s="1"/>
  <c r="Y211" i="2" a="1"/>
  <c r="Y211" i="2" s="1"/>
  <c r="Y212" i="2" a="1"/>
  <c r="Y212" i="2" s="1"/>
  <c r="Y213" i="2" a="1"/>
  <c r="Y213" i="2" s="1"/>
  <c r="Y214" i="2" a="1"/>
  <c r="Y214" i="2" s="1"/>
  <c r="Y215" i="2" a="1"/>
  <c r="Y215" i="2" s="1"/>
  <c r="Y216" i="2" a="1"/>
  <c r="Y216" i="2" s="1"/>
  <c r="Y217" i="2" a="1"/>
  <c r="Y217" i="2" s="1"/>
  <c r="Y218" i="2" a="1"/>
  <c r="Y218" i="2" s="1"/>
  <c r="Y219" i="2" a="1"/>
  <c r="Y219" i="2" s="1"/>
  <c r="Y220" i="2" a="1"/>
  <c r="Y220" i="2" s="1"/>
  <c r="Y221" i="2" a="1"/>
  <c r="Y221" i="2" s="1"/>
  <c r="Y222" i="2" a="1"/>
  <c r="Y222" i="2" s="1"/>
  <c r="Y223" i="2" a="1"/>
  <c r="Y223" i="2" s="1"/>
  <c r="Y224" i="2" a="1"/>
  <c r="Y224" i="2" s="1"/>
  <c r="Y225" i="2" a="1"/>
  <c r="Y225" i="2" s="1"/>
  <c r="Y226" i="2" a="1"/>
  <c r="Y226" i="2" s="1"/>
  <c r="Y227" i="2" a="1"/>
  <c r="Y227" i="2" s="1"/>
  <c r="Y228" i="2" a="1"/>
  <c r="Y228" i="2" s="1"/>
  <c r="Y229" i="2" a="1"/>
  <c r="Y229" i="2" s="1"/>
  <c r="Y230" i="2" a="1"/>
  <c r="Y230" i="2" s="1"/>
  <c r="Y231" i="2" a="1"/>
  <c r="Y231" i="2" s="1"/>
  <c r="Y232" i="2" a="1"/>
  <c r="Y232" i="2" s="1"/>
  <c r="Y233" i="2" a="1"/>
  <c r="Y233" i="2" s="1"/>
  <c r="Y234" i="2" a="1"/>
  <c r="Y234" i="2" s="1"/>
  <c r="Y235" i="2" a="1"/>
  <c r="Y235" i="2" s="1"/>
  <c r="Y236" i="2" a="1"/>
  <c r="Y236" i="2" s="1"/>
  <c r="Y237" i="2" a="1"/>
  <c r="Y237" i="2" s="1"/>
  <c r="Y238" i="2" a="1"/>
  <c r="Y238" i="2" s="1"/>
  <c r="Y239" i="2" a="1"/>
  <c r="Y239" i="2" s="1"/>
  <c r="Y240" i="2" a="1"/>
  <c r="Y240" i="2" s="1"/>
  <c r="Y241" i="2" a="1"/>
  <c r="Y241" i="2" s="1"/>
  <c r="Y242" i="2" a="1"/>
  <c r="Y242" i="2" s="1"/>
  <c r="Y243" i="2" a="1"/>
  <c r="Y243" i="2" s="1"/>
  <c r="Y244" i="2" a="1"/>
  <c r="Y244" i="2" s="1"/>
  <c r="Y245" i="2" a="1"/>
  <c r="Y245" i="2" s="1"/>
  <c r="Y246" i="2" a="1"/>
  <c r="Y246" i="2" s="1"/>
  <c r="Y247" i="2" a="1"/>
  <c r="Y247" i="2" s="1"/>
  <c r="Y248" i="2" a="1"/>
  <c r="Y248" i="2" s="1"/>
  <c r="Y249" i="2" a="1"/>
  <c r="Y249" i="2" s="1"/>
  <c r="Y250" i="2" a="1"/>
  <c r="Y250" i="2" s="1"/>
  <c r="Y251" i="2" a="1"/>
  <c r="Y251" i="2" s="1"/>
  <c r="Y252" i="2" a="1"/>
  <c r="Y252" i="2" s="1"/>
  <c r="Y253" i="2" a="1"/>
  <c r="Y253" i="2" s="1"/>
  <c r="Y254" i="2" a="1"/>
  <c r="Y254" i="2" s="1"/>
  <c r="Y255" i="2" a="1"/>
  <c r="Y255" i="2" s="1"/>
  <c r="Y256" i="2" a="1"/>
  <c r="Y256" i="2" s="1"/>
  <c r="Y257" i="2" a="1"/>
  <c r="Y257" i="2" s="1"/>
  <c r="Y258" i="2" a="1"/>
  <c r="Y258" i="2" s="1"/>
  <c r="Y259" i="2" a="1"/>
  <c r="Y259" i="2" s="1"/>
  <c r="Y260" i="2" a="1"/>
  <c r="Y260" i="2" s="1"/>
  <c r="Y261" i="2" a="1"/>
  <c r="Y261" i="2" s="1"/>
  <c r="Y262" i="2" a="1"/>
  <c r="Y262" i="2" s="1"/>
  <c r="Y263" i="2" a="1"/>
  <c r="Y263" i="2" s="1"/>
  <c r="Y264" i="2" a="1"/>
  <c r="Y264" i="2" s="1"/>
  <c r="Y265" i="2" a="1"/>
  <c r="Y265" i="2" s="1"/>
  <c r="Y266" i="2" a="1"/>
  <c r="Y266" i="2" s="1"/>
  <c r="Y267" i="2" a="1"/>
  <c r="Y267" i="2" s="1"/>
  <c r="Y268" i="2" a="1"/>
  <c r="Y268" i="2" s="1"/>
  <c r="Y269" i="2" a="1"/>
  <c r="Y269" i="2" s="1"/>
  <c r="Y270" i="2" a="1"/>
  <c r="Y270" i="2" s="1"/>
  <c r="Y271" i="2" a="1"/>
  <c r="Y271" i="2" s="1"/>
  <c r="Y272" i="2" a="1"/>
  <c r="Y272" i="2" s="1"/>
  <c r="Y273" i="2" a="1"/>
  <c r="Y273" i="2" s="1"/>
  <c r="Y274" i="2" a="1"/>
  <c r="Y274" i="2" s="1"/>
  <c r="Y275" i="2" a="1"/>
  <c r="Y275" i="2" s="1"/>
  <c r="Y276" i="2" a="1"/>
  <c r="Y276" i="2" s="1"/>
  <c r="Y277" i="2" a="1"/>
  <c r="Y277" i="2" s="1"/>
  <c r="Y278" i="2" a="1"/>
  <c r="Y278" i="2" s="1"/>
  <c r="Y279" i="2" a="1"/>
  <c r="Y279" i="2" s="1"/>
  <c r="Y280" i="2" a="1"/>
  <c r="Y280" i="2" s="1"/>
  <c r="Y281" i="2" a="1"/>
  <c r="Y281" i="2" s="1"/>
  <c r="Y282" i="2" a="1"/>
  <c r="Y282" i="2" s="1"/>
  <c r="Y283" i="2" a="1"/>
  <c r="Y283" i="2" s="1"/>
  <c r="Y284" i="2" a="1"/>
  <c r="Y284" i="2" s="1"/>
  <c r="Y285" i="2" a="1"/>
  <c r="Y285" i="2" s="1"/>
  <c r="Y286" i="2" a="1"/>
  <c r="Y286" i="2" s="1"/>
  <c r="Y287" i="2" a="1"/>
  <c r="Y287" i="2" s="1"/>
  <c r="Y288" i="2" a="1"/>
  <c r="Y288" i="2" s="1"/>
  <c r="Y289" i="2" a="1"/>
  <c r="Y289" i="2" s="1"/>
  <c r="Y290" i="2" a="1"/>
  <c r="Y290" i="2" s="1"/>
  <c r="Y291" i="2" a="1"/>
  <c r="Y291" i="2" s="1"/>
  <c r="Y292" i="2" a="1"/>
  <c r="Y292" i="2" s="1"/>
  <c r="Y293" i="2" a="1"/>
  <c r="Y293" i="2" s="1"/>
  <c r="Y294" i="2" a="1"/>
  <c r="Y294" i="2" s="1"/>
  <c r="Y295" i="2" a="1"/>
  <c r="Y295" i="2" s="1"/>
  <c r="Y296" i="2" a="1"/>
  <c r="Y296" i="2" s="1"/>
  <c r="Y297" i="2" a="1"/>
  <c r="Y297" i="2" s="1"/>
  <c r="Y298" i="2" a="1"/>
  <c r="Y298" i="2" s="1"/>
  <c r="Y299" i="2" a="1"/>
  <c r="Y299" i="2" s="1"/>
  <c r="Y300" i="2" a="1"/>
  <c r="Y300" i="2" s="1"/>
  <c r="Y301" i="2" a="1"/>
  <c r="Y301" i="2" s="1"/>
  <c r="Y302" i="2" a="1"/>
  <c r="Y302" i="2" s="1"/>
  <c r="Y303" i="2" a="1"/>
  <c r="Y303" i="2" s="1"/>
  <c r="Y304" i="2" a="1"/>
  <c r="Y304" i="2" s="1"/>
  <c r="Y305" i="2" a="1"/>
  <c r="Y305" i="2" s="1"/>
  <c r="Y306" i="2" a="1"/>
  <c r="Y306" i="2" s="1"/>
  <c r="Y307" i="2" a="1"/>
  <c r="Y307" i="2" s="1"/>
  <c r="Y308" i="2" a="1"/>
  <c r="Y308" i="2" s="1"/>
  <c r="Y309" i="2" a="1"/>
  <c r="Y309" i="2" s="1"/>
  <c r="Y310" i="2" a="1"/>
  <c r="Y310" i="2" s="1"/>
  <c r="Y311" i="2" a="1"/>
  <c r="Y311" i="2" s="1"/>
  <c r="Y312" i="2" a="1"/>
  <c r="Y312" i="2" s="1"/>
  <c r="Y313" i="2" a="1"/>
  <c r="Y313" i="2" s="1"/>
  <c r="Y314" i="2" a="1"/>
  <c r="Y314" i="2" s="1"/>
  <c r="Y315" i="2" a="1"/>
  <c r="Y315" i="2" s="1"/>
  <c r="Y316" i="2" a="1"/>
  <c r="Y316" i="2" s="1"/>
  <c r="Y317" i="2" a="1"/>
  <c r="Y317" i="2" s="1"/>
  <c r="Y318" i="2" a="1"/>
  <c r="Y318" i="2" s="1"/>
  <c r="Y319" i="2" a="1"/>
  <c r="Y319" i="2" s="1"/>
  <c r="Y320" i="2" a="1"/>
  <c r="Y320" i="2" s="1"/>
  <c r="Y321" i="2" a="1"/>
  <c r="Y321" i="2" s="1"/>
  <c r="Y322" i="2" a="1"/>
  <c r="Y322" i="2" s="1"/>
  <c r="Y323" i="2" a="1"/>
  <c r="Y323" i="2" s="1"/>
  <c r="Y324" i="2" a="1"/>
  <c r="Y324" i="2" s="1"/>
  <c r="Y325" i="2" a="1"/>
  <c r="Y325" i="2" s="1"/>
  <c r="Y326" i="2" a="1"/>
  <c r="Y326" i="2" s="1"/>
  <c r="Y327" i="2" a="1"/>
  <c r="Y327" i="2" s="1"/>
  <c r="Y328" i="2" a="1"/>
  <c r="Y328" i="2" s="1"/>
  <c r="Y329" i="2" a="1"/>
  <c r="Y329" i="2" s="1"/>
  <c r="Y330" i="2" a="1"/>
  <c r="Y330" i="2" s="1"/>
  <c r="Y331" i="2" a="1"/>
  <c r="Y331" i="2" s="1"/>
  <c r="Y332" i="2" a="1"/>
  <c r="Y332" i="2" s="1"/>
  <c r="Y333" i="2" a="1"/>
  <c r="Y333" i="2" s="1"/>
  <c r="Y334" i="2" a="1"/>
  <c r="Y334" i="2" s="1"/>
  <c r="Y335" i="2" a="1"/>
  <c r="Y335" i="2" s="1"/>
  <c r="Y336" i="2" a="1"/>
  <c r="Y336" i="2" s="1"/>
  <c r="Y337" i="2" a="1"/>
  <c r="Y337" i="2" s="1"/>
  <c r="Y338" i="2" a="1"/>
  <c r="Y338" i="2" s="1"/>
  <c r="Y339" i="2" a="1"/>
  <c r="Y339" i="2" s="1"/>
  <c r="Y340" i="2" a="1"/>
  <c r="Y340" i="2" s="1"/>
  <c r="Y341" i="2" a="1"/>
  <c r="Y341" i="2" s="1"/>
  <c r="Y342" i="2" a="1"/>
  <c r="Y342" i="2" s="1"/>
  <c r="Y343" i="2" a="1"/>
  <c r="Y343" i="2" s="1"/>
  <c r="Y344" i="2" a="1"/>
  <c r="Y344" i="2" s="1"/>
  <c r="Y345" i="2" a="1"/>
  <c r="Y345" i="2" s="1"/>
  <c r="Y346" i="2" a="1"/>
  <c r="Y346" i="2" s="1"/>
  <c r="Y347" i="2" a="1"/>
  <c r="Y347" i="2" s="1"/>
  <c r="Y348" i="2" a="1"/>
  <c r="Y348" i="2" s="1"/>
  <c r="Y349" i="2" a="1"/>
  <c r="Y349" i="2" s="1"/>
  <c r="Y350" i="2" a="1"/>
  <c r="Y350" i="2" s="1"/>
  <c r="Y351" i="2" a="1"/>
  <c r="Y351" i="2" s="1"/>
  <c r="Y352" i="2" a="1"/>
  <c r="Y352" i="2" s="1"/>
  <c r="Y353" i="2" a="1"/>
  <c r="Y353" i="2" s="1"/>
  <c r="Y354" i="2" a="1"/>
  <c r="Y354" i="2" s="1"/>
  <c r="Y355" i="2" a="1"/>
  <c r="Y355" i="2" s="1"/>
  <c r="Y356" i="2" a="1"/>
  <c r="Y356" i="2" s="1"/>
  <c r="Y357" i="2" a="1"/>
  <c r="Y357" i="2" s="1"/>
  <c r="Y358" i="2" a="1"/>
  <c r="Y358" i="2" s="1"/>
  <c r="Y359" i="2" a="1"/>
  <c r="Y359" i="2" s="1"/>
  <c r="Y360" i="2" a="1"/>
  <c r="Y360" i="2" s="1"/>
  <c r="Y361" i="2" a="1"/>
  <c r="Y361" i="2" s="1"/>
  <c r="Y362" i="2" a="1"/>
  <c r="Y362" i="2" s="1"/>
  <c r="Y363" i="2" a="1"/>
  <c r="Y363" i="2" s="1"/>
  <c r="Y364" i="2" a="1"/>
  <c r="Y364" i="2" s="1"/>
  <c r="Y365" i="2" a="1"/>
  <c r="Y365" i="2" s="1"/>
  <c r="Y366" i="2" a="1"/>
  <c r="Y366" i="2" s="1"/>
  <c r="Y367" i="2" a="1"/>
  <c r="Y367" i="2" s="1"/>
  <c r="Y368" i="2" a="1"/>
  <c r="Y368" i="2" s="1"/>
  <c r="Y369" i="2" a="1"/>
  <c r="Y369" i="2" s="1"/>
  <c r="Y370" i="2" a="1"/>
  <c r="Y370" i="2" s="1"/>
  <c r="Y371" i="2" a="1"/>
  <c r="Y371" i="2" s="1"/>
  <c r="Y372" i="2" a="1"/>
  <c r="Y372" i="2" s="1"/>
  <c r="Y373" i="2" a="1"/>
  <c r="Y373" i="2" s="1"/>
  <c r="Y374" i="2" a="1"/>
  <c r="Y374" i="2" s="1"/>
  <c r="Y375" i="2" a="1"/>
  <c r="Y375" i="2" s="1"/>
  <c r="Y376" i="2" a="1"/>
  <c r="Y376" i="2" s="1"/>
  <c r="Y377" i="2" a="1"/>
  <c r="Y377" i="2" s="1"/>
  <c r="Y378" i="2" a="1"/>
  <c r="Y378" i="2" s="1"/>
  <c r="Y379" i="2" a="1"/>
  <c r="Y379" i="2" s="1"/>
  <c r="Y380" i="2" a="1"/>
  <c r="Y380" i="2" s="1"/>
  <c r="Y381" i="2" a="1"/>
  <c r="Y381" i="2" s="1"/>
  <c r="Y382" i="2" a="1"/>
  <c r="Y382" i="2" s="1"/>
  <c r="Y383" i="2" a="1"/>
  <c r="Y383" i="2" s="1"/>
  <c r="Y384" i="2" a="1"/>
  <c r="Y384" i="2" s="1"/>
  <c r="Y385" i="2" a="1"/>
  <c r="Y385" i="2" s="1"/>
  <c r="Y386" i="2" a="1"/>
  <c r="Y386" i="2" s="1"/>
  <c r="Y387" i="2" a="1"/>
  <c r="Y387" i="2" s="1"/>
  <c r="Y388" i="2" a="1"/>
  <c r="Y388" i="2" s="1"/>
  <c r="Y389" i="2" a="1"/>
  <c r="Y389" i="2" s="1"/>
  <c r="Y390" i="2" a="1"/>
  <c r="Y390" i="2" s="1"/>
  <c r="Y391" i="2" a="1"/>
  <c r="Y391" i="2" s="1"/>
  <c r="Y392" i="2" a="1"/>
  <c r="Y392" i="2" s="1"/>
  <c r="Y393" i="2" a="1"/>
  <c r="Y393" i="2" s="1"/>
  <c r="Y394" i="2" a="1"/>
  <c r="Y394" i="2" s="1"/>
  <c r="Y395" i="2" a="1"/>
  <c r="Y395" i="2" s="1"/>
  <c r="Y396" i="2" a="1"/>
  <c r="Y396" i="2" s="1"/>
  <c r="Y397" i="2" a="1"/>
  <c r="Y397" i="2" s="1"/>
  <c r="Y398" i="2" a="1"/>
  <c r="Y398" i="2" s="1"/>
  <c r="Y399" i="2" a="1"/>
  <c r="Y399" i="2" s="1"/>
  <c r="Y400" i="2" a="1"/>
  <c r="Y400" i="2" s="1"/>
  <c r="Y401" i="2" a="1"/>
  <c r="Y401" i="2" s="1"/>
  <c r="Y402" i="2" a="1"/>
  <c r="Y402" i="2" s="1"/>
  <c r="Y403" i="2" a="1"/>
  <c r="Y403" i="2" s="1"/>
  <c r="Y404" i="2" a="1"/>
  <c r="Y404" i="2" s="1"/>
  <c r="Y405" i="2" a="1"/>
  <c r="Y405" i="2" s="1"/>
  <c r="Y406" i="2" a="1"/>
  <c r="Y406" i="2" s="1"/>
  <c r="Y407" i="2" a="1"/>
  <c r="Y407" i="2" s="1"/>
  <c r="Y408" i="2" a="1"/>
  <c r="Y408" i="2" s="1"/>
  <c r="Y409" i="2" a="1"/>
  <c r="Y409" i="2" s="1"/>
  <c r="Y410" i="2" a="1"/>
  <c r="Y410" i="2" s="1"/>
  <c r="Y411" i="2" a="1"/>
  <c r="Y411" i="2" s="1"/>
  <c r="Y412" i="2" a="1"/>
  <c r="Y412" i="2" s="1"/>
  <c r="Y413" i="2" a="1"/>
  <c r="Y413" i="2" s="1"/>
  <c r="Y414" i="2" a="1"/>
  <c r="Y414" i="2" s="1"/>
  <c r="Y415" i="2" a="1"/>
  <c r="Y415" i="2" s="1"/>
  <c r="Y416" i="2" a="1"/>
  <c r="Y416" i="2" s="1"/>
  <c r="Y417" i="2" a="1"/>
  <c r="Y417" i="2" s="1"/>
  <c r="Y418" i="2" a="1"/>
  <c r="Y418" i="2" s="1"/>
  <c r="Y419" i="2" a="1"/>
  <c r="Y419" i="2" s="1"/>
  <c r="Y420" i="2" a="1"/>
  <c r="Y420" i="2" s="1"/>
  <c r="Y421" i="2" a="1"/>
  <c r="Y421" i="2" s="1"/>
  <c r="Y422" i="2" a="1"/>
  <c r="Y422" i="2" s="1"/>
  <c r="Y423" i="2" a="1"/>
  <c r="Y423" i="2" s="1"/>
  <c r="Y424" i="2" a="1"/>
  <c r="Y424" i="2" s="1"/>
  <c r="Y425" i="2" a="1"/>
  <c r="Y425" i="2" s="1"/>
  <c r="Y426" i="2" a="1"/>
  <c r="Y426" i="2" s="1"/>
  <c r="Y427" i="2" a="1"/>
  <c r="Y427" i="2" s="1"/>
  <c r="Y428" i="2" a="1"/>
  <c r="Y428" i="2" s="1"/>
  <c r="Y429" i="2" a="1"/>
  <c r="Y429" i="2" s="1"/>
  <c r="Y430" i="2" a="1"/>
  <c r="Y430" i="2" s="1"/>
  <c r="Y431" i="2" a="1"/>
  <c r="Y431" i="2" s="1"/>
  <c r="Y432" i="2" a="1"/>
  <c r="Y432" i="2" s="1"/>
  <c r="Y433" i="2" a="1"/>
  <c r="Y433" i="2" s="1"/>
  <c r="Y434" i="2" a="1"/>
  <c r="Y434" i="2" s="1"/>
  <c r="Y435" i="2" a="1"/>
  <c r="Y435" i="2" s="1"/>
  <c r="Y436" i="2" a="1"/>
  <c r="Y436" i="2" s="1"/>
  <c r="Y437" i="2" a="1"/>
  <c r="Y437" i="2" s="1"/>
  <c r="Y438" i="2" a="1"/>
  <c r="Y438" i="2" s="1"/>
  <c r="Y439" i="2" a="1"/>
  <c r="Y439" i="2" s="1"/>
  <c r="Y440" i="2" a="1"/>
  <c r="Y440" i="2" s="1"/>
  <c r="Y441" i="2" a="1"/>
  <c r="Y441" i="2" s="1"/>
  <c r="Y442" i="2" a="1"/>
  <c r="Y442" i="2" s="1"/>
  <c r="Y443" i="2" a="1"/>
  <c r="Y443" i="2" s="1"/>
  <c r="Y444" i="2" a="1"/>
  <c r="Y444" i="2" s="1"/>
  <c r="Y445" i="2" a="1"/>
  <c r="Y445" i="2" s="1"/>
  <c r="Y446" i="2" a="1"/>
  <c r="Y446" i="2" s="1"/>
  <c r="Y447" i="2" a="1"/>
  <c r="Y447" i="2" s="1"/>
  <c r="Y448" i="2" a="1"/>
  <c r="Y448" i="2" s="1"/>
  <c r="Y449" i="2" a="1"/>
  <c r="Y449" i="2" s="1"/>
  <c r="Y450" i="2" a="1"/>
  <c r="Y450" i="2" s="1"/>
  <c r="Y451" i="2" a="1"/>
  <c r="Y451" i="2" s="1"/>
  <c r="Y452" i="2" a="1"/>
  <c r="Y452" i="2" s="1"/>
  <c r="Y453" i="2" a="1"/>
  <c r="Y453" i="2" s="1"/>
  <c r="Y454" i="2" a="1"/>
  <c r="Y454" i="2" s="1"/>
  <c r="Y455" i="2" a="1"/>
  <c r="Y455" i="2" s="1"/>
  <c r="Y456" i="2" a="1"/>
  <c r="Y456" i="2" s="1"/>
  <c r="Y457" i="2" a="1"/>
  <c r="Y457" i="2" s="1"/>
  <c r="Y458" i="2" a="1"/>
  <c r="Y458" i="2" s="1"/>
  <c r="Y459" i="2" a="1"/>
  <c r="Y459" i="2" s="1"/>
  <c r="Y460" i="2" a="1"/>
  <c r="Y460" i="2" s="1"/>
  <c r="Y461" i="2" a="1"/>
  <c r="Y461" i="2" s="1"/>
  <c r="Y462" i="2" a="1"/>
  <c r="Y462" i="2" s="1"/>
  <c r="Y463" i="2" a="1"/>
  <c r="Y463" i="2" s="1"/>
  <c r="Y464" i="2" a="1"/>
  <c r="Y464" i="2" s="1"/>
  <c r="Y465" i="2" a="1"/>
  <c r="Y465" i="2" s="1"/>
  <c r="Y466" i="2" a="1"/>
  <c r="Y466" i="2" s="1"/>
  <c r="Y467" i="2" a="1"/>
  <c r="Y467" i="2" s="1"/>
  <c r="Y468" i="2" a="1"/>
  <c r="Y468" i="2" s="1"/>
  <c r="Y469" i="2" a="1"/>
  <c r="Y469" i="2" s="1"/>
  <c r="Y470" i="2" a="1"/>
  <c r="Y470" i="2" s="1"/>
  <c r="Y471" i="2" a="1"/>
  <c r="Y471" i="2" s="1"/>
  <c r="Y472" i="2" a="1"/>
  <c r="Y472" i="2" s="1"/>
  <c r="Y473" i="2" a="1"/>
  <c r="Y473" i="2" s="1"/>
  <c r="Y474" i="2" a="1"/>
  <c r="Y474" i="2" s="1"/>
  <c r="Y475" i="2" a="1"/>
  <c r="Y475" i="2" s="1"/>
  <c r="Y476" i="2" a="1"/>
  <c r="Y476" i="2" s="1"/>
  <c r="Y477" i="2" a="1"/>
  <c r="Y477" i="2" s="1"/>
  <c r="Y478" i="2" a="1"/>
  <c r="Y478" i="2" s="1"/>
  <c r="Y479" i="2" a="1"/>
  <c r="Y479" i="2" s="1"/>
  <c r="Y480" i="2" a="1"/>
  <c r="Y480" i="2" s="1"/>
  <c r="Y481" i="2" a="1"/>
  <c r="Y481" i="2" s="1"/>
  <c r="Y482" i="2" a="1"/>
  <c r="Y482" i="2" s="1"/>
  <c r="Y483" i="2" a="1"/>
  <c r="Y483" i="2" s="1"/>
  <c r="Y484" i="2" a="1"/>
  <c r="Y484" i="2" s="1"/>
  <c r="Y485" i="2" a="1"/>
  <c r="Y485" i="2" s="1"/>
  <c r="Y486" i="2" a="1"/>
  <c r="Y486" i="2" s="1"/>
  <c r="Y487" i="2" a="1"/>
  <c r="Y487" i="2" s="1"/>
  <c r="Y488" i="2" a="1"/>
  <c r="Y488" i="2" s="1"/>
  <c r="Y489" i="2" a="1"/>
  <c r="Y489" i="2" s="1"/>
  <c r="Y490" i="2" a="1"/>
  <c r="Y490" i="2" s="1"/>
  <c r="Y491" i="2" a="1"/>
  <c r="Y491" i="2" s="1"/>
  <c r="Y492" i="2" a="1"/>
  <c r="Y492" i="2" s="1"/>
  <c r="Y493" i="2" a="1"/>
  <c r="Y493" i="2" s="1"/>
  <c r="Y494" i="2" a="1"/>
  <c r="Y494" i="2" s="1"/>
  <c r="Y495" i="2" a="1"/>
  <c r="Y495" i="2" s="1"/>
  <c r="Y496" i="2" a="1"/>
  <c r="Y496" i="2" s="1"/>
  <c r="Y497" i="2" a="1"/>
  <c r="Y497" i="2" s="1"/>
  <c r="Y498" i="2" a="1"/>
  <c r="Y498" i="2" s="1"/>
  <c r="Y499" i="2" a="1"/>
  <c r="Y499" i="2" s="1"/>
  <c r="Y500" i="2" a="1"/>
  <c r="Y500" i="2" s="1"/>
  <c r="Y501" i="2" a="1"/>
  <c r="Y501" i="2" s="1"/>
  <c r="Y502" i="2" a="1"/>
  <c r="Y502" i="2" s="1"/>
  <c r="Y503" i="2" a="1"/>
  <c r="Y503" i="2" s="1"/>
  <c r="Y504" i="2" a="1"/>
  <c r="Y504" i="2" s="1"/>
  <c r="Y505" i="2" a="1"/>
  <c r="Y505" i="2" s="1"/>
  <c r="Y506" i="2" a="1"/>
  <c r="Y506" i="2" s="1"/>
  <c r="Y507" i="2" a="1"/>
  <c r="Y507" i="2" s="1"/>
  <c r="Y508" i="2" a="1"/>
  <c r="Y508" i="2" s="1"/>
  <c r="Y509" i="2" a="1"/>
  <c r="Y509" i="2" s="1"/>
  <c r="Y510" i="2" a="1"/>
  <c r="Y510" i="2" s="1"/>
  <c r="Y511" i="2" a="1"/>
  <c r="Y511" i="2" s="1"/>
  <c r="Y512" i="2" a="1"/>
  <c r="Y512" i="2" s="1"/>
  <c r="Y513" i="2" a="1"/>
  <c r="Y513" i="2" s="1"/>
  <c r="Y514" i="2" a="1"/>
  <c r="Y514" i="2" s="1"/>
  <c r="Y515" i="2" a="1"/>
  <c r="Y515" i="2" s="1"/>
  <c r="Y516" i="2" a="1"/>
  <c r="Y516" i="2" s="1"/>
  <c r="Y517" i="2" a="1"/>
  <c r="Y517" i="2" s="1"/>
  <c r="Y518" i="2" a="1"/>
  <c r="Y518" i="2" s="1"/>
  <c r="Y519" i="2" a="1"/>
  <c r="Y519" i="2" s="1"/>
  <c r="Y520" i="2" a="1"/>
  <c r="Y520" i="2" s="1"/>
  <c r="Y521" i="2" a="1"/>
  <c r="Y521" i="2" s="1"/>
  <c r="Y522" i="2" a="1"/>
  <c r="Y522" i="2" s="1"/>
  <c r="Y523" i="2" a="1"/>
  <c r="Y523" i="2" s="1"/>
  <c r="Y524" i="2" a="1"/>
  <c r="Y524" i="2" s="1"/>
  <c r="Y525" i="2" a="1"/>
  <c r="Y525" i="2" s="1"/>
  <c r="Y526" i="2" a="1"/>
  <c r="Y526" i="2" s="1"/>
  <c r="Y527" i="2" a="1"/>
  <c r="Y527" i="2" s="1"/>
  <c r="Y528" i="2" a="1"/>
  <c r="Y528" i="2" s="1"/>
  <c r="Y529" i="2" a="1"/>
  <c r="Y529" i="2" s="1"/>
  <c r="Y530" i="2" a="1"/>
  <c r="Y530" i="2" s="1"/>
  <c r="Y531" i="2" a="1"/>
  <c r="Y531" i="2" s="1"/>
  <c r="Y532" i="2" a="1"/>
  <c r="Y532" i="2" s="1"/>
  <c r="Y533" i="2" a="1"/>
  <c r="Y533" i="2" s="1"/>
  <c r="Y534" i="2" a="1"/>
  <c r="Y534" i="2" s="1"/>
  <c r="Y535" i="2" a="1"/>
  <c r="Y535" i="2" s="1"/>
  <c r="Y536" i="2" a="1"/>
  <c r="Y536" i="2" s="1"/>
  <c r="Y537" i="2" a="1"/>
  <c r="Y537" i="2" s="1"/>
  <c r="Y538" i="2" a="1"/>
  <c r="Y538" i="2" s="1"/>
  <c r="Y539" i="2" a="1"/>
  <c r="Y539" i="2" s="1"/>
  <c r="Y540" i="2" a="1"/>
  <c r="Y540" i="2" s="1"/>
  <c r="Y541" i="2" a="1"/>
  <c r="Y541" i="2" s="1"/>
  <c r="Y542" i="2" a="1"/>
  <c r="Y542" i="2" s="1"/>
  <c r="Y543" i="2" a="1"/>
  <c r="Y543" i="2" s="1"/>
  <c r="Y544" i="2" a="1"/>
  <c r="Y544" i="2" s="1"/>
  <c r="Y545" i="2" a="1"/>
  <c r="Y545" i="2" s="1"/>
  <c r="Y546" i="2" a="1"/>
  <c r="Y546" i="2" s="1"/>
  <c r="Y547" i="2" a="1"/>
  <c r="Y547" i="2" s="1"/>
  <c r="Y548" i="2" a="1"/>
  <c r="Y548" i="2" s="1"/>
  <c r="Y549" i="2" a="1"/>
  <c r="Y549" i="2" s="1"/>
  <c r="Y550" i="2" a="1"/>
  <c r="Y550" i="2" s="1"/>
  <c r="Y551" i="2" a="1"/>
  <c r="Y551" i="2" s="1"/>
  <c r="Y552" i="2" a="1"/>
  <c r="Y552" i="2" s="1"/>
  <c r="Y553" i="2" a="1"/>
  <c r="Y553" i="2" s="1"/>
  <c r="Y554" i="2" a="1"/>
  <c r="Y554" i="2" s="1"/>
  <c r="Y555" i="2" a="1"/>
  <c r="Y555" i="2" s="1"/>
  <c r="Y556" i="2" a="1"/>
  <c r="Y556" i="2" s="1"/>
  <c r="Y557" i="2" a="1"/>
  <c r="Y557" i="2" s="1"/>
  <c r="Y558" i="2" a="1"/>
  <c r="Y558" i="2" s="1"/>
  <c r="Y559" i="2" a="1"/>
  <c r="Y559" i="2" s="1"/>
  <c r="Y560" i="2" a="1"/>
  <c r="Y560" i="2" s="1"/>
  <c r="Y561" i="2" a="1"/>
  <c r="Y561" i="2" s="1"/>
  <c r="Y562" i="2" a="1"/>
  <c r="Y562" i="2" s="1"/>
  <c r="Y563" i="2" a="1"/>
  <c r="Y563" i="2" s="1"/>
  <c r="Y564" i="2" a="1"/>
  <c r="Y564" i="2" s="1"/>
  <c r="Y565" i="2" a="1"/>
  <c r="Y565" i="2" s="1"/>
  <c r="Y566" i="2" a="1"/>
  <c r="Y566" i="2" s="1"/>
  <c r="Y567" i="2" a="1"/>
  <c r="Y567" i="2" s="1"/>
  <c r="Y568" i="2" a="1"/>
  <c r="Y568" i="2" s="1"/>
  <c r="Y569" i="2" a="1"/>
  <c r="Y569" i="2" s="1"/>
  <c r="Y570" i="2" a="1"/>
  <c r="Y570" i="2" s="1"/>
  <c r="Y571" i="2" a="1"/>
  <c r="Y571" i="2" s="1"/>
  <c r="Y572" i="2" a="1"/>
  <c r="Y572" i="2" s="1"/>
  <c r="Y573" i="2" a="1"/>
  <c r="Y573" i="2" s="1"/>
  <c r="Y574" i="2" a="1"/>
  <c r="Y574" i="2" s="1"/>
  <c r="Y575" i="2" a="1"/>
  <c r="Y575" i="2" s="1"/>
  <c r="Y576" i="2" a="1"/>
  <c r="Y576" i="2" s="1"/>
  <c r="Y577" i="2" a="1"/>
  <c r="Y577" i="2" s="1"/>
  <c r="Y578" i="2" a="1"/>
  <c r="Y578" i="2" s="1"/>
  <c r="Y579" i="2" a="1"/>
  <c r="Y579" i="2" s="1"/>
  <c r="Y580" i="2" a="1"/>
  <c r="Y580" i="2" s="1"/>
  <c r="Y581" i="2" a="1"/>
  <c r="Y581" i="2" s="1"/>
  <c r="Y582" i="2" a="1"/>
  <c r="Y582" i="2" s="1"/>
  <c r="Y583" i="2" a="1"/>
  <c r="Y583" i="2" s="1"/>
  <c r="Y584" i="2" a="1"/>
  <c r="Y584" i="2" s="1"/>
  <c r="Y585" i="2" a="1"/>
  <c r="Y585" i="2" s="1"/>
  <c r="Y586" i="2" a="1"/>
  <c r="Y586" i="2" s="1"/>
  <c r="Y587" i="2" a="1"/>
  <c r="Y587" i="2" s="1"/>
  <c r="Y588" i="2" a="1"/>
  <c r="Y588" i="2" s="1"/>
  <c r="Y589" i="2" a="1"/>
  <c r="Y589" i="2" s="1"/>
  <c r="Y590" i="2" a="1"/>
  <c r="Y590" i="2" s="1"/>
  <c r="Y591" i="2" a="1"/>
  <c r="Y591" i="2" s="1"/>
  <c r="Y592" i="2" a="1"/>
  <c r="Y592" i="2" s="1"/>
  <c r="Y593" i="2" a="1"/>
  <c r="Y593" i="2" s="1"/>
  <c r="Y594" i="2" a="1"/>
  <c r="Y594" i="2" s="1"/>
  <c r="Y595" i="2" a="1"/>
  <c r="Y595" i="2" s="1"/>
  <c r="Y596" i="2" a="1"/>
  <c r="Y596" i="2" s="1"/>
  <c r="Y597" i="2" a="1"/>
  <c r="Y597" i="2" s="1"/>
  <c r="Y598" i="2" a="1"/>
  <c r="Y598" i="2" s="1"/>
  <c r="Y599" i="2" a="1"/>
  <c r="Y599" i="2" s="1"/>
  <c r="Y600" i="2" a="1"/>
  <c r="Y600" i="2" s="1"/>
  <c r="Y601" i="2" a="1"/>
  <c r="Y601" i="2" s="1"/>
  <c r="Y602" i="2" a="1"/>
  <c r="Y602" i="2" s="1"/>
  <c r="Y603" i="2" a="1"/>
  <c r="Y603" i="2" s="1"/>
  <c r="Y604" i="2" a="1"/>
  <c r="Y604" i="2" s="1"/>
  <c r="Y605" i="2" a="1"/>
  <c r="Y605" i="2" s="1"/>
  <c r="Y606" i="2" a="1"/>
  <c r="Y606" i="2" s="1"/>
  <c r="Y607" i="2" a="1"/>
  <c r="Y607" i="2" s="1"/>
  <c r="Y608" i="2" a="1"/>
  <c r="Y608" i="2" s="1"/>
  <c r="Y609" i="2" a="1"/>
  <c r="Y609" i="2" s="1"/>
  <c r="Y610" i="2" a="1"/>
  <c r="Y610" i="2" s="1"/>
  <c r="Y611" i="2" a="1"/>
  <c r="Y611" i="2" s="1"/>
  <c r="Y612" i="2" a="1"/>
  <c r="Y612" i="2" s="1"/>
  <c r="Y613" i="2" a="1"/>
  <c r="Y613" i="2" s="1"/>
  <c r="Y614" i="2" a="1"/>
  <c r="Y614" i="2" s="1"/>
  <c r="Y615" i="2" a="1"/>
  <c r="Y615" i="2" s="1"/>
  <c r="Y616" i="2" a="1"/>
  <c r="Y616" i="2" s="1"/>
  <c r="Y617" i="2" a="1"/>
  <c r="Y617" i="2" s="1"/>
  <c r="Y618" i="2" a="1"/>
  <c r="Y618" i="2" s="1"/>
  <c r="Y619" i="2" a="1"/>
  <c r="Y619" i="2" s="1"/>
  <c r="Y620" i="2" a="1"/>
  <c r="Y620" i="2" s="1"/>
  <c r="Y621" i="2" a="1"/>
  <c r="Y621" i="2" s="1"/>
  <c r="Y622" i="2" a="1"/>
  <c r="Y622" i="2" s="1"/>
  <c r="Y623" i="2" a="1"/>
  <c r="Y623" i="2" s="1"/>
  <c r="Y624" i="2" a="1"/>
  <c r="Y624" i="2" s="1"/>
  <c r="Y625" i="2" a="1"/>
  <c r="Y625" i="2" s="1"/>
  <c r="Y626" i="2" a="1"/>
  <c r="Y626" i="2" s="1"/>
  <c r="Y627" i="2" a="1"/>
  <c r="Y627" i="2" s="1"/>
  <c r="Y628" i="2" a="1"/>
  <c r="Y628" i="2" s="1"/>
  <c r="Y629" i="2" a="1"/>
  <c r="Y629" i="2" s="1"/>
  <c r="Y630" i="2" a="1"/>
  <c r="Y630" i="2" s="1"/>
  <c r="Y631" i="2" a="1"/>
  <c r="Y631" i="2" s="1"/>
  <c r="Y632" i="2" a="1"/>
  <c r="Y632" i="2" s="1"/>
  <c r="Y633" i="2" a="1"/>
  <c r="Y633" i="2" s="1"/>
  <c r="Y634" i="2" a="1"/>
  <c r="Y634" i="2" s="1"/>
  <c r="Y635" i="2" a="1"/>
  <c r="Y635" i="2" s="1"/>
  <c r="Y636" i="2" a="1"/>
  <c r="Y636" i="2" s="1"/>
  <c r="Y637" i="2" a="1"/>
  <c r="Y637" i="2" s="1"/>
  <c r="Y638" i="2" a="1"/>
  <c r="Y638" i="2" s="1"/>
  <c r="Y639" i="2" a="1"/>
  <c r="Y639" i="2" s="1"/>
  <c r="Y640" i="2" a="1"/>
  <c r="Y640" i="2" s="1"/>
  <c r="Y641" i="2" a="1"/>
  <c r="Y641" i="2" s="1"/>
  <c r="Y642" i="2" a="1"/>
  <c r="Y642" i="2" s="1"/>
  <c r="Y643" i="2" a="1"/>
  <c r="Y643" i="2" s="1"/>
  <c r="Y644" i="2" a="1"/>
  <c r="Y644" i="2" s="1"/>
  <c r="Y645" i="2" a="1"/>
  <c r="Y645" i="2" s="1"/>
  <c r="Y646" i="2" a="1"/>
  <c r="Y646" i="2" s="1"/>
  <c r="Y647" i="2" a="1"/>
  <c r="Y647" i="2" s="1"/>
  <c r="Y648" i="2" a="1"/>
  <c r="Y648" i="2" s="1"/>
  <c r="Y649" i="2" a="1"/>
  <c r="Y649" i="2" s="1"/>
  <c r="Y650" i="2" a="1"/>
  <c r="Y650" i="2" s="1"/>
  <c r="Y651" i="2" a="1"/>
  <c r="Y651" i="2" s="1"/>
  <c r="Y652" i="2" a="1"/>
  <c r="Y652" i="2" s="1"/>
  <c r="Y653" i="2" a="1"/>
  <c r="Y653" i="2" s="1"/>
  <c r="Y654" i="2" a="1"/>
  <c r="Y654" i="2" s="1"/>
  <c r="Y655" i="2" a="1"/>
  <c r="Y655" i="2" s="1"/>
  <c r="Y656" i="2" a="1"/>
  <c r="Y656" i="2" s="1"/>
  <c r="Y657" i="2" a="1"/>
  <c r="Y657" i="2" s="1"/>
  <c r="Y658" i="2" a="1"/>
  <c r="Y658" i="2" s="1"/>
  <c r="Y659" i="2" a="1"/>
  <c r="Y659" i="2" s="1"/>
  <c r="Y660" i="2" a="1"/>
  <c r="Y660" i="2" s="1"/>
  <c r="Y661" i="2" a="1"/>
  <c r="Y661" i="2" s="1"/>
  <c r="Y662" i="2" a="1"/>
  <c r="Y662" i="2" s="1"/>
  <c r="Y663" i="2" a="1"/>
  <c r="Y663" i="2" s="1"/>
  <c r="Y664" i="2" a="1"/>
  <c r="Y664" i="2" s="1"/>
  <c r="Y665" i="2" a="1"/>
  <c r="Y665" i="2" s="1"/>
  <c r="Y666" i="2" a="1"/>
  <c r="Y666" i="2" s="1"/>
  <c r="Y667" i="2" a="1"/>
  <c r="Y667" i="2" s="1"/>
  <c r="Y668" i="2" a="1"/>
  <c r="Y668" i="2" s="1"/>
  <c r="Y669" i="2" a="1"/>
  <c r="Y669" i="2" s="1"/>
  <c r="Y670" i="2" a="1"/>
  <c r="Y670" i="2" s="1"/>
  <c r="Y671" i="2" a="1"/>
  <c r="Y671" i="2" s="1"/>
  <c r="Y672" i="2" a="1"/>
  <c r="Y672" i="2" s="1"/>
  <c r="Y673" i="2" a="1"/>
  <c r="Y673" i="2" s="1"/>
  <c r="Y674" i="2" a="1"/>
  <c r="Y674" i="2" s="1"/>
  <c r="Y675" i="2" a="1"/>
  <c r="Y675" i="2" s="1"/>
  <c r="Y676" i="2" a="1"/>
  <c r="Y676" i="2" s="1"/>
  <c r="Y677" i="2" a="1"/>
  <c r="Y677" i="2" s="1"/>
  <c r="Y678" i="2" a="1"/>
  <c r="Y678" i="2" s="1"/>
  <c r="Y679" i="2" a="1"/>
  <c r="Y679" i="2" s="1"/>
  <c r="Y680" i="2" a="1"/>
  <c r="Y680" i="2" s="1"/>
  <c r="Y681" i="2" a="1"/>
  <c r="Y681" i="2" s="1"/>
  <c r="Y682" i="2" a="1"/>
  <c r="Y682" i="2" s="1"/>
  <c r="Y683" i="2" a="1"/>
  <c r="Y683" i="2" s="1"/>
  <c r="Y684" i="2" a="1"/>
  <c r="Y684" i="2" s="1"/>
  <c r="Y685" i="2" a="1"/>
  <c r="Y685" i="2" s="1"/>
  <c r="Y686" i="2" a="1"/>
  <c r="Y686" i="2" s="1"/>
  <c r="Y687" i="2" a="1"/>
  <c r="Y687" i="2" s="1"/>
  <c r="Y688" i="2" a="1"/>
  <c r="Y688" i="2" s="1"/>
  <c r="Y689" i="2" a="1"/>
  <c r="Y689" i="2" s="1"/>
  <c r="Y690" i="2" a="1"/>
  <c r="Y690" i="2" s="1"/>
  <c r="Y691" i="2" a="1"/>
  <c r="Y691" i="2" s="1"/>
  <c r="Y692" i="2" a="1"/>
  <c r="Y692" i="2" s="1"/>
  <c r="Y693" i="2" a="1"/>
  <c r="Y693" i="2" s="1"/>
  <c r="Y694" i="2" a="1"/>
  <c r="Y694" i="2" s="1"/>
  <c r="Y695" i="2" a="1"/>
  <c r="Y695" i="2" s="1"/>
  <c r="Y696" i="2" a="1"/>
  <c r="Y696" i="2" s="1"/>
  <c r="Y697" i="2" a="1"/>
  <c r="Y697" i="2" s="1"/>
  <c r="Y698" i="2" a="1"/>
  <c r="Y698" i="2" s="1"/>
  <c r="Y699" i="2" a="1"/>
  <c r="Y699" i="2" s="1"/>
  <c r="Y700" i="2" a="1"/>
  <c r="Y700" i="2" s="1"/>
  <c r="Y701" i="2" a="1"/>
  <c r="Y701" i="2" s="1"/>
  <c r="Y702" i="2" a="1"/>
  <c r="Y702" i="2" s="1"/>
  <c r="Y703" i="2" a="1"/>
  <c r="Y703" i="2" s="1"/>
  <c r="Y704" i="2" a="1"/>
  <c r="Y704" i="2" s="1"/>
  <c r="Y705" i="2" a="1"/>
  <c r="Y705" i="2" s="1"/>
  <c r="Y706" i="2" a="1"/>
  <c r="Y706" i="2" s="1"/>
  <c r="Y707" i="2" a="1"/>
  <c r="Y707" i="2" s="1"/>
  <c r="Y708" i="2" a="1"/>
  <c r="Y708" i="2" s="1"/>
  <c r="Y709" i="2" a="1"/>
  <c r="Y709" i="2" s="1"/>
  <c r="Y710" i="2" a="1"/>
  <c r="Y710" i="2" s="1"/>
  <c r="Y711" i="2" a="1"/>
  <c r="Y711" i="2" s="1"/>
  <c r="Y712" i="2" a="1"/>
  <c r="Y712" i="2" s="1"/>
  <c r="Y713" i="2" a="1"/>
  <c r="Y713" i="2" s="1"/>
  <c r="Y714" i="2" a="1"/>
  <c r="Y714" i="2" s="1"/>
  <c r="Y715" i="2" a="1"/>
  <c r="Y715" i="2" s="1"/>
  <c r="Y716" i="2" a="1"/>
  <c r="Y716" i="2" s="1"/>
  <c r="Y717" i="2" a="1"/>
  <c r="Y717" i="2" s="1"/>
  <c r="Y718" i="2" a="1"/>
  <c r="Y718" i="2" s="1"/>
  <c r="Y719" i="2" a="1"/>
  <c r="Y719" i="2" s="1"/>
  <c r="Y720" i="2" a="1"/>
  <c r="Y720" i="2" s="1"/>
  <c r="Y721" i="2" a="1"/>
  <c r="Y721" i="2" s="1"/>
  <c r="Y722" i="2" a="1"/>
  <c r="Y722" i="2" s="1"/>
  <c r="Y723" i="2" a="1"/>
  <c r="Y723" i="2" s="1"/>
  <c r="Y724" i="2" a="1"/>
  <c r="Y724" i="2" s="1"/>
  <c r="Y725" i="2" a="1"/>
  <c r="Y725" i="2" s="1"/>
  <c r="Y726" i="2" a="1"/>
  <c r="Y726" i="2" s="1"/>
  <c r="Y727" i="2" a="1"/>
  <c r="Y727" i="2" s="1"/>
  <c r="Y728" i="2" a="1"/>
  <c r="Y728" i="2" s="1"/>
  <c r="Y729" i="2" a="1"/>
  <c r="Y729" i="2" s="1"/>
  <c r="Y730" i="2" a="1"/>
  <c r="Y730" i="2" s="1"/>
  <c r="Y731" i="2" a="1"/>
  <c r="Y731" i="2" s="1"/>
  <c r="Y732" i="2" a="1"/>
  <c r="Y732" i="2" s="1"/>
  <c r="Y733" i="2" a="1"/>
  <c r="Y733" i="2" s="1"/>
  <c r="Y734" i="2" a="1"/>
  <c r="Y734" i="2" s="1"/>
  <c r="Y735" i="2" a="1"/>
  <c r="Y735" i="2" s="1"/>
  <c r="Y736" i="2" a="1"/>
  <c r="Y736" i="2" s="1"/>
  <c r="Y737" i="2" a="1"/>
  <c r="Y737" i="2" s="1"/>
  <c r="Y738" i="2" a="1"/>
  <c r="Y738" i="2" s="1"/>
  <c r="Y739" i="2" a="1"/>
  <c r="Y739" i="2" s="1"/>
  <c r="Y740" i="2" a="1"/>
  <c r="Y740" i="2" s="1"/>
  <c r="Y741" i="2" a="1"/>
  <c r="Y741" i="2" s="1"/>
  <c r="Y742" i="2" a="1"/>
  <c r="Y742" i="2" s="1"/>
  <c r="Y743" i="2" a="1"/>
  <c r="Y743" i="2" s="1"/>
  <c r="Y744" i="2" a="1"/>
  <c r="Y744" i="2" s="1"/>
  <c r="Y745" i="2" a="1"/>
  <c r="Y745" i="2" s="1"/>
  <c r="Y746" i="2" a="1"/>
  <c r="Y746" i="2" s="1"/>
  <c r="Y747" i="2" a="1"/>
  <c r="Y747" i="2" s="1"/>
  <c r="Y748" i="2" a="1"/>
  <c r="Y748" i="2" s="1"/>
  <c r="Y749" i="2" a="1"/>
  <c r="Y749" i="2" s="1"/>
  <c r="Y750" i="2" a="1"/>
  <c r="Y750" i="2" s="1"/>
  <c r="Y751" i="2" a="1"/>
  <c r="Y751" i="2"/>
  <c r="Y752" i="2" a="1"/>
  <c r="Y752" i="2" s="1"/>
  <c r="Y753" i="2" a="1"/>
  <c r="Y753" i="2"/>
  <c r="Y754" i="2" a="1"/>
  <c r="Y754" i="2" s="1"/>
  <c r="Y755" i="2" a="1"/>
  <c r="Y755" i="2" s="1"/>
  <c r="Y756" i="2" a="1"/>
  <c r="Y756" i="2" s="1"/>
  <c r="Y757" i="2" a="1"/>
  <c r="Y757" i="2" s="1"/>
  <c r="Y758" i="2" a="1"/>
  <c r="Y758" i="2" s="1"/>
  <c r="Y759" i="2" a="1"/>
  <c r="Y759" i="2" s="1"/>
  <c r="Y760" i="2" a="1"/>
  <c r="Y760" i="2" s="1"/>
  <c r="Y761" i="2" a="1"/>
  <c r="Y761" i="2" s="1"/>
  <c r="Y762" i="2" a="1"/>
  <c r="Y762" i="2" s="1"/>
  <c r="Y763" i="2" a="1"/>
  <c r="Y763" i="2" s="1"/>
  <c r="Y764" i="2" a="1"/>
  <c r="Y764" i="2" s="1"/>
  <c r="Y765" i="2" a="1"/>
  <c r="Y765" i="2" s="1"/>
  <c r="Y766" i="2" a="1"/>
  <c r="Y766" i="2" s="1"/>
  <c r="Y767" i="2" a="1"/>
  <c r="Y767" i="2" s="1"/>
  <c r="Y768" i="2" a="1"/>
  <c r="Y768" i="2" s="1"/>
  <c r="Y769" i="2" a="1"/>
  <c r="Y769" i="2" s="1"/>
  <c r="Y770" i="2" a="1"/>
  <c r="Y770" i="2" s="1"/>
  <c r="Y771" i="2" a="1"/>
  <c r="Y771" i="2" s="1"/>
  <c r="Y772" i="2" a="1"/>
  <c r="Y772" i="2" s="1"/>
  <c r="Y773" i="2" a="1"/>
  <c r="Y773" i="2" s="1"/>
  <c r="Y774" i="2" a="1"/>
  <c r="Y774" i="2" s="1"/>
  <c r="Y775" i="2" a="1"/>
  <c r="Y775" i="2" s="1"/>
  <c r="Y776" i="2" a="1"/>
  <c r="Y776" i="2" s="1"/>
  <c r="Y777" i="2" a="1"/>
  <c r="Y777" i="2" s="1"/>
  <c r="Y778" i="2" a="1"/>
  <c r="Y778" i="2" s="1"/>
  <c r="Y779" i="2" a="1"/>
  <c r="Y779" i="2" s="1"/>
  <c r="Y780" i="2" a="1"/>
  <c r="Y780" i="2" s="1"/>
  <c r="Y781" i="2" a="1"/>
  <c r="Y781" i="2" s="1"/>
  <c r="Y782" i="2" a="1"/>
  <c r="Y782" i="2" s="1"/>
  <c r="Y783" i="2" a="1"/>
  <c r="Y783" i="2" s="1"/>
  <c r="Y784" i="2" a="1"/>
  <c r="Y784" i="2" s="1"/>
  <c r="Y785" i="2" a="1"/>
  <c r="Y785" i="2" s="1"/>
  <c r="Y786" i="2" a="1"/>
  <c r="Y786" i="2" s="1"/>
  <c r="Y787" i="2" a="1"/>
  <c r="Y787" i="2" s="1"/>
  <c r="Y788" i="2" a="1"/>
  <c r="Y788" i="2" s="1"/>
  <c r="Y789" i="2" a="1"/>
  <c r="Y789" i="2" s="1"/>
  <c r="Y790" i="2" a="1"/>
  <c r="Y790" i="2" s="1"/>
  <c r="Y791" i="2" a="1"/>
  <c r="Y791" i="2" s="1"/>
  <c r="Y792" i="2" a="1"/>
  <c r="Y792" i="2" s="1"/>
  <c r="Y793" i="2" a="1"/>
  <c r="Y793" i="2" s="1"/>
  <c r="Y794" i="2" a="1"/>
  <c r="Y794" i="2" s="1"/>
  <c r="Y795" i="2" a="1"/>
  <c r="Y795" i="2" s="1"/>
  <c r="Y796" i="2" a="1"/>
  <c r="Y796" i="2" s="1"/>
  <c r="Y797" i="2" a="1"/>
  <c r="Y797" i="2" s="1"/>
  <c r="Y798" i="2" a="1"/>
  <c r="Y798" i="2" s="1"/>
  <c r="Y799" i="2" a="1"/>
  <c r="Y799" i="2" s="1"/>
  <c r="Y800" i="2" a="1"/>
  <c r="Y800" i="2" s="1"/>
  <c r="Y801" i="2" a="1"/>
  <c r="Y801" i="2" s="1"/>
  <c r="Y802" i="2" a="1"/>
  <c r="Y802" i="2" s="1"/>
  <c r="Y803" i="2" a="1"/>
  <c r="Y803" i="2" s="1"/>
  <c r="Y804" i="2" a="1"/>
  <c r="Y804" i="2" s="1"/>
  <c r="Y805" i="2" a="1"/>
  <c r="Y805" i="2" s="1"/>
  <c r="Y806" i="2" a="1"/>
  <c r="Y806" i="2" s="1"/>
  <c r="Y807" i="2" a="1"/>
  <c r="Y807" i="2" s="1"/>
  <c r="Y808" i="2" a="1"/>
  <c r="Y808" i="2" s="1"/>
  <c r="Y809" i="2" a="1"/>
  <c r="Y809" i="2" s="1"/>
  <c r="Y810" i="2" a="1"/>
  <c r="Y810" i="2" s="1"/>
  <c r="Y811" i="2" a="1"/>
  <c r="Y811" i="2" s="1"/>
  <c r="Y812" i="2" a="1"/>
  <c r="Y812" i="2" s="1"/>
  <c r="Y813" i="2" a="1"/>
  <c r="Y813" i="2" s="1"/>
  <c r="Y814" i="2" a="1"/>
  <c r="Y814" i="2" s="1"/>
  <c r="Y815" i="2" a="1"/>
  <c r="Y815" i="2" s="1"/>
  <c r="Y816" i="2" a="1"/>
  <c r="Y816" i="2" s="1"/>
  <c r="Y817" i="2" a="1"/>
  <c r="Y817" i="2" s="1"/>
  <c r="Y818" i="2" a="1"/>
  <c r="Y818" i="2" s="1"/>
  <c r="Y819" i="2" a="1"/>
  <c r="Y819" i="2" s="1"/>
  <c r="Y820" i="2" a="1"/>
  <c r="Y820" i="2" s="1"/>
  <c r="Y821" i="2" a="1"/>
  <c r="Y821" i="2" s="1"/>
  <c r="Y822" i="2" a="1"/>
  <c r="Y822" i="2" s="1"/>
  <c r="Y823" i="2" a="1"/>
  <c r="Y823" i="2" s="1"/>
  <c r="Y824" i="2" a="1"/>
  <c r="Y824" i="2" s="1"/>
  <c r="Y825" i="2" a="1"/>
  <c r="Y825" i="2" s="1"/>
  <c r="Y826" i="2" a="1"/>
  <c r="Y826" i="2" s="1"/>
  <c r="Y827" i="2" a="1"/>
  <c r="Y827" i="2" s="1"/>
  <c r="Y828" i="2" a="1"/>
  <c r="Y828" i="2" s="1"/>
  <c r="Y829" i="2" a="1"/>
  <c r="Y829" i="2" s="1"/>
  <c r="Y830" i="2" a="1"/>
  <c r="Y830" i="2" s="1"/>
  <c r="Y831" i="2" a="1"/>
  <c r="Y831" i="2" s="1"/>
  <c r="Y832" i="2" a="1"/>
  <c r="Y832" i="2" s="1"/>
  <c r="Y833" i="2" a="1"/>
  <c r="Y833" i="2" s="1"/>
  <c r="Y834" i="2" a="1"/>
  <c r="Y834" i="2" s="1"/>
  <c r="Y835" i="2" a="1"/>
  <c r="Y835" i="2" s="1"/>
  <c r="Y836" i="2" a="1"/>
  <c r="Y836" i="2" s="1"/>
  <c r="Y837" i="2" a="1"/>
  <c r="Y837" i="2" s="1"/>
  <c r="Y838" i="2" a="1"/>
  <c r="Y838" i="2" s="1"/>
  <c r="Y839" i="2" a="1"/>
  <c r="Y839" i="2" s="1"/>
  <c r="Y840" i="2" a="1"/>
  <c r="Y840" i="2" s="1"/>
  <c r="Y841" i="2" a="1"/>
  <c r="Y841" i="2" s="1"/>
  <c r="Y842" i="2" a="1"/>
  <c r="Y842" i="2" s="1"/>
  <c r="Y843" i="2" a="1"/>
  <c r="Y843" i="2" s="1"/>
  <c r="Y844" i="2" a="1"/>
  <c r="Y844" i="2" s="1"/>
  <c r="Y845" i="2" a="1"/>
  <c r="Y845" i="2" s="1"/>
  <c r="Y846" i="2" a="1"/>
  <c r="Y846" i="2" s="1"/>
  <c r="Y847" i="2" a="1"/>
  <c r="Y847" i="2" s="1"/>
  <c r="Y848" i="2" a="1"/>
  <c r="Y848" i="2" s="1"/>
  <c r="Y849" i="2" a="1"/>
  <c r="Y849" i="2" s="1"/>
  <c r="Y850" i="2" a="1"/>
  <c r="Y850" i="2" s="1"/>
  <c r="Y851" i="2" a="1"/>
  <c r="Y851" i="2" s="1"/>
  <c r="Y852" i="2" a="1"/>
  <c r="Y852" i="2" s="1"/>
  <c r="Y853" i="2" a="1"/>
  <c r="Y853" i="2" s="1"/>
  <c r="Y854" i="2" a="1"/>
  <c r="Y854" i="2" s="1"/>
  <c r="Y855" i="2" a="1"/>
  <c r="Y855" i="2" s="1"/>
  <c r="Y856" i="2" a="1"/>
  <c r="Y856" i="2" s="1"/>
  <c r="Y857" i="2" a="1"/>
  <c r="Y857" i="2" s="1"/>
  <c r="Y858" i="2" a="1"/>
  <c r="Y858" i="2" s="1"/>
  <c r="Y859" i="2" a="1"/>
  <c r="Y859" i="2" s="1"/>
  <c r="Y860" i="2" a="1"/>
  <c r="Y860" i="2" s="1"/>
  <c r="Y861" i="2" a="1"/>
  <c r="Y861" i="2" s="1"/>
  <c r="Y862" i="2" a="1"/>
  <c r="Y862" i="2" s="1"/>
  <c r="Y863" i="2" a="1"/>
  <c r="Y863" i="2" s="1"/>
  <c r="Y864" i="2" a="1"/>
  <c r="Y864" i="2" s="1"/>
  <c r="Y865" i="2" a="1"/>
  <c r="Y865" i="2" s="1"/>
  <c r="Y866" i="2" a="1"/>
  <c r="Y866" i="2" s="1"/>
  <c r="Y867" i="2" a="1"/>
  <c r="Y867" i="2" s="1"/>
  <c r="Y868" i="2" a="1"/>
  <c r="Y868" i="2" s="1"/>
  <c r="Y869" i="2" a="1"/>
  <c r="Y869" i="2" s="1"/>
  <c r="Y870" i="2" a="1"/>
  <c r="Y870" i="2" s="1"/>
  <c r="Y871" i="2" a="1"/>
  <c r="Y871" i="2" s="1"/>
  <c r="Y872" i="2" a="1"/>
  <c r="Y872" i="2" s="1"/>
  <c r="Y873" i="2" a="1"/>
  <c r="Y873" i="2" s="1"/>
  <c r="Y874" i="2" a="1"/>
  <c r="Y874" i="2" s="1"/>
  <c r="Y875" i="2" a="1"/>
  <c r="Y875" i="2" s="1"/>
  <c r="Y876" i="2" a="1"/>
  <c r="Y876" i="2" s="1"/>
  <c r="Y877" i="2" a="1"/>
  <c r="Y877" i="2" s="1"/>
  <c r="Y878" i="2" a="1"/>
  <c r="Y878" i="2" s="1"/>
  <c r="Y879" i="2" a="1"/>
  <c r="Y879" i="2" s="1"/>
  <c r="Y880" i="2" a="1"/>
  <c r="Y880" i="2" s="1"/>
  <c r="Y881" i="2" a="1"/>
  <c r="Y881" i="2" s="1"/>
  <c r="Y882" i="2" a="1"/>
  <c r="Y882" i="2" s="1"/>
  <c r="Y883" i="2" a="1"/>
  <c r="Y883" i="2" s="1"/>
  <c r="Y884" i="2" a="1"/>
  <c r="Y884" i="2" s="1"/>
  <c r="Y885" i="2" a="1"/>
  <c r="Y885" i="2" s="1"/>
  <c r="Y886" i="2" a="1"/>
  <c r="Y886" i="2" s="1"/>
  <c r="Y887" i="2" a="1"/>
  <c r="Y887" i="2" s="1"/>
  <c r="Y888" i="2" a="1"/>
  <c r="Y888" i="2" s="1"/>
  <c r="Y889" i="2" a="1"/>
  <c r="Y889" i="2" s="1"/>
  <c r="Y890" i="2" a="1"/>
  <c r="Y890" i="2" s="1"/>
  <c r="Y891" i="2" a="1"/>
  <c r="Y891" i="2" s="1"/>
  <c r="Y892" i="2" a="1"/>
  <c r="Y892" i="2" s="1"/>
  <c r="Y893" i="2" a="1"/>
  <c r="Y893" i="2" s="1"/>
  <c r="Y894" i="2" a="1"/>
  <c r="Y894" i="2" s="1"/>
  <c r="Y895" i="2" a="1"/>
  <c r="Y895" i="2" s="1"/>
  <c r="Y896" i="2" a="1"/>
  <c r="Y896" i="2" s="1"/>
  <c r="Y897" i="2" a="1"/>
  <c r="Y897" i="2" s="1"/>
  <c r="Y898" i="2" a="1"/>
  <c r="Y898" i="2" s="1"/>
  <c r="Y899" i="2" a="1"/>
  <c r="Y899" i="2" s="1"/>
  <c r="Y900" i="2" a="1"/>
  <c r="Y900" i="2" s="1"/>
  <c r="Y901" i="2" a="1"/>
  <c r="Y901" i="2" s="1"/>
  <c r="Y902" i="2" a="1"/>
  <c r="Y902" i="2" s="1"/>
  <c r="Y903" i="2" a="1"/>
  <c r="Y903" i="2" s="1"/>
  <c r="Y904" i="2" a="1"/>
  <c r="Y904" i="2" s="1"/>
  <c r="Y905" i="2" a="1"/>
  <c r="Y905" i="2" s="1"/>
  <c r="Y906" i="2" a="1"/>
  <c r="Y906" i="2" s="1"/>
  <c r="Y907" i="2" a="1"/>
  <c r="Y907" i="2" s="1"/>
  <c r="Y908" i="2" a="1"/>
  <c r="Y908" i="2" s="1"/>
  <c r="Y909" i="2" a="1"/>
  <c r="Y909" i="2" s="1"/>
  <c r="Y910" i="2" a="1"/>
  <c r="Y910" i="2" s="1"/>
  <c r="Y911" i="2" a="1"/>
  <c r="Y911" i="2" s="1"/>
  <c r="Y912" i="2" a="1"/>
  <c r="Y912" i="2" s="1"/>
  <c r="Y913" i="2" a="1"/>
  <c r="Y913" i="2" s="1"/>
  <c r="Y914" i="2" a="1"/>
  <c r="Y914" i="2" s="1"/>
  <c r="Y915" i="2" a="1"/>
  <c r="Y915" i="2" s="1"/>
  <c r="Y916" i="2" a="1"/>
  <c r="Y916" i="2" s="1"/>
  <c r="Y917" i="2" a="1"/>
  <c r="Y917" i="2" s="1"/>
  <c r="Y918" i="2" a="1"/>
  <c r="Y918" i="2" s="1"/>
  <c r="Y919" i="2" a="1"/>
  <c r="Y919" i="2" s="1"/>
  <c r="Y920" i="2" a="1"/>
  <c r="Y920" i="2" s="1"/>
  <c r="Y921" i="2" a="1"/>
  <c r="Y921" i="2" s="1"/>
  <c r="Y922" i="2" a="1"/>
  <c r="Y922" i="2" s="1"/>
  <c r="Y923" i="2" a="1"/>
  <c r="Y923" i="2" s="1"/>
  <c r="Y924" i="2" a="1"/>
  <c r="Y924" i="2" s="1"/>
  <c r="Y925" i="2" a="1"/>
  <c r="Y925" i="2"/>
  <c r="Y926" i="2" a="1"/>
  <c r="Y926" i="2" s="1"/>
  <c r="Y927" i="2" a="1"/>
  <c r="Y927" i="2"/>
  <c r="Y928" i="2" a="1"/>
  <c r="Y928" i="2" s="1"/>
  <c r="Y929" i="2" a="1"/>
  <c r="Y929" i="2" s="1"/>
  <c r="Y930" i="2" a="1"/>
  <c r="Y930" i="2" s="1"/>
  <c r="Y931" i="2" a="1"/>
  <c r="Y931" i="2" s="1"/>
  <c r="Y932" i="2" a="1"/>
  <c r="Y932" i="2" s="1"/>
  <c r="Y933" i="2" a="1"/>
  <c r="Y933" i="2" s="1"/>
  <c r="Y934" i="2" a="1"/>
  <c r="Y934" i="2" s="1"/>
  <c r="Y935" i="2" a="1"/>
  <c r="Y935" i="2" s="1"/>
  <c r="Y936" i="2" a="1"/>
  <c r="Y936" i="2" s="1"/>
  <c r="Y937" i="2" a="1"/>
  <c r="Y937" i="2" s="1"/>
  <c r="Y938" i="2" a="1"/>
  <c r="Y938" i="2" s="1"/>
  <c r="Y939" i="2" a="1"/>
  <c r="Y939" i="2" s="1"/>
  <c r="Y940" i="2" a="1"/>
  <c r="Y940" i="2" s="1"/>
  <c r="Y941" i="2" a="1"/>
  <c r="Y941" i="2" s="1"/>
  <c r="Y942" i="2" a="1"/>
  <c r="Y942" i="2" s="1"/>
  <c r="Y943" i="2" a="1"/>
  <c r="Y943" i="2" s="1"/>
  <c r="Y944" i="2" a="1"/>
  <c r="Y944" i="2" s="1"/>
  <c r="Y945" i="2" a="1"/>
  <c r="Y945" i="2" s="1"/>
  <c r="Y946" i="2" a="1"/>
  <c r="Y946" i="2" s="1"/>
  <c r="Y947" i="2" a="1"/>
  <c r="Y947" i="2" s="1"/>
  <c r="Y948" i="2" a="1"/>
  <c r="Y948" i="2" s="1"/>
  <c r="Y949" i="2" a="1"/>
  <c r="Y949" i="2" s="1"/>
  <c r="Y950" i="2" a="1"/>
  <c r="Y950" i="2" s="1"/>
  <c r="Y951" i="2" a="1"/>
  <c r="Y951" i="2" s="1"/>
  <c r="Y952" i="2" a="1"/>
  <c r="Y952" i="2" s="1"/>
  <c r="Y953" i="2" a="1"/>
  <c r="Y953" i="2" s="1"/>
  <c r="Y954" i="2" a="1"/>
  <c r="Y954" i="2" s="1"/>
  <c r="Y955" i="2" a="1"/>
  <c r="Y955" i="2" s="1"/>
  <c r="Y956" i="2" a="1"/>
  <c r="Y956" i="2" s="1"/>
  <c r="Y957" i="2" a="1"/>
  <c r="Y957" i="2" s="1"/>
  <c r="Y958" i="2" a="1"/>
  <c r="Y958" i="2" s="1"/>
  <c r="Y959" i="2" a="1"/>
  <c r="Y959" i="2" s="1"/>
  <c r="Y960" i="2" a="1"/>
  <c r="Y960" i="2" s="1"/>
  <c r="Y961" i="2" a="1"/>
  <c r="Y961" i="2" s="1"/>
  <c r="Y962" i="2" a="1"/>
  <c r="Y962" i="2" s="1"/>
  <c r="Y963" i="2" a="1"/>
  <c r="Y963" i="2" s="1"/>
  <c r="Y964" i="2" a="1"/>
  <c r="Y964" i="2" s="1"/>
  <c r="Y965" i="2" a="1"/>
  <c r="Y965" i="2" s="1"/>
  <c r="Y966" i="2" a="1"/>
  <c r="Y966" i="2" s="1"/>
  <c r="Y967" i="2" a="1"/>
  <c r="Y967" i="2" s="1"/>
  <c r="Y968" i="2" a="1"/>
  <c r="Y968" i="2" s="1"/>
  <c r="Y969" i="2" a="1"/>
  <c r="Y969" i="2" s="1"/>
  <c r="Y970" i="2" a="1"/>
  <c r="Y970" i="2" s="1"/>
  <c r="Y971" i="2" a="1"/>
  <c r="Y971" i="2" s="1"/>
  <c r="Y972" i="2" a="1"/>
  <c r="Y972" i="2" s="1"/>
  <c r="Y973" i="2" a="1"/>
  <c r="Y973" i="2" s="1"/>
  <c r="Y974" i="2" a="1"/>
  <c r="Y974" i="2" s="1"/>
  <c r="Y975" i="2" a="1"/>
  <c r="Y975" i="2" s="1"/>
  <c r="Y976" i="2" a="1"/>
  <c r="Y976" i="2" s="1"/>
  <c r="Y977" i="2" a="1"/>
  <c r="Y977" i="2" s="1"/>
  <c r="Y978" i="2" a="1"/>
  <c r="Y978" i="2" s="1"/>
  <c r="Y979" i="2" a="1"/>
  <c r="Y979" i="2" s="1"/>
  <c r="Y980" i="2" a="1"/>
  <c r="Y980" i="2" s="1"/>
  <c r="Y981" i="2" a="1"/>
  <c r="Y981" i="2" s="1"/>
  <c r="Y982" i="2" a="1"/>
  <c r="Y982" i="2" s="1"/>
  <c r="Y983" i="2" a="1"/>
  <c r="Y983" i="2" s="1"/>
  <c r="Y984" i="2" a="1"/>
  <c r="Y984" i="2" s="1"/>
  <c r="Y985" i="2" a="1"/>
  <c r="Y985" i="2"/>
  <c r="Y986" i="2" a="1"/>
  <c r="Y986" i="2" s="1"/>
  <c r="Y987" i="2" a="1"/>
  <c r="Y987" i="2" s="1"/>
  <c r="Y988" i="2" a="1"/>
  <c r="Y988" i="2" s="1"/>
  <c r="Y989" i="2" a="1"/>
  <c r="Y989" i="2" s="1"/>
  <c r="Y990" i="2" a="1"/>
  <c r="Y990" i="2" s="1"/>
  <c r="Y991" i="2" a="1"/>
  <c r="Y991" i="2" s="1"/>
  <c r="Y992" i="2" a="1"/>
  <c r="Y992" i="2" s="1"/>
  <c r="Y993" i="2" a="1"/>
  <c r="Y993" i="2" s="1"/>
  <c r="Y994" i="2" a="1"/>
  <c r="Y994" i="2" s="1"/>
  <c r="Y995" i="2" a="1"/>
  <c r="Y995" i="2" s="1"/>
  <c r="Y996" i="2" a="1"/>
  <c r="Y996" i="2" s="1"/>
  <c r="Y997" i="2" a="1"/>
  <c r="Y997" i="2" s="1"/>
  <c r="Y998" i="2" a="1"/>
  <c r="Y998" i="2" s="1"/>
  <c r="Y999" i="2" a="1"/>
  <c r="Y999" i="2" s="1"/>
  <c r="Y1000" i="2" a="1"/>
  <c r="Y1000" i="2" s="1"/>
  <c r="Y1001" i="2" a="1"/>
  <c r="Y1001" i="2" s="1"/>
  <c r="Y1002" i="2" a="1"/>
  <c r="Y1002" i="2" s="1"/>
  <c r="Y1003" i="2" a="1"/>
  <c r="Y1003" i="2" s="1"/>
  <c r="Y1004" i="2" a="1"/>
  <c r="Y1004" i="2" s="1"/>
  <c r="Y1005" i="2" a="1"/>
  <c r="Y1005" i="2" s="1"/>
  <c r="Y1006" i="2" a="1"/>
  <c r="Y1006" i="2" s="1"/>
  <c r="Y1007" i="2" a="1"/>
  <c r="Y1007" i="2" s="1"/>
  <c r="Y1008" i="2" a="1"/>
  <c r="Y1008" i="2" s="1"/>
  <c r="Y1009" i="2" a="1"/>
  <c r="Y1009" i="2" s="1"/>
  <c r="Y1010" i="2" a="1"/>
  <c r="Y1010" i="2" s="1"/>
  <c r="Y1011" i="2" a="1"/>
  <c r="Y1011" i="2" s="1"/>
  <c r="Y1012" i="2" a="1"/>
  <c r="Y1012" i="2" s="1"/>
  <c r="Y1013" i="2" a="1"/>
  <c r="Y1013" i="2" s="1"/>
  <c r="Y1014" i="2" a="1"/>
  <c r="Y1014" i="2" s="1"/>
  <c r="Y1015" i="2" a="1"/>
  <c r="Y1015" i="2" s="1"/>
  <c r="Y1016" i="2" a="1"/>
  <c r="Y1016" i="2" s="1"/>
  <c r="Y1017" i="2" a="1"/>
  <c r="Y1017" i="2" s="1"/>
  <c r="Y1018" i="2" a="1"/>
  <c r="Y1018" i="2" s="1"/>
  <c r="Y1019" i="2" a="1"/>
  <c r="Y1019" i="2" s="1"/>
  <c r="Y1020" i="2" a="1"/>
  <c r="Y1020" i="2" s="1"/>
  <c r="Y1021" i="2" a="1"/>
  <c r="Y1021" i="2" s="1"/>
  <c r="Y1022" i="2" a="1"/>
  <c r="Y1022" i="2" s="1"/>
  <c r="Y1023" i="2" a="1"/>
  <c r="Y1023" i="2" s="1"/>
  <c r="Y1024" i="2" a="1"/>
  <c r="Y1024" i="2" s="1"/>
  <c r="Y1025" i="2" a="1"/>
  <c r="Y1025" i="2" s="1"/>
  <c r="Y1026" i="2" a="1"/>
  <c r="Y1026" i="2" s="1"/>
  <c r="Y1027" i="2" a="1"/>
  <c r="Y1027" i="2" s="1"/>
  <c r="Y1028" i="2" a="1"/>
  <c r="Y1028" i="2" s="1"/>
  <c r="Y1029" i="2" a="1"/>
  <c r="Y1029" i="2" s="1"/>
  <c r="Y1030" i="2" a="1"/>
  <c r="Y1030" i="2" s="1"/>
  <c r="Y1031" i="2" a="1"/>
  <c r="Y1031" i="2" s="1"/>
  <c r="Y1032" i="2" a="1"/>
  <c r="Y1032" i="2" s="1"/>
  <c r="Y1033" i="2" a="1"/>
  <c r="Y1033" i="2" s="1"/>
  <c r="Y1034" i="2" a="1"/>
  <c r="Y1034" i="2" s="1"/>
  <c r="Y1035" i="2" a="1"/>
  <c r="Y1035" i="2" s="1"/>
  <c r="Y1036" i="2" a="1"/>
  <c r="Y1036" i="2" s="1"/>
  <c r="Y1037" i="2" a="1"/>
  <c r="Y1037" i="2" s="1"/>
  <c r="Y1038" i="2" a="1"/>
  <c r="Y1038" i="2" s="1"/>
  <c r="Y1039" i="2" a="1"/>
  <c r="Y1039" i="2" s="1"/>
  <c r="Y1040" i="2" a="1"/>
  <c r="Y1040" i="2" s="1"/>
  <c r="Y1041" i="2" a="1"/>
  <c r="Y1041" i="2" s="1"/>
  <c r="Y1042" i="2" a="1"/>
  <c r="Y1042" i="2" s="1"/>
  <c r="Y1043" i="2" a="1"/>
  <c r="Y1043" i="2" s="1"/>
  <c r="Y1044" i="2" a="1"/>
  <c r="Y1044" i="2" s="1"/>
  <c r="Y1045" i="2" a="1"/>
  <c r="Y1045" i="2" s="1"/>
  <c r="Y1046" i="2" a="1"/>
  <c r="Y1046" i="2" s="1"/>
  <c r="Y1047" i="2" a="1"/>
  <c r="Y1047" i="2" s="1"/>
  <c r="Y1048" i="2" a="1"/>
  <c r="Y1048" i="2" s="1"/>
  <c r="Y1049" i="2" a="1"/>
  <c r="Y1049" i="2" s="1"/>
  <c r="Y1050" i="2" a="1"/>
  <c r="Y1050" i="2" s="1"/>
  <c r="Y1051" i="2" a="1"/>
  <c r="Y1051" i="2" s="1"/>
  <c r="Y1052" i="2" a="1"/>
  <c r="Y1052" i="2" s="1"/>
  <c r="Y1053" i="2" a="1"/>
  <c r="Y1053" i="2" s="1"/>
  <c r="Y1054" i="2" a="1"/>
  <c r="Y1054" i="2" s="1"/>
  <c r="Y1055" i="2" a="1"/>
  <c r="Y1055" i="2" s="1"/>
  <c r="Y1056" i="2" a="1"/>
  <c r="Y1056" i="2" s="1"/>
  <c r="Y1057" i="2" a="1"/>
  <c r="Y1057" i="2" s="1"/>
  <c r="Y1058" i="2" a="1"/>
  <c r="Y1058" i="2" s="1"/>
  <c r="Y1059" i="2" a="1"/>
  <c r="Y1059" i="2" s="1"/>
  <c r="Y1060" i="2" a="1"/>
  <c r="Y1060" i="2" s="1"/>
  <c r="Y1061" i="2" a="1"/>
  <c r="Y1061" i="2" s="1"/>
  <c r="Y1062" i="2" a="1"/>
  <c r="Y1062" i="2" s="1"/>
  <c r="Y1063" i="2" a="1"/>
  <c r="Y1063" i="2" s="1"/>
  <c r="Y1064" i="2" a="1"/>
  <c r="Y1064" i="2" s="1"/>
  <c r="Y1065" i="2" a="1"/>
  <c r="Y1065" i="2" s="1"/>
  <c r="Y1066" i="2" a="1"/>
  <c r="Y1066" i="2" s="1"/>
  <c r="Y1067" i="2" a="1"/>
  <c r="Y1067" i="2" s="1"/>
  <c r="Y1068" i="2" a="1"/>
  <c r="Y1068" i="2" s="1"/>
  <c r="Y1069" i="2" a="1"/>
  <c r="Y1069" i="2" s="1"/>
  <c r="Y1070" i="2" a="1"/>
  <c r="Y1070" i="2" s="1"/>
  <c r="Y1071" i="2" a="1"/>
  <c r="Y1071" i="2" s="1"/>
  <c r="Y1072" i="2" a="1"/>
  <c r="Y1072" i="2" s="1"/>
  <c r="Y1073" i="2" a="1"/>
  <c r="Y1073" i="2" s="1"/>
  <c r="Y1074" i="2" a="1"/>
  <c r="Y1074" i="2" s="1"/>
  <c r="Y1075" i="2" a="1"/>
  <c r="Y1075" i="2" s="1"/>
  <c r="Y1076" i="2" a="1"/>
  <c r="Y1076" i="2" s="1"/>
  <c r="Y1077" i="2" a="1"/>
  <c r="Y1077" i="2" s="1"/>
  <c r="Y1078" i="2" a="1"/>
  <c r="Y1078" i="2" s="1"/>
  <c r="Y1079" i="2" a="1"/>
  <c r="Y1079" i="2" s="1"/>
  <c r="Y1080" i="2" a="1"/>
  <c r="Y1080" i="2" s="1"/>
  <c r="Y1081" i="2" a="1"/>
  <c r="Y1081" i="2" s="1"/>
  <c r="Y1082" i="2" a="1"/>
  <c r="Y1082" i="2" s="1"/>
  <c r="Y1083" i="2" a="1"/>
  <c r="Y1083" i="2" s="1"/>
  <c r="Y1084" i="2" a="1"/>
  <c r="Y1084" i="2" s="1"/>
  <c r="Y1085" i="2" a="1"/>
  <c r="Y1085" i="2" s="1"/>
  <c r="Y1086" i="2" a="1"/>
  <c r="Y1086" i="2" s="1"/>
  <c r="Y1087" i="2" a="1"/>
  <c r="Y1087" i="2" s="1"/>
  <c r="Y1088" i="2" a="1"/>
  <c r="Y1088" i="2" s="1"/>
  <c r="Y1089" i="2" a="1"/>
  <c r="Y1089" i="2" s="1"/>
  <c r="Y1090" i="2" a="1"/>
  <c r="Y1090" i="2" s="1"/>
  <c r="Y1091" i="2" a="1"/>
  <c r="Y1091" i="2" s="1"/>
  <c r="Y1092" i="2" a="1"/>
  <c r="Y1092" i="2" s="1"/>
  <c r="Y1093" i="2" a="1"/>
  <c r="Y1093" i="2" s="1"/>
  <c r="Y1094" i="2" a="1"/>
  <c r="Y1094" i="2" s="1"/>
  <c r="Y1095" i="2" a="1"/>
  <c r="Y1095" i="2" s="1"/>
  <c r="Y1096" i="2" a="1"/>
  <c r="Y1096" i="2" s="1"/>
  <c r="Y1097" i="2" a="1"/>
  <c r="Y1097" i="2" s="1"/>
  <c r="Y1098" i="2" a="1"/>
  <c r="Y1098" i="2" s="1"/>
  <c r="Y1099" i="2" a="1"/>
  <c r="Y1099" i="2" s="1"/>
  <c r="Y1100" i="2" a="1"/>
  <c r="Y1100" i="2" s="1"/>
  <c r="Y1101" i="2" a="1"/>
  <c r="Y1101" i="2" s="1"/>
  <c r="Y1102" i="2" a="1"/>
  <c r="Y1102" i="2" s="1"/>
  <c r="Y1103" i="2" a="1"/>
  <c r="Y1103" i="2" s="1"/>
  <c r="Y1104" i="2" a="1"/>
  <c r="Y1104" i="2" s="1"/>
  <c r="Y1105" i="2" a="1"/>
  <c r="Y1105" i="2" s="1"/>
  <c r="Y1106" i="2" a="1"/>
  <c r="Y1106" i="2" s="1"/>
  <c r="Y1107" i="2" a="1"/>
  <c r="Y1107" i="2" s="1"/>
  <c r="Y1108" i="2" a="1"/>
  <c r="Y1108" i="2" s="1"/>
  <c r="Y1109" i="2" a="1"/>
  <c r="Y1109" i="2" s="1"/>
  <c r="Y1110" i="2" a="1"/>
  <c r="Y1110" i="2" s="1"/>
  <c r="Y1111" i="2" a="1"/>
  <c r="Y1111" i="2" s="1"/>
  <c r="Y1112" i="2" a="1"/>
  <c r="Y1112" i="2" s="1"/>
  <c r="Y1113" i="2" a="1"/>
  <c r="Y1113" i="2" s="1"/>
  <c r="Y1114" i="2" a="1"/>
  <c r="Y1114" i="2" s="1"/>
  <c r="Y1115" i="2" a="1"/>
  <c r="Y1115" i="2" s="1"/>
  <c r="Y1116" i="2" a="1"/>
  <c r="Y1116" i="2" s="1"/>
  <c r="Y1117" i="2" a="1"/>
  <c r="Y1117" i="2" s="1"/>
  <c r="Y1118" i="2" a="1"/>
  <c r="Y1118" i="2" s="1"/>
  <c r="Y1119" i="2" a="1"/>
  <c r="Y1119" i="2" s="1"/>
  <c r="Y1120" i="2" a="1"/>
  <c r="Y1120" i="2" s="1"/>
  <c r="Y1121" i="2" a="1"/>
  <c r="Y1121" i="2" s="1"/>
  <c r="Y1122" i="2" a="1"/>
  <c r="Y1122" i="2" s="1"/>
  <c r="Y1123" i="2" a="1"/>
  <c r="Y1123" i="2" s="1"/>
  <c r="Y1124" i="2" a="1"/>
  <c r="Y1124" i="2" s="1"/>
  <c r="Y1125" i="2" a="1"/>
  <c r="Y1125" i="2" s="1"/>
  <c r="Y1126" i="2" a="1"/>
  <c r="Y1126" i="2" s="1"/>
  <c r="Y1127" i="2" a="1"/>
  <c r="Y1127" i="2" s="1"/>
  <c r="Y1128" i="2" a="1"/>
  <c r="Y1128" i="2" s="1"/>
  <c r="Y1129" i="2" a="1"/>
  <c r="Y1129" i="2" s="1"/>
  <c r="Y1130" i="2" a="1"/>
  <c r="Y1130" i="2" s="1"/>
  <c r="Y1131" i="2" a="1"/>
  <c r="Y1131" i="2" s="1"/>
  <c r="Y1132" i="2" a="1"/>
  <c r="Y1132" i="2" s="1"/>
  <c r="Y1133" i="2" a="1"/>
  <c r="Y1133" i="2" s="1"/>
  <c r="Y1134" i="2" a="1"/>
  <c r="Y1134" i="2" s="1"/>
  <c r="Y1135" i="2" a="1"/>
  <c r="Y1135" i="2" s="1"/>
  <c r="Y1136" i="2" a="1"/>
  <c r="Y1136" i="2" s="1"/>
  <c r="Y1137" i="2" a="1"/>
  <c r="Y1137" i="2" s="1"/>
  <c r="Y1138" i="2" a="1"/>
  <c r="Y1138" i="2" s="1"/>
  <c r="Y1139" i="2" a="1"/>
  <c r="Y1139" i="2" s="1"/>
  <c r="Y1140" i="2" a="1"/>
  <c r="Y1140" i="2" s="1"/>
  <c r="Y1141" i="2" a="1"/>
  <c r="Y1141" i="2" s="1"/>
  <c r="Y1142" i="2" a="1"/>
  <c r="Y1142" i="2" s="1"/>
  <c r="Y1143" i="2" a="1"/>
  <c r="Y1143" i="2" s="1"/>
  <c r="Y1144" i="2" a="1"/>
  <c r="Y1144" i="2" s="1"/>
  <c r="Y1145" i="2" a="1"/>
  <c r="Y1145" i="2" s="1"/>
  <c r="Y1146" i="2" a="1"/>
  <c r="Y1146" i="2" s="1"/>
  <c r="Y1147" i="2" a="1"/>
  <c r="Y1147" i="2" s="1"/>
  <c r="Y1148" i="2" a="1"/>
  <c r="Y1148" i="2" s="1"/>
  <c r="Y1149" i="2" a="1"/>
  <c r="Y1149" i="2" s="1"/>
  <c r="Y1150" i="2" a="1"/>
  <c r="Y1150" i="2" s="1"/>
  <c r="Y1151" i="2" a="1"/>
  <c r="Y1151" i="2" s="1"/>
  <c r="Y1152" i="2" a="1"/>
  <c r="Y1152" i="2" s="1"/>
  <c r="Y1153" i="2" a="1"/>
  <c r="Y1153" i="2" s="1"/>
  <c r="Y1154" i="2" a="1"/>
  <c r="Y1154" i="2" s="1"/>
  <c r="Y1155" i="2" a="1"/>
  <c r="Y1155" i="2" s="1"/>
  <c r="Y1156" i="2" a="1"/>
  <c r="Y1156" i="2" s="1"/>
  <c r="Y1157" i="2" a="1"/>
  <c r="Y1157" i="2" s="1"/>
  <c r="Y1158" i="2" a="1"/>
  <c r="Y1158" i="2" s="1"/>
  <c r="Y1159" i="2" a="1"/>
  <c r="Y1159" i="2" s="1"/>
  <c r="Y1160" i="2" a="1"/>
  <c r="Y1160" i="2" s="1"/>
  <c r="Y1161" i="2" a="1"/>
  <c r="Y1161" i="2" s="1"/>
  <c r="Y1162" i="2" a="1"/>
  <c r="Y1162" i="2" s="1"/>
  <c r="Y1163" i="2" a="1"/>
  <c r="Y1163" i="2" s="1"/>
  <c r="Y1164" i="2" a="1"/>
  <c r="Y1164" i="2" s="1"/>
  <c r="Y1165" i="2" a="1"/>
  <c r="Y1165" i="2" s="1"/>
  <c r="Y1166" i="2" a="1"/>
  <c r="Y1166" i="2" s="1"/>
  <c r="T3" i="2" a="1"/>
  <c r="T3" i="2" s="1"/>
  <c r="T4" i="2" a="1"/>
  <c r="T4" i="2" s="1"/>
  <c r="T5" i="2" a="1"/>
  <c r="T5" i="2" s="1"/>
  <c r="T6" i="2" a="1"/>
  <c r="T6" i="2" s="1"/>
  <c r="T7" i="2" a="1"/>
  <c r="T7" i="2" s="1"/>
  <c r="T8" i="2" a="1"/>
  <c r="T8" i="2" s="1"/>
  <c r="T9" i="2" a="1"/>
  <c r="T9" i="2" s="1"/>
  <c r="T10" i="2" a="1"/>
  <c r="T10" i="2" s="1"/>
  <c r="T11" i="2" a="1"/>
  <c r="T11" i="2" s="1"/>
  <c r="T12" i="2" a="1"/>
  <c r="T12" i="2" s="1"/>
  <c r="T13" i="2" a="1"/>
  <c r="T13" i="2" s="1"/>
  <c r="T14" i="2" a="1"/>
  <c r="T14" i="2" s="1"/>
  <c r="T15" i="2" a="1"/>
  <c r="T15" i="2" s="1"/>
  <c r="T16" i="2" a="1"/>
  <c r="T16" i="2" s="1"/>
  <c r="T17" i="2" a="1"/>
  <c r="T17" i="2" s="1"/>
  <c r="T18" i="2" a="1"/>
  <c r="T18" i="2" s="1"/>
  <c r="T19" i="2" a="1"/>
  <c r="T19" i="2" s="1"/>
  <c r="T20" i="2" a="1"/>
  <c r="T20" i="2" s="1"/>
  <c r="T21" i="2" a="1"/>
  <c r="T21" i="2" s="1"/>
  <c r="T22" i="2" a="1"/>
  <c r="T22" i="2" s="1"/>
  <c r="T23" i="2" a="1"/>
  <c r="T23" i="2" s="1"/>
  <c r="T24" i="2" a="1"/>
  <c r="T24" i="2" s="1"/>
  <c r="T25" i="2" a="1"/>
  <c r="T25" i="2" s="1"/>
  <c r="T26" i="2" a="1"/>
  <c r="T26" i="2" s="1"/>
  <c r="T27" i="2" a="1"/>
  <c r="T27" i="2" s="1"/>
  <c r="T28" i="2" a="1"/>
  <c r="T28" i="2" s="1"/>
  <c r="T29" i="2" a="1"/>
  <c r="T29" i="2" s="1"/>
  <c r="T30" i="2" a="1"/>
  <c r="T30" i="2" s="1"/>
  <c r="T31" i="2" a="1"/>
  <c r="T31" i="2" s="1"/>
  <c r="T32" i="2" a="1"/>
  <c r="T32" i="2" s="1"/>
  <c r="T33" i="2" a="1"/>
  <c r="T33" i="2" s="1"/>
  <c r="T34" i="2" a="1"/>
  <c r="T34" i="2" s="1"/>
  <c r="T35" i="2" a="1"/>
  <c r="T35" i="2" s="1"/>
  <c r="T36" i="2" a="1"/>
  <c r="T36" i="2" s="1"/>
  <c r="T37" i="2" a="1"/>
  <c r="T37" i="2" s="1"/>
  <c r="T38" i="2" a="1"/>
  <c r="T38" i="2" s="1"/>
  <c r="T39" i="2" a="1"/>
  <c r="T39" i="2" s="1"/>
  <c r="T40" i="2" a="1"/>
  <c r="T40" i="2" s="1"/>
  <c r="T41" i="2" a="1"/>
  <c r="T41" i="2" s="1"/>
  <c r="T42" i="2" a="1"/>
  <c r="T42" i="2" s="1"/>
  <c r="T43" i="2" a="1"/>
  <c r="T43" i="2" s="1"/>
  <c r="T44" i="2" a="1"/>
  <c r="T44" i="2" s="1"/>
  <c r="T45" i="2" a="1"/>
  <c r="T45" i="2" s="1"/>
  <c r="T46" i="2" a="1"/>
  <c r="T46" i="2" s="1"/>
  <c r="T47" i="2" a="1"/>
  <c r="T47" i="2" s="1"/>
  <c r="T48" i="2" a="1"/>
  <c r="T48" i="2" s="1"/>
  <c r="T49" i="2" a="1"/>
  <c r="T49" i="2" s="1"/>
  <c r="T50" i="2" a="1"/>
  <c r="T50" i="2" s="1"/>
  <c r="T51" i="2" a="1"/>
  <c r="T51" i="2" s="1"/>
  <c r="T52" i="2" a="1"/>
  <c r="T52" i="2" s="1"/>
  <c r="T53" i="2" a="1"/>
  <c r="T53" i="2" s="1"/>
  <c r="T54" i="2" a="1"/>
  <c r="T54" i="2" s="1"/>
  <c r="T55" i="2" a="1"/>
  <c r="T55" i="2" s="1"/>
  <c r="T56" i="2" a="1"/>
  <c r="T56" i="2" s="1"/>
  <c r="T57" i="2" a="1"/>
  <c r="T57" i="2" s="1"/>
  <c r="T58" i="2" a="1"/>
  <c r="T58" i="2" s="1"/>
  <c r="T59" i="2" a="1"/>
  <c r="T59" i="2" s="1"/>
  <c r="T60" i="2" a="1"/>
  <c r="T60" i="2" s="1"/>
  <c r="T61" i="2" a="1"/>
  <c r="T61" i="2" s="1"/>
  <c r="T62" i="2" a="1"/>
  <c r="T62" i="2" s="1"/>
  <c r="T63" i="2" a="1"/>
  <c r="T63" i="2" s="1"/>
  <c r="T64" i="2" a="1"/>
  <c r="T64" i="2" s="1"/>
  <c r="T65" i="2" a="1"/>
  <c r="T65" i="2" s="1"/>
  <c r="T66" i="2" a="1"/>
  <c r="T66" i="2" s="1"/>
  <c r="T67" i="2" a="1"/>
  <c r="T67" i="2" s="1"/>
  <c r="T68" i="2" a="1"/>
  <c r="T68" i="2" s="1"/>
  <c r="T69" i="2" a="1"/>
  <c r="T69" i="2" s="1"/>
  <c r="T70" i="2" a="1"/>
  <c r="T70" i="2" s="1"/>
  <c r="T71" i="2" a="1"/>
  <c r="T71" i="2" s="1"/>
  <c r="T72" i="2" a="1"/>
  <c r="T72" i="2" s="1"/>
  <c r="T73" i="2" a="1"/>
  <c r="T73" i="2" s="1"/>
  <c r="T74" i="2" a="1"/>
  <c r="T74" i="2" s="1"/>
  <c r="T75" i="2" a="1"/>
  <c r="T75" i="2" s="1"/>
  <c r="T76" i="2" a="1"/>
  <c r="T76" i="2" s="1"/>
  <c r="T77" i="2" a="1"/>
  <c r="T77" i="2" s="1"/>
  <c r="T78" i="2" a="1"/>
  <c r="T78" i="2" s="1"/>
  <c r="T79" i="2" a="1"/>
  <c r="T79" i="2" s="1"/>
  <c r="T80" i="2" a="1"/>
  <c r="T80" i="2" s="1"/>
  <c r="T81" i="2" a="1"/>
  <c r="T81" i="2" s="1"/>
  <c r="T82" i="2" a="1"/>
  <c r="T82" i="2" s="1"/>
  <c r="T83" i="2" a="1"/>
  <c r="T83" i="2" s="1"/>
  <c r="T84" i="2" a="1"/>
  <c r="T84" i="2" s="1"/>
  <c r="T85" i="2" a="1"/>
  <c r="T85" i="2" s="1"/>
  <c r="T86" i="2" a="1"/>
  <c r="T86" i="2" s="1"/>
  <c r="T87" i="2" a="1"/>
  <c r="T87" i="2" s="1"/>
  <c r="T88" i="2" a="1"/>
  <c r="T88" i="2" s="1"/>
  <c r="T89" i="2" a="1"/>
  <c r="T89" i="2" s="1"/>
  <c r="T90" i="2" a="1"/>
  <c r="T90" i="2" s="1"/>
  <c r="T91" i="2" a="1"/>
  <c r="T91" i="2" s="1"/>
  <c r="T92" i="2" a="1"/>
  <c r="T92" i="2" s="1"/>
  <c r="T93" i="2" a="1"/>
  <c r="T93" i="2" s="1"/>
  <c r="T94" i="2" a="1"/>
  <c r="T94" i="2" s="1"/>
  <c r="T95" i="2" a="1"/>
  <c r="T95" i="2" s="1"/>
  <c r="T96" i="2" a="1"/>
  <c r="T96" i="2" s="1"/>
  <c r="T97" i="2" a="1"/>
  <c r="T97" i="2" s="1"/>
  <c r="T98" i="2" a="1"/>
  <c r="T98" i="2" s="1"/>
  <c r="T99" i="2" a="1"/>
  <c r="T99" i="2" s="1"/>
  <c r="T100" i="2" a="1"/>
  <c r="T100" i="2" s="1"/>
  <c r="T101" i="2" a="1"/>
  <c r="T101" i="2" s="1"/>
  <c r="T102" i="2" a="1"/>
  <c r="T102" i="2" s="1"/>
  <c r="T103" i="2" a="1"/>
  <c r="T103" i="2" s="1"/>
  <c r="T104" i="2" a="1"/>
  <c r="T104" i="2" s="1"/>
  <c r="T105" i="2" a="1"/>
  <c r="T105" i="2" s="1"/>
  <c r="T106" i="2" a="1"/>
  <c r="T106" i="2" s="1"/>
  <c r="T107" i="2" a="1"/>
  <c r="T107" i="2" s="1"/>
  <c r="T108" i="2" a="1"/>
  <c r="T108" i="2" s="1"/>
  <c r="T109" i="2" a="1"/>
  <c r="T109" i="2" s="1"/>
  <c r="T110" i="2" a="1"/>
  <c r="T110" i="2" s="1"/>
  <c r="T111" i="2" a="1"/>
  <c r="T111" i="2" s="1"/>
  <c r="T112" i="2" a="1"/>
  <c r="T112" i="2" s="1"/>
  <c r="T113" i="2" a="1"/>
  <c r="T113" i="2" s="1"/>
  <c r="T114" i="2" a="1"/>
  <c r="T114" i="2" s="1"/>
  <c r="T115" i="2" a="1"/>
  <c r="T115" i="2" s="1"/>
  <c r="T116" i="2" a="1"/>
  <c r="T116" i="2" s="1"/>
  <c r="T117" i="2" a="1"/>
  <c r="T117" i="2" s="1"/>
  <c r="T118" i="2" a="1"/>
  <c r="T118" i="2" s="1"/>
  <c r="T119" i="2" a="1"/>
  <c r="T119" i="2" s="1"/>
  <c r="T120" i="2" a="1"/>
  <c r="T120" i="2" s="1"/>
  <c r="T121" i="2" a="1"/>
  <c r="T121" i="2" s="1"/>
  <c r="T122" i="2" a="1"/>
  <c r="T122" i="2" s="1"/>
  <c r="T123" i="2" a="1"/>
  <c r="T123" i="2" s="1"/>
  <c r="T124" i="2" a="1"/>
  <c r="T124" i="2" s="1"/>
  <c r="T125" i="2" a="1"/>
  <c r="T125" i="2" s="1"/>
  <c r="T126" i="2" a="1"/>
  <c r="T126" i="2" s="1"/>
  <c r="T127" i="2" a="1"/>
  <c r="T127" i="2" s="1"/>
  <c r="T128" i="2" a="1"/>
  <c r="T128" i="2" s="1"/>
  <c r="T129" i="2" a="1"/>
  <c r="T129" i="2" s="1"/>
  <c r="T130" i="2" a="1"/>
  <c r="T130" i="2" s="1"/>
  <c r="T131" i="2" a="1"/>
  <c r="T131" i="2" s="1"/>
  <c r="T132" i="2" a="1"/>
  <c r="T132" i="2" s="1"/>
  <c r="T133" i="2" a="1"/>
  <c r="T133" i="2" s="1"/>
  <c r="T134" i="2" a="1"/>
  <c r="T134" i="2" s="1"/>
  <c r="T135" i="2" a="1"/>
  <c r="T135" i="2" s="1"/>
  <c r="T136" i="2" a="1"/>
  <c r="T136" i="2" s="1"/>
  <c r="T137" i="2" a="1"/>
  <c r="T137" i="2" s="1"/>
  <c r="T138" i="2" a="1"/>
  <c r="T138" i="2" s="1"/>
  <c r="T139" i="2" a="1"/>
  <c r="T139" i="2" s="1"/>
  <c r="T140" i="2" a="1"/>
  <c r="T140" i="2" s="1"/>
  <c r="T141" i="2" a="1"/>
  <c r="T141" i="2" s="1"/>
  <c r="T142" i="2" a="1"/>
  <c r="T142" i="2" s="1"/>
  <c r="T143" i="2" a="1"/>
  <c r="T143" i="2" s="1"/>
  <c r="T144" i="2" a="1"/>
  <c r="T144" i="2" s="1"/>
  <c r="T145" i="2" a="1"/>
  <c r="T145" i="2" s="1"/>
  <c r="T146" i="2" a="1"/>
  <c r="T146" i="2" s="1"/>
  <c r="T147" i="2" a="1"/>
  <c r="T147" i="2" s="1"/>
  <c r="T148" i="2" a="1"/>
  <c r="T148" i="2" s="1"/>
  <c r="T149" i="2" a="1"/>
  <c r="T149" i="2" s="1"/>
  <c r="T150" i="2" a="1"/>
  <c r="T150" i="2" s="1"/>
  <c r="T151" i="2" a="1"/>
  <c r="T151" i="2" s="1"/>
  <c r="T152" i="2" a="1"/>
  <c r="T152" i="2" s="1"/>
  <c r="T153" i="2" a="1"/>
  <c r="T153" i="2" s="1"/>
  <c r="T154" i="2" a="1"/>
  <c r="T154" i="2" s="1"/>
  <c r="T155" i="2" a="1"/>
  <c r="T155" i="2" s="1"/>
  <c r="T156" i="2" a="1"/>
  <c r="T156" i="2" s="1"/>
  <c r="T157" i="2" a="1"/>
  <c r="T157" i="2" s="1"/>
  <c r="T158" i="2" a="1"/>
  <c r="T158" i="2" s="1"/>
  <c r="T159" i="2" a="1"/>
  <c r="T159" i="2" s="1"/>
  <c r="T160" i="2" a="1"/>
  <c r="T160" i="2" s="1"/>
  <c r="T161" i="2" a="1"/>
  <c r="T161" i="2" s="1"/>
  <c r="T162" i="2" a="1"/>
  <c r="T162" i="2" s="1"/>
  <c r="T163" i="2" a="1"/>
  <c r="T163" i="2" s="1"/>
  <c r="T164" i="2" a="1"/>
  <c r="T164" i="2" s="1"/>
  <c r="T165" i="2" a="1"/>
  <c r="T165" i="2" s="1"/>
  <c r="T166" i="2" a="1"/>
  <c r="T166" i="2" s="1"/>
  <c r="T167" i="2" a="1"/>
  <c r="T167" i="2" s="1"/>
  <c r="T168" i="2" a="1"/>
  <c r="T168" i="2" s="1"/>
  <c r="T169" i="2" a="1"/>
  <c r="T169" i="2" s="1"/>
  <c r="T170" i="2" a="1"/>
  <c r="T170" i="2" s="1"/>
  <c r="T171" i="2" a="1"/>
  <c r="T171" i="2" s="1"/>
  <c r="T172" i="2" a="1"/>
  <c r="T172" i="2" s="1"/>
  <c r="T173" i="2" a="1"/>
  <c r="T173" i="2" s="1"/>
  <c r="T174" i="2" a="1"/>
  <c r="T174" i="2" s="1"/>
  <c r="T175" i="2" a="1"/>
  <c r="T175" i="2" s="1"/>
  <c r="T176" i="2" a="1"/>
  <c r="T176" i="2" s="1"/>
  <c r="T177" i="2" a="1"/>
  <c r="T177" i="2" s="1"/>
  <c r="T178" i="2" a="1"/>
  <c r="T178" i="2" s="1"/>
  <c r="T179" i="2" a="1"/>
  <c r="T179" i="2" s="1"/>
  <c r="T180" i="2" a="1"/>
  <c r="T180" i="2" s="1"/>
  <c r="T181" i="2" a="1"/>
  <c r="T181" i="2" s="1"/>
  <c r="T182" i="2" a="1"/>
  <c r="T182" i="2" s="1"/>
  <c r="T183" i="2" a="1"/>
  <c r="T183" i="2" s="1"/>
  <c r="T184" i="2" a="1"/>
  <c r="T184" i="2" s="1"/>
  <c r="T185" i="2" a="1"/>
  <c r="T185" i="2" s="1"/>
  <c r="T186" i="2" a="1"/>
  <c r="T186" i="2" s="1"/>
  <c r="T187" i="2" a="1"/>
  <c r="T187" i="2" s="1"/>
  <c r="T188" i="2" a="1"/>
  <c r="T188" i="2" s="1"/>
  <c r="T189" i="2" a="1"/>
  <c r="T189" i="2" s="1"/>
  <c r="T190" i="2" a="1"/>
  <c r="T190" i="2" s="1"/>
  <c r="T191" i="2" a="1"/>
  <c r="T191" i="2" s="1"/>
  <c r="T192" i="2" a="1"/>
  <c r="T192" i="2" s="1"/>
  <c r="T193" i="2" a="1"/>
  <c r="T193" i="2" s="1"/>
  <c r="T194" i="2" a="1"/>
  <c r="T194" i="2" s="1"/>
  <c r="T195" i="2" a="1"/>
  <c r="T195" i="2" s="1"/>
  <c r="T196" i="2" a="1"/>
  <c r="T196" i="2" s="1"/>
  <c r="T197" i="2" a="1"/>
  <c r="T197" i="2" s="1"/>
  <c r="T198" i="2" a="1"/>
  <c r="T198" i="2" s="1"/>
  <c r="T199" i="2" a="1"/>
  <c r="T199" i="2" s="1"/>
  <c r="T200" i="2" a="1"/>
  <c r="T200" i="2" s="1"/>
  <c r="T201" i="2" a="1"/>
  <c r="T201" i="2" s="1"/>
  <c r="T202" i="2" a="1"/>
  <c r="T202" i="2" s="1"/>
  <c r="T203" i="2" a="1"/>
  <c r="T203" i="2" s="1"/>
  <c r="T204" i="2" a="1"/>
  <c r="T204" i="2" s="1"/>
  <c r="T205" i="2" a="1"/>
  <c r="T205" i="2" s="1"/>
  <c r="T206" i="2" a="1"/>
  <c r="T206" i="2" s="1"/>
  <c r="T207" i="2" a="1"/>
  <c r="T207" i="2" s="1"/>
  <c r="T208" i="2" a="1"/>
  <c r="T208" i="2" s="1"/>
  <c r="T209" i="2" a="1"/>
  <c r="T209" i="2" s="1"/>
  <c r="T210" i="2" a="1"/>
  <c r="T210" i="2" s="1"/>
  <c r="T211" i="2" a="1"/>
  <c r="T211" i="2" s="1"/>
  <c r="T212" i="2" a="1"/>
  <c r="T212" i="2" s="1"/>
  <c r="T213" i="2" a="1"/>
  <c r="T213" i="2" s="1"/>
  <c r="T214" i="2" a="1"/>
  <c r="T214" i="2" s="1"/>
  <c r="T215" i="2" a="1"/>
  <c r="T215" i="2" s="1"/>
  <c r="T216" i="2" a="1"/>
  <c r="T216" i="2" s="1"/>
  <c r="T217" i="2" a="1"/>
  <c r="T217" i="2" s="1"/>
  <c r="T218" i="2" a="1"/>
  <c r="T218" i="2" s="1"/>
  <c r="T219" i="2" a="1"/>
  <c r="T219" i="2" s="1"/>
  <c r="T220" i="2" a="1"/>
  <c r="T220" i="2" s="1"/>
  <c r="T221" i="2" a="1"/>
  <c r="T221" i="2" s="1"/>
  <c r="T222" i="2" a="1"/>
  <c r="T222" i="2" s="1"/>
  <c r="T223" i="2" a="1"/>
  <c r="T223" i="2" s="1"/>
  <c r="T224" i="2" a="1"/>
  <c r="T224" i="2" s="1"/>
  <c r="T225" i="2" a="1"/>
  <c r="T225" i="2" s="1"/>
  <c r="T226" i="2" a="1"/>
  <c r="T226" i="2" s="1"/>
  <c r="T227" i="2" a="1"/>
  <c r="T227" i="2" s="1"/>
  <c r="T228" i="2" a="1"/>
  <c r="T228" i="2" s="1"/>
  <c r="T229" i="2" a="1"/>
  <c r="T229" i="2" s="1"/>
  <c r="T230" i="2" a="1"/>
  <c r="T230" i="2" s="1"/>
  <c r="T231" i="2" a="1"/>
  <c r="T231" i="2" s="1"/>
  <c r="T232" i="2" a="1"/>
  <c r="T232" i="2" s="1"/>
  <c r="T233" i="2" a="1"/>
  <c r="T233" i="2" s="1"/>
  <c r="T234" i="2" a="1"/>
  <c r="T234" i="2" s="1"/>
  <c r="T235" i="2" a="1"/>
  <c r="T235" i="2" s="1"/>
  <c r="T236" i="2" a="1"/>
  <c r="T236" i="2" s="1"/>
  <c r="T237" i="2" a="1"/>
  <c r="T237" i="2" s="1"/>
  <c r="T238" i="2" a="1"/>
  <c r="T238" i="2" s="1"/>
  <c r="T239" i="2" a="1"/>
  <c r="T239" i="2" s="1"/>
  <c r="T240" i="2" a="1"/>
  <c r="T240" i="2" s="1"/>
  <c r="T241" i="2" a="1"/>
  <c r="T241" i="2" s="1"/>
  <c r="T242" i="2" a="1"/>
  <c r="T242" i="2" s="1"/>
  <c r="T243" i="2" a="1"/>
  <c r="T243" i="2" s="1"/>
  <c r="T244" i="2" a="1"/>
  <c r="T244" i="2" s="1"/>
  <c r="T245" i="2" a="1"/>
  <c r="T245" i="2" s="1"/>
  <c r="T246" i="2" a="1"/>
  <c r="T246" i="2" s="1"/>
  <c r="T247" i="2" a="1"/>
  <c r="T247" i="2" s="1"/>
  <c r="T248" i="2" a="1"/>
  <c r="T248" i="2" s="1"/>
  <c r="T249" i="2" a="1"/>
  <c r="T249" i="2" s="1"/>
  <c r="T250" i="2" a="1"/>
  <c r="T250" i="2" s="1"/>
  <c r="T251" i="2" a="1"/>
  <c r="T251" i="2" s="1"/>
  <c r="T252" i="2" a="1"/>
  <c r="T252" i="2" s="1"/>
  <c r="T253" i="2" a="1"/>
  <c r="T253" i="2" s="1"/>
  <c r="T254" i="2" a="1"/>
  <c r="T254" i="2" s="1"/>
  <c r="T255" i="2" a="1"/>
  <c r="T255" i="2" s="1"/>
  <c r="T256" i="2" a="1"/>
  <c r="T256" i="2" s="1"/>
  <c r="T257" i="2" a="1"/>
  <c r="T257" i="2" s="1"/>
  <c r="T258" i="2" a="1"/>
  <c r="T258" i="2" s="1"/>
  <c r="T259" i="2" a="1"/>
  <c r="T259" i="2" s="1"/>
  <c r="T260" i="2" a="1"/>
  <c r="T260" i="2" s="1"/>
  <c r="T261" i="2" a="1"/>
  <c r="T261" i="2" s="1"/>
  <c r="T262" i="2" a="1"/>
  <c r="T262" i="2" s="1"/>
  <c r="T263" i="2" a="1"/>
  <c r="T263" i="2" s="1"/>
  <c r="T264" i="2" a="1"/>
  <c r="T264" i="2" s="1"/>
  <c r="T265" i="2" a="1"/>
  <c r="T265" i="2" s="1"/>
  <c r="T266" i="2" a="1"/>
  <c r="T266" i="2" s="1"/>
  <c r="T267" i="2" a="1"/>
  <c r="T267" i="2" s="1"/>
  <c r="T268" i="2" a="1"/>
  <c r="T268" i="2" s="1"/>
  <c r="T269" i="2" a="1"/>
  <c r="T269" i="2" s="1"/>
  <c r="T270" i="2" a="1"/>
  <c r="T270" i="2" s="1"/>
  <c r="T271" i="2" a="1"/>
  <c r="T271" i="2" s="1"/>
  <c r="T272" i="2" a="1"/>
  <c r="T272" i="2" s="1"/>
  <c r="T273" i="2" a="1"/>
  <c r="T273" i="2" s="1"/>
  <c r="T274" i="2" a="1"/>
  <c r="T274" i="2" s="1"/>
  <c r="T275" i="2" a="1"/>
  <c r="T275" i="2" s="1"/>
  <c r="T276" i="2" a="1"/>
  <c r="T276" i="2" s="1"/>
  <c r="T277" i="2" a="1"/>
  <c r="T277" i="2" s="1"/>
  <c r="T278" i="2" a="1"/>
  <c r="T278" i="2" s="1"/>
  <c r="T279" i="2" a="1"/>
  <c r="T279" i="2" s="1"/>
  <c r="T280" i="2" a="1"/>
  <c r="T280" i="2" s="1"/>
  <c r="T281" i="2" a="1"/>
  <c r="T281" i="2" s="1"/>
  <c r="T282" i="2" a="1"/>
  <c r="T282" i="2" s="1"/>
  <c r="T283" i="2" a="1"/>
  <c r="T283" i="2" s="1"/>
  <c r="T284" i="2" a="1"/>
  <c r="T284" i="2" s="1"/>
  <c r="T285" i="2" a="1"/>
  <c r="T285" i="2" s="1"/>
  <c r="T286" i="2" a="1"/>
  <c r="T286" i="2" s="1"/>
  <c r="T287" i="2" a="1"/>
  <c r="T287" i="2" s="1"/>
  <c r="T288" i="2" a="1"/>
  <c r="T288" i="2" s="1"/>
  <c r="T289" i="2" a="1"/>
  <c r="T289" i="2" s="1"/>
  <c r="T290" i="2" a="1"/>
  <c r="T290" i="2" s="1"/>
  <c r="T291" i="2" a="1"/>
  <c r="T291" i="2" s="1"/>
  <c r="T292" i="2" a="1"/>
  <c r="T292" i="2" s="1"/>
  <c r="T293" i="2" a="1"/>
  <c r="T293" i="2" s="1"/>
  <c r="T294" i="2" a="1"/>
  <c r="T294" i="2" s="1"/>
  <c r="T295" i="2" a="1"/>
  <c r="T295" i="2" s="1"/>
  <c r="T296" i="2" a="1"/>
  <c r="T296" i="2" s="1"/>
  <c r="T297" i="2" a="1"/>
  <c r="T297" i="2" s="1"/>
  <c r="T298" i="2" a="1"/>
  <c r="T298" i="2" s="1"/>
  <c r="T299" i="2" a="1"/>
  <c r="T299" i="2" s="1"/>
  <c r="T300" i="2" a="1"/>
  <c r="T300" i="2" s="1"/>
  <c r="T301" i="2" a="1"/>
  <c r="T301" i="2" s="1"/>
  <c r="T302" i="2" a="1"/>
  <c r="T302" i="2" s="1"/>
  <c r="T303" i="2" a="1"/>
  <c r="T303" i="2" s="1"/>
  <c r="T304" i="2" a="1"/>
  <c r="T304" i="2" s="1"/>
  <c r="T305" i="2" a="1"/>
  <c r="T305" i="2" s="1"/>
  <c r="T306" i="2" a="1"/>
  <c r="T306" i="2" s="1"/>
  <c r="T307" i="2" a="1"/>
  <c r="T307" i="2" s="1"/>
  <c r="T308" i="2" a="1"/>
  <c r="T308" i="2" s="1"/>
  <c r="T309" i="2" a="1"/>
  <c r="T309" i="2" s="1"/>
  <c r="T310" i="2" a="1"/>
  <c r="T310" i="2" s="1"/>
  <c r="T311" i="2" a="1"/>
  <c r="T311" i="2" s="1"/>
  <c r="T312" i="2" a="1"/>
  <c r="T312" i="2" s="1"/>
  <c r="T313" i="2" a="1"/>
  <c r="T313" i="2" s="1"/>
  <c r="T314" i="2" a="1"/>
  <c r="T314" i="2" s="1"/>
  <c r="T315" i="2" a="1"/>
  <c r="T315" i="2" s="1"/>
  <c r="T316" i="2" a="1"/>
  <c r="T316" i="2" s="1"/>
  <c r="T317" i="2" a="1"/>
  <c r="T317" i="2" s="1"/>
  <c r="T318" i="2" a="1"/>
  <c r="T318" i="2" s="1"/>
  <c r="T319" i="2" a="1"/>
  <c r="T319" i="2" s="1"/>
  <c r="T320" i="2" a="1"/>
  <c r="T320" i="2" s="1"/>
  <c r="T321" i="2" a="1"/>
  <c r="T321" i="2" s="1"/>
  <c r="T322" i="2" a="1"/>
  <c r="T322" i="2" s="1"/>
  <c r="T323" i="2" a="1"/>
  <c r="T323" i="2" s="1"/>
  <c r="T324" i="2" a="1"/>
  <c r="T324" i="2" s="1"/>
  <c r="T325" i="2" a="1"/>
  <c r="T325" i="2" s="1"/>
  <c r="T326" i="2" a="1"/>
  <c r="T326" i="2" s="1"/>
  <c r="T327" i="2" a="1"/>
  <c r="T327" i="2" s="1"/>
  <c r="T328" i="2" a="1"/>
  <c r="T328" i="2" s="1"/>
  <c r="T329" i="2" a="1"/>
  <c r="T329" i="2" s="1"/>
  <c r="T330" i="2" a="1"/>
  <c r="T330" i="2" s="1"/>
  <c r="T331" i="2" a="1"/>
  <c r="T331" i="2" s="1"/>
  <c r="T332" i="2" a="1"/>
  <c r="T332" i="2" s="1"/>
  <c r="T333" i="2" a="1"/>
  <c r="T333" i="2" s="1"/>
  <c r="T334" i="2" a="1"/>
  <c r="T334" i="2" s="1"/>
  <c r="T335" i="2" a="1"/>
  <c r="T335" i="2" s="1"/>
  <c r="T336" i="2" a="1"/>
  <c r="T336" i="2" s="1"/>
  <c r="T337" i="2" a="1"/>
  <c r="T337" i="2" s="1"/>
  <c r="T338" i="2" a="1"/>
  <c r="T338" i="2" s="1"/>
  <c r="T339" i="2" a="1"/>
  <c r="T339" i="2" s="1"/>
  <c r="T340" i="2" a="1"/>
  <c r="T340" i="2" s="1"/>
  <c r="T341" i="2" a="1"/>
  <c r="T341" i="2" s="1"/>
  <c r="T342" i="2" a="1"/>
  <c r="T342" i="2" s="1"/>
  <c r="T343" i="2" a="1"/>
  <c r="T343" i="2" s="1"/>
  <c r="T344" i="2" a="1"/>
  <c r="T344" i="2" s="1"/>
  <c r="T345" i="2" a="1"/>
  <c r="T345" i="2" s="1"/>
  <c r="T346" i="2" a="1"/>
  <c r="T346" i="2" s="1"/>
  <c r="T347" i="2" a="1"/>
  <c r="T347" i="2" s="1"/>
  <c r="T348" i="2" a="1"/>
  <c r="T348" i="2" s="1"/>
  <c r="T349" i="2" a="1"/>
  <c r="T349" i="2" s="1"/>
  <c r="T350" i="2" a="1"/>
  <c r="T350" i="2" s="1"/>
  <c r="T351" i="2" a="1"/>
  <c r="T351" i="2" s="1"/>
  <c r="T352" i="2" a="1"/>
  <c r="T352" i="2" s="1"/>
  <c r="T353" i="2" a="1"/>
  <c r="T353" i="2" s="1"/>
  <c r="T354" i="2" a="1"/>
  <c r="T354" i="2" s="1"/>
  <c r="T355" i="2" a="1"/>
  <c r="T355" i="2" s="1"/>
  <c r="T356" i="2" a="1"/>
  <c r="T356" i="2" s="1"/>
  <c r="T357" i="2" a="1"/>
  <c r="T357" i="2" s="1"/>
  <c r="T358" i="2" a="1"/>
  <c r="T358" i="2" s="1"/>
  <c r="T359" i="2" a="1"/>
  <c r="T359" i="2" s="1"/>
  <c r="T360" i="2" a="1"/>
  <c r="T360" i="2" s="1"/>
  <c r="T361" i="2" a="1"/>
  <c r="T361" i="2" s="1"/>
  <c r="T362" i="2" a="1"/>
  <c r="T362" i="2" s="1"/>
  <c r="T363" i="2" a="1"/>
  <c r="T363" i="2" s="1"/>
  <c r="T364" i="2" a="1"/>
  <c r="T364" i="2" s="1"/>
  <c r="T365" i="2" a="1"/>
  <c r="T365" i="2" s="1"/>
  <c r="T366" i="2" a="1"/>
  <c r="T366" i="2" s="1"/>
  <c r="T367" i="2" a="1"/>
  <c r="T367" i="2" s="1"/>
  <c r="T368" i="2" a="1"/>
  <c r="T368" i="2" s="1"/>
  <c r="T369" i="2" a="1"/>
  <c r="T369" i="2" s="1"/>
  <c r="T370" i="2" a="1"/>
  <c r="T370" i="2" s="1"/>
  <c r="T371" i="2" a="1"/>
  <c r="T371" i="2" s="1"/>
  <c r="T372" i="2" a="1"/>
  <c r="T372" i="2" s="1"/>
  <c r="T373" i="2" a="1"/>
  <c r="T373" i="2" s="1"/>
  <c r="T374" i="2" a="1"/>
  <c r="T374" i="2" s="1"/>
  <c r="T375" i="2" a="1"/>
  <c r="T375" i="2" s="1"/>
  <c r="T376" i="2" a="1"/>
  <c r="T376" i="2" s="1"/>
  <c r="T377" i="2" a="1"/>
  <c r="T377" i="2" s="1"/>
  <c r="T378" i="2" a="1"/>
  <c r="T378" i="2" s="1"/>
  <c r="T379" i="2" a="1"/>
  <c r="T379" i="2" s="1"/>
  <c r="T380" i="2" a="1"/>
  <c r="T380" i="2" s="1"/>
  <c r="T381" i="2" a="1"/>
  <c r="T381" i="2" s="1"/>
  <c r="T382" i="2" a="1"/>
  <c r="T382" i="2" s="1"/>
  <c r="T383" i="2" a="1"/>
  <c r="T383" i="2" s="1"/>
  <c r="T384" i="2" a="1"/>
  <c r="T384" i="2" s="1"/>
  <c r="T385" i="2" a="1"/>
  <c r="T385" i="2" s="1"/>
  <c r="T386" i="2" a="1"/>
  <c r="T386" i="2" s="1"/>
  <c r="T387" i="2" a="1"/>
  <c r="T387" i="2" s="1"/>
  <c r="T388" i="2" a="1"/>
  <c r="T388" i="2" s="1"/>
  <c r="T389" i="2" a="1"/>
  <c r="T389" i="2" s="1"/>
  <c r="T390" i="2" a="1"/>
  <c r="T390" i="2" s="1"/>
  <c r="T391" i="2" a="1"/>
  <c r="T391" i="2" s="1"/>
  <c r="T392" i="2" a="1"/>
  <c r="T392" i="2" s="1"/>
  <c r="T393" i="2" a="1"/>
  <c r="T393" i="2" s="1"/>
  <c r="T394" i="2" a="1"/>
  <c r="T394" i="2" s="1"/>
  <c r="T395" i="2" a="1"/>
  <c r="T395" i="2" s="1"/>
  <c r="T396" i="2" a="1"/>
  <c r="T396" i="2" s="1"/>
  <c r="T397" i="2" a="1"/>
  <c r="T397" i="2" s="1"/>
  <c r="T398" i="2" a="1"/>
  <c r="T398" i="2" s="1"/>
  <c r="T399" i="2" a="1"/>
  <c r="T399" i="2" s="1"/>
  <c r="T400" i="2" a="1"/>
  <c r="T400" i="2" s="1"/>
  <c r="T401" i="2" a="1"/>
  <c r="T401" i="2" s="1"/>
  <c r="T402" i="2" a="1"/>
  <c r="T402" i="2" s="1"/>
  <c r="T403" i="2" a="1"/>
  <c r="T403" i="2" s="1"/>
  <c r="T404" i="2" a="1"/>
  <c r="T404" i="2" s="1"/>
  <c r="T405" i="2" a="1"/>
  <c r="T405" i="2" s="1"/>
  <c r="T406" i="2" a="1"/>
  <c r="T406" i="2" s="1"/>
  <c r="T407" i="2" a="1"/>
  <c r="T407" i="2" s="1"/>
  <c r="T408" i="2" a="1"/>
  <c r="T408" i="2" s="1"/>
  <c r="T409" i="2" a="1"/>
  <c r="T409" i="2" s="1"/>
  <c r="T410" i="2" a="1"/>
  <c r="T410" i="2" s="1"/>
  <c r="T411" i="2" a="1"/>
  <c r="T411" i="2" s="1"/>
  <c r="T412" i="2" a="1"/>
  <c r="T412" i="2" s="1"/>
  <c r="T413" i="2" a="1"/>
  <c r="T413" i="2" s="1"/>
  <c r="T414" i="2" a="1"/>
  <c r="T414" i="2" s="1"/>
  <c r="T415" i="2" a="1"/>
  <c r="T415" i="2" s="1"/>
  <c r="T416" i="2" a="1"/>
  <c r="T416" i="2" s="1"/>
  <c r="T417" i="2" a="1"/>
  <c r="T417" i="2" s="1"/>
  <c r="T418" i="2" a="1"/>
  <c r="T418" i="2" s="1"/>
  <c r="T419" i="2" a="1"/>
  <c r="T419" i="2" s="1"/>
  <c r="T420" i="2" a="1"/>
  <c r="T420" i="2" s="1"/>
  <c r="T421" i="2" a="1"/>
  <c r="T421" i="2" s="1"/>
  <c r="T422" i="2" a="1"/>
  <c r="T422" i="2" s="1"/>
  <c r="T423" i="2" a="1"/>
  <c r="T423" i="2" s="1"/>
  <c r="T424" i="2" a="1"/>
  <c r="T424" i="2" s="1"/>
  <c r="T425" i="2" a="1"/>
  <c r="T425" i="2" s="1"/>
  <c r="T426" i="2" a="1"/>
  <c r="T426" i="2" s="1"/>
  <c r="T427" i="2" a="1"/>
  <c r="T427" i="2" s="1"/>
  <c r="T428" i="2" a="1"/>
  <c r="T428" i="2" s="1"/>
  <c r="T429" i="2" a="1"/>
  <c r="T429" i="2" s="1"/>
  <c r="T430" i="2" a="1"/>
  <c r="T430" i="2" s="1"/>
  <c r="T431" i="2" a="1"/>
  <c r="T431" i="2" s="1"/>
  <c r="T432" i="2" a="1"/>
  <c r="T432" i="2" s="1"/>
  <c r="T433" i="2" a="1"/>
  <c r="T433" i="2" s="1"/>
  <c r="T434" i="2" a="1"/>
  <c r="T434" i="2" s="1"/>
  <c r="T435" i="2" a="1"/>
  <c r="T435" i="2" s="1"/>
  <c r="T436" i="2" a="1"/>
  <c r="T436" i="2" s="1"/>
  <c r="T437" i="2" a="1"/>
  <c r="T437" i="2" s="1"/>
  <c r="T438" i="2" a="1"/>
  <c r="T438" i="2" s="1"/>
  <c r="T439" i="2" a="1"/>
  <c r="T439" i="2" s="1"/>
  <c r="T440" i="2" a="1"/>
  <c r="T440" i="2" s="1"/>
  <c r="T441" i="2" a="1"/>
  <c r="T441" i="2" s="1"/>
  <c r="T442" i="2" a="1"/>
  <c r="T442" i="2" s="1"/>
  <c r="T443" i="2" a="1"/>
  <c r="T443" i="2" s="1"/>
  <c r="T444" i="2" a="1"/>
  <c r="T444" i="2" s="1"/>
  <c r="T445" i="2" a="1"/>
  <c r="T445" i="2" s="1"/>
  <c r="T446" i="2" a="1"/>
  <c r="T446" i="2" s="1"/>
  <c r="T447" i="2" a="1"/>
  <c r="T447" i="2" s="1"/>
  <c r="T448" i="2" a="1"/>
  <c r="T448" i="2" s="1"/>
  <c r="T449" i="2" a="1"/>
  <c r="T449" i="2" s="1"/>
  <c r="T450" i="2" a="1"/>
  <c r="T450" i="2" s="1"/>
  <c r="T451" i="2" a="1"/>
  <c r="T451" i="2" s="1"/>
  <c r="T452" i="2" a="1"/>
  <c r="T452" i="2" s="1"/>
  <c r="T453" i="2" a="1"/>
  <c r="T453" i="2" s="1"/>
  <c r="T454" i="2" a="1"/>
  <c r="T454" i="2" s="1"/>
  <c r="T455" i="2" a="1"/>
  <c r="T455" i="2" s="1"/>
  <c r="T456" i="2" a="1"/>
  <c r="T456" i="2" s="1"/>
  <c r="T457" i="2" a="1"/>
  <c r="T457" i="2" s="1"/>
  <c r="T458" i="2" a="1"/>
  <c r="T458" i="2" s="1"/>
  <c r="T459" i="2" a="1"/>
  <c r="T459" i="2" s="1"/>
  <c r="T460" i="2" a="1"/>
  <c r="T460" i="2" s="1"/>
  <c r="T461" i="2" a="1"/>
  <c r="T461" i="2" s="1"/>
  <c r="T462" i="2" a="1"/>
  <c r="T462" i="2" s="1"/>
  <c r="T463" i="2" a="1"/>
  <c r="T463" i="2" s="1"/>
  <c r="T464" i="2" a="1"/>
  <c r="T464" i="2" s="1"/>
  <c r="T465" i="2" a="1"/>
  <c r="T465" i="2" s="1"/>
  <c r="T466" i="2" a="1"/>
  <c r="T466" i="2" s="1"/>
  <c r="T467" i="2" a="1"/>
  <c r="T467" i="2" s="1"/>
  <c r="T468" i="2" a="1"/>
  <c r="T468" i="2" s="1"/>
  <c r="T469" i="2" a="1"/>
  <c r="T469" i="2" s="1"/>
  <c r="T470" i="2" a="1"/>
  <c r="T470" i="2" s="1"/>
  <c r="T471" i="2" a="1"/>
  <c r="T471" i="2" s="1"/>
  <c r="T472" i="2" a="1"/>
  <c r="T472" i="2" s="1"/>
  <c r="T473" i="2" a="1"/>
  <c r="T473" i="2" s="1"/>
  <c r="T474" i="2" a="1"/>
  <c r="T474" i="2" s="1"/>
  <c r="T475" i="2" a="1"/>
  <c r="T475" i="2" s="1"/>
  <c r="T476" i="2" a="1"/>
  <c r="T476" i="2" s="1"/>
  <c r="T477" i="2" a="1"/>
  <c r="T477" i="2" s="1"/>
  <c r="T478" i="2" a="1"/>
  <c r="T478" i="2" s="1"/>
  <c r="T479" i="2" a="1"/>
  <c r="T479" i="2" s="1"/>
  <c r="T480" i="2" a="1"/>
  <c r="T480" i="2" s="1"/>
  <c r="T481" i="2" a="1"/>
  <c r="T481" i="2" s="1"/>
  <c r="T482" i="2" a="1"/>
  <c r="T482" i="2" s="1"/>
  <c r="T483" i="2" a="1"/>
  <c r="T483" i="2" s="1"/>
  <c r="T484" i="2" a="1"/>
  <c r="T484" i="2" s="1"/>
  <c r="T485" i="2" a="1"/>
  <c r="T485" i="2" s="1"/>
  <c r="T486" i="2" a="1"/>
  <c r="T486" i="2" s="1"/>
  <c r="T487" i="2" a="1"/>
  <c r="T487" i="2" s="1"/>
  <c r="T488" i="2" a="1"/>
  <c r="T488" i="2" s="1"/>
  <c r="T489" i="2" a="1"/>
  <c r="T489" i="2" s="1"/>
  <c r="T490" i="2" a="1"/>
  <c r="T490" i="2" s="1"/>
  <c r="T491" i="2" a="1"/>
  <c r="T491" i="2" s="1"/>
  <c r="T492" i="2" a="1"/>
  <c r="T492" i="2" s="1"/>
  <c r="T493" i="2" a="1"/>
  <c r="T493" i="2" s="1"/>
  <c r="T494" i="2" a="1"/>
  <c r="T494" i="2" s="1"/>
  <c r="T495" i="2" a="1"/>
  <c r="T495" i="2" s="1"/>
  <c r="T496" i="2" a="1"/>
  <c r="T496" i="2" s="1"/>
  <c r="T497" i="2" a="1"/>
  <c r="T497" i="2" s="1"/>
  <c r="T498" i="2" a="1"/>
  <c r="T498" i="2" s="1"/>
  <c r="T499" i="2" a="1"/>
  <c r="T499" i="2" s="1"/>
  <c r="T500" i="2" a="1"/>
  <c r="T500" i="2" s="1"/>
  <c r="T501" i="2" a="1"/>
  <c r="T501" i="2" s="1"/>
  <c r="T502" i="2" a="1"/>
  <c r="T502" i="2" s="1"/>
  <c r="T503" i="2" a="1"/>
  <c r="T503" i="2" s="1"/>
  <c r="T504" i="2" a="1"/>
  <c r="T504" i="2" s="1"/>
  <c r="T505" i="2" a="1"/>
  <c r="T505" i="2" s="1"/>
  <c r="T506" i="2" a="1"/>
  <c r="T506" i="2" s="1"/>
  <c r="T507" i="2" a="1"/>
  <c r="T507" i="2" s="1"/>
  <c r="T508" i="2" a="1"/>
  <c r="T508" i="2" s="1"/>
  <c r="T509" i="2" a="1"/>
  <c r="T509" i="2" s="1"/>
  <c r="T510" i="2" a="1"/>
  <c r="T510" i="2" s="1"/>
  <c r="T511" i="2" a="1"/>
  <c r="T511" i="2" s="1"/>
  <c r="T512" i="2" a="1"/>
  <c r="T512" i="2" s="1"/>
  <c r="T513" i="2" a="1"/>
  <c r="T513" i="2" s="1"/>
  <c r="T514" i="2" a="1"/>
  <c r="T514" i="2" s="1"/>
  <c r="T515" i="2" a="1"/>
  <c r="T515" i="2" s="1"/>
  <c r="T516" i="2" a="1"/>
  <c r="T516" i="2" s="1"/>
  <c r="T517" i="2" a="1"/>
  <c r="T517" i="2" s="1"/>
  <c r="T518" i="2" a="1"/>
  <c r="T518" i="2" s="1"/>
  <c r="T519" i="2" a="1"/>
  <c r="T519" i="2" s="1"/>
  <c r="T520" i="2" a="1"/>
  <c r="T520" i="2" s="1"/>
  <c r="T521" i="2" a="1"/>
  <c r="T521" i="2" s="1"/>
  <c r="T522" i="2" a="1"/>
  <c r="T522" i="2" s="1"/>
  <c r="T523" i="2" a="1"/>
  <c r="T523" i="2" s="1"/>
  <c r="T524" i="2" a="1"/>
  <c r="T524" i="2" s="1"/>
  <c r="T525" i="2" a="1"/>
  <c r="T525" i="2" s="1"/>
  <c r="T526" i="2" a="1"/>
  <c r="T526" i="2" s="1"/>
  <c r="T527" i="2" a="1"/>
  <c r="T527" i="2" s="1"/>
  <c r="T528" i="2" a="1"/>
  <c r="T528" i="2" s="1"/>
  <c r="T529" i="2" a="1"/>
  <c r="T529" i="2" s="1"/>
  <c r="T530" i="2" a="1"/>
  <c r="T530" i="2" s="1"/>
  <c r="T531" i="2" a="1"/>
  <c r="T531" i="2" s="1"/>
  <c r="T532" i="2" a="1"/>
  <c r="T532" i="2" s="1"/>
  <c r="T533" i="2" a="1"/>
  <c r="T533" i="2" s="1"/>
  <c r="T534" i="2" a="1"/>
  <c r="T534" i="2" s="1"/>
  <c r="T535" i="2" a="1"/>
  <c r="T535" i="2" s="1"/>
  <c r="T536" i="2" a="1"/>
  <c r="T536" i="2" s="1"/>
  <c r="T537" i="2" a="1"/>
  <c r="T537" i="2" s="1"/>
  <c r="T538" i="2" a="1"/>
  <c r="T538" i="2" s="1"/>
  <c r="T539" i="2" a="1"/>
  <c r="T539" i="2" s="1"/>
  <c r="T540" i="2" a="1"/>
  <c r="T540" i="2" s="1"/>
  <c r="T541" i="2" a="1"/>
  <c r="T541" i="2" s="1"/>
  <c r="T542" i="2" a="1"/>
  <c r="T542" i="2" s="1"/>
  <c r="T543" i="2" a="1"/>
  <c r="T543" i="2" s="1"/>
  <c r="T544" i="2" a="1"/>
  <c r="T544" i="2" s="1"/>
  <c r="T545" i="2" a="1"/>
  <c r="T545" i="2" s="1"/>
  <c r="T546" i="2" a="1"/>
  <c r="T546" i="2" s="1"/>
  <c r="T547" i="2" a="1"/>
  <c r="T547" i="2" s="1"/>
  <c r="T548" i="2" a="1"/>
  <c r="T548" i="2" s="1"/>
  <c r="T549" i="2" a="1"/>
  <c r="T549" i="2" s="1"/>
  <c r="T550" i="2" a="1"/>
  <c r="T550" i="2"/>
  <c r="T551" i="2" a="1"/>
  <c r="T551" i="2" s="1"/>
  <c r="T552" i="2" a="1"/>
  <c r="T552" i="2" s="1"/>
  <c r="T553" i="2" a="1"/>
  <c r="T553" i="2" s="1"/>
  <c r="T554" i="2" a="1"/>
  <c r="T554" i="2" s="1"/>
  <c r="T555" i="2" a="1"/>
  <c r="T555" i="2" s="1"/>
  <c r="T556" i="2" a="1"/>
  <c r="T556" i="2" s="1"/>
  <c r="T557" i="2" a="1"/>
  <c r="T557" i="2" s="1"/>
  <c r="T558" i="2" a="1"/>
  <c r="T558" i="2" s="1"/>
  <c r="T559" i="2" a="1"/>
  <c r="T559" i="2" s="1"/>
  <c r="T560" i="2" a="1"/>
  <c r="T560" i="2" s="1"/>
  <c r="T561" i="2" a="1"/>
  <c r="T561" i="2" s="1"/>
  <c r="T562" i="2" a="1"/>
  <c r="T562" i="2" s="1"/>
  <c r="T563" i="2" a="1"/>
  <c r="T563" i="2" s="1"/>
  <c r="T564" i="2" a="1"/>
  <c r="T564" i="2" s="1"/>
  <c r="T565" i="2" a="1"/>
  <c r="T565" i="2" s="1"/>
  <c r="T566" i="2" a="1"/>
  <c r="T566" i="2" s="1"/>
  <c r="T567" i="2" a="1"/>
  <c r="T567" i="2" s="1"/>
  <c r="T568" i="2" a="1"/>
  <c r="T568" i="2" s="1"/>
  <c r="T569" i="2" a="1"/>
  <c r="T569" i="2" s="1"/>
  <c r="T570" i="2" a="1"/>
  <c r="T570" i="2" s="1"/>
  <c r="T571" i="2" a="1"/>
  <c r="T571" i="2" s="1"/>
  <c r="T572" i="2" a="1"/>
  <c r="T572" i="2" s="1"/>
  <c r="T573" i="2" a="1"/>
  <c r="T573" i="2" s="1"/>
  <c r="T574" i="2" a="1"/>
  <c r="T574" i="2" s="1"/>
  <c r="T575" i="2" a="1"/>
  <c r="T575" i="2" s="1"/>
  <c r="T576" i="2" a="1"/>
  <c r="T576" i="2" s="1"/>
  <c r="T577" i="2" a="1"/>
  <c r="T577" i="2" s="1"/>
  <c r="T578" i="2" a="1"/>
  <c r="T578" i="2" s="1"/>
  <c r="T579" i="2" a="1"/>
  <c r="T579" i="2" s="1"/>
  <c r="T580" i="2" a="1"/>
  <c r="T580" i="2" s="1"/>
  <c r="T581" i="2" a="1"/>
  <c r="T581" i="2" s="1"/>
  <c r="T582" i="2" a="1"/>
  <c r="T582" i="2" s="1"/>
  <c r="T583" i="2" a="1"/>
  <c r="T583" i="2" s="1"/>
  <c r="T584" i="2" a="1"/>
  <c r="T584" i="2" s="1"/>
  <c r="T585" i="2" a="1"/>
  <c r="T585" i="2" s="1"/>
  <c r="T586" i="2" a="1"/>
  <c r="T586" i="2" s="1"/>
  <c r="T587" i="2" a="1"/>
  <c r="T587" i="2" s="1"/>
  <c r="T588" i="2" a="1"/>
  <c r="T588" i="2" s="1"/>
  <c r="T589" i="2" a="1"/>
  <c r="T589" i="2" s="1"/>
  <c r="T590" i="2" a="1"/>
  <c r="T590" i="2" s="1"/>
  <c r="T591" i="2" a="1"/>
  <c r="T591" i="2" s="1"/>
  <c r="T592" i="2" a="1"/>
  <c r="T592" i="2" s="1"/>
  <c r="T593" i="2" a="1"/>
  <c r="T593" i="2" s="1"/>
  <c r="T594" i="2" a="1"/>
  <c r="T594" i="2" s="1"/>
  <c r="T595" i="2" a="1"/>
  <c r="T595" i="2" s="1"/>
  <c r="T596" i="2" a="1"/>
  <c r="T596" i="2" s="1"/>
  <c r="T597" i="2" a="1"/>
  <c r="T597" i="2" s="1"/>
  <c r="T598" i="2" a="1"/>
  <c r="T598" i="2" s="1"/>
  <c r="T599" i="2" a="1"/>
  <c r="T599" i="2" s="1"/>
  <c r="T600" i="2" a="1"/>
  <c r="T600" i="2" s="1"/>
  <c r="T601" i="2" a="1"/>
  <c r="T601" i="2" s="1"/>
  <c r="T602" i="2" a="1"/>
  <c r="T602" i="2" s="1"/>
  <c r="T603" i="2" a="1"/>
  <c r="T603" i="2" s="1"/>
  <c r="T604" i="2" a="1"/>
  <c r="T604" i="2" s="1"/>
  <c r="T605" i="2" a="1"/>
  <c r="T605" i="2" s="1"/>
  <c r="T606" i="2" a="1"/>
  <c r="T606" i="2" s="1"/>
  <c r="T607" i="2" a="1"/>
  <c r="T607" i="2" s="1"/>
  <c r="T608" i="2" a="1"/>
  <c r="T608" i="2" s="1"/>
  <c r="T609" i="2" a="1"/>
  <c r="T609" i="2" s="1"/>
  <c r="T610" i="2" a="1"/>
  <c r="T610" i="2" s="1"/>
  <c r="T611" i="2" a="1"/>
  <c r="T611" i="2" s="1"/>
  <c r="T612" i="2" a="1"/>
  <c r="T612" i="2" s="1"/>
  <c r="T613" i="2" a="1"/>
  <c r="T613" i="2" s="1"/>
  <c r="T614" i="2" a="1"/>
  <c r="T614" i="2" s="1"/>
  <c r="T615" i="2" a="1"/>
  <c r="T615" i="2" s="1"/>
  <c r="T616" i="2" a="1"/>
  <c r="T616" i="2" s="1"/>
  <c r="T617" i="2" a="1"/>
  <c r="T617" i="2" s="1"/>
  <c r="T618" i="2" a="1"/>
  <c r="T618" i="2" s="1"/>
  <c r="T619" i="2" a="1"/>
  <c r="T619" i="2" s="1"/>
  <c r="T620" i="2" a="1"/>
  <c r="T620" i="2" s="1"/>
  <c r="T621" i="2" a="1"/>
  <c r="T621" i="2" s="1"/>
  <c r="T622" i="2" a="1"/>
  <c r="T622" i="2" s="1"/>
  <c r="T623" i="2" a="1"/>
  <c r="T623" i="2" s="1"/>
  <c r="T624" i="2" a="1"/>
  <c r="T624" i="2" s="1"/>
  <c r="T625" i="2" a="1"/>
  <c r="T625" i="2" s="1"/>
  <c r="T626" i="2" a="1"/>
  <c r="T626" i="2" s="1"/>
  <c r="T627" i="2" a="1"/>
  <c r="T627" i="2" s="1"/>
  <c r="T628" i="2" a="1"/>
  <c r="T628" i="2" s="1"/>
  <c r="T629" i="2" a="1"/>
  <c r="T629" i="2" s="1"/>
  <c r="T630" i="2" a="1"/>
  <c r="T630" i="2" s="1"/>
  <c r="T631" i="2" a="1"/>
  <c r="T631" i="2" s="1"/>
  <c r="T632" i="2" a="1"/>
  <c r="T632" i="2" s="1"/>
  <c r="T633" i="2" a="1"/>
  <c r="T633" i="2" s="1"/>
  <c r="T634" i="2" a="1"/>
  <c r="T634" i="2" s="1"/>
  <c r="T635" i="2" a="1"/>
  <c r="T635" i="2" s="1"/>
  <c r="T636" i="2" a="1"/>
  <c r="T636" i="2" s="1"/>
  <c r="T637" i="2" a="1"/>
  <c r="T637" i="2" s="1"/>
  <c r="T638" i="2" a="1"/>
  <c r="T638" i="2" s="1"/>
  <c r="T639" i="2" a="1"/>
  <c r="T639" i="2" s="1"/>
  <c r="T640" i="2" a="1"/>
  <c r="T640" i="2" s="1"/>
  <c r="T641" i="2" a="1"/>
  <c r="T641" i="2" s="1"/>
  <c r="T642" i="2" a="1"/>
  <c r="T642" i="2" s="1"/>
  <c r="T643" i="2" a="1"/>
  <c r="T643" i="2" s="1"/>
  <c r="T644" i="2" a="1"/>
  <c r="T644" i="2" s="1"/>
  <c r="T645" i="2" a="1"/>
  <c r="T645" i="2" s="1"/>
  <c r="T646" i="2" a="1"/>
  <c r="T646" i="2" s="1"/>
  <c r="T647" i="2" a="1"/>
  <c r="T647" i="2" s="1"/>
  <c r="T648" i="2" a="1"/>
  <c r="T648" i="2" s="1"/>
  <c r="T649" i="2" a="1"/>
  <c r="T649" i="2" s="1"/>
  <c r="T650" i="2" a="1"/>
  <c r="T650" i="2" s="1"/>
  <c r="T651" i="2" a="1"/>
  <c r="T651" i="2" s="1"/>
  <c r="T652" i="2" a="1"/>
  <c r="T652" i="2" s="1"/>
  <c r="T653" i="2" a="1"/>
  <c r="T653" i="2" s="1"/>
  <c r="T654" i="2" a="1"/>
  <c r="T654" i="2" s="1"/>
  <c r="T655" i="2" a="1"/>
  <c r="T655" i="2" s="1"/>
  <c r="T656" i="2" a="1"/>
  <c r="T656" i="2" s="1"/>
  <c r="T657" i="2" a="1"/>
  <c r="T657" i="2" s="1"/>
  <c r="T658" i="2" a="1"/>
  <c r="T658" i="2" s="1"/>
  <c r="T659" i="2" a="1"/>
  <c r="T659" i="2" s="1"/>
  <c r="T660" i="2" a="1"/>
  <c r="T660" i="2" s="1"/>
  <c r="T661" i="2" a="1"/>
  <c r="T661" i="2" s="1"/>
  <c r="T662" i="2" a="1"/>
  <c r="T662" i="2" s="1"/>
  <c r="T663" i="2" a="1"/>
  <c r="T663" i="2" s="1"/>
  <c r="T664" i="2" a="1"/>
  <c r="T664" i="2" s="1"/>
  <c r="T665" i="2" a="1"/>
  <c r="T665" i="2" s="1"/>
  <c r="T666" i="2" a="1"/>
  <c r="T666" i="2" s="1"/>
  <c r="T667" i="2" a="1"/>
  <c r="T667" i="2" s="1"/>
  <c r="T668" i="2" a="1"/>
  <c r="T668" i="2" s="1"/>
  <c r="T669" i="2" a="1"/>
  <c r="T669" i="2" s="1"/>
  <c r="T670" i="2" a="1"/>
  <c r="T670" i="2" s="1"/>
  <c r="T671" i="2" a="1"/>
  <c r="T671" i="2" s="1"/>
  <c r="T672" i="2" a="1"/>
  <c r="T672" i="2" s="1"/>
  <c r="T673" i="2" a="1"/>
  <c r="T673" i="2" s="1"/>
  <c r="T674" i="2" a="1"/>
  <c r="T674" i="2" s="1"/>
  <c r="T675" i="2" a="1"/>
  <c r="T675" i="2" s="1"/>
  <c r="T676" i="2" a="1"/>
  <c r="T676" i="2" s="1"/>
  <c r="T677" i="2" a="1"/>
  <c r="T677" i="2" s="1"/>
  <c r="T678" i="2" a="1"/>
  <c r="T678" i="2" s="1"/>
  <c r="T679" i="2" a="1"/>
  <c r="T679" i="2" s="1"/>
  <c r="T680" i="2" a="1"/>
  <c r="T680" i="2" s="1"/>
  <c r="T681" i="2" a="1"/>
  <c r="T681" i="2" s="1"/>
  <c r="T682" i="2" a="1"/>
  <c r="T682" i="2" s="1"/>
  <c r="T683" i="2" a="1"/>
  <c r="T683" i="2" s="1"/>
  <c r="T684" i="2" a="1"/>
  <c r="T684" i="2" s="1"/>
  <c r="T685" i="2" a="1"/>
  <c r="T685" i="2" s="1"/>
  <c r="T686" i="2" a="1"/>
  <c r="T686" i="2" s="1"/>
  <c r="T687" i="2" a="1"/>
  <c r="T687" i="2" s="1"/>
  <c r="T688" i="2" a="1"/>
  <c r="T688" i="2" s="1"/>
  <c r="T689" i="2" a="1"/>
  <c r="T689" i="2" s="1"/>
  <c r="T690" i="2" a="1"/>
  <c r="T690" i="2" s="1"/>
  <c r="T691" i="2" a="1"/>
  <c r="T691" i="2" s="1"/>
  <c r="T692" i="2" a="1"/>
  <c r="T692" i="2" s="1"/>
  <c r="T693" i="2" a="1"/>
  <c r="T693" i="2" s="1"/>
  <c r="T694" i="2" a="1"/>
  <c r="T694" i="2" s="1"/>
  <c r="T695" i="2" a="1"/>
  <c r="T695" i="2" s="1"/>
  <c r="T696" i="2" a="1"/>
  <c r="T696" i="2" s="1"/>
  <c r="T697" i="2" a="1"/>
  <c r="T697" i="2" s="1"/>
  <c r="T698" i="2" a="1"/>
  <c r="T698" i="2" s="1"/>
  <c r="T699" i="2" a="1"/>
  <c r="T699" i="2" s="1"/>
  <c r="T700" i="2" a="1"/>
  <c r="T700" i="2" s="1"/>
  <c r="T701" i="2" a="1"/>
  <c r="T701" i="2" s="1"/>
  <c r="T702" i="2" a="1"/>
  <c r="T702" i="2" s="1"/>
  <c r="T703" i="2" a="1"/>
  <c r="T703" i="2" s="1"/>
  <c r="T704" i="2" a="1"/>
  <c r="T704" i="2" s="1"/>
  <c r="T705" i="2" a="1"/>
  <c r="T705" i="2" s="1"/>
  <c r="T706" i="2" a="1"/>
  <c r="T706" i="2" s="1"/>
  <c r="T707" i="2" a="1"/>
  <c r="T707" i="2" s="1"/>
  <c r="T708" i="2" a="1"/>
  <c r="T708" i="2" s="1"/>
  <c r="T709" i="2" a="1"/>
  <c r="T709" i="2" s="1"/>
  <c r="T710" i="2" a="1"/>
  <c r="T710" i="2" s="1"/>
  <c r="T711" i="2" a="1"/>
  <c r="T711" i="2" s="1"/>
  <c r="T712" i="2" a="1"/>
  <c r="T712" i="2" s="1"/>
  <c r="T713" i="2" a="1"/>
  <c r="T713" i="2" s="1"/>
  <c r="T714" i="2" a="1"/>
  <c r="T714" i="2" s="1"/>
  <c r="T715" i="2" a="1"/>
  <c r="T715" i="2" s="1"/>
  <c r="T716" i="2" a="1"/>
  <c r="T716" i="2" s="1"/>
  <c r="T717" i="2" a="1"/>
  <c r="T717" i="2" s="1"/>
  <c r="T718" i="2" a="1"/>
  <c r="T718" i="2" s="1"/>
  <c r="T719" i="2" a="1"/>
  <c r="T719" i="2" s="1"/>
  <c r="T720" i="2" a="1"/>
  <c r="T720" i="2" s="1"/>
  <c r="T721" i="2" a="1"/>
  <c r="T721" i="2" s="1"/>
  <c r="T722" i="2" a="1"/>
  <c r="T722" i="2" s="1"/>
  <c r="T723" i="2" a="1"/>
  <c r="T723" i="2" s="1"/>
  <c r="T724" i="2" a="1"/>
  <c r="T724" i="2" s="1"/>
  <c r="T725" i="2" a="1"/>
  <c r="T725" i="2" s="1"/>
  <c r="T726" i="2" a="1"/>
  <c r="T726" i="2" s="1"/>
  <c r="T727" i="2" a="1"/>
  <c r="T727" i="2" s="1"/>
  <c r="T728" i="2" a="1"/>
  <c r="T728" i="2" s="1"/>
  <c r="T729" i="2" a="1"/>
  <c r="T729" i="2" s="1"/>
  <c r="T730" i="2" a="1"/>
  <c r="T730" i="2" s="1"/>
  <c r="T731" i="2" a="1"/>
  <c r="T731" i="2" s="1"/>
  <c r="T732" i="2" a="1"/>
  <c r="T732" i="2" s="1"/>
  <c r="T733" i="2" a="1"/>
  <c r="T733" i="2" s="1"/>
  <c r="T734" i="2" a="1"/>
  <c r="T734" i="2" s="1"/>
  <c r="T735" i="2" a="1"/>
  <c r="T735" i="2" s="1"/>
  <c r="T736" i="2" a="1"/>
  <c r="T736" i="2" s="1"/>
  <c r="T737" i="2" a="1"/>
  <c r="T737" i="2" s="1"/>
  <c r="T738" i="2" a="1"/>
  <c r="T738" i="2" s="1"/>
  <c r="T739" i="2" a="1"/>
  <c r="T739" i="2" s="1"/>
  <c r="T740" i="2" a="1"/>
  <c r="T740" i="2" s="1"/>
  <c r="T741" i="2" a="1"/>
  <c r="T741" i="2" s="1"/>
  <c r="T742" i="2" a="1"/>
  <c r="T742" i="2" s="1"/>
  <c r="T743" i="2" a="1"/>
  <c r="T743" i="2" s="1"/>
  <c r="T744" i="2" a="1"/>
  <c r="T744" i="2" s="1"/>
  <c r="T745" i="2" a="1"/>
  <c r="T745" i="2" s="1"/>
  <c r="T746" i="2" a="1"/>
  <c r="T746" i="2" s="1"/>
  <c r="T747" i="2" a="1"/>
  <c r="T747" i="2" s="1"/>
  <c r="T748" i="2" a="1"/>
  <c r="T748" i="2" s="1"/>
  <c r="T749" i="2" a="1"/>
  <c r="T749" i="2" s="1"/>
  <c r="T750" i="2" a="1"/>
  <c r="T750" i="2" s="1"/>
  <c r="T751" i="2" a="1"/>
  <c r="T751" i="2" s="1"/>
  <c r="T752" i="2" a="1"/>
  <c r="T752" i="2" s="1"/>
  <c r="T753" i="2" a="1"/>
  <c r="T753" i="2" s="1"/>
  <c r="T754" i="2" a="1"/>
  <c r="T754" i="2" s="1"/>
  <c r="T755" i="2" a="1"/>
  <c r="T755" i="2" s="1"/>
  <c r="T756" i="2" a="1"/>
  <c r="T756" i="2" s="1"/>
  <c r="T757" i="2" a="1"/>
  <c r="T757" i="2" s="1"/>
  <c r="T758" i="2" a="1"/>
  <c r="T758" i="2" s="1"/>
  <c r="T759" i="2" a="1"/>
  <c r="T759" i="2" s="1"/>
  <c r="T760" i="2" a="1"/>
  <c r="T760" i="2" s="1"/>
  <c r="T761" i="2" a="1"/>
  <c r="T761" i="2" s="1"/>
  <c r="T762" i="2" a="1"/>
  <c r="T762" i="2" s="1"/>
  <c r="T763" i="2" a="1"/>
  <c r="T763" i="2" s="1"/>
  <c r="T764" i="2" a="1"/>
  <c r="T764" i="2" s="1"/>
  <c r="T765" i="2" a="1"/>
  <c r="T765" i="2" s="1"/>
  <c r="T766" i="2" a="1"/>
  <c r="T766" i="2" s="1"/>
  <c r="T767" i="2" a="1"/>
  <c r="T767" i="2" s="1"/>
  <c r="T768" i="2" a="1"/>
  <c r="T768" i="2" s="1"/>
  <c r="T769" i="2" a="1"/>
  <c r="T769" i="2" s="1"/>
  <c r="T770" i="2" a="1"/>
  <c r="T770" i="2" s="1"/>
  <c r="T771" i="2" a="1"/>
  <c r="T771" i="2" s="1"/>
  <c r="T772" i="2" a="1"/>
  <c r="T772" i="2" s="1"/>
  <c r="T773" i="2" a="1"/>
  <c r="T773" i="2" s="1"/>
  <c r="T774" i="2" a="1"/>
  <c r="T774" i="2" s="1"/>
  <c r="T775" i="2" a="1"/>
  <c r="T775" i="2" s="1"/>
  <c r="T776" i="2" a="1"/>
  <c r="T776" i="2" s="1"/>
  <c r="T777" i="2" a="1"/>
  <c r="T777" i="2" s="1"/>
  <c r="T778" i="2" a="1"/>
  <c r="T778" i="2" s="1"/>
  <c r="T779" i="2" a="1"/>
  <c r="T779" i="2" s="1"/>
  <c r="T780" i="2" a="1"/>
  <c r="T780" i="2" s="1"/>
  <c r="T781" i="2" a="1"/>
  <c r="T781" i="2" s="1"/>
  <c r="T782" i="2" a="1"/>
  <c r="T782" i="2" s="1"/>
  <c r="T783" i="2" a="1"/>
  <c r="T783" i="2" s="1"/>
  <c r="T784" i="2" a="1"/>
  <c r="T784" i="2" s="1"/>
  <c r="T785" i="2" a="1"/>
  <c r="T785" i="2" s="1"/>
  <c r="T786" i="2" a="1"/>
  <c r="T786" i="2" s="1"/>
  <c r="T787" i="2" a="1"/>
  <c r="T787" i="2" s="1"/>
  <c r="T788" i="2" a="1"/>
  <c r="T788" i="2" s="1"/>
  <c r="T789" i="2" a="1"/>
  <c r="T789" i="2" s="1"/>
  <c r="T790" i="2" a="1"/>
  <c r="T790" i="2" s="1"/>
  <c r="T791" i="2" a="1"/>
  <c r="T791" i="2" s="1"/>
  <c r="T792" i="2" a="1"/>
  <c r="T792" i="2" s="1"/>
  <c r="T793" i="2" a="1"/>
  <c r="T793" i="2" s="1"/>
  <c r="T794" i="2" a="1"/>
  <c r="T794" i="2" s="1"/>
  <c r="T795" i="2" a="1"/>
  <c r="T795" i="2" s="1"/>
  <c r="T796" i="2" a="1"/>
  <c r="T796" i="2" s="1"/>
  <c r="T797" i="2" a="1"/>
  <c r="T797" i="2" s="1"/>
  <c r="T798" i="2" a="1"/>
  <c r="T798" i="2" s="1"/>
  <c r="T799" i="2" a="1"/>
  <c r="T799" i="2" s="1"/>
  <c r="T800" i="2" a="1"/>
  <c r="T800" i="2" s="1"/>
  <c r="T801" i="2" a="1"/>
  <c r="T801" i="2" s="1"/>
  <c r="T802" i="2" a="1"/>
  <c r="T802" i="2" s="1"/>
  <c r="T803" i="2" a="1"/>
  <c r="T803" i="2" s="1"/>
  <c r="T804" i="2" a="1"/>
  <c r="T804" i="2" s="1"/>
  <c r="T805" i="2" a="1"/>
  <c r="T805" i="2" s="1"/>
  <c r="T806" i="2" a="1"/>
  <c r="T806" i="2" s="1"/>
  <c r="T807" i="2" a="1"/>
  <c r="T807" i="2" s="1"/>
  <c r="T808" i="2" a="1"/>
  <c r="T808" i="2" s="1"/>
  <c r="T809" i="2" a="1"/>
  <c r="T809" i="2" s="1"/>
  <c r="T810" i="2" a="1"/>
  <c r="T810" i="2" s="1"/>
  <c r="T811" i="2" a="1"/>
  <c r="T811" i="2" s="1"/>
  <c r="T812" i="2" a="1"/>
  <c r="T812" i="2" s="1"/>
  <c r="T813" i="2" a="1"/>
  <c r="T813" i="2" s="1"/>
  <c r="T814" i="2" a="1"/>
  <c r="T814" i="2" s="1"/>
  <c r="T815" i="2" a="1"/>
  <c r="T815" i="2" s="1"/>
  <c r="T816" i="2" a="1"/>
  <c r="T816" i="2" s="1"/>
  <c r="T817" i="2" a="1"/>
  <c r="T817" i="2" s="1"/>
  <c r="T818" i="2" a="1"/>
  <c r="T818" i="2" s="1"/>
  <c r="T819" i="2" a="1"/>
  <c r="T819" i="2" s="1"/>
  <c r="T820" i="2" a="1"/>
  <c r="T820" i="2" s="1"/>
  <c r="T821" i="2" a="1"/>
  <c r="T821" i="2" s="1"/>
  <c r="T822" i="2" a="1"/>
  <c r="T822" i="2" s="1"/>
  <c r="T823" i="2" a="1"/>
  <c r="T823" i="2" s="1"/>
  <c r="T824" i="2" a="1"/>
  <c r="T824" i="2" s="1"/>
  <c r="T825" i="2" a="1"/>
  <c r="T825" i="2" s="1"/>
  <c r="T826" i="2" a="1"/>
  <c r="T826" i="2" s="1"/>
  <c r="T827" i="2" a="1"/>
  <c r="T827" i="2" s="1"/>
  <c r="T828" i="2" a="1"/>
  <c r="T828" i="2" s="1"/>
  <c r="T829" i="2" a="1"/>
  <c r="T829" i="2" s="1"/>
  <c r="T830" i="2" a="1"/>
  <c r="T830" i="2" s="1"/>
  <c r="T831" i="2" a="1"/>
  <c r="T831" i="2" s="1"/>
  <c r="T832" i="2" a="1"/>
  <c r="T832" i="2" s="1"/>
  <c r="T833" i="2" a="1"/>
  <c r="T833" i="2" s="1"/>
  <c r="T834" i="2" a="1"/>
  <c r="T834" i="2" s="1"/>
  <c r="T835" i="2" a="1"/>
  <c r="T835" i="2" s="1"/>
  <c r="T836" i="2" a="1"/>
  <c r="T836" i="2" s="1"/>
  <c r="T837" i="2" a="1"/>
  <c r="T837" i="2" s="1"/>
  <c r="T838" i="2" a="1"/>
  <c r="T838" i="2" s="1"/>
  <c r="T839" i="2" a="1"/>
  <c r="T839" i="2" s="1"/>
  <c r="T840" i="2" a="1"/>
  <c r="T840" i="2" s="1"/>
  <c r="T841" i="2" a="1"/>
  <c r="T841" i="2" s="1"/>
  <c r="T842" i="2" a="1"/>
  <c r="T842" i="2" s="1"/>
  <c r="T843" i="2" a="1"/>
  <c r="T843" i="2" s="1"/>
  <c r="T844" i="2" a="1"/>
  <c r="T844" i="2" s="1"/>
  <c r="T845" i="2" a="1"/>
  <c r="T845" i="2" s="1"/>
  <c r="T846" i="2" a="1"/>
  <c r="T846" i="2" s="1"/>
  <c r="T847" i="2" a="1"/>
  <c r="T847" i="2" s="1"/>
  <c r="T848" i="2" a="1"/>
  <c r="T848" i="2" s="1"/>
  <c r="T849" i="2" a="1"/>
  <c r="T849" i="2" s="1"/>
  <c r="T850" i="2" a="1"/>
  <c r="T850" i="2" s="1"/>
  <c r="T851" i="2" a="1"/>
  <c r="T851" i="2" s="1"/>
  <c r="T852" i="2" a="1"/>
  <c r="T852" i="2" s="1"/>
  <c r="T853" i="2" a="1"/>
  <c r="T853" i="2" s="1"/>
  <c r="T854" i="2" a="1"/>
  <c r="T854" i="2" s="1"/>
  <c r="T855" i="2" a="1"/>
  <c r="T855" i="2" s="1"/>
  <c r="T856" i="2" a="1"/>
  <c r="T856" i="2" s="1"/>
  <c r="T857" i="2" a="1"/>
  <c r="T857" i="2" s="1"/>
  <c r="T858" i="2" a="1"/>
  <c r="T858" i="2" s="1"/>
  <c r="T859" i="2" a="1"/>
  <c r="T859" i="2" s="1"/>
  <c r="T860" i="2" a="1"/>
  <c r="T860" i="2" s="1"/>
  <c r="T861" i="2" a="1"/>
  <c r="T861" i="2" s="1"/>
  <c r="T862" i="2" a="1"/>
  <c r="T862" i="2" s="1"/>
  <c r="T863" i="2" a="1"/>
  <c r="T863" i="2" s="1"/>
  <c r="T864" i="2" a="1"/>
  <c r="T864" i="2" s="1"/>
  <c r="T865" i="2" a="1"/>
  <c r="T865" i="2" s="1"/>
  <c r="T866" i="2" a="1"/>
  <c r="T866" i="2" s="1"/>
  <c r="T867" i="2" a="1"/>
  <c r="T867" i="2" s="1"/>
  <c r="T868" i="2" a="1"/>
  <c r="T868" i="2" s="1"/>
  <c r="T869" i="2" a="1"/>
  <c r="T869" i="2" s="1"/>
  <c r="T870" i="2" a="1"/>
  <c r="T870" i="2" s="1"/>
  <c r="T871" i="2" a="1"/>
  <c r="T871" i="2" s="1"/>
  <c r="T872" i="2" a="1"/>
  <c r="T872" i="2" s="1"/>
  <c r="T873" i="2" a="1"/>
  <c r="T873" i="2" s="1"/>
  <c r="T874" i="2" a="1"/>
  <c r="T874" i="2" s="1"/>
  <c r="T875" i="2" a="1"/>
  <c r="T875" i="2" s="1"/>
  <c r="T876" i="2" a="1"/>
  <c r="T876" i="2" s="1"/>
  <c r="T877" i="2" a="1"/>
  <c r="T877" i="2" s="1"/>
  <c r="T878" i="2" a="1"/>
  <c r="T878" i="2" s="1"/>
  <c r="T879" i="2" a="1"/>
  <c r="T879" i="2" s="1"/>
  <c r="T880" i="2" a="1"/>
  <c r="T880" i="2" s="1"/>
  <c r="T881" i="2" a="1"/>
  <c r="T881" i="2" s="1"/>
  <c r="T882" i="2" a="1"/>
  <c r="T882" i="2" s="1"/>
  <c r="T883" i="2" a="1"/>
  <c r="T883" i="2" s="1"/>
  <c r="T884" i="2" a="1"/>
  <c r="T884" i="2" s="1"/>
  <c r="T885" i="2" a="1"/>
  <c r="T885" i="2" s="1"/>
  <c r="T886" i="2" a="1"/>
  <c r="T886" i="2" s="1"/>
  <c r="T887" i="2" a="1"/>
  <c r="T887" i="2" s="1"/>
  <c r="T888" i="2" a="1"/>
  <c r="T888" i="2" s="1"/>
  <c r="T889" i="2" a="1"/>
  <c r="T889" i="2" s="1"/>
  <c r="T890" i="2" a="1"/>
  <c r="T890" i="2" s="1"/>
  <c r="T891" i="2" a="1"/>
  <c r="T891" i="2" s="1"/>
  <c r="T892" i="2" a="1"/>
  <c r="T892" i="2" s="1"/>
  <c r="T893" i="2" a="1"/>
  <c r="T893" i="2" s="1"/>
  <c r="T894" i="2" a="1"/>
  <c r="T894" i="2" s="1"/>
  <c r="T895" i="2" a="1"/>
  <c r="T895" i="2" s="1"/>
  <c r="T896" i="2" a="1"/>
  <c r="T896" i="2" s="1"/>
  <c r="T897" i="2" a="1"/>
  <c r="T897" i="2" s="1"/>
  <c r="T898" i="2" a="1"/>
  <c r="T898" i="2" s="1"/>
  <c r="T899" i="2" a="1"/>
  <c r="T899" i="2" s="1"/>
  <c r="T900" i="2" a="1"/>
  <c r="T900" i="2" s="1"/>
  <c r="T901" i="2" a="1"/>
  <c r="T901" i="2" s="1"/>
  <c r="T902" i="2" a="1"/>
  <c r="T902" i="2" s="1"/>
  <c r="T903" i="2" a="1"/>
  <c r="T903" i="2" s="1"/>
  <c r="T904" i="2" a="1"/>
  <c r="T904" i="2" s="1"/>
  <c r="T905" i="2" a="1"/>
  <c r="T905" i="2" s="1"/>
  <c r="T906" i="2" a="1"/>
  <c r="T906" i="2" s="1"/>
  <c r="T907" i="2" a="1"/>
  <c r="T907" i="2" s="1"/>
  <c r="T908" i="2" a="1"/>
  <c r="T908" i="2" s="1"/>
  <c r="T909" i="2" a="1"/>
  <c r="T909" i="2" s="1"/>
  <c r="T910" i="2" a="1"/>
  <c r="T910" i="2" s="1"/>
  <c r="T911" i="2" a="1"/>
  <c r="T911" i="2" s="1"/>
  <c r="T912" i="2" a="1"/>
  <c r="T912" i="2" s="1"/>
  <c r="T913" i="2" a="1"/>
  <c r="T913" i="2" s="1"/>
  <c r="T914" i="2" a="1"/>
  <c r="T914" i="2" s="1"/>
  <c r="T915" i="2" a="1"/>
  <c r="T915" i="2" s="1"/>
  <c r="T916" i="2" a="1"/>
  <c r="T916" i="2" s="1"/>
  <c r="T917" i="2" a="1"/>
  <c r="T917" i="2" s="1"/>
  <c r="T918" i="2" a="1"/>
  <c r="T918" i="2" s="1"/>
  <c r="T919" i="2" a="1"/>
  <c r="T919" i="2" s="1"/>
  <c r="T920" i="2" a="1"/>
  <c r="T920" i="2" s="1"/>
  <c r="T921" i="2" a="1"/>
  <c r="T921" i="2" s="1"/>
  <c r="T922" i="2" a="1"/>
  <c r="T922" i="2" s="1"/>
  <c r="T923" i="2" a="1"/>
  <c r="T923" i="2" s="1"/>
  <c r="T924" i="2" a="1"/>
  <c r="T924" i="2" s="1"/>
  <c r="T925" i="2" a="1"/>
  <c r="T925" i="2" s="1"/>
  <c r="T926" i="2" a="1"/>
  <c r="T926" i="2" s="1"/>
  <c r="T927" i="2" a="1"/>
  <c r="T927" i="2" s="1"/>
  <c r="T928" i="2" a="1"/>
  <c r="T928" i="2" s="1"/>
  <c r="T929" i="2" a="1"/>
  <c r="T929" i="2" s="1"/>
  <c r="T930" i="2" a="1"/>
  <c r="T930" i="2" s="1"/>
  <c r="T931" i="2" a="1"/>
  <c r="T931" i="2" s="1"/>
  <c r="T932" i="2" a="1"/>
  <c r="T932" i="2" s="1"/>
  <c r="T933" i="2" a="1"/>
  <c r="T933" i="2" s="1"/>
  <c r="T934" i="2" a="1"/>
  <c r="T934" i="2" s="1"/>
  <c r="T935" i="2" a="1"/>
  <c r="T935" i="2" s="1"/>
  <c r="T936" i="2" a="1"/>
  <c r="T936" i="2" s="1"/>
  <c r="T937" i="2" a="1"/>
  <c r="T937" i="2" s="1"/>
  <c r="T938" i="2" a="1"/>
  <c r="T938" i="2" s="1"/>
  <c r="T939" i="2" a="1"/>
  <c r="T939" i="2" s="1"/>
  <c r="T940" i="2" a="1"/>
  <c r="T940" i="2" s="1"/>
  <c r="T941" i="2" a="1"/>
  <c r="T941" i="2" s="1"/>
  <c r="T942" i="2" a="1"/>
  <c r="T942" i="2" s="1"/>
  <c r="T943" i="2" a="1"/>
  <c r="T943" i="2" s="1"/>
  <c r="T944" i="2" a="1"/>
  <c r="T944" i="2" s="1"/>
  <c r="T945" i="2" a="1"/>
  <c r="T945" i="2" s="1"/>
  <c r="T946" i="2" a="1"/>
  <c r="T946" i="2" s="1"/>
  <c r="T947" i="2" a="1"/>
  <c r="T947" i="2" s="1"/>
  <c r="T948" i="2" a="1"/>
  <c r="T948" i="2" s="1"/>
  <c r="T949" i="2" a="1"/>
  <c r="T949" i="2" s="1"/>
  <c r="T950" i="2" a="1"/>
  <c r="T950" i="2" s="1"/>
  <c r="T951" i="2" a="1"/>
  <c r="T951" i="2" s="1"/>
  <c r="T952" i="2" a="1"/>
  <c r="T952" i="2" s="1"/>
  <c r="T953" i="2" a="1"/>
  <c r="T953" i="2" s="1"/>
  <c r="T954" i="2" a="1"/>
  <c r="T954" i="2" s="1"/>
  <c r="T955" i="2" a="1"/>
  <c r="T955" i="2" s="1"/>
  <c r="T956" i="2" a="1"/>
  <c r="T956" i="2" s="1"/>
  <c r="T957" i="2" a="1"/>
  <c r="T957" i="2" s="1"/>
  <c r="T958" i="2" a="1"/>
  <c r="T958" i="2" s="1"/>
  <c r="T959" i="2" a="1"/>
  <c r="T959" i="2" s="1"/>
  <c r="T960" i="2" a="1"/>
  <c r="T960" i="2" s="1"/>
  <c r="T961" i="2" a="1"/>
  <c r="T961" i="2" s="1"/>
  <c r="T962" i="2" a="1"/>
  <c r="T962" i="2" s="1"/>
  <c r="T963" i="2" a="1"/>
  <c r="T963" i="2" s="1"/>
  <c r="T964" i="2" a="1"/>
  <c r="T964" i="2" s="1"/>
  <c r="T965" i="2" a="1"/>
  <c r="T965" i="2" s="1"/>
  <c r="T966" i="2" a="1"/>
  <c r="T966" i="2" s="1"/>
  <c r="T967" i="2" a="1"/>
  <c r="T967" i="2" s="1"/>
  <c r="T968" i="2" a="1"/>
  <c r="T968" i="2" s="1"/>
  <c r="T969" i="2" a="1"/>
  <c r="T969" i="2" s="1"/>
  <c r="T970" i="2" a="1"/>
  <c r="T970" i="2" s="1"/>
  <c r="T971" i="2" a="1"/>
  <c r="T971" i="2" s="1"/>
  <c r="T972" i="2" a="1"/>
  <c r="T972" i="2" s="1"/>
  <c r="T973" i="2" a="1"/>
  <c r="T973" i="2" s="1"/>
  <c r="T974" i="2" a="1"/>
  <c r="T974" i="2" s="1"/>
  <c r="T975" i="2" a="1"/>
  <c r="T975" i="2" s="1"/>
  <c r="T976" i="2" a="1"/>
  <c r="T976" i="2" s="1"/>
  <c r="T977" i="2" a="1"/>
  <c r="T977" i="2" s="1"/>
  <c r="T978" i="2" a="1"/>
  <c r="T978" i="2" s="1"/>
  <c r="T979" i="2" a="1"/>
  <c r="T979" i="2" s="1"/>
  <c r="T980" i="2" a="1"/>
  <c r="T980" i="2" s="1"/>
  <c r="T981" i="2" a="1"/>
  <c r="T981" i="2" s="1"/>
  <c r="T982" i="2" a="1"/>
  <c r="T982" i="2" s="1"/>
  <c r="T983" i="2" a="1"/>
  <c r="T983" i="2" s="1"/>
  <c r="T984" i="2" a="1"/>
  <c r="T984" i="2" s="1"/>
  <c r="T985" i="2" a="1"/>
  <c r="T985" i="2" s="1"/>
  <c r="T986" i="2" a="1"/>
  <c r="T986" i="2" s="1"/>
  <c r="T987" i="2" a="1"/>
  <c r="T987" i="2" s="1"/>
  <c r="T988" i="2" a="1"/>
  <c r="T988" i="2" s="1"/>
  <c r="T989" i="2" a="1"/>
  <c r="T989" i="2" s="1"/>
  <c r="T990" i="2" a="1"/>
  <c r="T990" i="2" s="1"/>
  <c r="T991" i="2" a="1"/>
  <c r="T991" i="2" s="1"/>
  <c r="T992" i="2" a="1"/>
  <c r="T992" i="2" s="1"/>
  <c r="T993" i="2" a="1"/>
  <c r="T993" i="2" s="1"/>
  <c r="T994" i="2" a="1"/>
  <c r="T994" i="2" s="1"/>
  <c r="T995" i="2" a="1"/>
  <c r="T995" i="2" s="1"/>
  <c r="T996" i="2" a="1"/>
  <c r="T996" i="2" s="1"/>
  <c r="T997" i="2" a="1"/>
  <c r="T997" i="2" s="1"/>
  <c r="T998" i="2" a="1"/>
  <c r="T998" i="2" s="1"/>
  <c r="T999" i="2" a="1"/>
  <c r="T999" i="2" s="1"/>
  <c r="T1000" i="2" a="1"/>
  <c r="T1000" i="2" s="1"/>
  <c r="T1001" i="2" a="1"/>
  <c r="T1001" i="2" s="1"/>
  <c r="T1002" i="2" a="1"/>
  <c r="T1002" i="2" s="1"/>
  <c r="T1003" i="2" a="1"/>
  <c r="T1003" i="2" s="1"/>
  <c r="T1004" i="2" a="1"/>
  <c r="T1004" i="2" s="1"/>
  <c r="T1005" i="2" a="1"/>
  <c r="T1005" i="2" s="1"/>
  <c r="T1006" i="2" a="1"/>
  <c r="T1006" i="2" s="1"/>
  <c r="T1007" i="2" a="1"/>
  <c r="T1007" i="2" s="1"/>
  <c r="T1008" i="2" a="1"/>
  <c r="T1008" i="2" s="1"/>
  <c r="T1009" i="2" a="1"/>
  <c r="T1009" i="2" s="1"/>
  <c r="T1010" i="2" a="1"/>
  <c r="T1010" i="2" s="1"/>
  <c r="T1011" i="2" a="1"/>
  <c r="T1011" i="2" s="1"/>
  <c r="T1012" i="2" a="1"/>
  <c r="T1012" i="2" s="1"/>
  <c r="T1013" i="2" a="1"/>
  <c r="T1013" i="2" s="1"/>
  <c r="T1014" i="2" a="1"/>
  <c r="T1014" i="2" s="1"/>
  <c r="T1015" i="2" a="1"/>
  <c r="T1015" i="2" s="1"/>
  <c r="T1016" i="2" a="1"/>
  <c r="T1016" i="2" s="1"/>
  <c r="T1017" i="2" a="1"/>
  <c r="T1017" i="2" s="1"/>
  <c r="T1018" i="2" a="1"/>
  <c r="T1018" i="2" s="1"/>
  <c r="T1019" i="2" a="1"/>
  <c r="T1019" i="2" s="1"/>
  <c r="T1020" i="2" a="1"/>
  <c r="T1020" i="2" s="1"/>
  <c r="T1021" i="2" a="1"/>
  <c r="T1021" i="2" s="1"/>
  <c r="T1022" i="2" a="1"/>
  <c r="T1022" i="2" s="1"/>
  <c r="T1023" i="2" a="1"/>
  <c r="T1023" i="2" s="1"/>
  <c r="T1024" i="2" a="1"/>
  <c r="T1024" i="2" s="1"/>
  <c r="T1025" i="2" a="1"/>
  <c r="T1025" i="2" s="1"/>
  <c r="T1026" i="2" a="1"/>
  <c r="T1026" i="2" s="1"/>
  <c r="T1027" i="2" a="1"/>
  <c r="T1027" i="2" s="1"/>
  <c r="T1028" i="2" a="1"/>
  <c r="T1028" i="2" s="1"/>
  <c r="T1029" i="2" a="1"/>
  <c r="T1029" i="2" s="1"/>
  <c r="T1030" i="2" a="1"/>
  <c r="T1030" i="2" s="1"/>
  <c r="T1031" i="2" a="1"/>
  <c r="T1031" i="2" s="1"/>
  <c r="T1032" i="2" a="1"/>
  <c r="T1032" i="2" s="1"/>
  <c r="T1033" i="2" a="1"/>
  <c r="T1033" i="2" s="1"/>
  <c r="T1034" i="2" a="1"/>
  <c r="T1034" i="2" s="1"/>
  <c r="T1035" i="2" a="1"/>
  <c r="T1035" i="2" s="1"/>
  <c r="T1036" i="2" a="1"/>
  <c r="T1036" i="2" s="1"/>
  <c r="T1037" i="2" a="1"/>
  <c r="T1037" i="2" s="1"/>
  <c r="T1038" i="2" a="1"/>
  <c r="T1038" i="2" s="1"/>
  <c r="T1039" i="2" a="1"/>
  <c r="T1039" i="2" s="1"/>
  <c r="T1040" i="2" a="1"/>
  <c r="T1040" i="2" s="1"/>
  <c r="T1041" i="2" a="1"/>
  <c r="T1041" i="2" s="1"/>
  <c r="T1042" i="2" a="1"/>
  <c r="T1042" i="2" s="1"/>
  <c r="T1043" i="2" a="1"/>
  <c r="T1043" i="2" s="1"/>
  <c r="T1044" i="2" a="1"/>
  <c r="T1044" i="2" s="1"/>
  <c r="T1045" i="2" a="1"/>
  <c r="T1045" i="2" s="1"/>
  <c r="T1046" i="2" a="1"/>
  <c r="T1046" i="2" s="1"/>
  <c r="T1047" i="2" a="1"/>
  <c r="T1047" i="2" s="1"/>
  <c r="T1048" i="2" a="1"/>
  <c r="T1048" i="2" s="1"/>
  <c r="T1049" i="2" a="1"/>
  <c r="T1049" i="2" s="1"/>
  <c r="T1050" i="2" a="1"/>
  <c r="T1050" i="2" s="1"/>
  <c r="T1051" i="2" a="1"/>
  <c r="T1051" i="2" s="1"/>
  <c r="T1052" i="2" a="1"/>
  <c r="T1052" i="2" s="1"/>
  <c r="T1053" i="2" a="1"/>
  <c r="T1053" i="2" s="1"/>
  <c r="T1054" i="2" a="1"/>
  <c r="T1054" i="2" s="1"/>
  <c r="T1055" i="2" a="1"/>
  <c r="T1055" i="2" s="1"/>
  <c r="T1056" i="2" a="1"/>
  <c r="T1056" i="2" s="1"/>
  <c r="T1057" i="2" a="1"/>
  <c r="T1057" i="2" s="1"/>
  <c r="T1058" i="2" a="1"/>
  <c r="T1058" i="2" s="1"/>
  <c r="T1059" i="2" a="1"/>
  <c r="T1059" i="2" s="1"/>
  <c r="T1060" i="2" a="1"/>
  <c r="T1060" i="2" s="1"/>
  <c r="T1061" i="2" a="1"/>
  <c r="T1061" i="2" s="1"/>
  <c r="T1062" i="2" a="1"/>
  <c r="T1062" i="2" s="1"/>
  <c r="T1063" i="2" a="1"/>
  <c r="T1063" i="2" s="1"/>
  <c r="T1064" i="2" a="1"/>
  <c r="T1064" i="2" s="1"/>
  <c r="T1065" i="2" a="1"/>
  <c r="T1065" i="2" s="1"/>
  <c r="T1066" i="2" a="1"/>
  <c r="T1066" i="2" s="1"/>
  <c r="T1067" i="2" a="1"/>
  <c r="T1067" i="2" s="1"/>
  <c r="T1068" i="2" a="1"/>
  <c r="T1068" i="2" s="1"/>
  <c r="T1069" i="2" a="1"/>
  <c r="T1069" i="2" s="1"/>
  <c r="T1070" i="2" a="1"/>
  <c r="T1070" i="2" s="1"/>
  <c r="T1071" i="2" a="1"/>
  <c r="T1071" i="2" s="1"/>
  <c r="T1072" i="2" a="1"/>
  <c r="T1072" i="2" s="1"/>
  <c r="T1073" i="2" a="1"/>
  <c r="T1073" i="2" s="1"/>
  <c r="T1074" i="2" a="1"/>
  <c r="T1074" i="2" s="1"/>
  <c r="T1075" i="2" a="1"/>
  <c r="T1075" i="2" s="1"/>
  <c r="T1076" i="2" a="1"/>
  <c r="T1076" i="2" s="1"/>
  <c r="T1077" i="2" a="1"/>
  <c r="T1077" i="2" s="1"/>
  <c r="T1078" i="2" a="1"/>
  <c r="T1078" i="2" s="1"/>
  <c r="T1079" i="2" a="1"/>
  <c r="T1079" i="2" s="1"/>
  <c r="T1080" i="2" a="1"/>
  <c r="T1080" i="2" s="1"/>
  <c r="T1081" i="2" a="1"/>
  <c r="T1081" i="2" s="1"/>
  <c r="T1082" i="2" a="1"/>
  <c r="T1082" i="2" s="1"/>
  <c r="T1083" i="2" a="1"/>
  <c r="T1083" i="2" s="1"/>
  <c r="T1084" i="2" a="1"/>
  <c r="T1084" i="2" s="1"/>
  <c r="T1085" i="2" a="1"/>
  <c r="T1085" i="2" s="1"/>
  <c r="T1086" i="2" a="1"/>
  <c r="T1086" i="2" s="1"/>
  <c r="T1087" i="2" a="1"/>
  <c r="T1087" i="2" s="1"/>
  <c r="T1088" i="2" a="1"/>
  <c r="T1088" i="2" s="1"/>
  <c r="T1089" i="2" a="1"/>
  <c r="T1089" i="2" s="1"/>
  <c r="T1090" i="2" a="1"/>
  <c r="T1090" i="2" s="1"/>
  <c r="T1091" i="2" a="1"/>
  <c r="T1091" i="2" s="1"/>
  <c r="T1092" i="2" a="1"/>
  <c r="T1092" i="2" s="1"/>
  <c r="T1093" i="2" a="1"/>
  <c r="T1093" i="2" s="1"/>
  <c r="T1094" i="2" a="1"/>
  <c r="T1094" i="2" s="1"/>
  <c r="T1095" i="2" a="1"/>
  <c r="T1095" i="2" s="1"/>
  <c r="T1096" i="2" a="1"/>
  <c r="T1096" i="2" s="1"/>
  <c r="T1097" i="2" a="1"/>
  <c r="T1097" i="2" s="1"/>
  <c r="T1098" i="2" a="1"/>
  <c r="T1098" i="2" s="1"/>
  <c r="T1099" i="2" a="1"/>
  <c r="T1099" i="2" s="1"/>
  <c r="T1100" i="2" a="1"/>
  <c r="T1100" i="2" s="1"/>
  <c r="T1101" i="2" a="1"/>
  <c r="T1101" i="2" s="1"/>
  <c r="T1102" i="2" a="1"/>
  <c r="T1102" i="2" s="1"/>
  <c r="T1103" i="2" a="1"/>
  <c r="T1103" i="2" s="1"/>
  <c r="T1104" i="2" a="1"/>
  <c r="T1104" i="2" s="1"/>
  <c r="T1105" i="2" a="1"/>
  <c r="T1105" i="2" s="1"/>
  <c r="T1106" i="2" a="1"/>
  <c r="T1106" i="2" s="1"/>
  <c r="T1107" i="2" a="1"/>
  <c r="T1107" i="2" s="1"/>
  <c r="T1108" i="2" a="1"/>
  <c r="T1108" i="2" s="1"/>
  <c r="T1109" i="2" a="1"/>
  <c r="T1109" i="2" s="1"/>
  <c r="T1110" i="2" a="1"/>
  <c r="T1110" i="2" s="1"/>
  <c r="T1111" i="2" a="1"/>
  <c r="T1111" i="2" s="1"/>
  <c r="T1112" i="2" a="1"/>
  <c r="T1112" i="2" s="1"/>
  <c r="T1113" i="2" a="1"/>
  <c r="T1113" i="2" s="1"/>
  <c r="T1114" i="2" a="1"/>
  <c r="T1114" i="2" s="1"/>
  <c r="T1115" i="2" a="1"/>
  <c r="T1115" i="2" s="1"/>
  <c r="T1116" i="2" a="1"/>
  <c r="T1116" i="2" s="1"/>
  <c r="T1117" i="2" a="1"/>
  <c r="T1117" i="2" s="1"/>
  <c r="T1118" i="2" a="1"/>
  <c r="T1118" i="2" s="1"/>
  <c r="T1119" i="2" a="1"/>
  <c r="T1119" i="2" s="1"/>
  <c r="T1120" i="2" a="1"/>
  <c r="T1120" i="2" s="1"/>
  <c r="T1121" i="2" a="1"/>
  <c r="T1121" i="2" s="1"/>
  <c r="T1122" i="2" a="1"/>
  <c r="T1122" i="2" s="1"/>
  <c r="T1123" i="2" a="1"/>
  <c r="T1123" i="2" s="1"/>
  <c r="T1124" i="2" a="1"/>
  <c r="T1124" i="2" s="1"/>
  <c r="T1125" i="2" a="1"/>
  <c r="T1125" i="2" s="1"/>
  <c r="T1126" i="2" a="1"/>
  <c r="T1126" i="2" s="1"/>
  <c r="T1127" i="2" a="1"/>
  <c r="T1127" i="2" s="1"/>
  <c r="T1128" i="2" a="1"/>
  <c r="T1128" i="2" s="1"/>
  <c r="T1129" i="2" a="1"/>
  <c r="T1129" i="2" s="1"/>
  <c r="T1130" i="2" a="1"/>
  <c r="T1130" i="2" s="1"/>
  <c r="T1131" i="2" a="1"/>
  <c r="T1131" i="2" s="1"/>
  <c r="T1132" i="2" a="1"/>
  <c r="T1132" i="2" s="1"/>
  <c r="T1133" i="2" a="1"/>
  <c r="T1133" i="2" s="1"/>
  <c r="T1134" i="2" a="1"/>
  <c r="T1134" i="2" s="1"/>
  <c r="T1135" i="2" a="1"/>
  <c r="T1135" i="2" s="1"/>
  <c r="T1136" i="2" a="1"/>
  <c r="T1136" i="2" s="1"/>
  <c r="T1137" i="2" a="1"/>
  <c r="T1137" i="2" s="1"/>
  <c r="T1138" i="2" a="1"/>
  <c r="T1138" i="2" s="1"/>
  <c r="T1139" i="2" a="1"/>
  <c r="T1139" i="2" s="1"/>
  <c r="T1140" i="2" a="1"/>
  <c r="T1140" i="2" s="1"/>
  <c r="T1141" i="2" a="1"/>
  <c r="T1141" i="2" s="1"/>
  <c r="T1142" i="2" a="1"/>
  <c r="T1142" i="2" s="1"/>
  <c r="T1143" i="2" a="1"/>
  <c r="T1143" i="2" s="1"/>
  <c r="T1144" i="2" a="1"/>
  <c r="T1144" i="2" s="1"/>
  <c r="T1145" i="2" a="1"/>
  <c r="T1145" i="2" s="1"/>
  <c r="T1146" i="2" a="1"/>
  <c r="T1146" i="2" s="1"/>
  <c r="T1147" i="2" a="1"/>
  <c r="T1147" i="2" s="1"/>
  <c r="T1148" i="2" a="1"/>
  <c r="T1148" i="2" s="1"/>
  <c r="T1149" i="2" a="1"/>
  <c r="T1149" i="2" s="1"/>
  <c r="T1150" i="2" a="1"/>
  <c r="T1150" i="2" s="1"/>
  <c r="T1151" i="2" a="1"/>
  <c r="T1151" i="2" s="1"/>
  <c r="T1152" i="2" a="1"/>
  <c r="T1152" i="2" s="1"/>
  <c r="T1153" i="2" a="1"/>
  <c r="T1153" i="2" s="1"/>
  <c r="T1154" i="2" a="1"/>
  <c r="T1154" i="2" s="1"/>
  <c r="T1155" i="2" a="1"/>
  <c r="T1155" i="2" s="1"/>
  <c r="T1156" i="2" a="1"/>
  <c r="T1156" i="2" s="1"/>
  <c r="T1157" i="2" a="1"/>
  <c r="T1157" i="2" s="1"/>
  <c r="T1158" i="2" a="1"/>
  <c r="T1158" i="2" s="1"/>
  <c r="T1159" i="2" a="1"/>
  <c r="T1159" i="2" s="1"/>
  <c r="T1160" i="2" a="1"/>
  <c r="T1160" i="2" s="1"/>
  <c r="T1161" i="2" a="1"/>
  <c r="T1161" i="2" s="1"/>
  <c r="T1162" i="2" a="1"/>
  <c r="T1162" i="2" s="1"/>
  <c r="T1163" i="2" a="1"/>
  <c r="T1163" i="2" s="1"/>
  <c r="T1164" i="2" a="1"/>
  <c r="T1164" i="2" s="1"/>
  <c r="T1165" i="2" a="1"/>
  <c r="T1165" i="2" s="1"/>
  <c r="T1166" i="2" a="1"/>
  <c r="T1166" i="2" s="1"/>
  <c r="T2" i="2" a="1"/>
  <c r="T2" i="2" s="1"/>
  <c r="S3" i="2" a="1"/>
  <c r="S3" i="2" s="1"/>
  <c r="S4" i="2" a="1"/>
  <c r="S4" i="2" s="1"/>
  <c r="S5" i="2" a="1"/>
  <c r="S5" i="2" s="1"/>
  <c r="S6" i="2" a="1"/>
  <c r="S6" i="2" s="1"/>
  <c r="S7" i="2" a="1"/>
  <c r="S7" i="2" s="1"/>
  <c r="S8" i="2" a="1"/>
  <c r="S8" i="2" s="1"/>
  <c r="S9" i="2" a="1"/>
  <c r="S9" i="2" s="1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24" i="2" a="1"/>
  <c r="S24" i="2" s="1"/>
  <c r="S25" i="2" a="1"/>
  <c r="S25" i="2" s="1"/>
  <c r="S26" i="2" a="1"/>
  <c r="S26" i="2" s="1"/>
  <c r="S27" i="2" a="1"/>
  <c r="S27" i="2" s="1"/>
  <c r="S28" i="2" a="1"/>
  <c r="S28" i="2" s="1"/>
  <c r="S29" i="2" a="1"/>
  <c r="S29" i="2" s="1"/>
  <c r="S30" i="2" a="1"/>
  <c r="S30" i="2" s="1"/>
  <c r="S31" i="2" a="1"/>
  <c r="S31" i="2" s="1"/>
  <c r="S32" i="2" a="1"/>
  <c r="S32" i="2" s="1"/>
  <c r="S33" i="2" a="1"/>
  <c r="S33" i="2" s="1"/>
  <c r="S34" i="2" a="1"/>
  <c r="S34" i="2" s="1"/>
  <c r="S35" i="2" a="1"/>
  <c r="S35" i="2" s="1"/>
  <c r="S36" i="2" a="1"/>
  <c r="S36" i="2" s="1"/>
  <c r="S37" i="2" a="1"/>
  <c r="S37" i="2" s="1"/>
  <c r="S38" i="2" a="1"/>
  <c r="S38" i="2" s="1"/>
  <c r="S39" i="2" a="1"/>
  <c r="S39" i="2" s="1"/>
  <c r="S40" i="2" a="1"/>
  <c r="S40" i="2" s="1"/>
  <c r="S41" i="2" a="1"/>
  <c r="S41" i="2" s="1"/>
  <c r="S42" i="2" a="1"/>
  <c r="S42" i="2" s="1"/>
  <c r="S43" i="2" a="1"/>
  <c r="S43" i="2" s="1"/>
  <c r="S44" i="2" a="1"/>
  <c r="S44" i="2" s="1"/>
  <c r="S45" i="2" a="1"/>
  <c r="S45" i="2" s="1"/>
  <c r="S46" i="2" a="1"/>
  <c r="S46" i="2" s="1"/>
  <c r="S47" i="2" a="1"/>
  <c r="S47" i="2" s="1"/>
  <c r="S48" i="2" a="1"/>
  <c r="S48" i="2" s="1"/>
  <c r="S49" i="2" a="1"/>
  <c r="S49" i="2" s="1"/>
  <c r="S50" i="2" a="1"/>
  <c r="S50" i="2" s="1"/>
  <c r="S51" i="2" a="1"/>
  <c r="S51" i="2" s="1"/>
  <c r="S52" i="2" a="1"/>
  <c r="S52" i="2" s="1"/>
  <c r="S53" i="2" a="1"/>
  <c r="S53" i="2" s="1"/>
  <c r="S54" i="2" a="1"/>
  <c r="S54" i="2" s="1"/>
  <c r="S55" i="2" a="1"/>
  <c r="S55" i="2" s="1"/>
  <c r="S56" i="2" a="1"/>
  <c r="S56" i="2" s="1"/>
  <c r="S57" i="2" a="1"/>
  <c r="S57" i="2" s="1"/>
  <c r="S58" i="2" a="1"/>
  <c r="S58" i="2" s="1"/>
  <c r="S59" i="2" a="1"/>
  <c r="S59" i="2" s="1"/>
  <c r="S60" i="2" a="1"/>
  <c r="S60" i="2" s="1"/>
  <c r="S61" i="2" a="1"/>
  <c r="S61" i="2" s="1"/>
  <c r="S62" i="2" a="1"/>
  <c r="S62" i="2" s="1"/>
  <c r="S63" i="2" a="1"/>
  <c r="S63" i="2" s="1"/>
  <c r="S64" i="2" a="1"/>
  <c r="S64" i="2" s="1"/>
  <c r="S65" i="2" a="1"/>
  <c r="S65" i="2" s="1"/>
  <c r="S66" i="2" a="1"/>
  <c r="S66" i="2" s="1"/>
  <c r="S67" i="2" a="1"/>
  <c r="S67" i="2" s="1"/>
  <c r="S68" i="2" a="1"/>
  <c r="S68" i="2" s="1"/>
  <c r="S69" i="2" a="1"/>
  <c r="S69" i="2" s="1"/>
  <c r="S70" i="2" a="1"/>
  <c r="S70" i="2" s="1"/>
  <c r="S71" i="2" a="1"/>
  <c r="S71" i="2" s="1"/>
  <c r="S72" i="2" a="1"/>
  <c r="S72" i="2" s="1"/>
  <c r="S73" i="2" a="1"/>
  <c r="S73" i="2" s="1"/>
  <c r="S74" i="2" a="1"/>
  <c r="S74" i="2" s="1"/>
  <c r="S75" i="2" a="1"/>
  <c r="S75" i="2" s="1"/>
  <c r="S76" i="2" a="1"/>
  <c r="S76" i="2" s="1"/>
  <c r="S77" i="2" a="1"/>
  <c r="S77" i="2" s="1"/>
  <c r="S78" i="2" a="1"/>
  <c r="S78" i="2" s="1"/>
  <c r="S79" i="2" a="1"/>
  <c r="S79" i="2" s="1"/>
  <c r="S80" i="2" a="1"/>
  <c r="S80" i="2" s="1"/>
  <c r="S81" i="2" a="1"/>
  <c r="S81" i="2" s="1"/>
  <c r="S82" i="2" a="1"/>
  <c r="S82" i="2" s="1"/>
  <c r="S83" i="2" a="1"/>
  <c r="S83" i="2" s="1"/>
  <c r="S84" i="2" a="1"/>
  <c r="S84" i="2" s="1"/>
  <c r="S85" i="2" a="1"/>
  <c r="S85" i="2" s="1"/>
  <c r="S86" i="2" a="1"/>
  <c r="S86" i="2" s="1"/>
  <c r="S87" i="2" a="1"/>
  <c r="S87" i="2" s="1"/>
  <c r="S88" i="2" a="1"/>
  <c r="S88" i="2" s="1"/>
  <c r="S89" i="2" a="1"/>
  <c r="S89" i="2" s="1"/>
  <c r="S90" i="2" a="1"/>
  <c r="S90" i="2" s="1"/>
  <c r="S91" i="2" a="1"/>
  <c r="S91" i="2" s="1"/>
  <c r="S92" i="2" a="1"/>
  <c r="S92" i="2" s="1"/>
  <c r="S93" i="2" a="1"/>
  <c r="S93" i="2" s="1"/>
  <c r="S94" i="2" a="1"/>
  <c r="S94" i="2" s="1"/>
  <c r="S95" i="2" a="1"/>
  <c r="S95" i="2" s="1"/>
  <c r="S96" i="2" a="1"/>
  <c r="S96" i="2" s="1"/>
  <c r="S97" i="2" a="1"/>
  <c r="S97" i="2" s="1"/>
  <c r="S98" i="2" a="1"/>
  <c r="S98" i="2" s="1"/>
  <c r="S99" i="2" a="1"/>
  <c r="S99" i="2" s="1"/>
  <c r="S100" i="2" a="1"/>
  <c r="S100" i="2" s="1"/>
  <c r="S101" i="2" a="1"/>
  <c r="S101" i="2" s="1"/>
  <c r="S102" i="2" a="1"/>
  <c r="S102" i="2" s="1"/>
  <c r="S103" i="2" a="1"/>
  <c r="S103" i="2" s="1"/>
  <c r="S104" i="2" a="1"/>
  <c r="S104" i="2" s="1"/>
  <c r="S105" i="2" a="1"/>
  <c r="S105" i="2" s="1"/>
  <c r="S106" i="2" a="1"/>
  <c r="S106" i="2" s="1"/>
  <c r="S107" i="2" a="1"/>
  <c r="S107" i="2" s="1"/>
  <c r="S108" i="2" a="1"/>
  <c r="S108" i="2" s="1"/>
  <c r="S109" i="2" a="1"/>
  <c r="S109" i="2" s="1"/>
  <c r="S110" i="2" a="1"/>
  <c r="S110" i="2" s="1"/>
  <c r="S111" i="2" a="1"/>
  <c r="S111" i="2" s="1"/>
  <c r="S112" i="2" a="1"/>
  <c r="S112" i="2" s="1"/>
  <c r="S113" i="2" a="1"/>
  <c r="S113" i="2" s="1"/>
  <c r="S114" i="2" a="1"/>
  <c r="S114" i="2" s="1"/>
  <c r="S115" i="2" a="1"/>
  <c r="S115" i="2" s="1"/>
  <c r="S116" i="2" a="1"/>
  <c r="S116" i="2" s="1"/>
  <c r="S117" i="2" a="1"/>
  <c r="S117" i="2" s="1"/>
  <c r="S118" i="2" a="1"/>
  <c r="S118" i="2" s="1"/>
  <c r="S119" i="2" a="1"/>
  <c r="S119" i="2" s="1"/>
  <c r="S120" i="2" a="1"/>
  <c r="S120" i="2" s="1"/>
  <c r="S121" i="2" a="1"/>
  <c r="S121" i="2" s="1"/>
  <c r="S122" i="2" a="1"/>
  <c r="S122" i="2" s="1"/>
  <c r="S123" i="2" a="1"/>
  <c r="S123" i="2" s="1"/>
  <c r="S124" i="2" a="1"/>
  <c r="S124" i="2" s="1"/>
  <c r="S125" i="2" a="1"/>
  <c r="S125" i="2" s="1"/>
  <c r="S126" i="2" a="1"/>
  <c r="S126" i="2" s="1"/>
  <c r="S127" i="2" a="1"/>
  <c r="S127" i="2" s="1"/>
  <c r="S128" i="2" a="1"/>
  <c r="S128" i="2" s="1"/>
  <c r="S129" i="2" a="1"/>
  <c r="S129" i="2" s="1"/>
  <c r="S130" i="2" a="1"/>
  <c r="S130" i="2" s="1"/>
  <c r="S131" i="2" a="1"/>
  <c r="S131" i="2" s="1"/>
  <c r="S132" i="2" a="1"/>
  <c r="S132" i="2" s="1"/>
  <c r="S133" i="2" a="1"/>
  <c r="S133" i="2" s="1"/>
  <c r="S134" i="2" a="1"/>
  <c r="S134" i="2" s="1"/>
  <c r="S135" i="2" a="1"/>
  <c r="S135" i="2" s="1"/>
  <c r="S136" i="2" a="1"/>
  <c r="S136" i="2" s="1"/>
  <c r="S137" i="2" a="1"/>
  <c r="S137" i="2" s="1"/>
  <c r="S138" i="2" a="1"/>
  <c r="S138" i="2" s="1"/>
  <c r="S139" i="2" a="1"/>
  <c r="S139" i="2" s="1"/>
  <c r="S140" i="2" a="1"/>
  <c r="S140" i="2" s="1"/>
  <c r="S141" i="2" a="1"/>
  <c r="S141" i="2" s="1"/>
  <c r="S142" i="2" a="1"/>
  <c r="S142" i="2" s="1"/>
  <c r="S143" i="2" a="1"/>
  <c r="S143" i="2" s="1"/>
  <c r="S144" i="2" a="1"/>
  <c r="S144" i="2" s="1"/>
  <c r="S145" i="2" a="1"/>
  <c r="S145" i="2" s="1"/>
  <c r="S146" i="2" a="1"/>
  <c r="S146" i="2" s="1"/>
  <c r="S147" i="2" a="1"/>
  <c r="S147" i="2" s="1"/>
  <c r="S148" i="2" a="1"/>
  <c r="S148" i="2" s="1"/>
  <c r="S149" i="2" a="1"/>
  <c r="S149" i="2" s="1"/>
  <c r="S150" i="2" a="1"/>
  <c r="S150" i="2" s="1"/>
  <c r="S151" i="2" a="1"/>
  <c r="S151" i="2" s="1"/>
  <c r="S152" i="2" a="1"/>
  <c r="S152" i="2" s="1"/>
  <c r="S153" i="2" a="1"/>
  <c r="S153" i="2" s="1"/>
  <c r="S154" i="2" a="1"/>
  <c r="S154" i="2" s="1"/>
  <c r="S155" i="2" a="1"/>
  <c r="S155" i="2" s="1"/>
  <c r="S156" i="2" a="1"/>
  <c r="S156" i="2" s="1"/>
  <c r="S157" i="2" a="1"/>
  <c r="S157" i="2" s="1"/>
  <c r="S158" i="2" a="1"/>
  <c r="S158" i="2" s="1"/>
  <c r="S159" i="2" a="1"/>
  <c r="S159" i="2" s="1"/>
  <c r="S160" i="2" a="1"/>
  <c r="S160" i="2" s="1"/>
  <c r="S161" i="2" a="1"/>
  <c r="S161" i="2" s="1"/>
  <c r="S162" i="2" a="1"/>
  <c r="S162" i="2" s="1"/>
  <c r="S163" i="2" a="1"/>
  <c r="S163" i="2" s="1"/>
  <c r="S164" i="2" a="1"/>
  <c r="S164" i="2" s="1"/>
  <c r="S165" i="2" a="1"/>
  <c r="S165" i="2" s="1"/>
  <c r="S166" i="2" a="1"/>
  <c r="S166" i="2" s="1"/>
  <c r="S167" i="2" a="1"/>
  <c r="S167" i="2" s="1"/>
  <c r="S168" i="2" a="1"/>
  <c r="S168" i="2" s="1"/>
  <c r="S169" i="2" a="1"/>
  <c r="S169" i="2" s="1"/>
  <c r="S170" i="2" a="1"/>
  <c r="S170" i="2" s="1"/>
  <c r="S171" i="2" a="1"/>
  <c r="S171" i="2" s="1"/>
  <c r="S172" i="2" a="1"/>
  <c r="S172" i="2" s="1"/>
  <c r="S173" i="2" a="1"/>
  <c r="S173" i="2" s="1"/>
  <c r="S174" i="2" a="1"/>
  <c r="S174" i="2" s="1"/>
  <c r="S175" i="2" a="1"/>
  <c r="S175" i="2" s="1"/>
  <c r="S176" i="2" a="1"/>
  <c r="S176" i="2" s="1"/>
  <c r="S177" i="2" a="1"/>
  <c r="S177" i="2" s="1"/>
  <c r="S178" i="2" a="1"/>
  <c r="S178" i="2" s="1"/>
  <c r="S179" i="2" a="1"/>
  <c r="S179" i="2" s="1"/>
  <c r="S180" i="2" a="1"/>
  <c r="S180" i="2" s="1"/>
  <c r="S181" i="2" a="1"/>
  <c r="S181" i="2" s="1"/>
  <c r="S182" i="2" a="1"/>
  <c r="S182" i="2" s="1"/>
  <c r="S183" i="2" a="1"/>
  <c r="S183" i="2" s="1"/>
  <c r="S184" i="2" a="1"/>
  <c r="S184" i="2" s="1"/>
  <c r="S185" i="2" a="1"/>
  <c r="S185" i="2" s="1"/>
  <c r="S186" i="2" a="1"/>
  <c r="S186" i="2" s="1"/>
  <c r="S187" i="2" a="1"/>
  <c r="S187" i="2" s="1"/>
  <c r="S188" i="2" a="1"/>
  <c r="S188" i="2" s="1"/>
  <c r="S189" i="2" a="1"/>
  <c r="S189" i="2" s="1"/>
  <c r="S190" i="2" a="1"/>
  <c r="S190" i="2" s="1"/>
  <c r="S191" i="2" a="1"/>
  <c r="S191" i="2" s="1"/>
  <c r="S192" i="2" a="1"/>
  <c r="S192" i="2" s="1"/>
  <c r="S193" i="2" a="1"/>
  <c r="S193" i="2" s="1"/>
  <c r="S194" i="2" a="1"/>
  <c r="S194" i="2" s="1"/>
  <c r="S195" i="2" a="1"/>
  <c r="S195" i="2" s="1"/>
  <c r="S196" i="2" a="1"/>
  <c r="S196" i="2" s="1"/>
  <c r="S197" i="2" a="1"/>
  <c r="S197" i="2" s="1"/>
  <c r="S198" i="2" a="1"/>
  <c r="S198" i="2" s="1"/>
  <c r="S199" i="2" a="1"/>
  <c r="S199" i="2" s="1"/>
  <c r="S200" i="2" a="1"/>
  <c r="S200" i="2" s="1"/>
  <c r="S201" i="2" a="1"/>
  <c r="S201" i="2" s="1"/>
  <c r="S202" i="2" a="1"/>
  <c r="S202" i="2" s="1"/>
  <c r="S203" i="2" a="1"/>
  <c r="S203" i="2" s="1"/>
  <c r="S204" i="2" a="1"/>
  <c r="S204" i="2" s="1"/>
  <c r="S205" i="2" a="1"/>
  <c r="S205" i="2" s="1"/>
  <c r="S206" i="2" a="1"/>
  <c r="S206" i="2" s="1"/>
  <c r="S207" i="2" a="1"/>
  <c r="S207" i="2" s="1"/>
  <c r="S208" i="2" a="1"/>
  <c r="S208" i="2" s="1"/>
  <c r="S209" i="2" a="1"/>
  <c r="S209" i="2" s="1"/>
  <c r="S210" i="2" a="1"/>
  <c r="S210" i="2" s="1"/>
  <c r="S211" i="2" a="1"/>
  <c r="S211" i="2" s="1"/>
  <c r="S212" i="2" a="1"/>
  <c r="S212" i="2" s="1"/>
  <c r="S213" i="2" a="1"/>
  <c r="S213" i="2" s="1"/>
  <c r="S214" i="2" a="1"/>
  <c r="S214" i="2" s="1"/>
  <c r="S215" i="2" a="1"/>
  <c r="S215" i="2" s="1"/>
  <c r="S216" i="2" a="1"/>
  <c r="S216" i="2" s="1"/>
  <c r="S217" i="2" a="1"/>
  <c r="S217" i="2" s="1"/>
  <c r="S218" i="2" a="1"/>
  <c r="S218" i="2" s="1"/>
  <c r="S219" i="2" a="1"/>
  <c r="S219" i="2" s="1"/>
  <c r="S220" i="2" a="1"/>
  <c r="S220" i="2" s="1"/>
  <c r="S221" i="2" a="1"/>
  <c r="S221" i="2" s="1"/>
  <c r="S222" i="2" a="1"/>
  <c r="S222" i="2" s="1"/>
  <c r="S223" i="2" a="1"/>
  <c r="S223" i="2" s="1"/>
  <c r="S224" i="2" a="1"/>
  <c r="S224" i="2" s="1"/>
  <c r="S225" i="2" a="1"/>
  <c r="S225" i="2" s="1"/>
  <c r="S226" i="2" a="1"/>
  <c r="S226" i="2" s="1"/>
  <c r="S227" i="2" a="1"/>
  <c r="S227" i="2" s="1"/>
  <c r="S228" i="2" a="1"/>
  <c r="S228" i="2" s="1"/>
  <c r="S229" i="2" a="1"/>
  <c r="S229" i="2" s="1"/>
  <c r="S230" i="2" a="1"/>
  <c r="S230" i="2" s="1"/>
  <c r="S231" i="2" a="1"/>
  <c r="S231" i="2" s="1"/>
  <c r="S232" i="2" a="1"/>
  <c r="S232" i="2" s="1"/>
  <c r="S233" i="2" a="1"/>
  <c r="S233" i="2" s="1"/>
  <c r="S234" i="2" a="1"/>
  <c r="S234" i="2" s="1"/>
  <c r="S235" i="2" a="1"/>
  <c r="S235" i="2" s="1"/>
  <c r="S236" i="2" a="1"/>
  <c r="S236" i="2" s="1"/>
  <c r="S237" i="2" a="1"/>
  <c r="S237" i="2" s="1"/>
  <c r="S238" i="2" a="1"/>
  <c r="S238" i="2" s="1"/>
  <c r="S239" i="2" a="1"/>
  <c r="S239" i="2" s="1"/>
  <c r="S240" i="2" a="1"/>
  <c r="S240" i="2" s="1"/>
  <c r="S241" i="2" a="1"/>
  <c r="S241" i="2" s="1"/>
  <c r="S242" i="2" a="1"/>
  <c r="S242" i="2" s="1"/>
  <c r="S243" i="2" a="1"/>
  <c r="S243" i="2" s="1"/>
  <c r="S244" i="2" a="1"/>
  <c r="S244" i="2" s="1"/>
  <c r="S245" i="2" a="1"/>
  <c r="S245" i="2" s="1"/>
  <c r="S246" i="2" a="1"/>
  <c r="S246" i="2" s="1"/>
  <c r="S247" i="2" a="1"/>
  <c r="S247" i="2" s="1"/>
  <c r="S248" i="2" a="1"/>
  <c r="S248" i="2" s="1"/>
  <c r="S249" i="2" a="1"/>
  <c r="S249" i="2" s="1"/>
  <c r="S250" i="2" a="1"/>
  <c r="S250" i="2" s="1"/>
  <c r="S251" i="2" a="1"/>
  <c r="S251" i="2" s="1"/>
  <c r="S252" i="2" a="1"/>
  <c r="S252" i="2" s="1"/>
  <c r="S253" i="2" a="1"/>
  <c r="S253" i="2" s="1"/>
  <c r="S254" i="2" a="1"/>
  <c r="S254" i="2" s="1"/>
  <c r="S255" i="2" a="1"/>
  <c r="S255" i="2" s="1"/>
  <c r="S256" i="2" a="1"/>
  <c r="S256" i="2" s="1"/>
  <c r="S257" i="2" a="1"/>
  <c r="S257" i="2" s="1"/>
  <c r="S258" i="2" a="1"/>
  <c r="S258" i="2" s="1"/>
  <c r="S259" i="2" a="1"/>
  <c r="S259" i="2" s="1"/>
  <c r="S260" i="2" a="1"/>
  <c r="S260" i="2" s="1"/>
  <c r="S261" i="2" a="1"/>
  <c r="S261" i="2" s="1"/>
  <c r="S262" i="2" a="1"/>
  <c r="S262" i="2" s="1"/>
  <c r="S263" i="2" a="1"/>
  <c r="S263" i="2" s="1"/>
  <c r="S264" i="2" a="1"/>
  <c r="S264" i="2" s="1"/>
  <c r="S265" i="2" a="1"/>
  <c r="S265" i="2" s="1"/>
  <c r="S266" i="2" a="1"/>
  <c r="S266" i="2" s="1"/>
  <c r="S267" i="2" a="1"/>
  <c r="S267" i="2" s="1"/>
  <c r="S268" i="2" a="1"/>
  <c r="S268" i="2" s="1"/>
  <c r="S269" i="2" a="1"/>
  <c r="S269" i="2" s="1"/>
  <c r="S270" i="2" a="1"/>
  <c r="S270" i="2" s="1"/>
  <c r="S271" i="2" a="1"/>
  <c r="S271" i="2" s="1"/>
  <c r="S272" i="2" a="1"/>
  <c r="S272" i="2" s="1"/>
  <c r="S273" i="2" a="1"/>
  <c r="S273" i="2" s="1"/>
  <c r="S274" i="2" a="1"/>
  <c r="S274" i="2" s="1"/>
  <c r="S275" i="2" a="1"/>
  <c r="S275" i="2" s="1"/>
  <c r="S276" i="2" a="1"/>
  <c r="S276" i="2" s="1"/>
  <c r="S277" i="2" a="1"/>
  <c r="S277" i="2" s="1"/>
  <c r="S278" i="2" a="1"/>
  <c r="S278" i="2" s="1"/>
  <c r="S279" i="2" a="1"/>
  <c r="S279" i="2" s="1"/>
  <c r="S280" i="2" a="1"/>
  <c r="S280" i="2" s="1"/>
  <c r="S281" i="2" a="1"/>
  <c r="S281" i="2" s="1"/>
  <c r="S282" i="2" a="1"/>
  <c r="S282" i="2" s="1"/>
  <c r="S283" i="2" a="1"/>
  <c r="S283" i="2" s="1"/>
  <c r="S284" i="2" a="1"/>
  <c r="S284" i="2" s="1"/>
  <c r="S285" i="2" a="1"/>
  <c r="S285" i="2" s="1"/>
  <c r="S286" i="2" a="1"/>
  <c r="S286" i="2" s="1"/>
  <c r="S287" i="2" a="1"/>
  <c r="S287" i="2" s="1"/>
  <c r="S288" i="2" a="1"/>
  <c r="S288" i="2" s="1"/>
  <c r="S289" i="2" a="1"/>
  <c r="S289" i="2" s="1"/>
  <c r="S290" i="2" a="1"/>
  <c r="S290" i="2" s="1"/>
  <c r="S291" i="2" a="1"/>
  <c r="S291" i="2" s="1"/>
  <c r="S292" i="2" a="1"/>
  <c r="S292" i="2" s="1"/>
  <c r="S293" i="2" a="1"/>
  <c r="S293" i="2" s="1"/>
  <c r="S294" i="2" a="1"/>
  <c r="S294" i="2" s="1"/>
  <c r="S295" i="2" a="1"/>
  <c r="S295" i="2" s="1"/>
  <c r="S296" i="2" a="1"/>
  <c r="S296" i="2" s="1"/>
  <c r="S297" i="2" a="1"/>
  <c r="S297" i="2" s="1"/>
  <c r="S298" i="2" a="1"/>
  <c r="S298" i="2" s="1"/>
  <c r="S299" i="2" a="1"/>
  <c r="S299" i="2" s="1"/>
  <c r="S300" i="2" a="1"/>
  <c r="S300" i="2" s="1"/>
  <c r="S301" i="2" a="1"/>
  <c r="S301" i="2" s="1"/>
  <c r="S302" i="2" a="1"/>
  <c r="S302" i="2" s="1"/>
  <c r="S303" i="2" a="1"/>
  <c r="S303" i="2" s="1"/>
  <c r="S304" i="2" a="1"/>
  <c r="S304" i="2" s="1"/>
  <c r="S305" i="2" a="1"/>
  <c r="S305" i="2" s="1"/>
  <c r="S306" i="2" a="1"/>
  <c r="S306" i="2" s="1"/>
  <c r="S307" i="2" a="1"/>
  <c r="S307" i="2" s="1"/>
  <c r="S308" i="2" a="1"/>
  <c r="S308" i="2" s="1"/>
  <c r="S309" i="2" a="1"/>
  <c r="S309" i="2" s="1"/>
  <c r="S310" i="2" a="1"/>
  <c r="S310" i="2" s="1"/>
  <c r="S311" i="2" a="1"/>
  <c r="S311" i="2" s="1"/>
  <c r="S312" i="2" a="1"/>
  <c r="S312" i="2" s="1"/>
  <c r="S313" i="2" a="1"/>
  <c r="S313" i="2"/>
  <c r="S314" i="2" a="1"/>
  <c r="S314" i="2" s="1"/>
  <c r="S315" i="2" a="1"/>
  <c r="S315" i="2" s="1"/>
  <c r="S316" i="2" a="1"/>
  <c r="S316" i="2" s="1"/>
  <c r="S317" i="2" a="1"/>
  <c r="S317" i="2" s="1"/>
  <c r="S318" i="2" a="1"/>
  <c r="S318" i="2" s="1"/>
  <c r="S319" i="2" a="1"/>
  <c r="S319" i="2" s="1"/>
  <c r="S320" i="2" a="1"/>
  <c r="S320" i="2" s="1"/>
  <c r="S321" i="2" a="1"/>
  <c r="S321" i="2" s="1"/>
  <c r="S322" i="2" a="1"/>
  <c r="S322" i="2" s="1"/>
  <c r="S323" i="2" a="1"/>
  <c r="S323" i="2" s="1"/>
  <c r="S324" i="2" a="1"/>
  <c r="S324" i="2"/>
  <c r="S325" i="2" a="1"/>
  <c r="S325" i="2" s="1"/>
  <c r="S326" i="2" a="1"/>
  <c r="S326" i="2" s="1"/>
  <c r="S327" i="2" a="1"/>
  <c r="S327" i="2" s="1"/>
  <c r="S328" i="2" a="1"/>
  <c r="S328" i="2" s="1"/>
  <c r="S329" i="2" a="1"/>
  <c r="S329" i="2" s="1"/>
  <c r="S330" i="2" a="1"/>
  <c r="S330" i="2" s="1"/>
  <c r="S331" i="2" a="1"/>
  <c r="S331" i="2" s="1"/>
  <c r="S332" i="2" a="1"/>
  <c r="S332" i="2" s="1"/>
  <c r="S333" i="2" a="1"/>
  <c r="S333" i="2" s="1"/>
  <c r="S334" i="2" a="1"/>
  <c r="S334" i="2" s="1"/>
  <c r="S335" i="2" a="1"/>
  <c r="S335" i="2" s="1"/>
  <c r="S336" i="2" a="1"/>
  <c r="S336" i="2" s="1"/>
  <c r="S337" i="2" a="1"/>
  <c r="S337" i="2" s="1"/>
  <c r="S338" i="2" a="1"/>
  <c r="S338" i="2" s="1"/>
  <c r="S339" i="2" a="1"/>
  <c r="S339" i="2" s="1"/>
  <c r="S340" i="2" a="1"/>
  <c r="S340" i="2" s="1"/>
  <c r="S341" i="2" a="1"/>
  <c r="S341" i="2" s="1"/>
  <c r="S342" i="2" a="1"/>
  <c r="S342" i="2" s="1"/>
  <c r="S343" i="2" a="1"/>
  <c r="S343" i="2" s="1"/>
  <c r="S344" i="2" a="1"/>
  <c r="S344" i="2" s="1"/>
  <c r="S345" i="2" a="1"/>
  <c r="S345" i="2" s="1"/>
  <c r="S346" i="2" a="1"/>
  <c r="S346" i="2" s="1"/>
  <c r="S347" i="2" a="1"/>
  <c r="S347" i="2" s="1"/>
  <c r="S348" i="2" a="1"/>
  <c r="S348" i="2" s="1"/>
  <c r="S349" i="2" a="1"/>
  <c r="S349" i="2" s="1"/>
  <c r="S350" i="2" a="1"/>
  <c r="S350" i="2" s="1"/>
  <c r="S351" i="2" a="1"/>
  <c r="S351" i="2" s="1"/>
  <c r="S352" i="2" a="1"/>
  <c r="S352" i="2" s="1"/>
  <c r="S353" i="2" a="1"/>
  <c r="S353" i="2" s="1"/>
  <c r="S354" i="2" a="1"/>
  <c r="S354" i="2" s="1"/>
  <c r="S355" i="2" a="1"/>
  <c r="S355" i="2" s="1"/>
  <c r="S356" i="2" a="1"/>
  <c r="S356" i="2" s="1"/>
  <c r="S357" i="2" a="1"/>
  <c r="S357" i="2" s="1"/>
  <c r="S358" i="2" a="1"/>
  <c r="S358" i="2" s="1"/>
  <c r="S359" i="2" a="1"/>
  <c r="S359" i="2" s="1"/>
  <c r="S360" i="2" a="1"/>
  <c r="S360" i="2" s="1"/>
  <c r="S361" i="2" a="1"/>
  <c r="S361" i="2" s="1"/>
  <c r="S362" i="2" a="1"/>
  <c r="S362" i="2" s="1"/>
  <c r="S363" i="2" a="1"/>
  <c r="S363" i="2" s="1"/>
  <c r="S364" i="2" a="1"/>
  <c r="S364" i="2" s="1"/>
  <c r="S365" i="2" a="1"/>
  <c r="S365" i="2" s="1"/>
  <c r="S366" i="2" a="1"/>
  <c r="S366" i="2" s="1"/>
  <c r="S367" i="2" a="1"/>
  <c r="S367" i="2" s="1"/>
  <c r="S368" i="2" a="1"/>
  <c r="S368" i="2" s="1"/>
  <c r="S369" i="2" a="1"/>
  <c r="S369" i="2" s="1"/>
  <c r="S370" i="2" a="1"/>
  <c r="S370" i="2" s="1"/>
  <c r="S371" i="2" a="1"/>
  <c r="S371" i="2" s="1"/>
  <c r="S372" i="2" a="1"/>
  <c r="S372" i="2" s="1"/>
  <c r="S373" i="2" a="1"/>
  <c r="S373" i="2" s="1"/>
  <c r="S374" i="2" a="1"/>
  <c r="S374" i="2" s="1"/>
  <c r="S375" i="2" a="1"/>
  <c r="S375" i="2" s="1"/>
  <c r="S376" i="2" a="1"/>
  <c r="S376" i="2" s="1"/>
  <c r="S377" i="2" a="1"/>
  <c r="S377" i="2" s="1"/>
  <c r="S378" i="2" a="1"/>
  <c r="S378" i="2" s="1"/>
  <c r="S379" i="2" a="1"/>
  <c r="S379" i="2" s="1"/>
  <c r="S380" i="2" a="1"/>
  <c r="S380" i="2" s="1"/>
  <c r="S381" i="2" a="1"/>
  <c r="S381" i="2" s="1"/>
  <c r="S382" i="2" a="1"/>
  <c r="S382" i="2" s="1"/>
  <c r="S383" i="2" a="1"/>
  <c r="S383" i="2" s="1"/>
  <c r="S384" i="2" a="1"/>
  <c r="S384" i="2" s="1"/>
  <c r="S385" i="2" a="1"/>
  <c r="S385" i="2" s="1"/>
  <c r="S386" i="2" a="1"/>
  <c r="S386" i="2" s="1"/>
  <c r="S387" i="2" a="1"/>
  <c r="S387" i="2" s="1"/>
  <c r="S388" i="2" a="1"/>
  <c r="S388" i="2" s="1"/>
  <c r="S389" i="2" a="1"/>
  <c r="S389" i="2" s="1"/>
  <c r="S390" i="2" a="1"/>
  <c r="S390" i="2" s="1"/>
  <c r="S391" i="2" a="1"/>
  <c r="S391" i="2" s="1"/>
  <c r="S392" i="2" a="1"/>
  <c r="S392" i="2" s="1"/>
  <c r="S393" i="2" a="1"/>
  <c r="S393" i="2" s="1"/>
  <c r="S394" i="2" a="1"/>
  <c r="S394" i="2" s="1"/>
  <c r="S395" i="2" a="1"/>
  <c r="S395" i="2" s="1"/>
  <c r="S396" i="2" a="1"/>
  <c r="S396" i="2" s="1"/>
  <c r="S397" i="2" a="1"/>
  <c r="S397" i="2" s="1"/>
  <c r="S398" i="2" a="1"/>
  <c r="S398" i="2" s="1"/>
  <c r="S399" i="2" a="1"/>
  <c r="S399" i="2" s="1"/>
  <c r="S400" i="2" a="1"/>
  <c r="S400" i="2" s="1"/>
  <c r="S401" i="2" a="1"/>
  <c r="S401" i="2" s="1"/>
  <c r="S402" i="2" a="1"/>
  <c r="S402" i="2" s="1"/>
  <c r="S403" i="2" a="1"/>
  <c r="S403" i="2" s="1"/>
  <c r="S404" i="2" a="1"/>
  <c r="S404" i="2" s="1"/>
  <c r="S405" i="2" a="1"/>
  <c r="S405" i="2" s="1"/>
  <c r="S406" i="2" a="1"/>
  <c r="S406" i="2" s="1"/>
  <c r="S407" i="2" a="1"/>
  <c r="S407" i="2" s="1"/>
  <c r="S408" i="2" a="1"/>
  <c r="S408" i="2" s="1"/>
  <c r="S409" i="2" a="1"/>
  <c r="S409" i="2" s="1"/>
  <c r="S410" i="2" a="1"/>
  <c r="S410" i="2" s="1"/>
  <c r="S411" i="2" a="1"/>
  <c r="S411" i="2" s="1"/>
  <c r="S412" i="2" a="1"/>
  <c r="S412" i="2" s="1"/>
  <c r="S413" i="2" a="1"/>
  <c r="S413" i="2" s="1"/>
  <c r="S414" i="2" a="1"/>
  <c r="S414" i="2" s="1"/>
  <c r="S415" i="2" a="1"/>
  <c r="S415" i="2" s="1"/>
  <c r="S416" i="2" a="1"/>
  <c r="S416" i="2" s="1"/>
  <c r="S417" i="2" a="1"/>
  <c r="S417" i="2" s="1"/>
  <c r="S418" i="2" a="1"/>
  <c r="S418" i="2" s="1"/>
  <c r="S419" i="2" a="1"/>
  <c r="S419" i="2" s="1"/>
  <c r="S420" i="2" a="1"/>
  <c r="S420" i="2" s="1"/>
  <c r="S421" i="2" a="1"/>
  <c r="S421" i="2" s="1"/>
  <c r="S422" i="2" a="1"/>
  <c r="S422" i="2" s="1"/>
  <c r="S423" i="2" a="1"/>
  <c r="S423" i="2" s="1"/>
  <c r="S424" i="2" a="1"/>
  <c r="S424" i="2" s="1"/>
  <c r="S425" i="2" a="1"/>
  <c r="S425" i="2" s="1"/>
  <c r="S426" i="2" a="1"/>
  <c r="S426" i="2" s="1"/>
  <c r="S427" i="2" a="1"/>
  <c r="S427" i="2" s="1"/>
  <c r="S428" i="2" a="1"/>
  <c r="S428" i="2" s="1"/>
  <c r="S429" i="2" a="1"/>
  <c r="S429" i="2" s="1"/>
  <c r="S430" i="2" a="1"/>
  <c r="S430" i="2" s="1"/>
  <c r="S431" i="2" a="1"/>
  <c r="S431" i="2" s="1"/>
  <c r="S432" i="2" a="1"/>
  <c r="S432" i="2" s="1"/>
  <c r="S433" i="2" a="1"/>
  <c r="S433" i="2" s="1"/>
  <c r="S434" i="2" a="1"/>
  <c r="S434" i="2" s="1"/>
  <c r="S435" i="2" a="1"/>
  <c r="S435" i="2" s="1"/>
  <c r="S436" i="2" a="1"/>
  <c r="S436" i="2" s="1"/>
  <c r="S437" i="2" a="1"/>
  <c r="S437" i="2" s="1"/>
  <c r="S438" i="2" a="1"/>
  <c r="S438" i="2" s="1"/>
  <c r="S439" i="2" a="1"/>
  <c r="S439" i="2" s="1"/>
  <c r="S440" i="2" a="1"/>
  <c r="S440" i="2" s="1"/>
  <c r="S441" i="2" a="1"/>
  <c r="S441" i="2" s="1"/>
  <c r="S442" i="2" a="1"/>
  <c r="S442" i="2" s="1"/>
  <c r="S443" i="2" a="1"/>
  <c r="S443" i="2" s="1"/>
  <c r="S444" i="2" a="1"/>
  <c r="S444" i="2" s="1"/>
  <c r="S445" i="2" a="1"/>
  <c r="S445" i="2" s="1"/>
  <c r="S446" i="2" a="1"/>
  <c r="S446" i="2" s="1"/>
  <c r="S447" i="2" a="1"/>
  <c r="S447" i="2" s="1"/>
  <c r="S448" i="2" a="1"/>
  <c r="S448" i="2" s="1"/>
  <c r="S449" i="2" a="1"/>
  <c r="S449" i="2" s="1"/>
  <c r="S450" i="2" a="1"/>
  <c r="S450" i="2" s="1"/>
  <c r="S451" i="2" a="1"/>
  <c r="S451" i="2" s="1"/>
  <c r="S452" i="2" a="1"/>
  <c r="S452" i="2" s="1"/>
  <c r="S453" i="2" a="1"/>
  <c r="S453" i="2" s="1"/>
  <c r="S454" i="2" a="1"/>
  <c r="S454" i="2" s="1"/>
  <c r="S455" i="2" a="1"/>
  <c r="S455" i="2" s="1"/>
  <c r="S456" i="2" a="1"/>
  <c r="S456" i="2" s="1"/>
  <c r="S457" i="2" a="1"/>
  <c r="S457" i="2" s="1"/>
  <c r="S458" i="2" a="1"/>
  <c r="S458" i="2" s="1"/>
  <c r="S459" i="2" a="1"/>
  <c r="S459" i="2" s="1"/>
  <c r="S460" i="2" a="1"/>
  <c r="S460" i="2" s="1"/>
  <c r="S461" i="2" a="1"/>
  <c r="S461" i="2" s="1"/>
  <c r="S462" i="2" a="1"/>
  <c r="S462" i="2" s="1"/>
  <c r="S463" i="2" a="1"/>
  <c r="S463" i="2" s="1"/>
  <c r="S464" i="2" a="1"/>
  <c r="S464" i="2" s="1"/>
  <c r="S465" i="2" a="1"/>
  <c r="S465" i="2" s="1"/>
  <c r="S466" i="2" a="1"/>
  <c r="S466" i="2" s="1"/>
  <c r="S467" i="2" a="1"/>
  <c r="S467" i="2" s="1"/>
  <c r="S468" i="2" a="1"/>
  <c r="S468" i="2" s="1"/>
  <c r="S469" i="2" a="1"/>
  <c r="S469" i="2" s="1"/>
  <c r="S470" i="2" a="1"/>
  <c r="S470" i="2" s="1"/>
  <c r="S471" i="2" a="1"/>
  <c r="S471" i="2" s="1"/>
  <c r="S472" i="2" a="1"/>
  <c r="S472" i="2" s="1"/>
  <c r="S473" i="2" a="1"/>
  <c r="S473" i="2" s="1"/>
  <c r="S474" i="2" a="1"/>
  <c r="S474" i="2" s="1"/>
  <c r="S475" i="2" a="1"/>
  <c r="S475" i="2" s="1"/>
  <c r="S476" i="2" a="1"/>
  <c r="S476" i="2" s="1"/>
  <c r="S477" i="2" a="1"/>
  <c r="S477" i="2" s="1"/>
  <c r="S478" i="2" a="1"/>
  <c r="S478" i="2" s="1"/>
  <c r="S479" i="2" a="1"/>
  <c r="S479" i="2" s="1"/>
  <c r="S480" i="2" a="1"/>
  <c r="S480" i="2" s="1"/>
  <c r="S481" i="2" a="1"/>
  <c r="S481" i="2" s="1"/>
  <c r="S482" i="2" a="1"/>
  <c r="S482" i="2" s="1"/>
  <c r="S483" i="2" a="1"/>
  <c r="S483" i="2" s="1"/>
  <c r="S484" i="2" a="1"/>
  <c r="S484" i="2" s="1"/>
  <c r="S485" i="2" a="1"/>
  <c r="S485" i="2" s="1"/>
  <c r="S486" i="2" a="1"/>
  <c r="S486" i="2" s="1"/>
  <c r="S487" i="2" a="1"/>
  <c r="S487" i="2" s="1"/>
  <c r="S488" i="2" a="1"/>
  <c r="S488" i="2" s="1"/>
  <c r="S489" i="2" a="1"/>
  <c r="S489" i="2" s="1"/>
  <c r="S490" i="2" a="1"/>
  <c r="S490" i="2" s="1"/>
  <c r="S491" i="2" a="1"/>
  <c r="S491" i="2" s="1"/>
  <c r="S492" i="2" a="1"/>
  <c r="S492" i="2" s="1"/>
  <c r="S493" i="2" a="1"/>
  <c r="S493" i="2" s="1"/>
  <c r="S494" i="2" a="1"/>
  <c r="S494" i="2" s="1"/>
  <c r="S495" i="2" a="1"/>
  <c r="S495" i="2" s="1"/>
  <c r="S496" i="2" a="1"/>
  <c r="S496" i="2" s="1"/>
  <c r="S497" i="2" a="1"/>
  <c r="S497" i="2" s="1"/>
  <c r="S498" i="2" a="1"/>
  <c r="S498" i="2" s="1"/>
  <c r="S499" i="2" a="1"/>
  <c r="S499" i="2" s="1"/>
  <c r="S500" i="2" a="1"/>
  <c r="S500" i="2" s="1"/>
  <c r="S501" i="2" a="1"/>
  <c r="S501" i="2" s="1"/>
  <c r="S502" i="2" a="1"/>
  <c r="S502" i="2" s="1"/>
  <c r="S503" i="2" a="1"/>
  <c r="S503" i="2" s="1"/>
  <c r="S504" i="2" a="1"/>
  <c r="S504" i="2" s="1"/>
  <c r="S505" i="2" a="1"/>
  <c r="S505" i="2" s="1"/>
  <c r="S506" i="2" a="1"/>
  <c r="S506" i="2" s="1"/>
  <c r="S507" i="2" a="1"/>
  <c r="S507" i="2" s="1"/>
  <c r="S508" i="2" a="1"/>
  <c r="S508" i="2" s="1"/>
  <c r="S509" i="2" a="1"/>
  <c r="S509" i="2" s="1"/>
  <c r="S510" i="2" a="1"/>
  <c r="S510" i="2" s="1"/>
  <c r="S511" i="2" a="1"/>
  <c r="S511" i="2" s="1"/>
  <c r="S512" i="2" a="1"/>
  <c r="S512" i="2" s="1"/>
  <c r="S513" i="2" a="1"/>
  <c r="S513" i="2" s="1"/>
  <c r="S514" i="2" a="1"/>
  <c r="S514" i="2" s="1"/>
  <c r="S515" i="2" a="1"/>
  <c r="S515" i="2" s="1"/>
  <c r="S516" i="2" a="1"/>
  <c r="S516" i="2" s="1"/>
  <c r="S517" i="2" a="1"/>
  <c r="S517" i="2" s="1"/>
  <c r="S518" i="2" a="1"/>
  <c r="S518" i="2" s="1"/>
  <c r="S519" i="2" a="1"/>
  <c r="S519" i="2" s="1"/>
  <c r="S520" i="2" a="1"/>
  <c r="S520" i="2" s="1"/>
  <c r="S521" i="2" a="1"/>
  <c r="S521" i="2" s="1"/>
  <c r="S522" i="2" a="1"/>
  <c r="S522" i="2" s="1"/>
  <c r="S523" i="2" a="1"/>
  <c r="S523" i="2" s="1"/>
  <c r="S524" i="2" a="1"/>
  <c r="S524" i="2" s="1"/>
  <c r="S525" i="2" a="1"/>
  <c r="S525" i="2" s="1"/>
  <c r="S526" i="2" a="1"/>
  <c r="S526" i="2" s="1"/>
  <c r="S527" i="2" a="1"/>
  <c r="S527" i="2" s="1"/>
  <c r="S528" i="2" a="1"/>
  <c r="S528" i="2" s="1"/>
  <c r="S529" i="2" a="1"/>
  <c r="S529" i="2" s="1"/>
  <c r="S530" i="2" a="1"/>
  <c r="S530" i="2" s="1"/>
  <c r="S531" i="2" a="1"/>
  <c r="S531" i="2" s="1"/>
  <c r="S532" i="2" a="1"/>
  <c r="S532" i="2" s="1"/>
  <c r="S533" i="2" a="1"/>
  <c r="S533" i="2" s="1"/>
  <c r="S534" i="2" a="1"/>
  <c r="S534" i="2" s="1"/>
  <c r="S535" i="2" a="1"/>
  <c r="S535" i="2" s="1"/>
  <c r="S536" i="2" a="1"/>
  <c r="S536" i="2" s="1"/>
  <c r="S537" i="2" a="1"/>
  <c r="S537" i="2" s="1"/>
  <c r="S538" i="2" a="1"/>
  <c r="S538" i="2" s="1"/>
  <c r="S539" i="2" a="1"/>
  <c r="S539" i="2" s="1"/>
  <c r="S540" i="2" a="1"/>
  <c r="S540" i="2" s="1"/>
  <c r="S541" i="2" a="1"/>
  <c r="S541" i="2" s="1"/>
  <c r="S542" i="2" a="1"/>
  <c r="S542" i="2" s="1"/>
  <c r="S543" i="2" a="1"/>
  <c r="S543" i="2" s="1"/>
  <c r="S544" i="2" a="1"/>
  <c r="S544" i="2" s="1"/>
  <c r="S545" i="2" a="1"/>
  <c r="S545" i="2" s="1"/>
  <c r="S546" i="2" a="1"/>
  <c r="S546" i="2" s="1"/>
  <c r="S547" i="2" a="1"/>
  <c r="S547" i="2" s="1"/>
  <c r="S548" i="2" a="1"/>
  <c r="S548" i="2" s="1"/>
  <c r="S549" i="2" a="1"/>
  <c r="S549" i="2" s="1"/>
  <c r="S550" i="2" a="1"/>
  <c r="S550" i="2" s="1"/>
  <c r="S551" i="2" a="1"/>
  <c r="S551" i="2" s="1"/>
  <c r="S552" i="2" a="1"/>
  <c r="S552" i="2" s="1"/>
  <c r="S553" i="2" a="1"/>
  <c r="S553" i="2" s="1"/>
  <c r="S554" i="2" a="1"/>
  <c r="S554" i="2" s="1"/>
  <c r="S555" i="2" a="1"/>
  <c r="S555" i="2" s="1"/>
  <c r="S556" i="2" a="1"/>
  <c r="S556" i="2" s="1"/>
  <c r="S557" i="2" a="1"/>
  <c r="S557" i="2" s="1"/>
  <c r="S558" i="2" a="1"/>
  <c r="S558" i="2" s="1"/>
  <c r="S559" i="2" a="1"/>
  <c r="S559" i="2" s="1"/>
  <c r="S560" i="2" a="1"/>
  <c r="S560" i="2" s="1"/>
  <c r="S561" i="2" a="1"/>
  <c r="S561" i="2" s="1"/>
  <c r="S562" i="2" a="1"/>
  <c r="S562" i="2" s="1"/>
  <c r="S563" i="2" a="1"/>
  <c r="S563" i="2" s="1"/>
  <c r="S564" i="2" a="1"/>
  <c r="S564" i="2" s="1"/>
  <c r="S565" i="2" a="1"/>
  <c r="S565" i="2" s="1"/>
  <c r="S566" i="2" a="1"/>
  <c r="S566" i="2" s="1"/>
  <c r="S567" i="2" a="1"/>
  <c r="S567" i="2" s="1"/>
  <c r="S568" i="2" a="1"/>
  <c r="S568" i="2" s="1"/>
  <c r="S569" i="2" a="1"/>
  <c r="S569" i="2" s="1"/>
  <c r="S570" i="2" a="1"/>
  <c r="S570" i="2" s="1"/>
  <c r="S571" i="2" a="1"/>
  <c r="S571" i="2" s="1"/>
  <c r="S572" i="2" a="1"/>
  <c r="S572" i="2" s="1"/>
  <c r="S573" i="2" a="1"/>
  <c r="S573" i="2" s="1"/>
  <c r="S574" i="2" a="1"/>
  <c r="S574" i="2" s="1"/>
  <c r="S575" i="2" a="1"/>
  <c r="S575" i="2" s="1"/>
  <c r="S576" i="2" a="1"/>
  <c r="S576" i="2" s="1"/>
  <c r="S577" i="2" a="1"/>
  <c r="S577" i="2" s="1"/>
  <c r="S578" i="2" a="1"/>
  <c r="S578" i="2" s="1"/>
  <c r="S579" i="2" a="1"/>
  <c r="S579" i="2" s="1"/>
  <c r="S580" i="2" a="1"/>
  <c r="S580" i="2" s="1"/>
  <c r="S581" i="2" a="1"/>
  <c r="S581" i="2" s="1"/>
  <c r="S582" i="2" a="1"/>
  <c r="S582" i="2" s="1"/>
  <c r="S583" i="2" a="1"/>
  <c r="S583" i="2" s="1"/>
  <c r="S584" i="2" a="1"/>
  <c r="S584" i="2" s="1"/>
  <c r="S585" i="2" a="1"/>
  <c r="S585" i="2" s="1"/>
  <c r="S586" i="2" a="1"/>
  <c r="S586" i="2" s="1"/>
  <c r="S587" i="2" a="1"/>
  <c r="S587" i="2" s="1"/>
  <c r="S588" i="2" a="1"/>
  <c r="S588" i="2" s="1"/>
  <c r="S589" i="2" a="1"/>
  <c r="S589" i="2" s="1"/>
  <c r="S590" i="2" a="1"/>
  <c r="S590" i="2" s="1"/>
  <c r="S591" i="2" a="1"/>
  <c r="S591" i="2" s="1"/>
  <c r="S592" i="2" a="1"/>
  <c r="S592" i="2" s="1"/>
  <c r="S593" i="2" a="1"/>
  <c r="S593" i="2" s="1"/>
  <c r="S594" i="2" a="1"/>
  <c r="S594" i="2" s="1"/>
  <c r="S595" i="2" a="1"/>
  <c r="S595" i="2" s="1"/>
  <c r="S596" i="2" a="1"/>
  <c r="S596" i="2" s="1"/>
  <c r="S597" i="2" a="1"/>
  <c r="S597" i="2" s="1"/>
  <c r="S598" i="2" a="1"/>
  <c r="S598" i="2" s="1"/>
  <c r="S599" i="2" a="1"/>
  <c r="S599" i="2" s="1"/>
  <c r="S600" i="2" a="1"/>
  <c r="S600" i="2" s="1"/>
  <c r="S601" i="2" a="1"/>
  <c r="S601" i="2" s="1"/>
  <c r="S602" i="2" a="1"/>
  <c r="S602" i="2" s="1"/>
  <c r="S603" i="2" a="1"/>
  <c r="S603" i="2" s="1"/>
  <c r="S604" i="2" a="1"/>
  <c r="S604" i="2" s="1"/>
  <c r="S605" i="2" a="1"/>
  <c r="S605" i="2" s="1"/>
  <c r="S606" i="2" a="1"/>
  <c r="S606" i="2" s="1"/>
  <c r="S607" i="2" a="1"/>
  <c r="S607" i="2" s="1"/>
  <c r="S608" i="2" a="1"/>
  <c r="S608" i="2" s="1"/>
  <c r="S609" i="2" a="1"/>
  <c r="S609" i="2" s="1"/>
  <c r="S610" i="2" a="1"/>
  <c r="S610" i="2" s="1"/>
  <c r="S611" i="2" a="1"/>
  <c r="S611" i="2" s="1"/>
  <c r="S612" i="2" a="1"/>
  <c r="S612" i="2" s="1"/>
  <c r="S613" i="2" a="1"/>
  <c r="S613" i="2" s="1"/>
  <c r="S614" i="2" a="1"/>
  <c r="S614" i="2" s="1"/>
  <c r="S615" i="2" a="1"/>
  <c r="S615" i="2" s="1"/>
  <c r="S616" i="2" a="1"/>
  <c r="S616" i="2" s="1"/>
  <c r="S617" i="2" a="1"/>
  <c r="S617" i="2" s="1"/>
  <c r="S618" i="2" a="1"/>
  <c r="S618" i="2" s="1"/>
  <c r="S619" i="2" a="1"/>
  <c r="S619" i="2" s="1"/>
  <c r="S620" i="2" a="1"/>
  <c r="S620" i="2" s="1"/>
  <c r="S621" i="2" a="1"/>
  <c r="S621" i="2" s="1"/>
  <c r="S622" i="2" a="1"/>
  <c r="S622" i="2" s="1"/>
  <c r="S623" i="2" a="1"/>
  <c r="S623" i="2" s="1"/>
  <c r="S624" i="2" a="1"/>
  <c r="S624" i="2" s="1"/>
  <c r="S625" i="2" a="1"/>
  <c r="S625" i="2" s="1"/>
  <c r="S626" i="2" a="1"/>
  <c r="S626" i="2" s="1"/>
  <c r="S627" i="2" a="1"/>
  <c r="S627" i="2" s="1"/>
  <c r="S628" i="2" a="1"/>
  <c r="S628" i="2" s="1"/>
  <c r="S629" i="2" a="1"/>
  <c r="S629" i="2" s="1"/>
  <c r="S630" i="2" a="1"/>
  <c r="S630" i="2" s="1"/>
  <c r="S631" i="2" a="1"/>
  <c r="S631" i="2" s="1"/>
  <c r="S632" i="2" a="1"/>
  <c r="S632" i="2" s="1"/>
  <c r="S633" i="2" a="1"/>
  <c r="S633" i="2" s="1"/>
  <c r="S634" i="2" a="1"/>
  <c r="S634" i="2" s="1"/>
  <c r="S635" i="2" a="1"/>
  <c r="S635" i="2" s="1"/>
  <c r="S636" i="2" a="1"/>
  <c r="S636" i="2" s="1"/>
  <c r="S637" i="2" a="1"/>
  <c r="S637" i="2" s="1"/>
  <c r="S638" i="2" a="1"/>
  <c r="S638" i="2" s="1"/>
  <c r="S639" i="2" a="1"/>
  <c r="S639" i="2" s="1"/>
  <c r="S640" i="2" a="1"/>
  <c r="S640" i="2" s="1"/>
  <c r="S641" i="2" a="1"/>
  <c r="S641" i="2" s="1"/>
  <c r="S642" i="2" a="1"/>
  <c r="S642" i="2" s="1"/>
  <c r="S643" i="2" a="1"/>
  <c r="S643" i="2" s="1"/>
  <c r="S644" i="2" a="1"/>
  <c r="S644" i="2" s="1"/>
  <c r="S645" i="2" a="1"/>
  <c r="S645" i="2" s="1"/>
  <c r="S646" i="2" a="1"/>
  <c r="S646" i="2" s="1"/>
  <c r="S647" i="2" a="1"/>
  <c r="S647" i="2" s="1"/>
  <c r="S648" i="2" a="1"/>
  <c r="S648" i="2" s="1"/>
  <c r="S649" i="2" a="1"/>
  <c r="S649" i="2" s="1"/>
  <c r="S650" i="2" a="1"/>
  <c r="S650" i="2" s="1"/>
  <c r="S651" i="2" a="1"/>
  <c r="S651" i="2" s="1"/>
  <c r="S652" i="2" a="1"/>
  <c r="S652" i="2" s="1"/>
  <c r="S653" i="2" a="1"/>
  <c r="S653" i="2" s="1"/>
  <c r="S654" i="2" a="1"/>
  <c r="S654" i="2" s="1"/>
  <c r="S655" i="2" a="1"/>
  <c r="S655" i="2" s="1"/>
  <c r="S656" i="2" a="1"/>
  <c r="S656" i="2" s="1"/>
  <c r="S657" i="2" a="1"/>
  <c r="S657" i="2" s="1"/>
  <c r="S658" i="2" a="1"/>
  <c r="S658" i="2" s="1"/>
  <c r="S659" i="2" a="1"/>
  <c r="S659" i="2" s="1"/>
  <c r="S660" i="2" a="1"/>
  <c r="S660" i="2" s="1"/>
  <c r="S661" i="2" a="1"/>
  <c r="S661" i="2" s="1"/>
  <c r="S662" i="2" a="1"/>
  <c r="S662" i="2" s="1"/>
  <c r="S663" i="2" a="1"/>
  <c r="S663" i="2" s="1"/>
  <c r="S664" i="2" a="1"/>
  <c r="S664" i="2" s="1"/>
  <c r="S665" i="2" a="1"/>
  <c r="S665" i="2" s="1"/>
  <c r="S666" i="2" a="1"/>
  <c r="S666" i="2" s="1"/>
  <c r="S667" i="2" a="1"/>
  <c r="S667" i="2" s="1"/>
  <c r="S668" i="2" a="1"/>
  <c r="S668" i="2" s="1"/>
  <c r="S669" i="2" a="1"/>
  <c r="S669" i="2" s="1"/>
  <c r="S670" i="2" a="1"/>
  <c r="S670" i="2" s="1"/>
  <c r="S671" i="2" a="1"/>
  <c r="S671" i="2" s="1"/>
  <c r="S672" i="2" a="1"/>
  <c r="S672" i="2" s="1"/>
  <c r="S673" i="2" a="1"/>
  <c r="S673" i="2" s="1"/>
  <c r="S674" i="2" a="1"/>
  <c r="S674" i="2" s="1"/>
  <c r="S675" i="2" a="1"/>
  <c r="S675" i="2" s="1"/>
  <c r="S676" i="2" a="1"/>
  <c r="S676" i="2" s="1"/>
  <c r="S677" i="2" a="1"/>
  <c r="S677" i="2" s="1"/>
  <c r="S678" i="2" a="1"/>
  <c r="S678" i="2" s="1"/>
  <c r="S679" i="2" a="1"/>
  <c r="S679" i="2" s="1"/>
  <c r="S680" i="2" a="1"/>
  <c r="S680" i="2" s="1"/>
  <c r="S681" i="2" a="1"/>
  <c r="S681" i="2" s="1"/>
  <c r="S682" i="2" a="1"/>
  <c r="S682" i="2" s="1"/>
  <c r="S683" i="2" a="1"/>
  <c r="S683" i="2" s="1"/>
  <c r="S684" i="2" a="1"/>
  <c r="S684" i="2" s="1"/>
  <c r="S685" i="2" a="1"/>
  <c r="S685" i="2" s="1"/>
  <c r="S686" i="2" a="1"/>
  <c r="S686" i="2" s="1"/>
  <c r="S687" i="2" a="1"/>
  <c r="S687" i="2" s="1"/>
  <c r="S688" i="2" a="1"/>
  <c r="S688" i="2" s="1"/>
  <c r="S689" i="2" a="1"/>
  <c r="S689" i="2" s="1"/>
  <c r="S690" i="2" a="1"/>
  <c r="S690" i="2" s="1"/>
  <c r="S691" i="2" a="1"/>
  <c r="S691" i="2" s="1"/>
  <c r="S692" i="2" a="1"/>
  <c r="S692" i="2" s="1"/>
  <c r="S693" i="2" a="1"/>
  <c r="S693" i="2" s="1"/>
  <c r="S694" i="2" a="1"/>
  <c r="S694" i="2" s="1"/>
  <c r="S695" i="2" a="1"/>
  <c r="S695" i="2" s="1"/>
  <c r="S696" i="2" a="1"/>
  <c r="S696" i="2" s="1"/>
  <c r="S697" i="2" a="1"/>
  <c r="S697" i="2" s="1"/>
  <c r="S698" i="2" a="1"/>
  <c r="S698" i="2" s="1"/>
  <c r="S699" i="2" a="1"/>
  <c r="S699" i="2" s="1"/>
  <c r="S700" i="2" a="1"/>
  <c r="S700" i="2" s="1"/>
  <c r="S701" i="2" a="1"/>
  <c r="S701" i="2" s="1"/>
  <c r="S702" i="2" a="1"/>
  <c r="S702" i="2" s="1"/>
  <c r="S703" i="2" a="1"/>
  <c r="S703" i="2" s="1"/>
  <c r="S704" i="2" a="1"/>
  <c r="S704" i="2" s="1"/>
  <c r="S705" i="2" a="1"/>
  <c r="S705" i="2" s="1"/>
  <c r="S706" i="2" a="1"/>
  <c r="S706" i="2" s="1"/>
  <c r="S707" i="2" a="1"/>
  <c r="S707" i="2" s="1"/>
  <c r="S708" i="2" a="1"/>
  <c r="S708" i="2" s="1"/>
  <c r="S709" i="2" a="1"/>
  <c r="S709" i="2" s="1"/>
  <c r="S710" i="2" a="1"/>
  <c r="S710" i="2" s="1"/>
  <c r="S711" i="2" a="1"/>
  <c r="S711" i="2" s="1"/>
  <c r="S712" i="2" a="1"/>
  <c r="S712" i="2" s="1"/>
  <c r="S713" i="2" a="1"/>
  <c r="S713" i="2" s="1"/>
  <c r="S714" i="2" a="1"/>
  <c r="S714" i="2" s="1"/>
  <c r="S715" i="2" a="1"/>
  <c r="S715" i="2" s="1"/>
  <c r="S716" i="2" a="1"/>
  <c r="S716" i="2" s="1"/>
  <c r="S717" i="2" a="1"/>
  <c r="S717" i="2" s="1"/>
  <c r="S718" i="2" a="1"/>
  <c r="S718" i="2" s="1"/>
  <c r="S719" i="2" a="1"/>
  <c r="S719" i="2" s="1"/>
  <c r="S720" i="2" a="1"/>
  <c r="S720" i="2" s="1"/>
  <c r="S721" i="2" a="1"/>
  <c r="S721" i="2" s="1"/>
  <c r="S722" i="2" a="1"/>
  <c r="S722" i="2" s="1"/>
  <c r="S723" i="2" a="1"/>
  <c r="S723" i="2" s="1"/>
  <c r="S724" i="2" a="1"/>
  <c r="S724" i="2" s="1"/>
  <c r="S725" i="2" a="1"/>
  <c r="S725" i="2" s="1"/>
  <c r="S726" i="2" a="1"/>
  <c r="S726" i="2" s="1"/>
  <c r="S727" i="2" a="1"/>
  <c r="S727" i="2" s="1"/>
  <c r="S728" i="2" a="1"/>
  <c r="S728" i="2" s="1"/>
  <c r="S729" i="2" a="1"/>
  <c r="S729" i="2" s="1"/>
  <c r="S730" i="2" a="1"/>
  <c r="S730" i="2" s="1"/>
  <c r="S731" i="2" a="1"/>
  <c r="S731" i="2" s="1"/>
  <c r="S732" i="2" a="1"/>
  <c r="S732" i="2" s="1"/>
  <c r="S733" i="2" a="1"/>
  <c r="S733" i="2" s="1"/>
  <c r="S734" i="2" a="1"/>
  <c r="S734" i="2" s="1"/>
  <c r="S735" i="2" a="1"/>
  <c r="S735" i="2" s="1"/>
  <c r="S736" i="2" a="1"/>
  <c r="S736" i="2" s="1"/>
  <c r="S737" i="2" a="1"/>
  <c r="S737" i="2" s="1"/>
  <c r="S738" i="2" a="1"/>
  <c r="S738" i="2" s="1"/>
  <c r="S739" i="2" a="1"/>
  <c r="S739" i="2" s="1"/>
  <c r="S740" i="2" a="1"/>
  <c r="S740" i="2" s="1"/>
  <c r="S741" i="2" a="1"/>
  <c r="S741" i="2" s="1"/>
  <c r="S742" i="2" a="1"/>
  <c r="S742" i="2" s="1"/>
  <c r="S743" i="2" a="1"/>
  <c r="S743" i="2" s="1"/>
  <c r="S744" i="2" a="1"/>
  <c r="S744" i="2" s="1"/>
  <c r="S745" i="2" a="1"/>
  <c r="S745" i="2" s="1"/>
  <c r="S746" i="2" a="1"/>
  <c r="S746" i="2" s="1"/>
  <c r="S747" i="2" a="1"/>
  <c r="S747" i="2" s="1"/>
  <c r="S748" i="2" a="1"/>
  <c r="S748" i="2" s="1"/>
  <c r="S749" i="2" a="1"/>
  <c r="S749" i="2" s="1"/>
  <c r="S750" i="2" a="1"/>
  <c r="S750" i="2" s="1"/>
  <c r="S751" i="2" a="1"/>
  <c r="S751" i="2" s="1"/>
  <c r="S752" i="2" a="1"/>
  <c r="S752" i="2" s="1"/>
  <c r="S753" i="2" a="1"/>
  <c r="S753" i="2" s="1"/>
  <c r="S754" i="2" a="1"/>
  <c r="S754" i="2" s="1"/>
  <c r="S755" i="2" a="1"/>
  <c r="S755" i="2" s="1"/>
  <c r="S756" i="2" a="1"/>
  <c r="S756" i="2" s="1"/>
  <c r="S757" i="2" a="1"/>
  <c r="S757" i="2" s="1"/>
  <c r="S758" i="2" a="1"/>
  <c r="S758" i="2" s="1"/>
  <c r="S759" i="2" a="1"/>
  <c r="S759" i="2" s="1"/>
  <c r="S760" i="2" a="1"/>
  <c r="S760" i="2" s="1"/>
  <c r="S761" i="2" a="1"/>
  <c r="S761" i="2" s="1"/>
  <c r="S762" i="2" a="1"/>
  <c r="S762" i="2" s="1"/>
  <c r="S763" i="2" a="1"/>
  <c r="S763" i="2" s="1"/>
  <c r="S764" i="2" a="1"/>
  <c r="S764" i="2" s="1"/>
  <c r="S765" i="2" a="1"/>
  <c r="S765" i="2" s="1"/>
  <c r="S766" i="2" a="1"/>
  <c r="S766" i="2" s="1"/>
  <c r="S767" i="2" a="1"/>
  <c r="S767" i="2" s="1"/>
  <c r="S768" i="2" a="1"/>
  <c r="S768" i="2" s="1"/>
  <c r="S769" i="2" a="1"/>
  <c r="S769" i="2" s="1"/>
  <c r="S770" i="2" a="1"/>
  <c r="S770" i="2" s="1"/>
  <c r="S771" i="2" a="1"/>
  <c r="S771" i="2" s="1"/>
  <c r="S772" i="2" a="1"/>
  <c r="S772" i="2" s="1"/>
  <c r="S773" i="2" a="1"/>
  <c r="S773" i="2" s="1"/>
  <c r="S774" i="2" a="1"/>
  <c r="S774" i="2" s="1"/>
  <c r="S775" i="2" a="1"/>
  <c r="S775" i="2" s="1"/>
  <c r="S776" i="2" a="1"/>
  <c r="S776" i="2" s="1"/>
  <c r="S777" i="2" a="1"/>
  <c r="S777" i="2" s="1"/>
  <c r="S778" i="2" a="1"/>
  <c r="S778" i="2" s="1"/>
  <c r="S779" i="2" a="1"/>
  <c r="S779" i="2" s="1"/>
  <c r="S780" i="2" a="1"/>
  <c r="S780" i="2" s="1"/>
  <c r="S781" i="2" a="1"/>
  <c r="S781" i="2" s="1"/>
  <c r="S782" i="2" a="1"/>
  <c r="S782" i="2" s="1"/>
  <c r="S783" i="2" a="1"/>
  <c r="S783" i="2" s="1"/>
  <c r="S784" i="2" a="1"/>
  <c r="S784" i="2" s="1"/>
  <c r="S785" i="2" a="1"/>
  <c r="S785" i="2" s="1"/>
  <c r="S786" i="2" a="1"/>
  <c r="S786" i="2" s="1"/>
  <c r="S787" i="2" a="1"/>
  <c r="S787" i="2" s="1"/>
  <c r="S788" i="2" a="1"/>
  <c r="S788" i="2" s="1"/>
  <c r="S789" i="2" a="1"/>
  <c r="S789" i="2" s="1"/>
  <c r="S790" i="2" a="1"/>
  <c r="S790" i="2" s="1"/>
  <c r="S791" i="2" a="1"/>
  <c r="S791" i="2" s="1"/>
  <c r="S792" i="2" a="1"/>
  <c r="S792" i="2" s="1"/>
  <c r="S793" i="2" a="1"/>
  <c r="S793" i="2" s="1"/>
  <c r="S794" i="2" a="1"/>
  <c r="S794" i="2" s="1"/>
  <c r="S795" i="2" a="1"/>
  <c r="S795" i="2" s="1"/>
  <c r="S796" i="2" a="1"/>
  <c r="S796" i="2" s="1"/>
  <c r="S797" i="2" a="1"/>
  <c r="S797" i="2" s="1"/>
  <c r="S798" i="2" a="1"/>
  <c r="S798" i="2" s="1"/>
  <c r="S799" i="2" a="1"/>
  <c r="S799" i="2" s="1"/>
  <c r="S800" i="2" a="1"/>
  <c r="S800" i="2" s="1"/>
  <c r="S801" i="2" a="1"/>
  <c r="S801" i="2" s="1"/>
  <c r="S802" i="2" a="1"/>
  <c r="S802" i="2" s="1"/>
  <c r="S803" i="2" a="1"/>
  <c r="S803" i="2" s="1"/>
  <c r="S804" i="2" a="1"/>
  <c r="S804" i="2" s="1"/>
  <c r="S805" i="2" a="1"/>
  <c r="S805" i="2" s="1"/>
  <c r="S806" i="2" a="1"/>
  <c r="S806" i="2" s="1"/>
  <c r="S807" i="2" a="1"/>
  <c r="S807" i="2" s="1"/>
  <c r="S808" i="2" a="1"/>
  <c r="S808" i="2" s="1"/>
  <c r="S809" i="2" a="1"/>
  <c r="S809" i="2" s="1"/>
  <c r="S810" i="2" a="1"/>
  <c r="S810" i="2" s="1"/>
  <c r="S811" i="2" a="1"/>
  <c r="S811" i="2" s="1"/>
  <c r="S812" i="2" a="1"/>
  <c r="S812" i="2" s="1"/>
  <c r="S813" i="2" a="1"/>
  <c r="S813" i="2" s="1"/>
  <c r="S814" i="2" a="1"/>
  <c r="S814" i="2" s="1"/>
  <c r="S815" i="2" a="1"/>
  <c r="S815" i="2" s="1"/>
  <c r="S816" i="2" a="1"/>
  <c r="S816" i="2" s="1"/>
  <c r="S817" i="2" a="1"/>
  <c r="S817" i="2" s="1"/>
  <c r="S818" i="2" a="1"/>
  <c r="S818" i="2" s="1"/>
  <c r="S819" i="2" a="1"/>
  <c r="S819" i="2" s="1"/>
  <c r="S820" i="2" a="1"/>
  <c r="S820" i="2" s="1"/>
  <c r="S821" i="2" a="1"/>
  <c r="S821" i="2" s="1"/>
  <c r="S822" i="2" a="1"/>
  <c r="S822" i="2" s="1"/>
  <c r="S823" i="2" a="1"/>
  <c r="S823" i="2" s="1"/>
  <c r="S824" i="2" a="1"/>
  <c r="S824" i="2" s="1"/>
  <c r="S825" i="2" a="1"/>
  <c r="S825" i="2" s="1"/>
  <c r="S826" i="2" a="1"/>
  <c r="S826" i="2" s="1"/>
  <c r="S827" i="2" a="1"/>
  <c r="S827" i="2" s="1"/>
  <c r="S828" i="2" a="1"/>
  <c r="S828" i="2" s="1"/>
  <c r="S829" i="2" a="1"/>
  <c r="S829" i="2" s="1"/>
  <c r="S830" i="2" a="1"/>
  <c r="S830" i="2" s="1"/>
  <c r="S831" i="2" a="1"/>
  <c r="S831" i="2" s="1"/>
  <c r="S832" i="2" a="1"/>
  <c r="S832" i="2" s="1"/>
  <c r="S833" i="2" a="1"/>
  <c r="S833" i="2" s="1"/>
  <c r="S834" i="2" a="1"/>
  <c r="S834" i="2" s="1"/>
  <c r="S835" i="2" a="1"/>
  <c r="S835" i="2" s="1"/>
  <c r="S836" i="2" a="1"/>
  <c r="S836" i="2" s="1"/>
  <c r="S837" i="2" a="1"/>
  <c r="S837" i="2" s="1"/>
  <c r="S838" i="2" a="1"/>
  <c r="S838" i="2" s="1"/>
  <c r="S839" i="2" a="1"/>
  <c r="S839" i="2" s="1"/>
  <c r="S840" i="2" a="1"/>
  <c r="S840" i="2" s="1"/>
  <c r="S841" i="2" a="1"/>
  <c r="S841" i="2" s="1"/>
  <c r="S842" i="2" a="1"/>
  <c r="S842" i="2" s="1"/>
  <c r="S843" i="2" a="1"/>
  <c r="S843" i="2" s="1"/>
  <c r="S844" i="2" a="1"/>
  <c r="S844" i="2" s="1"/>
  <c r="S845" i="2" a="1"/>
  <c r="S845" i="2" s="1"/>
  <c r="S846" i="2" a="1"/>
  <c r="S846" i="2" s="1"/>
  <c r="S847" i="2" a="1"/>
  <c r="S847" i="2" s="1"/>
  <c r="S848" i="2" a="1"/>
  <c r="S848" i="2" s="1"/>
  <c r="S849" i="2" a="1"/>
  <c r="S849" i="2" s="1"/>
  <c r="S850" i="2" a="1"/>
  <c r="S850" i="2" s="1"/>
  <c r="S851" i="2" a="1"/>
  <c r="S851" i="2" s="1"/>
  <c r="S852" i="2" a="1"/>
  <c r="S852" i="2" s="1"/>
  <c r="S853" i="2" a="1"/>
  <c r="S853" i="2" s="1"/>
  <c r="S854" i="2" a="1"/>
  <c r="S854" i="2" s="1"/>
  <c r="S855" i="2" a="1"/>
  <c r="S855" i="2" s="1"/>
  <c r="S856" i="2" a="1"/>
  <c r="S856" i="2" s="1"/>
  <c r="S857" i="2" a="1"/>
  <c r="S857" i="2" s="1"/>
  <c r="S858" i="2" a="1"/>
  <c r="S858" i="2" s="1"/>
  <c r="S859" i="2" a="1"/>
  <c r="S859" i="2" s="1"/>
  <c r="S860" i="2" a="1"/>
  <c r="S860" i="2" s="1"/>
  <c r="S861" i="2" a="1"/>
  <c r="S861" i="2" s="1"/>
  <c r="S862" i="2" a="1"/>
  <c r="S862" i="2" s="1"/>
  <c r="S863" i="2" a="1"/>
  <c r="S863" i="2" s="1"/>
  <c r="S864" i="2" a="1"/>
  <c r="S864" i="2" s="1"/>
  <c r="S865" i="2" a="1"/>
  <c r="S865" i="2" s="1"/>
  <c r="S866" i="2" a="1"/>
  <c r="S866" i="2" s="1"/>
  <c r="S867" i="2" a="1"/>
  <c r="S867" i="2" s="1"/>
  <c r="S868" i="2" a="1"/>
  <c r="S868" i="2" s="1"/>
  <c r="S869" i="2" a="1"/>
  <c r="S869" i="2" s="1"/>
  <c r="S870" i="2" a="1"/>
  <c r="S870" i="2" s="1"/>
  <c r="S871" i="2" a="1"/>
  <c r="S871" i="2" s="1"/>
  <c r="S872" i="2" a="1"/>
  <c r="S872" i="2" s="1"/>
  <c r="S873" i="2" a="1"/>
  <c r="S873" i="2" s="1"/>
  <c r="S874" i="2" a="1"/>
  <c r="S874" i="2" s="1"/>
  <c r="S875" i="2" a="1"/>
  <c r="S875" i="2" s="1"/>
  <c r="S876" i="2" a="1"/>
  <c r="S876" i="2" s="1"/>
  <c r="S877" i="2" a="1"/>
  <c r="S877" i="2" s="1"/>
  <c r="S878" i="2" a="1"/>
  <c r="S878" i="2" s="1"/>
  <c r="S879" i="2" a="1"/>
  <c r="S879" i="2" s="1"/>
  <c r="S880" i="2" a="1"/>
  <c r="S880" i="2" s="1"/>
  <c r="S881" i="2" a="1"/>
  <c r="S881" i="2" s="1"/>
  <c r="S882" i="2" a="1"/>
  <c r="S882" i="2" s="1"/>
  <c r="S883" i="2" a="1"/>
  <c r="S883" i="2" s="1"/>
  <c r="S884" i="2" a="1"/>
  <c r="S884" i="2" s="1"/>
  <c r="S885" i="2" a="1"/>
  <c r="S885" i="2" s="1"/>
  <c r="S886" i="2" a="1"/>
  <c r="S886" i="2" s="1"/>
  <c r="S887" i="2" a="1"/>
  <c r="S887" i="2" s="1"/>
  <c r="S888" i="2" a="1"/>
  <c r="S888" i="2" s="1"/>
  <c r="S889" i="2" a="1"/>
  <c r="S889" i="2" s="1"/>
  <c r="S890" i="2" a="1"/>
  <c r="S890" i="2" s="1"/>
  <c r="S891" i="2" a="1"/>
  <c r="S891" i="2" s="1"/>
  <c r="S892" i="2" a="1"/>
  <c r="S892" i="2" s="1"/>
  <c r="S893" i="2" a="1"/>
  <c r="S893" i="2" s="1"/>
  <c r="S894" i="2" a="1"/>
  <c r="S894" i="2" s="1"/>
  <c r="S895" i="2" a="1"/>
  <c r="S895" i="2" s="1"/>
  <c r="S896" i="2" a="1"/>
  <c r="S896" i="2" s="1"/>
  <c r="S897" i="2" a="1"/>
  <c r="S897" i="2" s="1"/>
  <c r="S898" i="2" a="1"/>
  <c r="S898" i="2" s="1"/>
  <c r="S899" i="2" a="1"/>
  <c r="S899" i="2" s="1"/>
  <c r="S900" i="2" a="1"/>
  <c r="S900" i="2" s="1"/>
  <c r="S901" i="2" a="1"/>
  <c r="S901" i="2" s="1"/>
  <c r="S902" i="2" a="1"/>
  <c r="S902" i="2" s="1"/>
  <c r="S903" i="2" a="1"/>
  <c r="S903" i="2" s="1"/>
  <c r="S904" i="2" a="1"/>
  <c r="S904" i="2" s="1"/>
  <c r="S905" i="2" a="1"/>
  <c r="S905" i="2" s="1"/>
  <c r="S906" i="2" a="1"/>
  <c r="S906" i="2" s="1"/>
  <c r="S907" i="2" a="1"/>
  <c r="S907" i="2" s="1"/>
  <c r="S908" i="2" a="1"/>
  <c r="S908" i="2" s="1"/>
  <c r="S909" i="2" a="1"/>
  <c r="S909" i="2" s="1"/>
  <c r="S910" i="2" a="1"/>
  <c r="S910" i="2" s="1"/>
  <c r="S911" i="2" a="1"/>
  <c r="S911" i="2" s="1"/>
  <c r="S912" i="2" a="1"/>
  <c r="S912" i="2" s="1"/>
  <c r="S913" i="2" a="1"/>
  <c r="S913" i="2" s="1"/>
  <c r="S914" i="2" a="1"/>
  <c r="S914" i="2" s="1"/>
  <c r="S915" i="2" a="1"/>
  <c r="S915" i="2" s="1"/>
  <c r="S916" i="2" a="1"/>
  <c r="S916" i="2" s="1"/>
  <c r="S917" i="2" a="1"/>
  <c r="S917" i="2" s="1"/>
  <c r="S918" i="2" a="1"/>
  <c r="S918" i="2" s="1"/>
  <c r="S919" i="2" a="1"/>
  <c r="S919" i="2" s="1"/>
  <c r="S920" i="2" a="1"/>
  <c r="S920" i="2" s="1"/>
  <c r="S921" i="2" a="1"/>
  <c r="S921" i="2" s="1"/>
  <c r="S922" i="2" a="1"/>
  <c r="S922" i="2" s="1"/>
  <c r="S923" i="2" a="1"/>
  <c r="S923" i="2" s="1"/>
  <c r="S924" i="2" a="1"/>
  <c r="S924" i="2" s="1"/>
  <c r="S925" i="2" a="1"/>
  <c r="S925" i="2" s="1"/>
  <c r="S926" i="2" a="1"/>
  <c r="S926" i="2" s="1"/>
  <c r="S927" i="2" a="1"/>
  <c r="S927" i="2" s="1"/>
  <c r="S928" i="2" a="1"/>
  <c r="S928" i="2" s="1"/>
  <c r="S929" i="2" a="1"/>
  <c r="S929" i="2" s="1"/>
  <c r="S930" i="2" a="1"/>
  <c r="S930" i="2" s="1"/>
  <c r="S931" i="2" a="1"/>
  <c r="S931" i="2" s="1"/>
  <c r="S932" i="2" a="1"/>
  <c r="S932" i="2" s="1"/>
  <c r="S933" i="2" a="1"/>
  <c r="S933" i="2" s="1"/>
  <c r="S934" i="2" a="1"/>
  <c r="S934" i="2" s="1"/>
  <c r="S935" i="2" a="1"/>
  <c r="S935" i="2" s="1"/>
  <c r="S936" i="2" a="1"/>
  <c r="S936" i="2" s="1"/>
  <c r="S937" i="2" a="1"/>
  <c r="S937" i="2" s="1"/>
  <c r="S938" i="2" a="1"/>
  <c r="S938" i="2" s="1"/>
  <c r="S939" i="2" a="1"/>
  <c r="S939" i="2" s="1"/>
  <c r="S940" i="2" a="1"/>
  <c r="S940" i="2" s="1"/>
  <c r="S941" i="2" a="1"/>
  <c r="S941" i="2" s="1"/>
  <c r="S942" i="2" a="1"/>
  <c r="S942" i="2" s="1"/>
  <c r="S943" i="2" a="1"/>
  <c r="S943" i="2" s="1"/>
  <c r="S944" i="2" a="1"/>
  <c r="S944" i="2" s="1"/>
  <c r="S945" i="2" a="1"/>
  <c r="S945" i="2" s="1"/>
  <c r="S946" i="2" a="1"/>
  <c r="S946" i="2" s="1"/>
  <c r="S947" i="2" a="1"/>
  <c r="S947" i="2" s="1"/>
  <c r="S948" i="2" a="1"/>
  <c r="S948" i="2" s="1"/>
  <c r="S949" i="2" a="1"/>
  <c r="S949" i="2" s="1"/>
  <c r="S950" i="2" a="1"/>
  <c r="S950" i="2" s="1"/>
  <c r="S951" i="2" a="1"/>
  <c r="S951" i="2" s="1"/>
  <c r="S952" i="2" a="1"/>
  <c r="S952" i="2" s="1"/>
  <c r="S953" i="2" a="1"/>
  <c r="S953" i="2" s="1"/>
  <c r="S954" i="2" a="1"/>
  <c r="S954" i="2" s="1"/>
  <c r="S955" i="2" a="1"/>
  <c r="S955" i="2" s="1"/>
  <c r="S956" i="2" a="1"/>
  <c r="S956" i="2" s="1"/>
  <c r="S957" i="2" a="1"/>
  <c r="S957" i="2" s="1"/>
  <c r="S958" i="2" a="1"/>
  <c r="S958" i="2" s="1"/>
  <c r="S959" i="2" a="1"/>
  <c r="S959" i="2" s="1"/>
  <c r="S960" i="2" a="1"/>
  <c r="S960" i="2" s="1"/>
  <c r="S961" i="2" a="1"/>
  <c r="S961" i="2" s="1"/>
  <c r="S962" i="2" a="1"/>
  <c r="S962" i="2" s="1"/>
  <c r="S963" i="2" a="1"/>
  <c r="S963" i="2" s="1"/>
  <c r="S964" i="2" a="1"/>
  <c r="S964" i="2" s="1"/>
  <c r="S965" i="2" a="1"/>
  <c r="S965" i="2" s="1"/>
  <c r="S966" i="2" a="1"/>
  <c r="S966" i="2" s="1"/>
  <c r="S967" i="2" a="1"/>
  <c r="S967" i="2" s="1"/>
  <c r="S968" i="2" a="1"/>
  <c r="S968" i="2" s="1"/>
  <c r="S969" i="2" a="1"/>
  <c r="S969" i="2" s="1"/>
  <c r="S970" i="2" a="1"/>
  <c r="S970" i="2" s="1"/>
  <c r="S971" i="2" a="1"/>
  <c r="S971" i="2" s="1"/>
  <c r="S972" i="2" a="1"/>
  <c r="S972" i="2" s="1"/>
  <c r="S973" i="2" a="1"/>
  <c r="S973" i="2" s="1"/>
  <c r="S974" i="2" a="1"/>
  <c r="S974" i="2" s="1"/>
  <c r="S975" i="2" a="1"/>
  <c r="S975" i="2" s="1"/>
  <c r="S976" i="2" a="1"/>
  <c r="S976" i="2" s="1"/>
  <c r="S977" i="2" a="1"/>
  <c r="S977" i="2" s="1"/>
  <c r="S978" i="2" a="1"/>
  <c r="S978" i="2" s="1"/>
  <c r="S979" i="2" a="1"/>
  <c r="S979" i="2" s="1"/>
  <c r="S980" i="2" a="1"/>
  <c r="S980" i="2" s="1"/>
  <c r="S981" i="2" a="1"/>
  <c r="S981" i="2" s="1"/>
  <c r="S982" i="2" a="1"/>
  <c r="S982" i="2" s="1"/>
  <c r="S983" i="2" a="1"/>
  <c r="S983" i="2" s="1"/>
  <c r="S984" i="2" a="1"/>
  <c r="S984" i="2" s="1"/>
  <c r="S985" i="2" a="1"/>
  <c r="S985" i="2" s="1"/>
  <c r="S986" i="2" a="1"/>
  <c r="S986" i="2" s="1"/>
  <c r="S987" i="2" a="1"/>
  <c r="S987" i="2" s="1"/>
  <c r="S988" i="2" a="1"/>
  <c r="S988" i="2" s="1"/>
  <c r="S989" i="2" a="1"/>
  <c r="S989" i="2" s="1"/>
  <c r="S990" i="2" a="1"/>
  <c r="S990" i="2" s="1"/>
  <c r="S991" i="2" a="1"/>
  <c r="S991" i="2" s="1"/>
  <c r="S992" i="2" a="1"/>
  <c r="S992" i="2" s="1"/>
  <c r="S993" i="2" a="1"/>
  <c r="S993" i="2" s="1"/>
  <c r="S994" i="2" a="1"/>
  <c r="S994" i="2" s="1"/>
  <c r="S995" i="2" a="1"/>
  <c r="S995" i="2" s="1"/>
  <c r="S996" i="2" a="1"/>
  <c r="S996" i="2" s="1"/>
  <c r="S997" i="2" a="1"/>
  <c r="S997" i="2" s="1"/>
  <c r="S998" i="2" a="1"/>
  <c r="S998" i="2" s="1"/>
  <c r="S999" i="2" a="1"/>
  <c r="S999" i="2" s="1"/>
  <c r="S1000" i="2" a="1"/>
  <c r="S1000" i="2" s="1"/>
  <c r="S1001" i="2" a="1"/>
  <c r="S1001" i="2" s="1"/>
  <c r="S1002" i="2" a="1"/>
  <c r="S1002" i="2" s="1"/>
  <c r="S1003" i="2" a="1"/>
  <c r="S1003" i="2" s="1"/>
  <c r="S1004" i="2" a="1"/>
  <c r="S1004" i="2" s="1"/>
  <c r="S1005" i="2" a="1"/>
  <c r="S1005" i="2" s="1"/>
  <c r="S1006" i="2" a="1"/>
  <c r="S1006" i="2" s="1"/>
  <c r="S1007" i="2" a="1"/>
  <c r="S1007" i="2" s="1"/>
  <c r="S1008" i="2" a="1"/>
  <c r="S1008" i="2" s="1"/>
  <c r="S1009" i="2" a="1"/>
  <c r="S1009" i="2" s="1"/>
  <c r="S1010" i="2" a="1"/>
  <c r="S1010" i="2" s="1"/>
  <c r="S1011" i="2" a="1"/>
  <c r="S1011" i="2" s="1"/>
  <c r="S1012" i="2" a="1"/>
  <c r="S1012" i="2" s="1"/>
  <c r="S1013" i="2" a="1"/>
  <c r="S1013" i="2" s="1"/>
  <c r="S1014" i="2" a="1"/>
  <c r="S1014" i="2" s="1"/>
  <c r="S1015" i="2" a="1"/>
  <c r="S1015" i="2" s="1"/>
  <c r="S1016" i="2" a="1"/>
  <c r="S1016" i="2" s="1"/>
  <c r="S1017" i="2" a="1"/>
  <c r="S1017" i="2" s="1"/>
  <c r="S1018" i="2" a="1"/>
  <c r="S1018" i="2" s="1"/>
  <c r="S1019" i="2" a="1"/>
  <c r="S1019" i="2" s="1"/>
  <c r="S1020" i="2" a="1"/>
  <c r="S1020" i="2" s="1"/>
  <c r="S1021" i="2" a="1"/>
  <c r="S1021" i="2" s="1"/>
  <c r="S1022" i="2" a="1"/>
  <c r="S1022" i="2" s="1"/>
  <c r="S1023" i="2" a="1"/>
  <c r="S1023" i="2" s="1"/>
  <c r="S1024" i="2" a="1"/>
  <c r="S1024" i="2" s="1"/>
  <c r="S1025" i="2" a="1"/>
  <c r="S1025" i="2" s="1"/>
  <c r="S1026" i="2" a="1"/>
  <c r="S1026" i="2" s="1"/>
  <c r="S1027" i="2" a="1"/>
  <c r="S1027" i="2" s="1"/>
  <c r="S1028" i="2" a="1"/>
  <c r="S1028" i="2" s="1"/>
  <c r="S1029" i="2" a="1"/>
  <c r="S1029" i="2" s="1"/>
  <c r="S1030" i="2" a="1"/>
  <c r="S1030" i="2" s="1"/>
  <c r="S1031" i="2" a="1"/>
  <c r="S1031" i="2" s="1"/>
  <c r="S1032" i="2" a="1"/>
  <c r="S1032" i="2" s="1"/>
  <c r="S1033" i="2" a="1"/>
  <c r="S1033" i="2" s="1"/>
  <c r="S1034" i="2" a="1"/>
  <c r="S1034" i="2" s="1"/>
  <c r="S1035" i="2" a="1"/>
  <c r="S1035" i="2" s="1"/>
  <c r="S1036" i="2" a="1"/>
  <c r="S1036" i="2" s="1"/>
  <c r="S1037" i="2" a="1"/>
  <c r="S1037" i="2" s="1"/>
  <c r="S1038" i="2" a="1"/>
  <c r="S1038" i="2" s="1"/>
  <c r="S1039" i="2" a="1"/>
  <c r="S1039" i="2" s="1"/>
  <c r="S1040" i="2" a="1"/>
  <c r="S1040" i="2" s="1"/>
  <c r="S1041" i="2" a="1"/>
  <c r="S1041" i="2" s="1"/>
  <c r="S1042" i="2" a="1"/>
  <c r="S1042" i="2" s="1"/>
  <c r="S1043" i="2" a="1"/>
  <c r="S1043" i="2" s="1"/>
  <c r="S1044" i="2" a="1"/>
  <c r="S1044" i="2" s="1"/>
  <c r="S1045" i="2" a="1"/>
  <c r="S1045" i="2" s="1"/>
  <c r="S1046" i="2" a="1"/>
  <c r="S1046" i="2" s="1"/>
  <c r="S1047" i="2" a="1"/>
  <c r="S1047" i="2" s="1"/>
  <c r="S1048" i="2" a="1"/>
  <c r="S1048" i="2" s="1"/>
  <c r="S1049" i="2" a="1"/>
  <c r="S1049" i="2" s="1"/>
  <c r="S1050" i="2" a="1"/>
  <c r="S1050" i="2" s="1"/>
  <c r="S1051" i="2" a="1"/>
  <c r="S1051" i="2" s="1"/>
  <c r="S1052" i="2" a="1"/>
  <c r="S1052" i="2" s="1"/>
  <c r="S1053" i="2" a="1"/>
  <c r="S1053" i="2" s="1"/>
  <c r="S1054" i="2" a="1"/>
  <c r="S1054" i="2" s="1"/>
  <c r="S1055" i="2" a="1"/>
  <c r="S1055" i="2" s="1"/>
  <c r="S1056" i="2" a="1"/>
  <c r="S1056" i="2" s="1"/>
  <c r="S1057" i="2" a="1"/>
  <c r="S1057" i="2" s="1"/>
  <c r="S1058" i="2" a="1"/>
  <c r="S1058" i="2" s="1"/>
  <c r="S1059" i="2" a="1"/>
  <c r="S1059" i="2" s="1"/>
  <c r="S1060" i="2" a="1"/>
  <c r="S1060" i="2" s="1"/>
  <c r="S1061" i="2" a="1"/>
  <c r="S1061" i="2" s="1"/>
  <c r="S1062" i="2" a="1"/>
  <c r="S1062" i="2" s="1"/>
  <c r="S1063" i="2" a="1"/>
  <c r="S1063" i="2" s="1"/>
  <c r="S1064" i="2" a="1"/>
  <c r="S1064" i="2" s="1"/>
  <c r="S1065" i="2" a="1"/>
  <c r="S1065" i="2" s="1"/>
  <c r="S1066" i="2" a="1"/>
  <c r="S1066" i="2" s="1"/>
  <c r="S1067" i="2" a="1"/>
  <c r="S1067" i="2" s="1"/>
  <c r="S1068" i="2" a="1"/>
  <c r="S1068" i="2" s="1"/>
  <c r="S1069" i="2" a="1"/>
  <c r="S1069" i="2" s="1"/>
  <c r="S1070" i="2" a="1"/>
  <c r="S1070" i="2" s="1"/>
  <c r="S1071" i="2" a="1"/>
  <c r="S1071" i="2" s="1"/>
  <c r="S1072" i="2" a="1"/>
  <c r="S1072" i="2" s="1"/>
  <c r="S1073" i="2" a="1"/>
  <c r="S1073" i="2" s="1"/>
  <c r="S1074" i="2" a="1"/>
  <c r="S1074" i="2" s="1"/>
  <c r="S1075" i="2" a="1"/>
  <c r="S1075" i="2" s="1"/>
  <c r="S1076" i="2" a="1"/>
  <c r="S1076" i="2" s="1"/>
  <c r="S1077" i="2" a="1"/>
  <c r="S1077" i="2" s="1"/>
  <c r="S1078" i="2" a="1"/>
  <c r="S1078" i="2" s="1"/>
  <c r="S1079" i="2" a="1"/>
  <c r="S1079" i="2" s="1"/>
  <c r="S1080" i="2" a="1"/>
  <c r="S1080" i="2" s="1"/>
  <c r="S1081" i="2" a="1"/>
  <c r="S1081" i="2" s="1"/>
  <c r="S1082" i="2" a="1"/>
  <c r="S1082" i="2" s="1"/>
  <c r="S1083" i="2" a="1"/>
  <c r="S1083" i="2" s="1"/>
  <c r="S1084" i="2" a="1"/>
  <c r="S1084" i="2" s="1"/>
  <c r="S1085" i="2" a="1"/>
  <c r="S1085" i="2" s="1"/>
  <c r="S1086" i="2" a="1"/>
  <c r="S1086" i="2" s="1"/>
  <c r="S1087" i="2" a="1"/>
  <c r="S1087" i="2" s="1"/>
  <c r="S1088" i="2" a="1"/>
  <c r="S1088" i="2" s="1"/>
  <c r="S1089" i="2" a="1"/>
  <c r="S1089" i="2" s="1"/>
  <c r="S1090" i="2" a="1"/>
  <c r="S1090" i="2" s="1"/>
  <c r="S1091" i="2" a="1"/>
  <c r="S1091" i="2" s="1"/>
  <c r="S1092" i="2" a="1"/>
  <c r="S1092" i="2" s="1"/>
  <c r="S1093" i="2" a="1"/>
  <c r="S1093" i="2" s="1"/>
  <c r="S1094" i="2" a="1"/>
  <c r="S1094" i="2" s="1"/>
  <c r="S1095" i="2" a="1"/>
  <c r="S1095" i="2" s="1"/>
  <c r="S1096" i="2" a="1"/>
  <c r="S1096" i="2" s="1"/>
  <c r="S1097" i="2" a="1"/>
  <c r="S1097" i="2" s="1"/>
  <c r="S1098" i="2" a="1"/>
  <c r="S1098" i="2" s="1"/>
  <c r="S1099" i="2" a="1"/>
  <c r="S1099" i="2" s="1"/>
  <c r="S1100" i="2" a="1"/>
  <c r="S1100" i="2" s="1"/>
  <c r="S1101" i="2" a="1"/>
  <c r="S1101" i="2" s="1"/>
  <c r="S1102" i="2" a="1"/>
  <c r="S1102" i="2" s="1"/>
  <c r="S1103" i="2" a="1"/>
  <c r="S1103" i="2" s="1"/>
  <c r="S1104" i="2" a="1"/>
  <c r="S1104" i="2" s="1"/>
  <c r="S1105" i="2" a="1"/>
  <c r="S1105" i="2" s="1"/>
  <c r="S1106" i="2" a="1"/>
  <c r="S1106" i="2" s="1"/>
  <c r="S1107" i="2" a="1"/>
  <c r="S1107" i="2" s="1"/>
  <c r="S1108" i="2" a="1"/>
  <c r="S1108" i="2" s="1"/>
  <c r="S1109" i="2" a="1"/>
  <c r="S1109" i="2" s="1"/>
  <c r="S1110" i="2" a="1"/>
  <c r="S1110" i="2" s="1"/>
  <c r="S1111" i="2" a="1"/>
  <c r="S1111" i="2" s="1"/>
  <c r="S1112" i="2" a="1"/>
  <c r="S1112" i="2" s="1"/>
  <c r="S1113" i="2" a="1"/>
  <c r="S1113" i="2" s="1"/>
  <c r="S1114" i="2" a="1"/>
  <c r="S1114" i="2" s="1"/>
  <c r="S1115" i="2" a="1"/>
  <c r="S1115" i="2" s="1"/>
  <c r="S1116" i="2" a="1"/>
  <c r="S1116" i="2" s="1"/>
  <c r="S1117" i="2" a="1"/>
  <c r="S1117" i="2" s="1"/>
  <c r="S1118" i="2" a="1"/>
  <c r="S1118" i="2" s="1"/>
  <c r="S1119" i="2" a="1"/>
  <c r="S1119" i="2" s="1"/>
  <c r="S1120" i="2" a="1"/>
  <c r="S1120" i="2" s="1"/>
  <c r="S1121" i="2" a="1"/>
  <c r="S1121" i="2" s="1"/>
  <c r="S1122" i="2" a="1"/>
  <c r="S1122" i="2" s="1"/>
  <c r="S1123" i="2" a="1"/>
  <c r="S1123" i="2" s="1"/>
  <c r="S1124" i="2" a="1"/>
  <c r="S1124" i="2" s="1"/>
  <c r="S1125" i="2" a="1"/>
  <c r="S1125" i="2" s="1"/>
  <c r="S1126" i="2" a="1"/>
  <c r="S1126" i="2" s="1"/>
  <c r="S1127" i="2" a="1"/>
  <c r="S1127" i="2" s="1"/>
  <c r="S1128" i="2" a="1"/>
  <c r="S1128" i="2" s="1"/>
  <c r="S1129" i="2" a="1"/>
  <c r="S1129" i="2" s="1"/>
  <c r="S1130" i="2" a="1"/>
  <c r="S1130" i="2" s="1"/>
  <c r="S1131" i="2" a="1"/>
  <c r="S1131" i="2" s="1"/>
  <c r="S1132" i="2" a="1"/>
  <c r="S1132" i="2" s="1"/>
  <c r="S1133" i="2" a="1"/>
  <c r="S1133" i="2" s="1"/>
  <c r="S1134" i="2" a="1"/>
  <c r="S1134" i="2" s="1"/>
  <c r="S1135" i="2" a="1"/>
  <c r="S1135" i="2" s="1"/>
  <c r="S1136" i="2" a="1"/>
  <c r="S1136" i="2" s="1"/>
  <c r="S1137" i="2" a="1"/>
  <c r="S1137" i="2" s="1"/>
  <c r="S1138" i="2" a="1"/>
  <c r="S1138" i="2" s="1"/>
  <c r="S1139" i="2" a="1"/>
  <c r="S1139" i="2" s="1"/>
  <c r="S1140" i="2" a="1"/>
  <c r="S1140" i="2" s="1"/>
  <c r="S1141" i="2" a="1"/>
  <c r="S1141" i="2" s="1"/>
  <c r="S1142" i="2" a="1"/>
  <c r="S1142" i="2" s="1"/>
  <c r="S1143" i="2" a="1"/>
  <c r="S1143" i="2" s="1"/>
  <c r="S1144" i="2" a="1"/>
  <c r="S1144" i="2" s="1"/>
  <c r="S1145" i="2" a="1"/>
  <c r="S1145" i="2" s="1"/>
  <c r="S1146" i="2" a="1"/>
  <c r="S1146" i="2" s="1"/>
  <c r="S1147" i="2" a="1"/>
  <c r="S1147" i="2"/>
  <c r="S1148" i="2" a="1"/>
  <c r="S1148" i="2" s="1"/>
  <c r="S1149" i="2" a="1"/>
  <c r="S1149" i="2" s="1"/>
  <c r="S1150" i="2" a="1"/>
  <c r="S1150" i="2" s="1"/>
  <c r="S1151" i="2" a="1"/>
  <c r="S1151" i="2" s="1"/>
  <c r="S1152" i="2" a="1"/>
  <c r="S1152" i="2" s="1"/>
  <c r="S1153" i="2" a="1"/>
  <c r="S1153" i="2" s="1"/>
  <c r="S1154" i="2" a="1"/>
  <c r="S1154" i="2" s="1"/>
  <c r="S1155" i="2" a="1"/>
  <c r="S1155" i="2" s="1"/>
  <c r="S1156" i="2" a="1"/>
  <c r="S1156" i="2" s="1"/>
  <c r="S1157" i="2" a="1"/>
  <c r="S1157" i="2" s="1"/>
  <c r="S1158" i="2" a="1"/>
  <c r="S1158" i="2" s="1"/>
  <c r="S1159" i="2" a="1"/>
  <c r="S1159" i="2" s="1"/>
  <c r="S1160" i="2" a="1"/>
  <c r="S1160" i="2" s="1"/>
  <c r="S1161" i="2" a="1"/>
  <c r="S1161" i="2" s="1"/>
  <c r="S1162" i="2" a="1"/>
  <c r="S1162" i="2" s="1"/>
  <c r="S1163" i="2" a="1"/>
  <c r="S1163" i="2" s="1"/>
  <c r="S1164" i="2" a="1"/>
  <c r="S1164" i="2" s="1"/>
  <c r="S1165" i="2" a="1"/>
  <c r="S1165" i="2" s="1"/>
  <c r="S1166" i="2" a="1"/>
  <c r="S1166" i="2" s="1"/>
  <c r="S2" i="2" a="1"/>
  <c r="S2" i="2" s="1"/>
  <c r="B1171" i="2"/>
  <c r="B1170" i="2"/>
  <c r="B1169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2" i="2"/>
  <c r="B1176" i="2"/>
  <c r="B1175" i="2"/>
  <c r="B1174" i="2"/>
  <c r="B1173" i="2"/>
  <c r="B1172" i="2"/>
  <c r="AE1166" i="2"/>
  <c r="AD1166" i="2"/>
  <c r="AC1166" i="2"/>
  <c r="AB1166" i="2"/>
  <c r="AA1166" i="2"/>
  <c r="Z1166" i="2"/>
  <c r="X1166" i="2"/>
  <c r="W1166" i="2"/>
  <c r="V1166" i="2"/>
  <c r="U1166" i="2"/>
  <c r="AE1165" i="2"/>
  <c r="AD1165" i="2"/>
  <c r="AC1165" i="2"/>
  <c r="AB1165" i="2"/>
  <c r="AA1165" i="2"/>
  <c r="Z1165" i="2"/>
  <c r="X1165" i="2"/>
  <c r="W1165" i="2"/>
  <c r="V1165" i="2"/>
  <c r="U1165" i="2"/>
  <c r="AE1164" i="2"/>
  <c r="AD1164" i="2"/>
  <c r="AC1164" i="2"/>
  <c r="AB1164" i="2"/>
  <c r="AA1164" i="2"/>
  <c r="Z1164" i="2"/>
  <c r="X1164" i="2"/>
  <c r="W1164" i="2"/>
  <c r="V1164" i="2"/>
  <c r="U1164" i="2"/>
  <c r="AE1163" i="2"/>
  <c r="AD1163" i="2"/>
  <c r="AC1163" i="2"/>
  <c r="AB1163" i="2"/>
  <c r="AA1163" i="2"/>
  <c r="Z1163" i="2"/>
  <c r="X1163" i="2"/>
  <c r="W1163" i="2"/>
  <c r="V1163" i="2"/>
  <c r="U1163" i="2"/>
  <c r="AE1162" i="2"/>
  <c r="AD1162" i="2"/>
  <c r="AC1162" i="2"/>
  <c r="AB1162" i="2"/>
  <c r="AA1162" i="2"/>
  <c r="Z1162" i="2"/>
  <c r="X1162" i="2"/>
  <c r="W1162" i="2"/>
  <c r="V1162" i="2"/>
  <c r="U1162" i="2"/>
  <c r="AE1161" i="2"/>
  <c r="AD1161" i="2"/>
  <c r="AC1161" i="2"/>
  <c r="AB1161" i="2"/>
  <c r="AA1161" i="2"/>
  <c r="Z1161" i="2"/>
  <c r="X1161" i="2"/>
  <c r="W1161" i="2"/>
  <c r="V1161" i="2"/>
  <c r="U1161" i="2"/>
  <c r="AE1160" i="2"/>
  <c r="AD1160" i="2"/>
  <c r="AC1160" i="2"/>
  <c r="AB1160" i="2"/>
  <c r="AA1160" i="2"/>
  <c r="Z1160" i="2"/>
  <c r="X1160" i="2"/>
  <c r="W1160" i="2"/>
  <c r="V1160" i="2"/>
  <c r="U1160" i="2"/>
  <c r="AE1159" i="2"/>
  <c r="AD1159" i="2"/>
  <c r="AC1159" i="2"/>
  <c r="AB1159" i="2"/>
  <c r="AA1159" i="2"/>
  <c r="Z1159" i="2"/>
  <c r="X1159" i="2"/>
  <c r="W1159" i="2"/>
  <c r="V1159" i="2"/>
  <c r="U1159" i="2"/>
  <c r="AE1158" i="2"/>
  <c r="AD1158" i="2"/>
  <c r="AC1158" i="2"/>
  <c r="AB1158" i="2"/>
  <c r="AA1158" i="2"/>
  <c r="Z1158" i="2"/>
  <c r="X1158" i="2"/>
  <c r="W1158" i="2"/>
  <c r="V1158" i="2"/>
  <c r="U1158" i="2"/>
  <c r="AE1157" i="2"/>
  <c r="AD1157" i="2"/>
  <c r="AC1157" i="2"/>
  <c r="AB1157" i="2"/>
  <c r="AA1157" i="2"/>
  <c r="Z1157" i="2"/>
  <c r="X1157" i="2"/>
  <c r="W1157" i="2"/>
  <c r="V1157" i="2"/>
  <c r="U1157" i="2"/>
  <c r="AE1156" i="2"/>
  <c r="AD1156" i="2"/>
  <c r="AC1156" i="2"/>
  <c r="AB1156" i="2"/>
  <c r="AA1156" i="2"/>
  <c r="Z1156" i="2"/>
  <c r="X1156" i="2"/>
  <c r="W1156" i="2"/>
  <c r="V1156" i="2"/>
  <c r="U1156" i="2"/>
  <c r="AE1155" i="2"/>
  <c r="AD1155" i="2"/>
  <c r="AC1155" i="2"/>
  <c r="AB1155" i="2"/>
  <c r="AA1155" i="2"/>
  <c r="Z1155" i="2"/>
  <c r="X1155" i="2"/>
  <c r="W1155" i="2"/>
  <c r="V1155" i="2"/>
  <c r="U1155" i="2"/>
  <c r="AE1154" i="2"/>
  <c r="AD1154" i="2"/>
  <c r="AC1154" i="2"/>
  <c r="AB1154" i="2"/>
  <c r="AA1154" i="2"/>
  <c r="Z1154" i="2"/>
  <c r="X1154" i="2"/>
  <c r="W1154" i="2"/>
  <c r="V1154" i="2"/>
  <c r="U1154" i="2"/>
  <c r="AE1153" i="2"/>
  <c r="AD1153" i="2"/>
  <c r="AC1153" i="2"/>
  <c r="AB1153" i="2"/>
  <c r="AA1153" i="2"/>
  <c r="Z1153" i="2"/>
  <c r="X1153" i="2"/>
  <c r="W1153" i="2"/>
  <c r="V1153" i="2"/>
  <c r="U1153" i="2"/>
  <c r="AE1152" i="2"/>
  <c r="AD1152" i="2"/>
  <c r="AC1152" i="2"/>
  <c r="AB1152" i="2"/>
  <c r="AA1152" i="2"/>
  <c r="Z1152" i="2"/>
  <c r="X1152" i="2"/>
  <c r="W1152" i="2"/>
  <c r="V1152" i="2"/>
  <c r="U1152" i="2"/>
  <c r="AE1151" i="2"/>
  <c r="AD1151" i="2"/>
  <c r="AC1151" i="2"/>
  <c r="AB1151" i="2"/>
  <c r="AA1151" i="2"/>
  <c r="Z1151" i="2"/>
  <c r="X1151" i="2"/>
  <c r="W1151" i="2"/>
  <c r="V1151" i="2"/>
  <c r="U1151" i="2"/>
  <c r="AE1150" i="2"/>
  <c r="AD1150" i="2"/>
  <c r="AC1150" i="2"/>
  <c r="AB1150" i="2"/>
  <c r="AA1150" i="2"/>
  <c r="Z1150" i="2"/>
  <c r="X1150" i="2"/>
  <c r="W1150" i="2"/>
  <c r="V1150" i="2"/>
  <c r="U1150" i="2"/>
  <c r="AE1149" i="2"/>
  <c r="AD1149" i="2"/>
  <c r="AC1149" i="2"/>
  <c r="AB1149" i="2"/>
  <c r="AA1149" i="2"/>
  <c r="Z1149" i="2"/>
  <c r="X1149" i="2"/>
  <c r="W1149" i="2"/>
  <c r="V1149" i="2"/>
  <c r="U1149" i="2"/>
  <c r="AE1148" i="2"/>
  <c r="AD1148" i="2"/>
  <c r="AC1148" i="2"/>
  <c r="AB1148" i="2"/>
  <c r="AA1148" i="2"/>
  <c r="Z1148" i="2"/>
  <c r="X1148" i="2"/>
  <c r="W1148" i="2"/>
  <c r="V1148" i="2"/>
  <c r="U1148" i="2"/>
  <c r="AE1147" i="2"/>
  <c r="AD1147" i="2"/>
  <c r="AC1147" i="2"/>
  <c r="AB1147" i="2"/>
  <c r="AA1147" i="2"/>
  <c r="Z1147" i="2"/>
  <c r="X1147" i="2"/>
  <c r="W1147" i="2"/>
  <c r="V1147" i="2"/>
  <c r="U1147" i="2"/>
  <c r="AE1146" i="2"/>
  <c r="AD1146" i="2"/>
  <c r="AC1146" i="2"/>
  <c r="AB1146" i="2"/>
  <c r="AA1146" i="2"/>
  <c r="Z1146" i="2"/>
  <c r="X1146" i="2"/>
  <c r="W1146" i="2"/>
  <c r="V1146" i="2"/>
  <c r="U1146" i="2"/>
  <c r="AE1145" i="2"/>
  <c r="AD1145" i="2"/>
  <c r="AC1145" i="2"/>
  <c r="AB1145" i="2"/>
  <c r="AA1145" i="2"/>
  <c r="Z1145" i="2"/>
  <c r="X1145" i="2"/>
  <c r="W1145" i="2"/>
  <c r="V1145" i="2"/>
  <c r="U1145" i="2"/>
  <c r="AE1144" i="2"/>
  <c r="AD1144" i="2"/>
  <c r="AC1144" i="2"/>
  <c r="AB1144" i="2"/>
  <c r="AA1144" i="2"/>
  <c r="Z1144" i="2"/>
  <c r="X1144" i="2"/>
  <c r="W1144" i="2"/>
  <c r="V1144" i="2"/>
  <c r="U1144" i="2"/>
  <c r="AE1143" i="2"/>
  <c r="AD1143" i="2"/>
  <c r="AC1143" i="2"/>
  <c r="AB1143" i="2"/>
  <c r="AA1143" i="2"/>
  <c r="Z1143" i="2"/>
  <c r="X1143" i="2"/>
  <c r="W1143" i="2"/>
  <c r="V1143" i="2"/>
  <c r="U1143" i="2"/>
  <c r="AE1142" i="2"/>
  <c r="AD1142" i="2"/>
  <c r="AC1142" i="2"/>
  <c r="AB1142" i="2"/>
  <c r="AA1142" i="2"/>
  <c r="Z1142" i="2"/>
  <c r="X1142" i="2"/>
  <c r="W1142" i="2"/>
  <c r="V1142" i="2"/>
  <c r="U1142" i="2"/>
  <c r="AE1141" i="2"/>
  <c r="AD1141" i="2"/>
  <c r="AC1141" i="2"/>
  <c r="AB1141" i="2"/>
  <c r="AA1141" i="2"/>
  <c r="Z1141" i="2"/>
  <c r="X1141" i="2"/>
  <c r="W1141" i="2"/>
  <c r="V1141" i="2"/>
  <c r="U1141" i="2"/>
  <c r="AE1140" i="2"/>
  <c r="AD1140" i="2"/>
  <c r="AC1140" i="2"/>
  <c r="AB1140" i="2"/>
  <c r="AA1140" i="2"/>
  <c r="Z1140" i="2"/>
  <c r="X1140" i="2"/>
  <c r="W1140" i="2"/>
  <c r="V1140" i="2"/>
  <c r="U1140" i="2"/>
  <c r="AE1139" i="2"/>
  <c r="AD1139" i="2"/>
  <c r="AC1139" i="2"/>
  <c r="AB1139" i="2"/>
  <c r="AA1139" i="2"/>
  <c r="Z1139" i="2"/>
  <c r="X1139" i="2"/>
  <c r="W1139" i="2"/>
  <c r="V1139" i="2"/>
  <c r="U1139" i="2"/>
  <c r="AE1138" i="2"/>
  <c r="AD1138" i="2"/>
  <c r="AC1138" i="2"/>
  <c r="AB1138" i="2"/>
  <c r="AA1138" i="2"/>
  <c r="Z1138" i="2"/>
  <c r="X1138" i="2"/>
  <c r="W1138" i="2"/>
  <c r="V1138" i="2"/>
  <c r="U1138" i="2"/>
  <c r="AE1137" i="2"/>
  <c r="AD1137" i="2"/>
  <c r="AC1137" i="2"/>
  <c r="AB1137" i="2"/>
  <c r="AA1137" i="2"/>
  <c r="Z1137" i="2"/>
  <c r="X1137" i="2"/>
  <c r="W1137" i="2"/>
  <c r="V1137" i="2"/>
  <c r="U1137" i="2"/>
  <c r="AE1136" i="2"/>
  <c r="AD1136" i="2"/>
  <c r="AC1136" i="2"/>
  <c r="AB1136" i="2"/>
  <c r="AA1136" i="2"/>
  <c r="Z1136" i="2"/>
  <c r="X1136" i="2"/>
  <c r="W1136" i="2"/>
  <c r="V1136" i="2"/>
  <c r="U1136" i="2"/>
  <c r="AE1135" i="2"/>
  <c r="AD1135" i="2"/>
  <c r="AC1135" i="2"/>
  <c r="AB1135" i="2"/>
  <c r="AA1135" i="2"/>
  <c r="Z1135" i="2"/>
  <c r="X1135" i="2"/>
  <c r="W1135" i="2"/>
  <c r="V1135" i="2"/>
  <c r="U1135" i="2"/>
  <c r="AE1134" i="2"/>
  <c r="AD1134" i="2"/>
  <c r="AC1134" i="2"/>
  <c r="AB1134" i="2"/>
  <c r="AA1134" i="2"/>
  <c r="Z1134" i="2"/>
  <c r="X1134" i="2"/>
  <c r="W1134" i="2"/>
  <c r="V1134" i="2"/>
  <c r="U1134" i="2"/>
  <c r="AE1133" i="2"/>
  <c r="AD1133" i="2"/>
  <c r="AC1133" i="2"/>
  <c r="AB1133" i="2"/>
  <c r="AA1133" i="2"/>
  <c r="Z1133" i="2"/>
  <c r="X1133" i="2"/>
  <c r="W1133" i="2"/>
  <c r="V1133" i="2"/>
  <c r="U1133" i="2"/>
  <c r="AE1132" i="2"/>
  <c r="AD1132" i="2"/>
  <c r="AC1132" i="2"/>
  <c r="AB1132" i="2"/>
  <c r="AA1132" i="2"/>
  <c r="Z1132" i="2"/>
  <c r="X1132" i="2"/>
  <c r="W1132" i="2"/>
  <c r="V1132" i="2"/>
  <c r="U1132" i="2"/>
  <c r="AE1131" i="2"/>
  <c r="AD1131" i="2"/>
  <c r="AC1131" i="2"/>
  <c r="AB1131" i="2"/>
  <c r="AA1131" i="2"/>
  <c r="Z1131" i="2"/>
  <c r="X1131" i="2"/>
  <c r="W1131" i="2"/>
  <c r="V1131" i="2"/>
  <c r="U1131" i="2"/>
  <c r="AE1130" i="2"/>
  <c r="AD1130" i="2"/>
  <c r="AC1130" i="2"/>
  <c r="AB1130" i="2"/>
  <c r="AA1130" i="2"/>
  <c r="Z1130" i="2"/>
  <c r="X1130" i="2"/>
  <c r="W1130" i="2"/>
  <c r="V1130" i="2"/>
  <c r="U1130" i="2"/>
  <c r="AE1129" i="2"/>
  <c r="AD1129" i="2"/>
  <c r="AC1129" i="2"/>
  <c r="AB1129" i="2"/>
  <c r="AA1129" i="2"/>
  <c r="Z1129" i="2"/>
  <c r="X1129" i="2"/>
  <c r="W1129" i="2"/>
  <c r="V1129" i="2"/>
  <c r="U1129" i="2"/>
  <c r="AE1128" i="2"/>
  <c r="AD1128" i="2"/>
  <c r="AC1128" i="2"/>
  <c r="AB1128" i="2"/>
  <c r="AA1128" i="2"/>
  <c r="Z1128" i="2"/>
  <c r="X1128" i="2"/>
  <c r="W1128" i="2"/>
  <c r="V1128" i="2"/>
  <c r="U1128" i="2"/>
  <c r="AE1127" i="2"/>
  <c r="AD1127" i="2"/>
  <c r="AC1127" i="2"/>
  <c r="AB1127" i="2"/>
  <c r="AA1127" i="2"/>
  <c r="Z1127" i="2"/>
  <c r="X1127" i="2"/>
  <c r="W1127" i="2"/>
  <c r="V1127" i="2"/>
  <c r="U1127" i="2"/>
  <c r="AE1126" i="2"/>
  <c r="AD1126" i="2"/>
  <c r="AC1126" i="2"/>
  <c r="AB1126" i="2"/>
  <c r="AA1126" i="2"/>
  <c r="Z1126" i="2"/>
  <c r="X1126" i="2"/>
  <c r="W1126" i="2"/>
  <c r="V1126" i="2"/>
  <c r="U1126" i="2"/>
  <c r="AE1125" i="2"/>
  <c r="AD1125" i="2"/>
  <c r="AC1125" i="2"/>
  <c r="AB1125" i="2"/>
  <c r="AA1125" i="2"/>
  <c r="Z1125" i="2"/>
  <c r="X1125" i="2"/>
  <c r="W1125" i="2"/>
  <c r="V1125" i="2"/>
  <c r="U1125" i="2"/>
  <c r="AE1124" i="2"/>
  <c r="AD1124" i="2"/>
  <c r="AC1124" i="2"/>
  <c r="AB1124" i="2"/>
  <c r="AA1124" i="2"/>
  <c r="Z1124" i="2"/>
  <c r="X1124" i="2"/>
  <c r="W1124" i="2"/>
  <c r="V1124" i="2"/>
  <c r="U1124" i="2"/>
  <c r="AE1123" i="2"/>
  <c r="AD1123" i="2"/>
  <c r="AC1123" i="2"/>
  <c r="AB1123" i="2"/>
  <c r="AA1123" i="2"/>
  <c r="Z1123" i="2"/>
  <c r="X1123" i="2"/>
  <c r="W1123" i="2"/>
  <c r="V1123" i="2"/>
  <c r="U1123" i="2"/>
  <c r="AE1122" i="2"/>
  <c r="AD1122" i="2"/>
  <c r="AC1122" i="2"/>
  <c r="AB1122" i="2"/>
  <c r="AA1122" i="2"/>
  <c r="Z1122" i="2"/>
  <c r="X1122" i="2"/>
  <c r="W1122" i="2"/>
  <c r="V1122" i="2"/>
  <c r="U1122" i="2"/>
  <c r="AE1121" i="2"/>
  <c r="AD1121" i="2"/>
  <c r="AC1121" i="2"/>
  <c r="AB1121" i="2"/>
  <c r="AA1121" i="2"/>
  <c r="Z1121" i="2"/>
  <c r="X1121" i="2"/>
  <c r="W1121" i="2"/>
  <c r="V1121" i="2"/>
  <c r="U1121" i="2"/>
  <c r="AE1120" i="2"/>
  <c r="AD1120" i="2"/>
  <c r="AC1120" i="2"/>
  <c r="AB1120" i="2"/>
  <c r="AA1120" i="2"/>
  <c r="Z1120" i="2"/>
  <c r="X1120" i="2"/>
  <c r="W1120" i="2"/>
  <c r="V1120" i="2"/>
  <c r="U1120" i="2"/>
  <c r="AE1119" i="2"/>
  <c r="AD1119" i="2"/>
  <c r="AC1119" i="2"/>
  <c r="AB1119" i="2"/>
  <c r="AA1119" i="2"/>
  <c r="Z1119" i="2"/>
  <c r="X1119" i="2"/>
  <c r="W1119" i="2"/>
  <c r="V1119" i="2"/>
  <c r="U1119" i="2"/>
  <c r="AE1118" i="2"/>
  <c r="AD1118" i="2"/>
  <c r="AC1118" i="2"/>
  <c r="AB1118" i="2"/>
  <c r="AA1118" i="2"/>
  <c r="Z1118" i="2"/>
  <c r="X1118" i="2"/>
  <c r="W1118" i="2"/>
  <c r="V1118" i="2"/>
  <c r="U1118" i="2"/>
  <c r="AE1117" i="2"/>
  <c r="AD1117" i="2"/>
  <c r="AC1117" i="2"/>
  <c r="AB1117" i="2"/>
  <c r="AA1117" i="2"/>
  <c r="Z1117" i="2"/>
  <c r="X1117" i="2"/>
  <c r="W1117" i="2"/>
  <c r="V1117" i="2"/>
  <c r="U1117" i="2"/>
  <c r="AE1116" i="2"/>
  <c r="AD1116" i="2"/>
  <c r="AC1116" i="2"/>
  <c r="AB1116" i="2"/>
  <c r="AA1116" i="2"/>
  <c r="Z1116" i="2"/>
  <c r="X1116" i="2"/>
  <c r="W1116" i="2"/>
  <c r="V1116" i="2"/>
  <c r="U1116" i="2"/>
  <c r="AE1115" i="2"/>
  <c r="AD1115" i="2"/>
  <c r="AC1115" i="2"/>
  <c r="AB1115" i="2"/>
  <c r="AA1115" i="2"/>
  <c r="Z1115" i="2"/>
  <c r="X1115" i="2"/>
  <c r="W1115" i="2"/>
  <c r="V1115" i="2"/>
  <c r="U1115" i="2"/>
  <c r="AE1114" i="2"/>
  <c r="AD1114" i="2"/>
  <c r="AC1114" i="2"/>
  <c r="AB1114" i="2"/>
  <c r="AA1114" i="2"/>
  <c r="Z1114" i="2"/>
  <c r="X1114" i="2"/>
  <c r="W1114" i="2"/>
  <c r="V1114" i="2"/>
  <c r="U1114" i="2"/>
  <c r="AE1113" i="2"/>
  <c r="AD1113" i="2"/>
  <c r="AC1113" i="2"/>
  <c r="AB1113" i="2"/>
  <c r="AA1113" i="2"/>
  <c r="Z1113" i="2"/>
  <c r="X1113" i="2"/>
  <c r="W1113" i="2"/>
  <c r="V1113" i="2"/>
  <c r="U1113" i="2"/>
  <c r="AE1112" i="2"/>
  <c r="AD1112" i="2"/>
  <c r="AC1112" i="2"/>
  <c r="AB1112" i="2"/>
  <c r="AA1112" i="2"/>
  <c r="Z1112" i="2"/>
  <c r="X1112" i="2"/>
  <c r="W1112" i="2"/>
  <c r="V1112" i="2"/>
  <c r="U1112" i="2"/>
  <c r="AE1111" i="2"/>
  <c r="AD1111" i="2"/>
  <c r="AC1111" i="2"/>
  <c r="AB1111" i="2"/>
  <c r="AA1111" i="2"/>
  <c r="Z1111" i="2"/>
  <c r="X1111" i="2"/>
  <c r="W1111" i="2"/>
  <c r="V1111" i="2"/>
  <c r="U1111" i="2"/>
  <c r="AE1110" i="2"/>
  <c r="AD1110" i="2"/>
  <c r="AC1110" i="2"/>
  <c r="AB1110" i="2"/>
  <c r="AA1110" i="2"/>
  <c r="Z1110" i="2"/>
  <c r="X1110" i="2"/>
  <c r="W1110" i="2"/>
  <c r="V1110" i="2"/>
  <c r="U1110" i="2"/>
  <c r="AE1109" i="2"/>
  <c r="AD1109" i="2"/>
  <c r="AC1109" i="2"/>
  <c r="AB1109" i="2"/>
  <c r="AA1109" i="2"/>
  <c r="Z1109" i="2"/>
  <c r="X1109" i="2"/>
  <c r="W1109" i="2"/>
  <c r="V1109" i="2"/>
  <c r="U1109" i="2"/>
  <c r="AE1108" i="2"/>
  <c r="AD1108" i="2"/>
  <c r="AC1108" i="2"/>
  <c r="AB1108" i="2"/>
  <c r="AA1108" i="2"/>
  <c r="Z1108" i="2"/>
  <c r="X1108" i="2"/>
  <c r="W1108" i="2"/>
  <c r="V1108" i="2"/>
  <c r="U1108" i="2"/>
  <c r="AE1107" i="2"/>
  <c r="AD1107" i="2"/>
  <c r="AC1107" i="2"/>
  <c r="AB1107" i="2"/>
  <c r="AA1107" i="2"/>
  <c r="Z1107" i="2"/>
  <c r="X1107" i="2"/>
  <c r="W1107" i="2"/>
  <c r="V1107" i="2"/>
  <c r="U1107" i="2"/>
  <c r="AE1106" i="2"/>
  <c r="AD1106" i="2"/>
  <c r="AC1106" i="2"/>
  <c r="AB1106" i="2"/>
  <c r="AA1106" i="2"/>
  <c r="Z1106" i="2"/>
  <c r="X1106" i="2"/>
  <c r="W1106" i="2"/>
  <c r="V1106" i="2"/>
  <c r="U1106" i="2"/>
  <c r="AE1105" i="2"/>
  <c r="AD1105" i="2"/>
  <c r="AC1105" i="2"/>
  <c r="AB1105" i="2"/>
  <c r="AA1105" i="2"/>
  <c r="Z1105" i="2"/>
  <c r="X1105" i="2"/>
  <c r="W1105" i="2"/>
  <c r="V1105" i="2"/>
  <c r="U1105" i="2"/>
  <c r="AE1104" i="2"/>
  <c r="AD1104" i="2"/>
  <c r="AC1104" i="2"/>
  <c r="AB1104" i="2"/>
  <c r="AA1104" i="2"/>
  <c r="Z1104" i="2"/>
  <c r="X1104" i="2"/>
  <c r="W1104" i="2"/>
  <c r="V1104" i="2"/>
  <c r="U1104" i="2"/>
  <c r="AE1103" i="2"/>
  <c r="AD1103" i="2"/>
  <c r="AC1103" i="2"/>
  <c r="AB1103" i="2"/>
  <c r="AA1103" i="2"/>
  <c r="Z1103" i="2"/>
  <c r="X1103" i="2"/>
  <c r="W1103" i="2"/>
  <c r="V1103" i="2"/>
  <c r="U1103" i="2"/>
  <c r="AE1102" i="2"/>
  <c r="AD1102" i="2"/>
  <c r="AC1102" i="2"/>
  <c r="AB1102" i="2"/>
  <c r="AA1102" i="2"/>
  <c r="Z1102" i="2"/>
  <c r="X1102" i="2"/>
  <c r="W1102" i="2"/>
  <c r="V1102" i="2"/>
  <c r="U1102" i="2"/>
  <c r="AE1101" i="2"/>
  <c r="AD1101" i="2"/>
  <c r="AC1101" i="2"/>
  <c r="AB1101" i="2"/>
  <c r="AA1101" i="2"/>
  <c r="Z1101" i="2"/>
  <c r="X1101" i="2"/>
  <c r="W1101" i="2"/>
  <c r="V1101" i="2"/>
  <c r="U1101" i="2"/>
  <c r="AE1100" i="2"/>
  <c r="AD1100" i="2"/>
  <c r="AC1100" i="2"/>
  <c r="AB1100" i="2"/>
  <c r="AA1100" i="2"/>
  <c r="Z1100" i="2"/>
  <c r="X1100" i="2"/>
  <c r="W1100" i="2"/>
  <c r="V1100" i="2"/>
  <c r="U1100" i="2"/>
  <c r="AE1099" i="2"/>
  <c r="AD1099" i="2"/>
  <c r="AC1099" i="2"/>
  <c r="AB1099" i="2"/>
  <c r="AA1099" i="2"/>
  <c r="Z1099" i="2"/>
  <c r="X1099" i="2"/>
  <c r="W1099" i="2"/>
  <c r="V1099" i="2"/>
  <c r="U1099" i="2"/>
  <c r="AE1098" i="2"/>
  <c r="AD1098" i="2"/>
  <c r="AC1098" i="2"/>
  <c r="AB1098" i="2"/>
  <c r="AA1098" i="2"/>
  <c r="Z1098" i="2"/>
  <c r="X1098" i="2"/>
  <c r="W1098" i="2"/>
  <c r="V1098" i="2"/>
  <c r="U1098" i="2"/>
  <c r="AE1097" i="2"/>
  <c r="AD1097" i="2"/>
  <c r="AC1097" i="2"/>
  <c r="AB1097" i="2"/>
  <c r="AA1097" i="2"/>
  <c r="Z1097" i="2"/>
  <c r="X1097" i="2"/>
  <c r="W1097" i="2"/>
  <c r="V1097" i="2"/>
  <c r="U1097" i="2"/>
  <c r="AE1096" i="2"/>
  <c r="AD1096" i="2"/>
  <c r="AC1096" i="2"/>
  <c r="AB1096" i="2"/>
  <c r="AA1096" i="2"/>
  <c r="Z1096" i="2"/>
  <c r="X1096" i="2"/>
  <c r="W1096" i="2"/>
  <c r="V1096" i="2"/>
  <c r="U1096" i="2"/>
  <c r="AE1095" i="2"/>
  <c r="AD1095" i="2"/>
  <c r="AC1095" i="2"/>
  <c r="AB1095" i="2"/>
  <c r="AA1095" i="2"/>
  <c r="Z1095" i="2"/>
  <c r="X1095" i="2"/>
  <c r="W1095" i="2"/>
  <c r="V1095" i="2"/>
  <c r="U1095" i="2"/>
  <c r="AE1094" i="2"/>
  <c r="AD1094" i="2"/>
  <c r="AC1094" i="2"/>
  <c r="AB1094" i="2"/>
  <c r="AA1094" i="2"/>
  <c r="Z1094" i="2"/>
  <c r="X1094" i="2"/>
  <c r="W1094" i="2"/>
  <c r="V1094" i="2"/>
  <c r="U1094" i="2"/>
  <c r="AE1093" i="2"/>
  <c r="AD1093" i="2"/>
  <c r="AC1093" i="2"/>
  <c r="AB1093" i="2"/>
  <c r="AA1093" i="2"/>
  <c r="Z1093" i="2"/>
  <c r="X1093" i="2"/>
  <c r="W1093" i="2"/>
  <c r="V1093" i="2"/>
  <c r="U1093" i="2"/>
  <c r="AE1092" i="2"/>
  <c r="AD1092" i="2"/>
  <c r="AC1092" i="2"/>
  <c r="AB1092" i="2"/>
  <c r="AA1092" i="2"/>
  <c r="Z1092" i="2"/>
  <c r="X1092" i="2"/>
  <c r="W1092" i="2"/>
  <c r="V1092" i="2"/>
  <c r="U1092" i="2"/>
  <c r="AE1091" i="2"/>
  <c r="AD1091" i="2"/>
  <c r="AC1091" i="2"/>
  <c r="AB1091" i="2"/>
  <c r="AA1091" i="2"/>
  <c r="Z1091" i="2"/>
  <c r="X1091" i="2"/>
  <c r="W1091" i="2"/>
  <c r="V1091" i="2"/>
  <c r="U1091" i="2"/>
  <c r="AE1090" i="2"/>
  <c r="AD1090" i="2"/>
  <c r="AC1090" i="2"/>
  <c r="AB1090" i="2"/>
  <c r="AA1090" i="2"/>
  <c r="Z1090" i="2"/>
  <c r="X1090" i="2"/>
  <c r="W1090" i="2"/>
  <c r="V1090" i="2"/>
  <c r="U1090" i="2"/>
  <c r="AE1089" i="2"/>
  <c r="AD1089" i="2"/>
  <c r="AC1089" i="2"/>
  <c r="AB1089" i="2"/>
  <c r="AA1089" i="2"/>
  <c r="Z1089" i="2"/>
  <c r="X1089" i="2"/>
  <c r="W1089" i="2"/>
  <c r="V1089" i="2"/>
  <c r="U1089" i="2"/>
  <c r="AE1088" i="2"/>
  <c r="AD1088" i="2"/>
  <c r="AC1088" i="2"/>
  <c r="AB1088" i="2"/>
  <c r="AA1088" i="2"/>
  <c r="Z1088" i="2"/>
  <c r="X1088" i="2"/>
  <c r="W1088" i="2"/>
  <c r="V1088" i="2"/>
  <c r="U1088" i="2"/>
  <c r="AE1087" i="2"/>
  <c r="AD1087" i="2"/>
  <c r="AC1087" i="2"/>
  <c r="AB1087" i="2"/>
  <c r="AA1087" i="2"/>
  <c r="Z1087" i="2"/>
  <c r="X1087" i="2"/>
  <c r="W1087" i="2"/>
  <c r="V1087" i="2"/>
  <c r="U1087" i="2"/>
  <c r="AE1086" i="2"/>
  <c r="AD1086" i="2"/>
  <c r="AC1086" i="2"/>
  <c r="AB1086" i="2"/>
  <c r="AA1086" i="2"/>
  <c r="Z1086" i="2"/>
  <c r="X1086" i="2"/>
  <c r="W1086" i="2"/>
  <c r="V1086" i="2"/>
  <c r="U1086" i="2"/>
  <c r="AE1085" i="2"/>
  <c r="AD1085" i="2"/>
  <c r="AC1085" i="2"/>
  <c r="AB1085" i="2"/>
  <c r="AA1085" i="2"/>
  <c r="Z1085" i="2"/>
  <c r="X1085" i="2"/>
  <c r="W1085" i="2"/>
  <c r="V1085" i="2"/>
  <c r="U1085" i="2"/>
  <c r="AE1084" i="2"/>
  <c r="AD1084" i="2"/>
  <c r="AC1084" i="2"/>
  <c r="AB1084" i="2"/>
  <c r="AA1084" i="2"/>
  <c r="Z1084" i="2"/>
  <c r="X1084" i="2"/>
  <c r="W1084" i="2"/>
  <c r="V1084" i="2"/>
  <c r="U1084" i="2"/>
  <c r="AE1083" i="2"/>
  <c r="AD1083" i="2"/>
  <c r="AC1083" i="2"/>
  <c r="AB1083" i="2"/>
  <c r="AA1083" i="2"/>
  <c r="Z1083" i="2"/>
  <c r="X1083" i="2"/>
  <c r="W1083" i="2"/>
  <c r="V1083" i="2"/>
  <c r="U1083" i="2"/>
  <c r="AE1082" i="2"/>
  <c r="AD1082" i="2"/>
  <c r="AC1082" i="2"/>
  <c r="AB1082" i="2"/>
  <c r="AA1082" i="2"/>
  <c r="Z1082" i="2"/>
  <c r="X1082" i="2"/>
  <c r="W1082" i="2"/>
  <c r="V1082" i="2"/>
  <c r="U1082" i="2"/>
  <c r="AE1081" i="2"/>
  <c r="AD1081" i="2"/>
  <c r="AC1081" i="2"/>
  <c r="AB1081" i="2"/>
  <c r="AA1081" i="2"/>
  <c r="Z1081" i="2"/>
  <c r="X1081" i="2"/>
  <c r="W1081" i="2"/>
  <c r="V1081" i="2"/>
  <c r="U1081" i="2"/>
  <c r="AE1080" i="2"/>
  <c r="AD1080" i="2"/>
  <c r="AC1080" i="2"/>
  <c r="AB1080" i="2"/>
  <c r="AA1080" i="2"/>
  <c r="Z1080" i="2"/>
  <c r="X1080" i="2"/>
  <c r="W1080" i="2"/>
  <c r="V1080" i="2"/>
  <c r="U1080" i="2"/>
  <c r="AE1079" i="2"/>
  <c r="AD1079" i="2"/>
  <c r="AC1079" i="2"/>
  <c r="AB1079" i="2"/>
  <c r="AA1079" i="2"/>
  <c r="Z1079" i="2"/>
  <c r="X1079" i="2"/>
  <c r="W1079" i="2"/>
  <c r="V1079" i="2"/>
  <c r="U1079" i="2"/>
  <c r="AE1078" i="2"/>
  <c r="AD1078" i="2"/>
  <c r="AC1078" i="2"/>
  <c r="AB1078" i="2"/>
  <c r="AA1078" i="2"/>
  <c r="Z1078" i="2"/>
  <c r="X1078" i="2"/>
  <c r="W1078" i="2"/>
  <c r="V1078" i="2"/>
  <c r="U1078" i="2"/>
  <c r="AE1077" i="2"/>
  <c r="AD1077" i="2"/>
  <c r="AC1077" i="2"/>
  <c r="AB1077" i="2"/>
  <c r="AA1077" i="2"/>
  <c r="Z1077" i="2"/>
  <c r="X1077" i="2"/>
  <c r="W1077" i="2"/>
  <c r="V1077" i="2"/>
  <c r="U1077" i="2"/>
  <c r="AE1076" i="2"/>
  <c r="AD1076" i="2"/>
  <c r="AC1076" i="2"/>
  <c r="AB1076" i="2"/>
  <c r="AA1076" i="2"/>
  <c r="Z1076" i="2"/>
  <c r="X1076" i="2"/>
  <c r="W1076" i="2"/>
  <c r="V1076" i="2"/>
  <c r="U1076" i="2"/>
  <c r="AE1075" i="2"/>
  <c r="AD1075" i="2"/>
  <c r="AC1075" i="2"/>
  <c r="AB1075" i="2"/>
  <c r="AA1075" i="2"/>
  <c r="Z1075" i="2"/>
  <c r="X1075" i="2"/>
  <c r="W1075" i="2"/>
  <c r="V1075" i="2"/>
  <c r="U1075" i="2"/>
  <c r="AE1074" i="2"/>
  <c r="AD1074" i="2"/>
  <c r="AC1074" i="2"/>
  <c r="AB1074" i="2"/>
  <c r="AA1074" i="2"/>
  <c r="Z1074" i="2"/>
  <c r="X1074" i="2"/>
  <c r="W1074" i="2"/>
  <c r="V1074" i="2"/>
  <c r="U1074" i="2"/>
  <c r="AE1073" i="2"/>
  <c r="AD1073" i="2"/>
  <c r="AC1073" i="2"/>
  <c r="AB1073" i="2"/>
  <c r="AA1073" i="2"/>
  <c r="Z1073" i="2"/>
  <c r="X1073" i="2"/>
  <c r="W1073" i="2"/>
  <c r="V1073" i="2"/>
  <c r="U1073" i="2"/>
  <c r="AE1072" i="2"/>
  <c r="AD1072" i="2"/>
  <c r="AC1072" i="2"/>
  <c r="AB1072" i="2"/>
  <c r="AA1072" i="2"/>
  <c r="Z1072" i="2"/>
  <c r="X1072" i="2"/>
  <c r="W1072" i="2"/>
  <c r="V1072" i="2"/>
  <c r="U1072" i="2"/>
  <c r="AE1071" i="2"/>
  <c r="AD1071" i="2"/>
  <c r="AC1071" i="2"/>
  <c r="AB1071" i="2"/>
  <c r="AA1071" i="2"/>
  <c r="Z1071" i="2"/>
  <c r="X1071" i="2"/>
  <c r="W1071" i="2"/>
  <c r="V1071" i="2"/>
  <c r="U1071" i="2"/>
  <c r="AE1070" i="2"/>
  <c r="AD1070" i="2"/>
  <c r="AC1070" i="2"/>
  <c r="AB1070" i="2"/>
  <c r="AA1070" i="2"/>
  <c r="Z1070" i="2"/>
  <c r="X1070" i="2"/>
  <c r="W1070" i="2"/>
  <c r="V1070" i="2"/>
  <c r="U1070" i="2"/>
  <c r="AE1069" i="2"/>
  <c r="AD1069" i="2"/>
  <c r="AC1069" i="2"/>
  <c r="AB1069" i="2"/>
  <c r="AA1069" i="2"/>
  <c r="Z1069" i="2"/>
  <c r="X1069" i="2"/>
  <c r="W1069" i="2"/>
  <c r="V1069" i="2"/>
  <c r="U1069" i="2"/>
  <c r="AE1068" i="2"/>
  <c r="AD1068" i="2"/>
  <c r="AC1068" i="2"/>
  <c r="AB1068" i="2"/>
  <c r="AA1068" i="2"/>
  <c r="Z1068" i="2"/>
  <c r="X1068" i="2"/>
  <c r="W1068" i="2"/>
  <c r="V1068" i="2"/>
  <c r="U1068" i="2"/>
  <c r="AE1067" i="2"/>
  <c r="AD1067" i="2"/>
  <c r="AC1067" i="2"/>
  <c r="AB1067" i="2"/>
  <c r="AA1067" i="2"/>
  <c r="Z1067" i="2"/>
  <c r="X1067" i="2"/>
  <c r="W1067" i="2"/>
  <c r="V1067" i="2"/>
  <c r="U1067" i="2"/>
  <c r="AE1066" i="2"/>
  <c r="AD1066" i="2"/>
  <c r="AC1066" i="2"/>
  <c r="AB1066" i="2"/>
  <c r="AA1066" i="2"/>
  <c r="Z1066" i="2"/>
  <c r="X1066" i="2"/>
  <c r="W1066" i="2"/>
  <c r="V1066" i="2"/>
  <c r="U1066" i="2"/>
  <c r="AE1065" i="2"/>
  <c r="AD1065" i="2"/>
  <c r="AC1065" i="2"/>
  <c r="AB1065" i="2"/>
  <c r="AA1065" i="2"/>
  <c r="Z1065" i="2"/>
  <c r="X1065" i="2"/>
  <c r="W1065" i="2"/>
  <c r="V1065" i="2"/>
  <c r="U1065" i="2"/>
  <c r="AE1064" i="2"/>
  <c r="AD1064" i="2"/>
  <c r="AC1064" i="2"/>
  <c r="AB1064" i="2"/>
  <c r="AA1064" i="2"/>
  <c r="Z1064" i="2"/>
  <c r="X1064" i="2"/>
  <c r="W1064" i="2"/>
  <c r="V1064" i="2"/>
  <c r="U1064" i="2"/>
  <c r="AE1063" i="2"/>
  <c r="AD1063" i="2"/>
  <c r="AC1063" i="2"/>
  <c r="AB1063" i="2"/>
  <c r="AA1063" i="2"/>
  <c r="Z1063" i="2"/>
  <c r="X1063" i="2"/>
  <c r="W1063" i="2"/>
  <c r="V1063" i="2"/>
  <c r="U1063" i="2"/>
  <c r="AE1062" i="2"/>
  <c r="AD1062" i="2"/>
  <c r="AC1062" i="2"/>
  <c r="AB1062" i="2"/>
  <c r="AA1062" i="2"/>
  <c r="Z1062" i="2"/>
  <c r="X1062" i="2"/>
  <c r="W1062" i="2"/>
  <c r="V1062" i="2"/>
  <c r="U1062" i="2"/>
  <c r="AE1061" i="2"/>
  <c r="AD1061" i="2"/>
  <c r="AC1061" i="2"/>
  <c r="AB1061" i="2"/>
  <c r="AA1061" i="2"/>
  <c r="Z1061" i="2"/>
  <c r="X1061" i="2"/>
  <c r="W1061" i="2"/>
  <c r="V1061" i="2"/>
  <c r="U1061" i="2"/>
  <c r="AE1060" i="2"/>
  <c r="AD1060" i="2"/>
  <c r="AC1060" i="2"/>
  <c r="AB1060" i="2"/>
  <c r="AA1060" i="2"/>
  <c r="Z1060" i="2"/>
  <c r="X1060" i="2"/>
  <c r="W1060" i="2"/>
  <c r="V1060" i="2"/>
  <c r="U1060" i="2"/>
  <c r="AE1059" i="2"/>
  <c r="AD1059" i="2"/>
  <c r="AC1059" i="2"/>
  <c r="AB1059" i="2"/>
  <c r="AA1059" i="2"/>
  <c r="Z1059" i="2"/>
  <c r="X1059" i="2"/>
  <c r="W1059" i="2"/>
  <c r="V1059" i="2"/>
  <c r="U1059" i="2"/>
  <c r="AE1058" i="2"/>
  <c r="AD1058" i="2"/>
  <c r="AC1058" i="2"/>
  <c r="AB1058" i="2"/>
  <c r="AA1058" i="2"/>
  <c r="Z1058" i="2"/>
  <c r="X1058" i="2"/>
  <c r="W1058" i="2"/>
  <c r="V1058" i="2"/>
  <c r="U1058" i="2"/>
  <c r="AE1057" i="2"/>
  <c r="AD1057" i="2"/>
  <c r="AC1057" i="2"/>
  <c r="AB1057" i="2"/>
  <c r="AA1057" i="2"/>
  <c r="Z1057" i="2"/>
  <c r="X1057" i="2"/>
  <c r="W1057" i="2"/>
  <c r="V1057" i="2"/>
  <c r="U1057" i="2"/>
  <c r="AE1056" i="2"/>
  <c r="AD1056" i="2"/>
  <c r="AC1056" i="2"/>
  <c r="AB1056" i="2"/>
  <c r="AA1056" i="2"/>
  <c r="Z1056" i="2"/>
  <c r="X1056" i="2"/>
  <c r="W1056" i="2"/>
  <c r="V1056" i="2"/>
  <c r="U1056" i="2"/>
  <c r="AE1055" i="2"/>
  <c r="AD1055" i="2"/>
  <c r="AC1055" i="2"/>
  <c r="AB1055" i="2"/>
  <c r="AA1055" i="2"/>
  <c r="Z1055" i="2"/>
  <c r="X1055" i="2"/>
  <c r="W1055" i="2"/>
  <c r="V1055" i="2"/>
  <c r="U1055" i="2"/>
  <c r="AE1054" i="2"/>
  <c r="AD1054" i="2"/>
  <c r="AC1054" i="2"/>
  <c r="AB1054" i="2"/>
  <c r="AA1054" i="2"/>
  <c r="Z1054" i="2"/>
  <c r="X1054" i="2"/>
  <c r="W1054" i="2"/>
  <c r="V1054" i="2"/>
  <c r="U1054" i="2"/>
  <c r="AE1053" i="2"/>
  <c r="AD1053" i="2"/>
  <c r="AC1053" i="2"/>
  <c r="AB1053" i="2"/>
  <c r="AA1053" i="2"/>
  <c r="Z1053" i="2"/>
  <c r="X1053" i="2"/>
  <c r="W1053" i="2"/>
  <c r="V1053" i="2"/>
  <c r="U1053" i="2"/>
  <c r="AE1052" i="2"/>
  <c r="AD1052" i="2"/>
  <c r="AC1052" i="2"/>
  <c r="AB1052" i="2"/>
  <c r="AA1052" i="2"/>
  <c r="Z1052" i="2"/>
  <c r="X1052" i="2"/>
  <c r="W1052" i="2"/>
  <c r="V1052" i="2"/>
  <c r="U1052" i="2"/>
  <c r="AE1051" i="2"/>
  <c r="AD1051" i="2"/>
  <c r="AC1051" i="2"/>
  <c r="AB1051" i="2"/>
  <c r="AA1051" i="2"/>
  <c r="Z1051" i="2"/>
  <c r="X1051" i="2"/>
  <c r="W1051" i="2"/>
  <c r="V1051" i="2"/>
  <c r="U1051" i="2"/>
  <c r="AE1050" i="2"/>
  <c r="AD1050" i="2"/>
  <c r="AC1050" i="2"/>
  <c r="AB1050" i="2"/>
  <c r="AA1050" i="2"/>
  <c r="Z1050" i="2"/>
  <c r="X1050" i="2"/>
  <c r="W1050" i="2"/>
  <c r="V1050" i="2"/>
  <c r="U1050" i="2"/>
  <c r="AE1049" i="2"/>
  <c r="AD1049" i="2"/>
  <c r="AC1049" i="2"/>
  <c r="AB1049" i="2"/>
  <c r="AA1049" i="2"/>
  <c r="Z1049" i="2"/>
  <c r="X1049" i="2"/>
  <c r="W1049" i="2"/>
  <c r="V1049" i="2"/>
  <c r="U1049" i="2"/>
  <c r="AE1048" i="2"/>
  <c r="AD1048" i="2"/>
  <c r="AC1048" i="2"/>
  <c r="AB1048" i="2"/>
  <c r="AA1048" i="2"/>
  <c r="Z1048" i="2"/>
  <c r="X1048" i="2"/>
  <c r="W1048" i="2"/>
  <c r="V1048" i="2"/>
  <c r="U1048" i="2"/>
  <c r="AE1047" i="2"/>
  <c r="AD1047" i="2"/>
  <c r="AC1047" i="2"/>
  <c r="AB1047" i="2"/>
  <c r="AA1047" i="2"/>
  <c r="Z1047" i="2"/>
  <c r="X1047" i="2"/>
  <c r="W1047" i="2"/>
  <c r="V1047" i="2"/>
  <c r="U1047" i="2"/>
  <c r="AE1046" i="2"/>
  <c r="AD1046" i="2"/>
  <c r="AC1046" i="2"/>
  <c r="AB1046" i="2"/>
  <c r="AA1046" i="2"/>
  <c r="Z1046" i="2"/>
  <c r="X1046" i="2"/>
  <c r="W1046" i="2"/>
  <c r="V1046" i="2"/>
  <c r="U1046" i="2"/>
  <c r="AE1045" i="2"/>
  <c r="AD1045" i="2"/>
  <c r="AC1045" i="2"/>
  <c r="AB1045" i="2"/>
  <c r="AA1045" i="2"/>
  <c r="Z1045" i="2"/>
  <c r="X1045" i="2"/>
  <c r="W1045" i="2"/>
  <c r="V1045" i="2"/>
  <c r="U1045" i="2"/>
  <c r="AE1044" i="2"/>
  <c r="AD1044" i="2"/>
  <c r="AC1044" i="2"/>
  <c r="AB1044" i="2"/>
  <c r="AA1044" i="2"/>
  <c r="Z1044" i="2"/>
  <c r="X1044" i="2"/>
  <c r="W1044" i="2"/>
  <c r="V1044" i="2"/>
  <c r="U1044" i="2"/>
  <c r="AE1043" i="2"/>
  <c r="AD1043" i="2"/>
  <c r="AC1043" i="2"/>
  <c r="AB1043" i="2"/>
  <c r="AA1043" i="2"/>
  <c r="Z1043" i="2"/>
  <c r="X1043" i="2"/>
  <c r="W1043" i="2"/>
  <c r="V1043" i="2"/>
  <c r="U1043" i="2"/>
  <c r="AE1042" i="2"/>
  <c r="AD1042" i="2"/>
  <c r="AC1042" i="2"/>
  <c r="AB1042" i="2"/>
  <c r="AA1042" i="2"/>
  <c r="Z1042" i="2"/>
  <c r="X1042" i="2"/>
  <c r="W1042" i="2"/>
  <c r="V1042" i="2"/>
  <c r="U1042" i="2"/>
  <c r="AE1041" i="2"/>
  <c r="AD1041" i="2"/>
  <c r="AC1041" i="2"/>
  <c r="AB1041" i="2"/>
  <c r="AA1041" i="2"/>
  <c r="Z1041" i="2"/>
  <c r="X1041" i="2"/>
  <c r="W1041" i="2"/>
  <c r="V1041" i="2"/>
  <c r="U1041" i="2"/>
  <c r="AE1040" i="2"/>
  <c r="AD1040" i="2"/>
  <c r="AC1040" i="2"/>
  <c r="AB1040" i="2"/>
  <c r="AA1040" i="2"/>
  <c r="Z1040" i="2"/>
  <c r="X1040" i="2"/>
  <c r="W1040" i="2"/>
  <c r="V1040" i="2"/>
  <c r="U1040" i="2"/>
  <c r="AE1039" i="2"/>
  <c r="AD1039" i="2"/>
  <c r="AC1039" i="2"/>
  <c r="AB1039" i="2"/>
  <c r="AA1039" i="2"/>
  <c r="Z1039" i="2"/>
  <c r="X1039" i="2"/>
  <c r="W1039" i="2"/>
  <c r="V1039" i="2"/>
  <c r="U1039" i="2"/>
  <c r="AE1038" i="2"/>
  <c r="AD1038" i="2"/>
  <c r="AC1038" i="2"/>
  <c r="AB1038" i="2"/>
  <c r="AA1038" i="2"/>
  <c r="Z1038" i="2"/>
  <c r="X1038" i="2"/>
  <c r="W1038" i="2"/>
  <c r="V1038" i="2"/>
  <c r="U1038" i="2"/>
  <c r="AE1037" i="2"/>
  <c r="AD1037" i="2"/>
  <c r="AC1037" i="2"/>
  <c r="AB1037" i="2"/>
  <c r="AA1037" i="2"/>
  <c r="Z1037" i="2"/>
  <c r="X1037" i="2"/>
  <c r="W1037" i="2"/>
  <c r="V1037" i="2"/>
  <c r="U1037" i="2"/>
  <c r="AE1036" i="2"/>
  <c r="AD1036" i="2"/>
  <c r="AC1036" i="2"/>
  <c r="AB1036" i="2"/>
  <c r="AA1036" i="2"/>
  <c r="Z1036" i="2"/>
  <c r="X1036" i="2"/>
  <c r="W1036" i="2"/>
  <c r="V1036" i="2"/>
  <c r="U1036" i="2"/>
  <c r="AE1035" i="2"/>
  <c r="AD1035" i="2"/>
  <c r="AC1035" i="2"/>
  <c r="AB1035" i="2"/>
  <c r="AA1035" i="2"/>
  <c r="Z1035" i="2"/>
  <c r="X1035" i="2"/>
  <c r="W1035" i="2"/>
  <c r="V1035" i="2"/>
  <c r="U1035" i="2"/>
  <c r="AE1034" i="2"/>
  <c r="AD1034" i="2"/>
  <c r="AC1034" i="2"/>
  <c r="AB1034" i="2"/>
  <c r="AA1034" i="2"/>
  <c r="Z1034" i="2"/>
  <c r="X1034" i="2"/>
  <c r="W1034" i="2"/>
  <c r="V1034" i="2"/>
  <c r="U1034" i="2"/>
  <c r="AE1033" i="2"/>
  <c r="AD1033" i="2"/>
  <c r="AC1033" i="2"/>
  <c r="AB1033" i="2"/>
  <c r="AA1033" i="2"/>
  <c r="Z1033" i="2"/>
  <c r="X1033" i="2"/>
  <c r="W1033" i="2"/>
  <c r="V1033" i="2"/>
  <c r="U1033" i="2"/>
  <c r="AE1032" i="2"/>
  <c r="AD1032" i="2"/>
  <c r="AC1032" i="2"/>
  <c r="AB1032" i="2"/>
  <c r="AA1032" i="2"/>
  <c r="Z1032" i="2"/>
  <c r="X1032" i="2"/>
  <c r="W1032" i="2"/>
  <c r="V1032" i="2"/>
  <c r="U1032" i="2"/>
  <c r="AE1031" i="2"/>
  <c r="AD1031" i="2"/>
  <c r="AC1031" i="2"/>
  <c r="AB1031" i="2"/>
  <c r="AA1031" i="2"/>
  <c r="Z1031" i="2"/>
  <c r="X1031" i="2"/>
  <c r="W1031" i="2"/>
  <c r="V1031" i="2"/>
  <c r="U1031" i="2"/>
  <c r="AE1030" i="2"/>
  <c r="AD1030" i="2"/>
  <c r="AC1030" i="2"/>
  <c r="AB1030" i="2"/>
  <c r="AA1030" i="2"/>
  <c r="Z1030" i="2"/>
  <c r="X1030" i="2"/>
  <c r="W1030" i="2"/>
  <c r="V1030" i="2"/>
  <c r="U1030" i="2"/>
  <c r="AE1029" i="2"/>
  <c r="AD1029" i="2"/>
  <c r="AC1029" i="2"/>
  <c r="AB1029" i="2"/>
  <c r="AA1029" i="2"/>
  <c r="Z1029" i="2"/>
  <c r="X1029" i="2"/>
  <c r="W1029" i="2"/>
  <c r="V1029" i="2"/>
  <c r="U1029" i="2"/>
  <c r="AE1028" i="2"/>
  <c r="AD1028" i="2"/>
  <c r="AC1028" i="2"/>
  <c r="AB1028" i="2"/>
  <c r="AA1028" i="2"/>
  <c r="Z1028" i="2"/>
  <c r="X1028" i="2"/>
  <c r="W1028" i="2"/>
  <c r="V1028" i="2"/>
  <c r="U1028" i="2"/>
  <c r="AE1027" i="2"/>
  <c r="AD1027" i="2"/>
  <c r="AC1027" i="2"/>
  <c r="AB1027" i="2"/>
  <c r="AA1027" i="2"/>
  <c r="Z1027" i="2"/>
  <c r="X1027" i="2"/>
  <c r="W1027" i="2"/>
  <c r="V1027" i="2"/>
  <c r="U1027" i="2"/>
  <c r="AE1026" i="2"/>
  <c r="AD1026" i="2"/>
  <c r="AC1026" i="2"/>
  <c r="AB1026" i="2"/>
  <c r="AA1026" i="2"/>
  <c r="Z1026" i="2"/>
  <c r="X1026" i="2"/>
  <c r="W1026" i="2"/>
  <c r="V1026" i="2"/>
  <c r="U1026" i="2"/>
  <c r="AE1025" i="2"/>
  <c r="AD1025" i="2"/>
  <c r="AC1025" i="2"/>
  <c r="AB1025" i="2"/>
  <c r="AA1025" i="2"/>
  <c r="Z1025" i="2"/>
  <c r="X1025" i="2"/>
  <c r="W1025" i="2"/>
  <c r="V1025" i="2"/>
  <c r="U1025" i="2"/>
  <c r="AE1024" i="2"/>
  <c r="AD1024" i="2"/>
  <c r="AC1024" i="2"/>
  <c r="AB1024" i="2"/>
  <c r="AA1024" i="2"/>
  <c r="Z1024" i="2"/>
  <c r="X1024" i="2"/>
  <c r="W1024" i="2"/>
  <c r="V1024" i="2"/>
  <c r="U1024" i="2"/>
  <c r="AE1023" i="2"/>
  <c r="AD1023" i="2"/>
  <c r="AC1023" i="2"/>
  <c r="AB1023" i="2"/>
  <c r="AA1023" i="2"/>
  <c r="Z1023" i="2"/>
  <c r="X1023" i="2"/>
  <c r="W1023" i="2"/>
  <c r="V1023" i="2"/>
  <c r="U1023" i="2"/>
  <c r="AE1022" i="2"/>
  <c r="AD1022" i="2"/>
  <c r="AC1022" i="2"/>
  <c r="AB1022" i="2"/>
  <c r="AA1022" i="2"/>
  <c r="Z1022" i="2"/>
  <c r="X1022" i="2"/>
  <c r="W1022" i="2"/>
  <c r="V1022" i="2"/>
  <c r="U1022" i="2"/>
  <c r="AE1021" i="2"/>
  <c r="AD1021" i="2"/>
  <c r="AC1021" i="2"/>
  <c r="AB1021" i="2"/>
  <c r="AA1021" i="2"/>
  <c r="Z1021" i="2"/>
  <c r="X1021" i="2"/>
  <c r="W1021" i="2"/>
  <c r="V1021" i="2"/>
  <c r="U1021" i="2"/>
  <c r="AE1020" i="2"/>
  <c r="AD1020" i="2"/>
  <c r="AC1020" i="2"/>
  <c r="AB1020" i="2"/>
  <c r="AA1020" i="2"/>
  <c r="Z1020" i="2"/>
  <c r="X1020" i="2"/>
  <c r="W1020" i="2"/>
  <c r="V1020" i="2"/>
  <c r="U1020" i="2"/>
  <c r="AE1019" i="2"/>
  <c r="AD1019" i="2"/>
  <c r="AC1019" i="2"/>
  <c r="AB1019" i="2"/>
  <c r="AA1019" i="2"/>
  <c r="Z1019" i="2"/>
  <c r="X1019" i="2"/>
  <c r="W1019" i="2"/>
  <c r="V1019" i="2"/>
  <c r="U1019" i="2"/>
  <c r="AE1018" i="2"/>
  <c r="AD1018" i="2"/>
  <c r="AC1018" i="2"/>
  <c r="AB1018" i="2"/>
  <c r="AA1018" i="2"/>
  <c r="Z1018" i="2"/>
  <c r="X1018" i="2"/>
  <c r="W1018" i="2"/>
  <c r="V1018" i="2"/>
  <c r="U1018" i="2"/>
  <c r="AE1017" i="2"/>
  <c r="AD1017" i="2"/>
  <c r="AC1017" i="2"/>
  <c r="AB1017" i="2"/>
  <c r="AA1017" i="2"/>
  <c r="Z1017" i="2"/>
  <c r="X1017" i="2"/>
  <c r="W1017" i="2"/>
  <c r="V1017" i="2"/>
  <c r="U1017" i="2"/>
  <c r="AE1016" i="2"/>
  <c r="AD1016" i="2"/>
  <c r="AC1016" i="2"/>
  <c r="AB1016" i="2"/>
  <c r="AA1016" i="2"/>
  <c r="Z1016" i="2"/>
  <c r="X1016" i="2"/>
  <c r="W1016" i="2"/>
  <c r="V1016" i="2"/>
  <c r="U1016" i="2"/>
  <c r="AE1015" i="2"/>
  <c r="AD1015" i="2"/>
  <c r="AC1015" i="2"/>
  <c r="AB1015" i="2"/>
  <c r="AA1015" i="2"/>
  <c r="Z1015" i="2"/>
  <c r="X1015" i="2"/>
  <c r="W1015" i="2"/>
  <c r="V1015" i="2"/>
  <c r="U1015" i="2"/>
  <c r="AE1014" i="2"/>
  <c r="AD1014" i="2"/>
  <c r="AC1014" i="2"/>
  <c r="AB1014" i="2"/>
  <c r="AA1014" i="2"/>
  <c r="Z1014" i="2"/>
  <c r="X1014" i="2"/>
  <c r="W1014" i="2"/>
  <c r="V1014" i="2"/>
  <c r="U1014" i="2"/>
  <c r="AE1013" i="2"/>
  <c r="AD1013" i="2"/>
  <c r="AC1013" i="2"/>
  <c r="AB1013" i="2"/>
  <c r="AA1013" i="2"/>
  <c r="Z1013" i="2"/>
  <c r="X1013" i="2"/>
  <c r="W1013" i="2"/>
  <c r="V1013" i="2"/>
  <c r="U1013" i="2"/>
  <c r="AE1012" i="2"/>
  <c r="AD1012" i="2"/>
  <c r="AC1012" i="2"/>
  <c r="AB1012" i="2"/>
  <c r="AA1012" i="2"/>
  <c r="Z1012" i="2"/>
  <c r="X1012" i="2"/>
  <c r="W1012" i="2"/>
  <c r="V1012" i="2"/>
  <c r="U1012" i="2"/>
  <c r="AE1011" i="2"/>
  <c r="AD1011" i="2"/>
  <c r="AC1011" i="2"/>
  <c r="AB1011" i="2"/>
  <c r="AA1011" i="2"/>
  <c r="Z1011" i="2"/>
  <c r="X1011" i="2"/>
  <c r="W1011" i="2"/>
  <c r="V1011" i="2"/>
  <c r="U1011" i="2"/>
  <c r="AE1010" i="2"/>
  <c r="AD1010" i="2"/>
  <c r="AC1010" i="2"/>
  <c r="AB1010" i="2"/>
  <c r="AA1010" i="2"/>
  <c r="Z1010" i="2"/>
  <c r="X1010" i="2"/>
  <c r="W1010" i="2"/>
  <c r="V1010" i="2"/>
  <c r="U1010" i="2"/>
  <c r="AE1009" i="2"/>
  <c r="AD1009" i="2"/>
  <c r="AC1009" i="2"/>
  <c r="AB1009" i="2"/>
  <c r="AA1009" i="2"/>
  <c r="Z1009" i="2"/>
  <c r="X1009" i="2"/>
  <c r="W1009" i="2"/>
  <c r="V1009" i="2"/>
  <c r="U1009" i="2"/>
  <c r="AE1008" i="2"/>
  <c r="AD1008" i="2"/>
  <c r="AC1008" i="2"/>
  <c r="AB1008" i="2"/>
  <c r="AA1008" i="2"/>
  <c r="Z1008" i="2"/>
  <c r="X1008" i="2"/>
  <c r="W1008" i="2"/>
  <c r="V1008" i="2"/>
  <c r="U1008" i="2"/>
  <c r="AE1007" i="2"/>
  <c r="AD1007" i="2"/>
  <c r="AC1007" i="2"/>
  <c r="AB1007" i="2"/>
  <c r="AA1007" i="2"/>
  <c r="Z1007" i="2"/>
  <c r="X1007" i="2"/>
  <c r="W1007" i="2"/>
  <c r="V1007" i="2"/>
  <c r="U1007" i="2"/>
  <c r="AE1006" i="2"/>
  <c r="AD1006" i="2"/>
  <c r="AC1006" i="2"/>
  <c r="AB1006" i="2"/>
  <c r="AA1006" i="2"/>
  <c r="Z1006" i="2"/>
  <c r="X1006" i="2"/>
  <c r="W1006" i="2"/>
  <c r="V1006" i="2"/>
  <c r="U1006" i="2"/>
  <c r="AE1005" i="2"/>
  <c r="AD1005" i="2"/>
  <c r="AC1005" i="2"/>
  <c r="AB1005" i="2"/>
  <c r="AA1005" i="2"/>
  <c r="Z1005" i="2"/>
  <c r="X1005" i="2"/>
  <c r="W1005" i="2"/>
  <c r="V1005" i="2"/>
  <c r="U1005" i="2"/>
  <c r="AE1004" i="2"/>
  <c r="AD1004" i="2"/>
  <c r="AC1004" i="2"/>
  <c r="AB1004" i="2"/>
  <c r="AA1004" i="2"/>
  <c r="Z1004" i="2"/>
  <c r="X1004" i="2"/>
  <c r="W1004" i="2"/>
  <c r="V1004" i="2"/>
  <c r="U1004" i="2"/>
  <c r="AE1003" i="2"/>
  <c r="AD1003" i="2"/>
  <c r="AC1003" i="2"/>
  <c r="AB1003" i="2"/>
  <c r="AA1003" i="2"/>
  <c r="Z1003" i="2"/>
  <c r="X1003" i="2"/>
  <c r="W1003" i="2"/>
  <c r="V1003" i="2"/>
  <c r="U1003" i="2"/>
  <c r="AE1002" i="2"/>
  <c r="AD1002" i="2"/>
  <c r="AC1002" i="2"/>
  <c r="AB1002" i="2"/>
  <c r="AA1002" i="2"/>
  <c r="Z1002" i="2"/>
  <c r="X1002" i="2"/>
  <c r="W1002" i="2"/>
  <c r="V1002" i="2"/>
  <c r="U1002" i="2"/>
  <c r="AE1001" i="2"/>
  <c r="AD1001" i="2"/>
  <c r="AC1001" i="2"/>
  <c r="AB1001" i="2"/>
  <c r="AA1001" i="2"/>
  <c r="Z1001" i="2"/>
  <c r="X1001" i="2"/>
  <c r="W1001" i="2"/>
  <c r="V1001" i="2"/>
  <c r="U1001" i="2"/>
  <c r="AE1000" i="2"/>
  <c r="AD1000" i="2"/>
  <c r="AC1000" i="2"/>
  <c r="AB1000" i="2"/>
  <c r="AA1000" i="2"/>
  <c r="Z1000" i="2"/>
  <c r="X1000" i="2"/>
  <c r="W1000" i="2"/>
  <c r="V1000" i="2"/>
  <c r="U1000" i="2"/>
  <c r="AE999" i="2"/>
  <c r="AD999" i="2"/>
  <c r="AC999" i="2"/>
  <c r="AB999" i="2"/>
  <c r="AA999" i="2"/>
  <c r="Z999" i="2"/>
  <c r="X999" i="2"/>
  <c r="W999" i="2"/>
  <c r="V999" i="2"/>
  <c r="U999" i="2"/>
  <c r="AE998" i="2"/>
  <c r="AD998" i="2"/>
  <c r="AC998" i="2"/>
  <c r="AB998" i="2"/>
  <c r="AA998" i="2"/>
  <c r="Z998" i="2"/>
  <c r="X998" i="2"/>
  <c r="W998" i="2"/>
  <c r="V998" i="2"/>
  <c r="U998" i="2"/>
  <c r="AE997" i="2"/>
  <c r="AD997" i="2"/>
  <c r="AC997" i="2"/>
  <c r="AB997" i="2"/>
  <c r="AA997" i="2"/>
  <c r="Z997" i="2"/>
  <c r="X997" i="2"/>
  <c r="W997" i="2"/>
  <c r="V997" i="2"/>
  <c r="U997" i="2"/>
  <c r="AE996" i="2"/>
  <c r="AD996" i="2"/>
  <c r="AC996" i="2"/>
  <c r="AB996" i="2"/>
  <c r="AA996" i="2"/>
  <c r="Z996" i="2"/>
  <c r="X996" i="2"/>
  <c r="W996" i="2"/>
  <c r="V996" i="2"/>
  <c r="U996" i="2"/>
  <c r="AE995" i="2"/>
  <c r="AD995" i="2"/>
  <c r="AC995" i="2"/>
  <c r="AB995" i="2"/>
  <c r="AA995" i="2"/>
  <c r="Z995" i="2"/>
  <c r="X995" i="2"/>
  <c r="W995" i="2"/>
  <c r="V995" i="2"/>
  <c r="U995" i="2"/>
  <c r="AE994" i="2"/>
  <c r="AD994" i="2"/>
  <c r="AC994" i="2"/>
  <c r="AB994" i="2"/>
  <c r="AA994" i="2"/>
  <c r="Z994" i="2"/>
  <c r="X994" i="2"/>
  <c r="W994" i="2"/>
  <c r="V994" i="2"/>
  <c r="U994" i="2"/>
  <c r="AE993" i="2"/>
  <c r="AD993" i="2"/>
  <c r="AC993" i="2"/>
  <c r="AB993" i="2"/>
  <c r="AA993" i="2"/>
  <c r="Z993" i="2"/>
  <c r="X993" i="2"/>
  <c r="W993" i="2"/>
  <c r="V993" i="2"/>
  <c r="U993" i="2"/>
  <c r="AE992" i="2"/>
  <c r="AD992" i="2"/>
  <c r="AC992" i="2"/>
  <c r="AB992" i="2"/>
  <c r="AA992" i="2"/>
  <c r="Z992" i="2"/>
  <c r="X992" i="2"/>
  <c r="W992" i="2"/>
  <c r="V992" i="2"/>
  <c r="U992" i="2"/>
  <c r="AE991" i="2"/>
  <c r="AD991" i="2"/>
  <c r="AC991" i="2"/>
  <c r="AB991" i="2"/>
  <c r="AA991" i="2"/>
  <c r="Z991" i="2"/>
  <c r="X991" i="2"/>
  <c r="W991" i="2"/>
  <c r="V991" i="2"/>
  <c r="U991" i="2"/>
  <c r="AE990" i="2"/>
  <c r="AD990" i="2"/>
  <c r="AC990" i="2"/>
  <c r="AB990" i="2"/>
  <c r="AA990" i="2"/>
  <c r="Z990" i="2"/>
  <c r="X990" i="2"/>
  <c r="W990" i="2"/>
  <c r="V990" i="2"/>
  <c r="U990" i="2"/>
  <c r="AE989" i="2"/>
  <c r="AD989" i="2"/>
  <c r="AC989" i="2"/>
  <c r="AB989" i="2"/>
  <c r="AA989" i="2"/>
  <c r="Z989" i="2"/>
  <c r="X989" i="2"/>
  <c r="W989" i="2"/>
  <c r="V989" i="2"/>
  <c r="U989" i="2"/>
  <c r="AE988" i="2"/>
  <c r="AD988" i="2"/>
  <c r="AC988" i="2"/>
  <c r="AB988" i="2"/>
  <c r="AA988" i="2"/>
  <c r="Z988" i="2"/>
  <c r="X988" i="2"/>
  <c r="W988" i="2"/>
  <c r="V988" i="2"/>
  <c r="U988" i="2"/>
  <c r="AE987" i="2"/>
  <c r="AD987" i="2"/>
  <c r="AC987" i="2"/>
  <c r="AB987" i="2"/>
  <c r="AA987" i="2"/>
  <c r="Z987" i="2"/>
  <c r="X987" i="2"/>
  <c r="W987" i="2"/>
  <c r="V987" i="2"/>
  <c r="U987" i="2"/>
  <c r="AE986" i="2"/>
  <c r="AD986" i="2"/>
  <c r="AC986" i="2"/>
  <c r="AB986" i="2"/>
  <c r="AA986" i="2"/>
  <c r="Z986" i="2"/>
  <c r="X986" i="2"/>
  <c r="W986" i="2"/>
  <c r="V986" i="2"/>
  <c r="U986" i="2"/>
  <c r="AE985" i="2"/>
  <c r="AD985" i="2"/>
  <c r="AC985" i="2"/>
  <c r="AB985" i="2"/>
  <c r="AA985" i="2"/>
  <c r="Z985" i="2"/>
  <c r="X985" i="2"/>
  <c r="W985" i="2"/>
  <c r="V985" i="2"/>
  <c r="U985" i="2"/>
  <c r="AE984" i="2"/>
  <c r="AD984" i="2"/>
  <c r="AC984" i="2"/>
  <c r="AB984" i="2"/>
  <c r="AA984" i="2"/>
  <c r="Z984" i="2"/>
  <c r="X984" i="2"/>
  <c r="W984" i="2"/>
  <c r="V984" i="2"/>
  <c r="U984" i="2"/>
  <c r="AE983" i="2"/>
  <c r="AD983" i="2"/>
  <c r="AC983" i="2"/>
  <c r="AB983" i="2"/>
  <c r="AA983" i="2"/>
  <c r="Z983" i="2"/>
  <c r="X983" i="2"/>
  <c r="W983" i="2"/>
  <c r="V983" i="2"/>
  <c r="U983" i="2"/>
  <c r="AE982" i="2"/>
  <c r="AD982" i="2"/>
  <c r="AC982" i="2"/>
  <c r="AB982" i="2"/>
  <c r="AA982" i="2"/>
  <c r="Z982" i="2"/>
  <c r="X982" i="2"/>
  <c r="W982" i="2"/>
  <c r="V982" i="2"/>
  <c r="U982" i="2"/>
  <c r="AE981" i="2"/>
  <c r="AD981" i="2"/>
  <c r="AC981" i="2"/>
  <c r="AB981" i="2"/>
  <c r="AA981" i="2"/>
  <c r="Z981" i="2"/>
  <c r="X981" i="2"/>
  <c r="W981" i="2"/>
  <c r="V981" i="2"/>
  <c r="U981" i="2"/>
  <c r="AE980" i="2"/>
  <c r="AD980" i="2"/>
  <c r="AC980" i="2"/>
  <c r="AB980" i="2"/>
  <c r="AA980" i="2"/>
  <c r="Z980" i="2"/>
  <c r="X980" i="2"/>
  <c r="W980" i="2"/>
  <c r="V980" i="2"/>
  <c r="U980" i="2"/>
  <c r="AE979" i="2"/>
  <c r="AD979" i="2"/>
  <c r="AC979" i="2"/>
  <c r="AB979" i="2"/>
  <c r="AA979" i="2"/>
  <c r="Z979" i="2"/>
  <c r="X979" i="2"/>
  <c r="W979" i="2"/>
  <c r="V979" i="2"/>
  <c r="U979" i="2"/>
  <c r="AE978" i="2"/>
  <c r="AD978" i="2"/>
  <c r="AC978" i="2"/>
  <c r="AB978" i="2"/>
  <c r="AA978" i="2"/>
  <c r="Z978" i="2"/>
  <c r="X978" i="2"/>
  <c r="W978" i="2"/>
  <c r="V978" i="2"/>
  <c r="U978" i="2"/>
  <c r="AE977" i="2"/>
  <c r="AD977" i="2"/>
  <c r="AC977" i="2"/>
  <c r="AB977" i="2"/>
  <c r="AA977" i="2"/>
  <c r="Z977" i="2"/>
  <c r="X977" i="2"/>
  <c r="W977" i="2"/>
  <c r="V977" i="2"/>
  <c r="U977" i="2"/>
  <c r="AE976" i="2"/>
  <c r="AD976" i="2"/>
  <c r="AC976" i="2"/>
  <c r="AB976" i="2"/>
  <c r="AA976" i="2"/>
  <c r="Z976" i="2"/>
  <c r="X976" i="2"/>
  <c r="W976" i="2"/>
  <c r="V976" i="2"/>
  <c r="U976" i="2"/>
  <c r="AE975" i="2"/>
  <c r="AD975" i="2"/>
  <c r="AC975" i="2"/>
  <c r="AB975" i="2"/>
  <c r="AA975" i="2"/>
  <c r="Z975" i="2"/>
  <c r="X975" i="2"/>
  <c r="W975" i="2"/>
  <c r="V975" i="2"/>
  <c r="U975" i="2"/>
  <c r="AE974" i="2"/>
  <c r="AD974" i="2"/>
  <c r="AC974" i="2"/>
  <c r="AB974" i="2"/>
  <c r="AA974" i="2"/>
  <c r="Z974" i="2"/>
  <c r="X974" i="2"/>
  <c r="W974" i="2"/>
  <c r="V974" i="2"/>
  <c r="U974" i="2"/>
  <c r="AE973" i="2"/>
  <c r="AD973" i="2"/>
  <c r="AC973" i="2"/>
  <c r="AB973" i="2"/>
  <c r="AA973" i="2"/>
  <c r="Z973" i="2"/>
  <c r="X973" i="2"/>
  <c r="W973" i="2"/>
  <c r="V973" i="2"/>
  <c r="U973" i="2"/>
  <c r="AE972" i="2"/>
  <c r="AD972" i="2"/>
  <c r="AC972" i="2"/>
  <c r="AB972" i="2"/>
  <c r="AA972" i="2"/>
  <c r="Z972" i="2"/>
  <c r="X972" i="2"/>
  <c r="W972" i="2"/>
  <c r="V972" i="2"/>
  <c r="U972" i="2"/>
  <c r="AE971" i="2"/>
  <c r="AD971" i="2"/>
  <c r="AC971" i="2"/>
  <c r="AB971" i="2"/>
  <c r="AA971" i="2"/>
  <c r="Z971" i="2"/>
  <c r="X971" i="2"/>
  <c r="W971" i="2"/>
  <c r="V971" i="2"/>
  <c r="U971" i="2"/>
  <c r="AE970" i="2"/>
  <c r="AD970" i="2"/>
  <c r="AC970" i="2"/>
  <c r="AB970" i="2"/>
  <c r="AA970" i="2"/>
  <c r="Z970" i="2"/>
  <c r="X970" i="2"/>
  <c r="W970" i="2"/>
  <c r="V970" i="2"/>
  <c r="U970" i="2"/>
  <c r="AE969" i="2"/>
  <c r="AD969" i="2"/>
  <c r="AC969" i="2"/>
  <c r="AB969" i="2"/>
  <c r="AA969" i="2"/>
  <c r="Z969" i="2"/>
  <c r="X969" i="2"/>
  <c r="W969" i="2"/>
  <c r="V969" i="2"/>
  <c r="U969" i="2"/>
  <c r="AE968" i="2"/>
  <c r="AD968" i="2"/>
  <c r="AC968" i="2"/>
  <c r="AB968" i="2"/>
  <c r="AA968" i="2"/>
  <c r="Z968" i="2"/>
  <c r="X968" i="2"/>
  <c r="W968" i="2"/>
  <c r="V968" i="2"/>
  <c r="U968" i="2"/>
  <c r="AE967" i="2"/>
  <c r="AD967" i="2"/>
  <c r="AC967" i="2"/>
  <c r="AB967" i="2"/>
  <c r="AA967" i="2"/>
  <c r="Z967" i="2"/>
  <c r="X967" i="2"/>
  <c r="W967" i="2"/>
  <c r="V967" i="2"/>
  <c r="U967" i="2"/>
  <c r="AE966" i="2"/>
  <c r="AD966" i="2"/>
  <c r="AC966" i="2"/>
  <c r="AB966" i="2"/>
  <c r="AA966" i="2"/>
  <c r="Z966" i="2"/>
  <c r="X966" i="2"/>
  <c r="W966" i="2"/>
  <c r="V966" i="2"/>
  <c r="U966" i="2"/>
  <c r="AE965" i="2"/>
  <c r="AD965" i="2"/>
  <c r="AC965" i="2"/>
  <c r="AB965" i="2"/>
  <c r="AA965" i="2"/>
  <c r="Z965" i="2"/>
  <c r="X965" i="2"/>
  <c r="W965" i="2"/>
  <c r="V965" i="2"/>
  <c r="U965" i="2"/>
  <c r="AE964" i="2"/>
  <c r="AD964" i="2"/>
  <c r="AC964" i="2"/>
  <c r="AB964" i="2"/>
  <c r="AA964" i="2"/>
  <c r="Z964" i="2"/>
  <c r="X964" i="2"/>
  <c r="W964" i="2"/>
  <c r="V964" i="2"/>
  <c r="U964" i="2"/>
  <c r="AE963" i="2"/>
  <c r="AD963" i="2"/>
  <c r="AC963" i="2"/>
  <c r="AB963" i="2"/>
  <c r="AA963" i="2"/>
  <c r="Z963" i="2"/>
  <c r="X963" i="2"/>
  <c r="W963" i="2"/>
  <c r="V963" i="2"/>
  <c r="U963" i="2"/>
  <c r="AE962" i="2"/>
  <c r="AD962" i="2"/>
  <c r="AC962" i="2"/>
  <c r="AB962" i="2"/>
  <c r="AA962" i="2"/>
  <c r="Z962" i="2"/>
  <c r="X962" i="2"/>
  <c r="W962" i="2"/>
  <c r="V962" i="2"/>
  <c r="U962" i="2"/>
  <c r="AE961" i="2"/>
  <c r="AD961" i="2"/>
  <c r="AC961" i="2"/>
  <c r="AB961" i="2"/>
  <c r="AA961" i="2"/>
  <c r="Z961" i="2"/>
  <c r="X961" i="2"/>
  <c r="W961" i="2"/>
  <c r="V961" i="2"/>
  <c r="U961" i="2"/>
  <c r="AE960" i="2"/>
  <c r="AD960" i="2"/>
  <c r="AC960" i="2"/>
  <c r="AB960" i="2"/>
  <c r="AA960" i="2"/>
  <c r="Z960" i="2"/>
  <c r="X960" i="2"/>
  <c r="W960" i="2"/>
  <c r="V960" i="2"/>
  <c r="U960" i="2"/>
  <c r="AE959" i="2"/>
  <c r="AD959" i="2"/>
  <c r="AC959" i="2"/>
  <c r="AB959" i="2"/>
  <c r="AA959" i="2"/>
  <c r="Z959" i="2"/>
  <c r="X959" i="2"/>
  <c r="W959" i="2"/>
  <c r="V959" i="2"/>
  <c r="U959" i="2"/>
  <c r="AE958" i="2"/>
  <c r="AD958" i="2"/>
  <c r="AC958" i="2"/>
  <c r="AB958" i="2"/>
  <c r="AA958" i="2"/>
  <c r="Z958" i="2"/>
  <c r="X958" i="2"/>
  <c r="W958" i="2"/>
  <c r="V958" i="2"/>
  <c r="U958" i="2"/>
  <c r="AE957" i="2"/>
  <c r="AD957" i="2"/>
  <c r="AC957" i="2"/>
  <c r="AB957" i="2"/>
  <c r="AA957" i="2"/>
  <c r="Z957" i="2"/>
  <c r="X957" i="2"/>
  <c r="W957" i="2"/>
  <c r="V957" i="2"/>
  <c r="U957" i="2"/>
  <c r="AE956" i="2"/>
  <c r="AD956" i="2"/>
  <c r="AC956" i="2"/>
  <c r="AB956" i="2"/>
  <c r="AA956" i="2"/>
  <c r="Z956" i="2"/>
  <c r="X956" i="2"/>
  <c r="W956" i="2"/>
  <c r="V956" i="2"/>
  <c r="U956" i="2"/>
  <c r="AE955" i="2"/>
  <c r="AD955" i="2"/>
  <c r="AC955" i="2"/>
  <c r="AB955" i="2"/>
  <c r="AA955" i="2"/>
  <c r="Z955" i="2"/>
  <c r="X955" i="2"/>
  <c r="W955" i="2"/>
  <c r="V955" i="2"/>
  <c r="U955" i="2"/>
  <c r="AE954" i="2"/>
  <c r="AD954" i="2"/>
  <c r="AC954" i="2"/>
  <c r="AB954" i="2"/>
  <c r="AA954" i="2"/>
  <c r="Z954" i="2"/>
  <c r="X954" i="2"/>
  <c r="W954" i="2"/>
  <c r="V954" i="2"/>
  <c r="U954" i="2"/>
  <c r="AE953" i="2"/>
  <c r="AD953" i="2"/>
  <c r="AC953" i="2"/>
  <c r="AB953" i="2"/>
  <c r="AA953" i="2"/>
  <c r="Z953" i="2"/>
  <c r="X953" i="2"/>
  <c r="W953" i="2"/>
  <c r="V953" i="2"/>
  <c r="U953" i="2"/>
  <c r="AE952" i="2"/>
  <c r="AD952" i="2"/>
  <c r="AC952" i="2"/>
  <c r="AB952" i="2"/>
  <c r="AA952" i="2"/>
  <c r="Z952" i="2"/>
  <c r="X952" i="2"/>
  <c r="W952" i="2"/>
  <c r="V952" i="2"/>
  <c r="U952" i="2"/>
  <c r="AE951" i="2"/>
  <c r="AD951" i="2"/>
  <c r="AC951" i="2"/>
  <c r="AB951" i="2"/>
  <c r="AA951" i="2"/>
  <c r="Z951" i="2"/>
  <c r="X951" i="2"/>
  <c r="W951" i="2"/>
  <c r="V951" i="2"/>
  <c r="U951" i="2"/>
  <c r="AE950" i="2"/>
  <c r="AD950" i="2"/>
  <c r="AC950" i="2"/>
  <c r="AB950" i="2"/>
  <c r="AA950" i="2"/>
  <c r="Z950" i="2"/>
  <c r="X950" i="2"/>
  <c r="W950" i="2"/>
  <c r="V950" i="2"/>
  <c r="U950" i="2"/>
  <c r="AE949" i="2"/>
  <c r="AD949" i="2"/>
  <c r="AC949" i="2"/>
  <c r="AB949" i="2"/>
  <c r="AA949" i="2"/>
  <c r="Z949" i="2"/>
  <c r="X949" i="2"/>
  <c r="W949" i="2"/>
  <c r="V949" i="2"/>
  <c r="U949" i="2"/>
  <c r="AE948" i="2"/>
  <c r="AD948" i="2"/>
  <c r="AC948" i="2"/>
  <c r="AB948" i="2"/>
  <c r="AA948" i="2"/>
  <c r="Z948" i="2"/>
  <c r="X948" i="2"/>
  <c r="W948" i="2"/>
  <c r="V948" i="2"/>
  <c r="U948" i="2"/>
  <c r="AE947" i="2"/>
  <c r="AD947" i="2"/>
  <c r="AC947" i="2"/>
  <c r="AB947" i="2"/>
  <c r="AA947" i="2"/>
  <c r="Z947" i="2"/>
  <c r="X947" i="2"/>
  <c r="W947" i="2"/>
  <c r="V947" i="2"/>
  <c r="U947" i="2"/>
  <c r="AE946" i="2"/>
  <c r="AD946" i="2"/>
  <c r="AC946" i="2"/>
  <c r="AB946" i="2"/>
  <c r="AA946" i="2"/>
  <c r="Z946" i="2"/>
  <c r="X946" i="2"/>
  <c r="W946" i="2"/>
  <c r="V946" i="2"/>
  <c r="U946" i="2"/>
  <c r="AE945" i="2"/>
  <c r="AD945" i="2"/>
  <c r="AC945" i="2"/>
  <c r="AB945" i="2"/>
  <c r="AA945" i="2"/>
  <c r="Z945" i="2"/>
  <c r="X945" i="2"/>
  <c r="W945" i="2"/>
  <c r="V945" i="2"/>
  <c r="U945" i="2"/>
  <c r="AE944" i="2"/>
  <c r="AD944" i="2"/>
  <c r="AC944" i="2"/>
  <c r="AB944" i="2"/>
  <c r="AA944" i="2"/>
  <c r="Z944" i="2"/>
  <c r="X944" i="2"/>
  <c r="W944" i="2"/>
  <c r="V944" i="2"/>
  <c r="U944" i="2"/>
  <c r="AE943" i="2"/>
  <c r="AD943" i="2"/>
  <c r="AC943" i="2"/>
  <c r="AB943" i="2"/>
  <c r="AA943" i="2"/>
  <c r="Z943" i="2"/>
  <c r="X943" i="2"/>
  <c r="W943" i="2"/>
  <c r="V943" i="2"/>
  <c r="U943" i="2"/>
  <c r="AE942" i="2"/>
  <c r="AD942" i="2"/>
  <c r="AC942" i="2"/>
  <c r="AB942" i="2"/>
  <c r="AA942" i="2"/>
  <c r="Z942" i="2"/>
  <c r="X942" i="2"/>
  <c r="W942" i="2"/>
  <c r="V942" i="2"/>
  <c r="U942" i="2"/>
  <c r="AE941" i="2"/>
  <c r="AD941" i="2"/>
  <c r="AC941" i="2"/>
  <c r="AB941" i="2"/>
  <c r="AA941" i="2"/>
  <c r="Z941" i="2"/>
  <c r="X941" i="2"/>
  <c r="W941" i="2"/>
  <c r="V941" i="2"/>
  <c r="U941" i="2"/>
  <c r="AE940" i="2"/>
  <c r="AD940" i="2"/>
  <c r="AC940" i="2"/>
  <c r="AB940" i="2"/>
  <c r="AA940" i="2"/>
  <c r="Z940" i="2"/>
  <c r="X940" i="2"/>
  <c r="W940" i="2"/>
  <c r="V940" i="2"/>
  <c r="U940" i="2"/>
  <c r="AE939" i="2"/>
  <c r="AD939" i="2"/>
  <c r="AC939" i="2"/>
  <c r="AB939" i="2"/>
  <c r="AA939" i="2"/>
  <c r="Z939" i="2"/>
  <c r="X939" i="2"/>
  <c r="W939" i="2"/>
  <c r="V939" i="2"/>
  <c r="U939" i="2"/>
  <c r="AE938" i="2"/>
  <c r="AD938" i="2"/>
  <c r="AC938" i="2"/>
  <c r="AB938" i="2"/>
  <c r="AA938" i="2"/>
  <c r="Z938" i="2"/>
  <c r="X938" i="2"/>
  <c r="W938" i="2"/>
  <c r="V938" i="2"/>
  <c r="U938" i="2"/>
  <c r="AE937" i="2"/>
  <c r="AD937" i="2"/>
  <c r="AC937" i="2"/>
  <c r="AB937" i="2"/>
  <c r="AA937" i="2"/>
  <c r="Z937" i="2"/>
  <c r="X937" i="2"/>
  <c r="W937" i="2"/>
  <c r="V937" i="2"/>
  <c r="U937" i="2"/>
  <c r="AE936" i="2"/>
  <c r="AD936" i="2"/>
  <c r="AC936" i="2"/>
  <c r="AB936" i="2"/>
  <c r="AA936" i="2"/>
  <c r="Z936" i="2"/>
  <c r="X936" i="2"/>
  <c r="W936" i="2"/>
  <c r="V936" i="2"/>
  <c r="U936" i="2"/>
  <c r="AE935" i="2"/>
  <c r="AD935" i="2"/>
  <c r="AC935" i="2"/>
  <c r="AB935" i="2"/>
  <c r="AA935" i="2"/>
  <c r="Z935" i="2"/>
  <c r="X935" i="2"/>
  <c r="W935" i="2"/>
  <c r="V935" i="2"/>
  <c r="U935" i="2"/>
  <c r="AE934" i="2"/>
  <c r="AD934" i="2"/>
  <c r="AC934" i="2"/>
  <c r="AB934" i="2"/>
  <c r="AA934" i="2"/>
  <c r="Z934" i="2"/>
  <c r="X934" i="2"/>
  <c r="W934" i="2"/>
  <c r="V934" i="2"/>
  <c r="U934" i="2"/>
  <c r="AE933" i="2"/>
  <c r="AD933" i="2"/>
  <c r="AC933" i="2"/>
  <c r="AB933" i="2"/>
  <c r="AA933" i="2"/>
  <c r="Z933" i="2"/>
  <c r="X933" i="2"/>
  <c r="W933" i="2"/>
  <c r="V933" i="2"/>
  <c r="U933" i="2"/>
  <c r="AE932" i="2"/>
  <c r="AD932" i="2"/>
  <c r="AC932" i="2"/>
  <c r="AB932" i="2"/>
  <c r="AA932" i="2"/>
  <c r="Z932" i="2"/>
  <c r="X932" i="2"/>
  <c r="W932" i="2"/>
  <c r="V932" i="2"/>
  <c r="U932" i="2"/>
  <c r="AE931" i="2"/>
  <c r="AD931" i="2"/>
  <c r="AC931" i="2"/>
  <c r="AB931" i="2"/>
  <c r="AA931" i="2"/>
  <c r="Z931" i="2"/>
  <c r="X931" i="2"/>
  <c r="W931" i="2"/>
  <c r="V931" i="2"/>
  <c r="U931" i="2"/>
  <c r="AE930" i="2"/>
  <c r="AD930" i="2"/>
  <c r="AC930" i="2"/>
  <c r="AB930" i="2"/>
  <c r="AA930" i="2"/>
  <c r="Z930" i="2"/>
  <c r="X930" i="2"/>
  <c r="W930" i="2"/>
  <c r="V930" i="2"/>
  <c r="U930" i="2"/>
  <c r="AE929" i="2"/>
  <c r="AD929" i="2"/>
  <c r="AC929" i="2"/>
  <c r="AB929" i="2"/>
  <c r="AA929" i="2"/>
  <c r="Z929" i="2"/>
  <c r="X929" i="2"/>
  <c r="W929" i="2"/>
  <c r="V929" i="2"/>
  <c r="U929" i="2"/>
  <c r="AE928" i="2"/>
  <c r="AD928" i="2"/>
  <c r="AC928" i="2"/>
  <c r="AB928" i="2"/>
  <c r="AA928" i="2"/>
  <c r="Z928" i="2"/>
  <c r="X928" i="2"/>
  <c r="W928" i="2"/>
  <c r="V928" i="2"/>
  <c r="U928" i="2"/>
  <c r="AE927" i="2"/>
  <c r="AD927" i="2"/>
  <c r="AC927" i="2"/>
  <c r="AB927" i="2"/>
  <c r="AA927" i="2"/>
  <c r="Z927" i="2"/>
  <c r="X927" i="2"/>
  <c r="W927" i="2"/>
  <c r="V927" i="2"/>
  <c r="U927" i="2"/>
  <c r="AE926" i="2"/>
  <c r="AD926" i="2"/>
  <c r="AC926" i="2"/>
  <c r="AB926" i="2"/>
  <c r="AA926" i="2"/>
  <c r="Z926" i="2"/>
  <c r="X926" i="2"/>
  <c r="W926" i="2"/>
  <c r="V926" i="2"/>
  <c r="U926" i="2"/>
  <c r="AE925" i="2"/>
  <c r="AD925" i="2"/>
  <c r="AC925" i="2"/>
  <c r="AB925" i="2"/>
  <c r="AA925" i="2"/>
  <c r="Z925" i="2"/>
  <c r="X925" i="2"/>
  <c r="W925" i="2"/>
  <c r="V925" i="2"/>
  <c r="U925" i="2"/>
  <c r="AE924" i="2"/>
  <c r="AD924" i="2"/>
  <c r="AC924" i="2"/>
  <c r="AB924" i="2"/>
  <c r="AA924" i="2"/>
  <c r="Z924" i="2"/>
  <c r="X924" i="2"/>
  <c r="W924" i="2"/>
  <c r="V924" i="2"/>
  <c r="U924" i="2"/>
  <c r="AE923" i="2"/>
  <c r="AD923" i="2"/>
  <c r="AC923" i="2"/>
  <c r="AB923" i="2"/>
  <c r="AA923" i="2"/>
  <c r="Z923" i="2"/>
  <c r="X923" i="2"/>
  <c r="W923" i="2"/>
  <c r="V923" i="2"/>
  <c r="U923" i="2"/>
  <c r="AE922" i="2"/>
  <c r="AD922" i="2"/>
  <c r="AC922" i="2"/>
  <c r="AB922" i="2"/>
  <c r="AA922" i="2"/>
  <c r="Z922" i="2"/>
  <c r="X922" i="2"/>
  <c r="W922" i="2"/>
  <c r="V922" i="2"/>
  <c r="U922" i="2"/>
  <c r="AE921" i="2"/>
  <c r="AD921" i="2"/>
  <c r="AC921" i="2"/>
  <c r="AB921" i="2"/>
  <c r="AA921" i="2"/>
  <c r="Z921" i="2"/>
  <c r="X921" i="2"/>
  <c r="W921" i="2"/>
  <c r="V921" i="2"/>
  <c r="U921" i="2"/>
  <c r="AE920" i="2"/>
  <c r="AD920" i="2"/>
  <c r="AC920" i="2"/>
  <c r="AB920" i="2"/>
  <c r="AA920" i="2"/>
  <c r="Z920" i="2"/>
  <c r="X920" i="2"/>
  <c r="W920" i="2"/>
  <c r="V920" i="2"/>
  <c r="U920" i="2"/>
  <c r="AE919" i="2"/>
  <c r="AD919" i="2"/>
  <c r="AC919" i="2"/>
  <c r="AB919" i="2"/>
  <c r="AA919" i="2"/>
  <c r="Z919" i="2"/>
  <c r="X919" i="2"/>
  <c r="W919" i="2"/>
  <c r="V919" i="2"/>
  <c r="U919" i="2"/>
  <c r="AE918" i="2"/>
  <c r="AD918" i="2"/>
  <c r="AC918" i="2"/>
  <c r="AB918" i="2"/>
  <c r="AA918" i="2"/>
  <c r="Z918" i="2"/>
  <c r="X918" i="2"/>
  <c r="W918" i="2"/>
  <c r="V918" i="2"/>
  <c r="U918" i="2"/>
  <c r="AE917" i="2"/>
  <c r="AD917" i="2"/>
  <c r="AC917" i="2"/>
  <c r="AB917" i="2"/>
  <c r="AA917" i="2"/>
  <c r="Z917" i="2"/>
  <c r="X917" i="2"/>
  <c r="W917" i="2"/>
  <c r="V917" i="2"/>
  <c r="U917" i="2"/>
  <c r="AE916" i="2"/>
  <c r="AD916" i="2"/>
  <c r="AC916" i="2"/>
  <c r="AB916" i="2"/>
  <c r="AA916" i="2"/>
  <c r="Z916" i="2"/>
  <c r="X916" i="2"/>
  <c r="W916" i="2"/>
  <c r="V916" i="2"/>
  <c r="U916" i="2"/>
  <c r="AE915" i="2"/>
  <c r="AD915" i="2"/>
  <c r="AC915" i="2"/>
  <c r="AB915" i="2"/>
  <c r="AA915" i="2"/>
  <c r="Z915" i="2"/>
  <c r="X915" i="2"/>
  <c r="W915" i="2"/>
  <c r="V915" i="2"/>
  <c r="U915" i="2"/>
  <c r="AE914" i="2"/>
  <c r="AD914" i="2"/>
  <c r="AC914" i="2"/>
  <c r="AB914" i="2"/>
  <c r="AA914" i="2"/>
  <c r="Z914" i="2"/>
  <c r="X914" i="2"/>
  <c r="W914" i="2"/>
  <c r="V914" i="2"/>
  <c r="U914" i="2"/>
  <c r="AE913" i="2"/>
  <c r="AD913" i="2"/>
  <c r="AC913" i="2"/>
  <c r="AB913" i="2"/>
  <c r="AA913" i="2"/>
  <c r="Z913" i="2"/>
  <c r="X913" i="2"/>
  <c r="W913" i="2"/>
  <c r="V913" i="2"/>
  <c r="U913" i="2"/>
  <c r="AE912" i="2"/>
  <c r="AD912" i="2"/>
  <c r="AC912" i="2"/>
  <c r="AB912" i="2"/>
  <c r="AA912" i="2"/>
  <c r="Z912" i="2"/>
  <c r="X912" i="2"/>
  <c r="W912" i="2"/>
  <c r="V912" i="2"/>
  <c r="U912" i="2"/>
  <c r="AE911" i="2"/>
  <c r="AD911" i="2"/>
  <c r="AC911" i="2"/>
  <c r="AB911" i="2"/>
  <c r="AA911" i="2"/>
  <c r="Z911" i="2"/>
  <c r="X911" i="2"/>
  <c r="W911" i="2"/>
  <c r="V911" i="2"/>
  <c r="U911" i="2"/>
  <c r="AE910" i="2"/>
  <c r="AD910" i="2"/>
  <c r="AC910" i="2"/>
  <c r="AB910" i="2"/>
  <c r="AA910" i="2"/>
  <c r="Z910" i="2"/>
  <c r="X910" i="2"/>
  <c r="W910" i="2"/>
  <c r="V910" i="2"/>
  <c r="U910" i="2"/>
  <c r="AE909" i="2"/>
  <c r="AD909" i="2"/>
  <c r="AC909" i="2"/>
  <c r="AB909" i="2"/>
  <c r="AA909" i="2"/>
  <c r="Z909" i="2"/>
  <c r="X909" i="2"/>
  <c r="W909" i="2"/>
  <c r="V909" i="2"/>
  <c r="U909" i="2"/>
  <c r="AE908" i="2"/>
  <c r="AD908" i="2"/>
  <c r="AC908" i="2"/>
  <c r="AB908" i="2"/>
  <c r="AA908" i="2"/>
  <c r="Z908" i="2"/>
  <c r="X908" i="2"/>
  <c r="W908" i="2"/>
  <c r="V908" i="2"/>
  <c r="U908" i="2"/>
  <c r="AE907" i="2"/>
  <c r="AD907" i="2"/>
  <c r="AC907" i="2"/>
  <c r="AB907" i="2"/>
  <c r="AA907" i="2"/>
  <c r="Z907" i="2"/>
  <c r="X907" i="2"/>
  <c r="W907" i="2"/>
  <c r="V907" i="2"/>
  <c r="U907" i="2"/>
  <c r="AE906" i="2"/>
  <c r="AD906" i="2"/>
  <c r="AC906" i="2"/>
  <c r="AB906" i="2"/>
  <c r="AA906" i="2"/>
  <c r="Z906" i="2"/>
  <c r="X906" i="2"/>
  <c r="W906" i="2"/>
  <c r="V906" i="2"/>
  <c r="U906" i="2"/>
  <c r="AE905" i="2"/>
  <c r="AD905" i="2"/>
  <c r="AC905" i="2"/>
  <c r="AB905" i="2"/>
  <c r="AA905" i="2"/>
  <c r="Z905" i="2"/>
  <c r="X905" i="2"/>
  <c r="W905" i="2"/>
  <c r="V905" i="2"/>
  <c r="U905" i="2"/>
  <c r="AE904" i="2"/>
  <c r="AD904" i="2"/>
  <c r="AC904" i="2"/>
  <c r="AB904" i="2"/>
  <c r="AA904" i="2"/>
  <c r="Z904" i="2"/>
  <c r="X904" i="2"/>
  <c r="W904" i="2"/>
  <c r="V904" i="2"/>
  <c r="U904" i="2"/>
  <c r="AE903" i="2"/>
  <c r="AD903" i="2"/>
  <c r="AC903" i="2"/>
  <c r="AB903" i="2"/>
  <c r="AA903" i="2"/>
  <c r="Z903" i="2"/>
  <c r="X903" i="2"/>
  <c r="W903" i="2"/>
  <c r="V903" i="2"/>
  <c r="U903" i="2"/>
  <c r="AE902" i="2"/>
  <c r="AD902" i="2"/>
  <c r="AC902" i="2"/>
  <c r="AB902" i="2"/>
  <c r="AA902" i="2"/>
  <c r="Z902" i="2"/>
  <c r="X902" i="2"/>
  <c r="W902" i="2"/>
  <c r="V902" i="2"/>
  <c r="U902" i="2"/>
  <c r="AE901" i="2"/>
  <c r="AD901" i="2"/>
  <c r="AC901" i="2"/>
  <c r="AB901" i="2"/>
  <c r="AA901" i="2"/>
  <c r="Z901" i="2"/>
  <c r="X901" i="2"/>
  <c r="W901" i="2"/>
  <c r="V901" i="2"/>
  <c r="U901" i="2"/>
  <c r="AE900" i="2"/>
  <c r="AD900" i="2"/>
  <c r="AC900" i="2"/>
  <c r="AB900" i="2"/>
  <c r="AA900" i="2"/>
  <c r="Z900" i="2"/>
  <c r="X900" i="2"/>
  <c r="W900" i="2"/>
  <c r="V900" i="2"/>
  <c r="U900" i="2"/>
  <c r="AE899" i="2"/>
  <c r="AD899" i="2"/>
  <c r="AC899" i="2"/>
  <c r="AB899" i="2"/>
  <c r="AA899" i="2"/>
  <c r="Z899" i="2"/>
  <c r="X899" i="2"/>
  <c r="W899" i="2"/>
  <c r="V899" i="2"/>
  <c r="U899" i="2"/>
  <c r="AE898" i="2"/>
  <c r="AD898" i="2"/>
  <c r="AC898" i="2"/>
  <c r="AB898" i="2"/>
  <c r="AA898" i="2"/>
  <c r="Z898" i="2"/>
  <c r="X898" i="2"/>
  <c r="W898" i="2"/>
  <c r="V898" i="2"/>
  <c r="U898" i="2"/>
  <c r="AE897" i="2"/>
  <c r="AD897" i="2"/>
  <c r="AC897" i="2"/>
  <c r="AB897" i="2"/>
  <c r="AA897" i="2"/>
  <c r="Z897" i="2"/>
  <c r="X897" i="2"/>
  <c r="W897" i="2"/>
  <c r="V897" i="2"/>
  <c r="U897" i="2"/>
  <c r="AE896" i="2"/>
  <c r="AD896" i="2"/>
  <c r="AC896" i="2"/>
  <c r="AB896" i="2"/>
  <c r="AA896" i="2"/>
  <c r="Z896" i="2"/>
  <c r="X896" i="2"/>
  <c r="W896" i="2"/>
  <c r="V896" i="2"/>
  <c r="U896" i="2"/>
  <c r="AE895" i="2"/>
  <c r="AD895" i="2"/>
  <c r="AC895" i="2"/>
  <c r="AB895" i="2"/>
  <c r="AA895" i="2"/>
  <c r="Z895" i="2"/>
  <c r="X895" i="2"/>
  <c r="W895" i="2"/>
  <c r="V895" i="2"/>
  <c r="U895" i="2"/>
  <c r="AE894" i="2"/>
  <c r="AD894" i="2"/>
  <c r="AC894" i="2"/>
  <c r="AB894" i="2"/>
  <c r="AA894" i="2"/>
  <c r="Z894" i="2"/>
  <c r="X894" i="2"/>
  <c r="W894" i="2"/>
  <c r="V894" i="2"/>
  <c r="U894" i="2"/>
  <c r="AE893" i="2"/>
  <c r="AD893" i="2"/>
  <c r="AC893" i="2"/>
  <c r="AB893" i="2"/>
  <c r="AA893" i="2"/>
  <c r="Z893" i="2"/>
  <c r="X893" i="2"/>
  <c r="W893" i="2"/>
  <c r="V893" i="2"/>
  <c r="U893" i="2"/>
  <c r="AE892" i="2"/>
  <c r="AD892" i="2"/>
  <c r="AC892" i="2"/>
  <c r="AB892" i="2"/>
  <c r="AA892" i="2"/>
  <c r="Z892" i="2"/>
  <c r="X892" i="2"/>
  <c r="W892" i="2"/>
  <c r="V892" i="2"/>
  <c r="U892" i="2"/>
  <c r="AE891" i="2"/>
  <c r="AD891" i="2"/>
  <c r="AC891" i="2"/>
  <c r="AB891" i="2"/>
  <c r="AA891" i="2"/>
  <c r="Z891" i="2"/>
  <c r="X891" i="2"/>
  <c r="W891" i="2"/>
  <c r="V891" i="2"/>
  <c r="U891" i="2"/>
  <c r="AE890" i="2"/>
  <c r="AD890" i="2"/>
  <c r="AC890" i="2"/>
  <c r="AB890" i="2"/>
  <c r="AA890" i="2"/>
  <c r="Z890" i="2"/>
  <c r="X890" i="2"/>
  <c r="W890" i="2"/>
  <c r="V890" i="2"/>
  <c r="U890" i="2"/>
  <c r="AE889" i="2"/>
  <c r="AD889" i="2"/>
  <c r="AC889" i="2"/>
  <c r="AB889" i="2"/>
  <c r="AA889" i="2"/>
  <c r="Z889" i="2"/>
  <c r="X889" i="2"/>
  <c r="W889" i="2"/>
  <c r="V889" i="2"/>
  <c r="U889" i="2"/>
  <c r="AE888" i="2"/>
  <c r="AD888" i="2"/>
  <c r="AC888" i="2"/>
  <c r="AB888" i="2"/>
  <c r="AA888" i="2"/>
  <c r="Z888" i="2"/>
  <c r="X888" i="2"/>
  <c r="W888" i="2"/>
  <c r="V888" i="2"/>
  <c r="U888" i="2"/>
  <c r="AE887" i="2"/>
  <c r="AD887" i="2"/>
  <c r="AC887" i="2"/>
  <c r="AB887" i="2"/>
  <c r="AA887" i="2"/>
  <c r="Z887" i="2"/>
  <c r="X887" i="2"/>
  <c r="W887" i="2"/>
  <c r="V887" i="2"/>
  <c r="U887" i="2"/>
  <c r="AE886" i="2"/>
  <c r="AD886" i="2"/>
  <c r="AC886" i="2"/>
  <c r="AB886" i="2"/>
  <c r="AA886" i="2"/>
  <c r="Z886" i="2"/>
  <c r="X886" i="2"/>
  <c r="W886" i="2"/>
  <c r="V886" i="2"/>
  <c r="U886" i="2"/>
  <c r="AE885" i="2"/>
  <c r="AD885" i="2"/>
  <c r="AC885" i="2"/>
  <c r="AB885" i="2"/>
  <c r="AA885" i="2"/>
  <c r="Z885" i="2"/>
  <c r="X885" i="2"/>
  <c r="W885" i="2"/>
  <c r="V885" i="2"/>
  <c r="U885" i="2"/>
  <c r="AE884" i="2"/>
  <c r="AD884" i="2"/>
  <c r="AC884" i="2"/>
  <c r="AB884" i="2"/>
  <c r="AA884" i="2"/>
  <c r="Z884" i="2"/>
  <c r="X884" i="2"/>
  <c r="W884" i="2"/>
  <c r="V884" i="2"/>
  <c r="U884" i="2"/>
  <c r="AE883" i="2"/>
  <c r="AD883" i="2"/>
  <c r="AC883" i="2"/>
  <c r="AB883" i="2"/>
  <c r="AA883" i="2"/>
  <c r="Z883" i="2"/>
  <c r="X883" i="2"/>
  <c r="W883" i="2"/>
  <c r="V883" i="2"/>
  <c r="U883" i="2"/>
  <c r="AE882" i="2"/>
  <c r="AD882" i="2"/>
  <c r="AC882" i="2"/>
  <c r="AB882" i="2"/>
  <c r="AA882" i="2"/>
  <c r="Z882" i="2"/>
  <c r="X882" i="2"/>
  <c r="W882" i="2"/>
  <c r="V882" i="2"/>
  <c r="U882" i="2"/>
  <c r="AE881" i="2"/>
  <c r="AD881" i="2"/>
  <c r="AC881" i="2"/>
  <c r="AB881" i="2"/>
  <c r="AA881" i="2"/>
  <c r="Z881" i="2"/>
  <c r="X881" i="2"/>
  <c r="W881" i="2"/>
  <c r="V881" i="2"/>
  <c r="U881" i="2"/>
  <c r="AE880" i="2"/>
  <c r="AD880" i="2"/>
  <c r="AC880" i="2"/>
  <c r="AB880" i="2"/>
  <c r="AA880" i="2"/>
  <c r="Z880" i="2"/>
  <c r="X880" i="2"/>
  <c r="W880" i="2"/>
  <c r="V880" i="2"/>
  <c r="U880" i="2"/>
  <c r="AE879" i="2"/>
  <c r="AD879" i="2"/>
  <c r="AC879" i="2"/>
  <c r="AB879" i="2"/>
  <c r="AA879" i="2"/>
  <c r="Z879" i="2"/>
  <c r="X879" i="2"/>
  <c r="W879" i="2"/>
  <c r="V879" i="2"/>
  <c r="U879" i="2"/>
  <c r="AE878" i="2"/>
  <c r="AD878" i="2"/>
  <c r="AC878" i="2"/>
  <c r="AB878" i="2"/>
  <c r="AA878" i="2"/>
  <c r="Z878" i="2"/>
  <c r="X878" i="2"/>
  <c r="W878" i="2"/>
  <c r="V878" i="2"/>
  <c r="U878" i="2"/>
  <c r="AE877" i="2"/>
  <c r="AD877" i="2"/>
  <c r="AC877" i="2"/>
  <c r="AB877" i="2"/>
  <c r="AA877" i="2"/>
  <c r="Z877" i="2"/>
  <c r="X877" i="2"/>
  <c r="W877" i="2"/>
  <c r="V877" i="2"/>
  <c r="U877" i="2"/>
  <c r="AE876" i="2"/>
  <c r="AD876" i="2"/>
  <c r="AC876" i="2"/>
  <c r="AB876" i="2"/>
  <c r="AA876" i="2"/>
  <c r="Z876" i="2"/>
  <c r="X876" i="2"/>
  <c r="W876" i="2"/>
  <c r="V876" i="2"/>
  <c r="U876" i="2"/>
  <c r="AE875" i="2"/>
  <c r="AD875" i="2"/>
  <c r="AC875" i="2"/>
  <c r="AB875" i="2"/>
  <c r="AA875" i="2"/>
  <c r="Z875" i="2"/>
  <c r="X875" i="2"/>
  <c r="W875" i="2"/>
  <c r="V875" i="2"/>
  <c r="U875" i="2"/>
  <c r="AE874" i="2"/>
  <c r="AD874" i="2"/>
  <c r="AC874" i="2"/>
  <c r="AB874" i="2"/>
  <c r="AA874" i="2"/>
  <c r="Z874" i="2"/>
  <c r="X874" i="2"/>
  <c r="W874" i="2"/>
  <c r="V874" i="2"/>
  <c r="U874" i="2"/>
  <c r="AE873" i="2"/>
  <c r="AD873" i="2"/>
  <c r="AC873" i="2"/>
  <c r="AB873" i="2"/>
  <c r="AA873" i="2"/>
  <c r="Z873" i="2"/>
  <c r="X873" i="2"/>
  <c r="W873" i="2"/>
  <c r="V873" i="2"/>
  <c r="U873" i="2"/>
  <c r="AE872" i="2"/>
  <c r="AD872" i="2"/>
  <c r="AC872" i="2"/>
  <c r="AB872" i="2"/>
  <c r="AA872" i="2"/>
  <c r="Z872" i="2"/>
  <c r="X872" i="2"/>
  <c r="W872" i="2"/>
  <c r="V872" i="2"/>
  <c r="U872" i="2"/>
  <c r="AE871" i="2"/>
  <c r="AD871" i="2"/>
  <c r="AC871" i="2"/>
  <c r="AB871" i="2"/>
  <c r="AA871" i="2"/>
  <c r="Z871" i="2"/>
  <c r="X871" i="2"/>
  <c r="W871" i="2"/>
  <c r="V871" i="2"/>
  <c r="U871" i="2"/>
  <c r="AE870" i="2"/>
  <c r="AD870" i="2"/>
  <c r="AC870" i="2"/>
  <c r="AB870" i="2"/>
  <c r="AA870" i="2"/>
  <c r="Z870" i="2"/>
  <c r="X870" i="2"/>
  <c r="W870" i="2"/>
  <c r="V870" i="2"/>
  <c r="U870" i="2"/>
  <c r="AE869" i="2"/>
  <c r="AD869" i="2"/>
  <c r="AC869" i="2"/>
  <c r="AB869" i="2"/>
  <c r="AA869" i="2"/>
  <c r="Z869" i="2"/>
  <c r="X869" i="2"/>
  <c r="W869" i="2"/>
  <c r="V869" i="2"/>
  <c r="U869" i="2"/>
  <c r="AE868" i="2"/>
  <c r="AD868" i="2"/>
  <c r="AC868" i="2"/>
  <c r="AB868" i="2"/>
  <c r="AA868" i="2"/>
  <c r="Z868" i="2"/>
  <c r="X868" i="2"/>
  <c r="W868" i="2"/>
  <c r="V868" i="2"/>
  <c r="U868" i="2"/>
  <c r="AE867" i="2"/>
  <c r="AD867" i="2"/>
  <c r="AC867" i="2"/>
  <c r="AB867" i="2"/>
  <c r="AA867" i="2"/>
  <c r="Z867" i="2"/>
  <c r="X867" i="2"/>
  <c r="W867" i="2"/>
  <c r="V867" i="2"/>
  <c r="U867" i="2"/>
  <c r="AE866" i="2"/>
  <c r="AD866" i="2"/>
  <c r="AC866" i="2"/>
  <c r="AB866" i="2"/>
  <c r="AA866" i="2"/>
  <c r="Z866" i="2"/>
  <c r="X866" i="2"/>
  <c r="W866" i="2"/>
  <c r="V866" i="2"/>
  <c r="U866" i="2"/>
  <c r="AE865" i="2"/>
  <c r="AD865" i="2"/>
  <c r="AC865" i="2"/>
  <c r="AB865" i="2"/>
  <c r="AA865" i="2"/>
  <c r="Z865" i="2"/>
  <c r="X865" i="2"/>
  <c r="W865" i="2"/>
  <c r="V865" i="2"/>
  <c r="U865" i="2"/>
  <c r="AE864" i="2"/>
  <c r="AD864" i="2"/>
  <c r="AC864" i="2"/>
  <c r="AB864" i="2"/>
  <c r="AA864" i="2"/>
  <c r="Z864" i="2"/>
  <c r="X864" i="2"/>
  <c r="W864" i="2"/>
  <c r="V864" i="2"/>
  <c r="U864" i="2"/>
  <c r="AE863" i="2"/>
  <c r="AD863" i="2"/>
  <c r="AC863" i="2"/>
  <c r="AB863" i="2"/>
  <c r="AA863" i="2"/>
  <c r="Z863" i="2"/>
  <c r="X863" i="2"/>
  <c r="W863" i="2"/>
  <c r="V863" i="2"/>
  <c r="U863" i="2"/>
  <c r="AE862" i="2"/>
  <c r="AD862" i="2"/>
  <c r="AC862" i="2"/>
  <c r="AB862" i="2"/>
  <c r="AA862" i="2"/>
  <c r="Z862" i="2"/>
  <c r="X862" i="2"/>
  <c r="W862" i="2"/>
  <c r="V862" i="2"/>
  <c r="U862" i="2"/>
  <c r="AE861" i="2"/>
  <c r="AD861" i="2"/>
  <c r="AC861" i="2"/>
  <c r="AB861" i="2"/>
  <c r="AA861" i="2"/>
  <c r="Z861" i="2"/>
  <c r="X861" i="2"/>
  <c r="W861" i="2"/>
  <c r="V861" i="2"/>
  <c r="U861" i="2"/>
  <c r="AE860" i="2"/>
  <c r="AD860" i="2"/>
  <c r="AC860" i="2"/>
  <c r="AB860" i="2"/>
  <c r="AA860" i="2"/>
  <c r="Z860" i="2"/>
  <c r="X860" i="2"/>
  <c r="W860" i="2"/>
  <c r="V860" i="2"/>
  <c r="U860" i="2"/>
  <c r="AE859" i="2"/>
  <c r="AD859" i="2"/>
  <c r="AC859" i="2"/>
  <c r="AB859" i="2"/>
  <c r="AA859" i="2"/>
  <c r="Z859" i="2"/>
  <c r="X859" i="2"/>
  <c r="W859" i="2"/>
  <c r="V859" i="2"/>
  <c r="U859" i="2"/>
  <c r="AE858" i="2"/>
  <c r="AD858" i="2"/>
  <c r="AC858" i="2"/>
  <c r="AB858" i="2"/>
  <c r="AA858" i="2"/>
  <c r="Z858" i="2"/>
  <c r="X858" i="2"/>
  <c r="W858" i="2"/>
  <c r="V858" i="2"/>
  <c r="U858" i="2"/>
  <c r="AE857" i="2"/>
  <c r="AD857" i="2"/>
  <c r="AC857" i="2"/>
  <c r="AB857" i="2"/>
  <c r="AA857" i="2"/>
  <c r="Z857" i="2"/>
  <c r="X857" i="2"/>
  <c r="W857" i="2"/>
  <c r="V857" i="2"/>
  <c r="U857" i="2"/>
  <c r="AE856" i="2"/>
  <c r="AD856" i="2"/>
  <c r="AC856" i="2"/>
  <c r="AB856" i="2"/>
  <c r="AA856" i="2"/>
  <c r="Z856" i="2"/>
  <c r="X856" i="2"/>
  <c r="W856" i="2"/>
  <c r="V856" i="2"/>
  <c r="U856" i="2"/>
  <c r="AE855" i="2"/>
  <c r="AD855" i="2"/>
  <c r="AC855" i="2"/>
  <c r="AB855" i="2"/>
  <c r="AA855" i="2"/>
  <c r="Z855" i="2"/>
  <c r="X855" i="2"/>
  <c r="W855" i="2"/>
  <c r="V855" i="2"/>
  <c r="U855" i="2"/>
  <c r="AE854" i="2"/>
  <c r="AD854" i="2"/>
  <c r="AC854" i="2"/>
  <c r="AB854" i="2"/>
  <c r="AA854" i="2"/>
  <c r="Z854" i="2"/>
  <c r="X854" i="2"/>
  <c r="W854" i="2"/>
  <c r="V854" i="2"/>
  <c r="U854" i="2"/>
  <c r="AE853" i="2"/>
  <c r="AD853" i="2"/>
  <c r="AC853" i="2"/>
  <c r="AB853" i="2"/>
  <c r="AA853" i="2"/>
  <c r="Z853" i="2"/>
  <c r="X853" i="2"/>
  <c r="W853" i="2"/>
  <c r="V853" i="2"/>
  <c r="U853" i="2"/>
  <c r="AE852" i="2"/>
  <c r="AD852" i="2"/>
  <c r="AC852" i="2"/>
  <c r="AB852" i="2"/>
  <c r="AA852" i="2"/>
  <c r="Z852" i="2"/>
  <c r="X852" i="2"/>
  <c r="W852" i="2"/>
  <c r="V852" i="2"/>
  <c r="U852" i="2"/>
  <c r="AE851" i="2"/>
  <c r="AD851" i="2"/>
  <c r="AC851" i="2"/>
  <c r="AB851" i="2"/>
  <c r="AA851" i="2"/>
  <c r="Z851" i="2"/>
  <c r="X851" i="2"/>
  <c r="W851" i="2"/>
  <c r="V851" i="2"/>
  <c r="U851" i="2"/>
  <c r="AE850" i="2"/>
  <c r="AD850" i="2"/>
  <c r="AC850" i="2"/>
  <c r="AB850" i="2"/>
  <c r="AA850" i="2"/>
  <c r="Z850" i="2"/>
  <c r="X850" i="2"/>
  <c r="W850" i="2"/>
  <c r="V850" i="2"/>
  <c r="U850" i="2"/>
  <c r="AE849" i="2"/>
  <c r="AD849" i="2"/>
  <c r="AC849" i="2"/>
  <c r="AB849" i="2"/>
  <c r="AA849" i="2"/>
  <c r="Z849" i="2"/>
  <c r="X849" i="2"/>
  <c r="W849" i="2"/>
  <c r="V849" i="2"/>
  <c r="U849" i="2"/>
  <c r="AE848" i="2"/>
  <c r="AD848" i="2"/>
  <c r="AC848" i="2"/>
  <c r="AB848" i="2"/>
  <c r="AA848" i="2"/>
  <c r="Z848" i="2"/>
  <c r="X848" i="2"/>
  <c r="W848" i="2"/>
  <c r="V848" i="2"/>
  <c r="U848" i="2"/>
  <c r="AE847" i="2"/>
  <c r="AD847" i="2"/>
  <c r="AC847" i="2"/>
  <c r="AB847" i="2"/>
  <c r="AA847" i="2"/>
  <c r="Z847" i="2"/>
  <c r="X847" i="2"/>
  <c r="W847" i="2"/>
  <c r="V847" i="2"/>
  <c r="U847" i="2"/>
  <c r="AE846" i="2"/>
  <c r="AD846" i="2"/>
  <c r="AC846" i="2"/>
  <c r="AB846" i="2"/>
  <c r="AA846" i="2"/>
  <c r="Z846" i="2"/>
  <c r="X846" i="2"/>
  <c r="W846" i="2"/>
  <c r="V846" i="2"/>
  <c r="U846" i="2"/>
  <c r="AE845" i="2"/>
  <c r="AD845" i="2"/>
  <c r="AC845" i="2"/>
  <c r="AB845" i="2"/>
  <c r="AA845" i="2"/>
  <c r="Z845" i="2"/>
  <c r="X845" i="2"/>
  <c r="W845" i="2"/>
  <c r="V845" i="2"/>
  <c r="U845" i="2"/>
  <c r="AE844" i="2"/>
  <c r="AD844" i="2"/>
  <c r="AC844" i="2"/>
  <c r="AB844" i="2"/>
  <c r="AA844" i="2"/>
  <c r="Z844" i="2"/>
  <c r="X844" i="2"/>
  <c r="W844" i="2"/>
  <c r="V844" i="2"/>
  <c r="U844" i="2"/>
  <c r="AE843" i="2"/>
  <c r="AD843" i="2"/>
  <c r="AC843" i="2"/>
  <c r="AB843" i="2"/>
  <c r="AA843" i="2"/>
  <c r="Z843" i="2"/>
  <c r="X843" i="2"/>
  <c r="W843" i="2"/>
  <c r="V843" i="2"/>
  <c r="U843" i="2"/>
  <c r="AE842" i="2"/>
  <c r="AD842" i="2"/>
  <c r="AC842" i="2"/>
  <c r="AB842" i="2"/>
  <c r="AA842" i="2"/>
  <c r="Z842" i="2"/>
  <c r="X842" i="2"/>
  <c r="W842" i="2"/>
  <c r="V842" i="2"/>
  <c r="U842" i="2"/>
  <c r="AE841" i="2"/>
  <c r="AD841" i="2"/>
  <c r="AC841" i="2"/>
  <c r="AB841" i="2"/>
  <c r="AA841" i="2"/>
  <c r="Z841" i="2"/>
  <c r="X841" i="2"/>
  <c r="W841" i="2"/>
  <c r="V841" i="2"/>
  <c r="U841" i="2"/>
  <c r="AE840" i="2"/>
  <c r="AD840" i="2"/>
  <c r="AC840" i="2"/>
  <c r="AB840" i="2"/>
  <c r="AA840" i="2"/>
  <c r="Z840" i="2"/>
  <c r="X840" i="2"/>
  <c r="W840" i="2"/>
  <c r="V840" i="2"/>
  <c r="U840" i="2"/>
  <c r="AE839" i="2"/>
  <c r="AD839" i="2"/>
  <c r="AC839" i="2"/>
  <c r="AB839" i="2"/>
  <c r="AA839" i="2"/>
  <c r="Z839" i="2"/>
  <c r="X839" i="2"/>
  <c r="W839" i="2"/>
  <c r="V839" i="2"/>
  <c r="U839" i="2"/>
  <c r="AE838" i="2"/>
  <c r="AD838" i="2"/>
  <c r="AC838" i="2"/>
  <c r="AB838" i="2"/>
  <c r="AA838" i="2"/>
  <c r="Z838" i="2"/>
  <c r="X838" i="2"/>
  <c r="W838" i="2"/>
  <c r="V838" i="2"/>
  <c r="U838" i="2"/>
  <c r="AE837" i="2"/>
  <c r="AD837" i="2"/>
  <c r="AC837" i="2"/>
  <c r="AB837" i="2"/>
  <c r="AA837" i="2"/>
  <c r="Z837" i="2"/>
  <c r="X837" i="2"/>
  <c r="W837" i="2"/>
  <c r="V837" i="2"/>
  <c r="U837" i="2"/>
  <c r="AE836" i="2"/>
  <c r="AD836" i="2"/>
  <c r="AC836" i="2"/>
  <c r="AB836" i="2"/>
  <c r="AA836" i="2"/>
  <c r="Z836" i="2"/>
  <c r="X836" i="2"/>
  <c r="W836" i="2"/>
  <c r="V836" i="2"/>
  <c r="U836" i="2"/>
  <c r="AE835" i="2"/>
  <c r="AD835" i="2"/>
  <c r="AC835" i="2"/>
  <c r="AB835" i="2"/>
  <c r="AA835" i="2"/>
  <c r="Z835" i="2"/>
  <c r="X835" i="2"/>
  <c r="W835" i="2"/>
  <c r="V835" i="2"/>
  <c r="U835" i="2"/>
  <c r="AE834" i="2"/>
  <c r="AD834" i="2"/>
  <c r="AC834" i="2"/>
  <c r="AB834" i="2"/>
  <c r="AA834" i="2"/>
  <c r="Z834" i="2"/>
  <c r="X834" i="2"/>
  <c r="W834" i="2"/>
  <c r="V834" i="2"/>
  <c r="U834" i="2"/>
  <c r="AE833" i="2"/>
  <c r="AD833" i="2"/>
  <c r="AC833" i="2"/>
  <c r="AB833" i="2"/>
  <c r="AA833" i="2"/>
  <c r="Z833" i="2"/>
  <c r="X833" i="2"/>
  <c r="W833" i="2"/>
  <c r="V833" i="2"/>
  <c r="U833" i="2"/>
  <c r="AE832" i="2"/>
  <c r="AD832" i="2"/>
  <c r="AC832" i="2"/>
  <c r="AB832" i="2"/>
  <c r="AA832" i="2"/>
  <c r="Z832" i="2"/>
  <c r="X832" i="2"/>
  <c r="W832" i="2"/>
  <c r="V832" i="2"/>
  <c r="U832" i="2"/>
  <c r="AE831" i="2"/>
  <c r="AD831" i="2"/>
  <c r="AC831" i="2"/>
  <c r="AB831" i="2"/>
  <c r="AA831" i="2"/>
  <c r="Z831" i="2"/>
  <c r="X831" i="2"/>
  <c r="W831" i="2"/>
  <c r="V831" i="2"/>
  <c r="U831" i="2"/>
  <c r="AE830" i="2"/>
  <c r="AD830" i="2"/>
  <c r="AC830" i="2"/>
  <c r="AB830" i="2"/>
  <c r="AA830" i="2"/>
  <c r="Z830" i="2"/>
  <c r="X830" i="2"/>
  <c r="W830" i="2"/>
  <c r="V830" i="2"/>
  <c r="U830" i="2"/>
  <c r="AE829" i="2"/>
  <c r="AD829" i="2"/>
  <c r="AC829" i="2"/>
  <c r="AB829" i="2"/>
  <c r="AA829" i="2"/>
  <c r="Z829" i="2"/>
  <c r="X829" i="2"/>
  <c r="W829" i="2"/>
  <c r="V829" i="2"/>
  <c r="U829" i="2"/>
  <c r="AE828" i="2"/>
  <c r="AD828" i="2"/>
  <c r="AC828" i="2"/>
  <c r="AB828" i="2"/>
  <c r="AA828" i="2"/>
  <c r="Z828" i="2"/>
  <c r="X828" i="2"/>
  <c r="W828" i="2"/>
  <c r="V828" i="2"/>
  <c r="U828" i="2"/>
  <c r="AE827" i="2"/>
  <c r="AD827" i="2"/>
  <c r="AC827" i="2"/>
  <c r="AB827" i="2"/>
  <c r="AA827" i="2"/>
  <c r="Z827" i="2"/>
  <c r="X827" i="2"/>
  <c r="W827" i="2"/>
  <c r="V827" i="2"/>
  <c r="U827" i="2"/>
  <c r="AE826" i="2"/>
  <c r="AD826" i="2"/>
  <c r="AC826" i="2"/>
  <c r="AB826" i="2"/>
  <c r="AA826" i="2"/>
  <c r="Z826" i="2"/>
  <c r="X826" i="2"/>
  <c r="W826" i="2"/>
  <c r="V826" i="2"/>
  <c r="U826" i="2"/>
  <c r="AE825" i="2"/>
  <c r="AD825" i="2"/>
  <c r="AC825" i="2"/>
  <c r="AB825" i="2"/>
  <c r="AA825" i="2"/>
  <c r="Z825" i="2"/>
  <c r="X825" i="2"/>
  <c r="W825" i="2"/>
  <c r="V825" i="2"/>
  <c r="U825" i="2"/>
  <c r="AE824" i="2"/>
  <c r="AD824" i="2"/>
  <c r="AC824" i="2"/>
  <c r="AB824" i="2"/>
  <c r="AA824" i="2"/>
  <c r="Z824" i="2"/>
  <c r="X824" i="2"/>
  <c r="W824" i="2"/>
  <c r="V824" i="2"/>
  <c r="U824" i="2"/>
  <c r="AE823" i="2"/>
  <c r="AD823" i="2"/>
  <c r="AC823" i="2"/>
  <c r="AB823" i="2"/>
  <c r="AA823" i="2"/>
  <c r="Z823" i="2"/>
  <c r="X823" i="2"/>
  <c r="W823" i="2"/>
  <c r="V823" i="2"/>
  <c r="U823" i="2"/>
  <c r="AE822" i="2"/>
  <c r="AD822" i="2"/>
  <c r="AC822" i="2"/>
  <c r="AB822" i="2"/>
  <c r="AA822" i="2"/>
  <c r="Z822" i="2"/>
  <c r="X822" i="2"/>
  <c r="W822" i="2"/>
  <c r="V822" i="2"/>
  <c r="U822" i="2"/>
  <c r="AE821" i="2"/>
  <c r="AD821" i="2"/>
  <c r="AC821" i="2"/>
  <c r="AB821" i="2"/>
  <c r="AA821" i="2"/>
  <c r="Z821" i="2"/>
  <c r="X821" i="2"/>
  <c r="W821" i="2"/>
  <c r="V821" i="2"/>
  <c r="U821" i="2"/>
  <c r="AE820" i="2"/>
  <c r="AD820" i="2"/>
  <c r="AC820" i="2"/>
  <c r="AB820" i="2"/>
  <c r="AA820" i="2"/>
  <c r="Z820" i="2"/>
  <c r="X820" i="2"/>
  <c r="W820" i="2"/>
  <c r="V820" i="2"/>
  <c r="U820" i="2"/>
  <c r="AE819" i="2"/>
  <c r="AD819" i="2"/>
  <c r="AC819" i="2"/>
  <c r="AB819" i="2"/>
  <c r="AA819" i="2"/>
  <c r="Z819" i="2"/>
  <c r="X819" i="2"/>
  <c r="W819" i="2"/>
  <c r="V819" i="2"/>
  <c r="U819" i="2"/>
  <c r="AE818" i="2"/>
  <c r="AD818" i="2"/>
  <c r="AC818" i="2"/>
  <c r="AB818" i="2"/>
  <c r="AA818" i="2"/>
  <c r="Z818" i="2"/>
  <c r="X818" i="2"/>
  <c r="W818" i="2"/>
  <c r="V818" i="2"/>
  <c r="U818" i="2"/>
  <c r="AE817" i="2"/>
  <c r="AD817" i="2"/>
  <c r="AC817" i="2"/>
  <c r="AB817" i="2"/>
  <c r="AA817" i="2"/>
  <c r="Z817" i="2"/>
  <c r="X817" i="2"/>
  <c r="W817" i="2"/>
  <c r="V817" i="2"/>
  <c r="U817" i="2"/>
  <c r="AE816" i="2"/>
  <c r="AD816" i="2"/>
  <c r="AC816" i="2"/>
  <c r="AB816" i="2"/>
  <c r="AA816" i="2"/>
  <c r="Z816" i="2"/>
  <c r="X816" i="2"/>
  <c r="W816" i="2"/>
  <c r="V816" i="2"/>
  <c r="U816" i="2"/>
  <c r="AE815" i="2"/>
  <c r="AD815" i="2"/>
  <c r="AC815" i="2"/>
  <c r="AB815" i="2"/>
  <c r="AA815" i="2"/>
  <c r="Z815" i="2"/>
  <c r="X815" i="2"/>
  <c r="W815" i="2"/>
  <c r="V815" i="2"/>
  <c r="U815" i="2"/>
  <c r="AE814" i="2"/>
  <c r="AD814" i="2"/>
  <c r="AC814" i="2"/>
  <c r="AB814" i="2"/>
  <c r="AA814" i="2"/>
  <c r="Z814" i="2"/>
  <c r="X814" i="2"/>
  <c r="W814" i="2"/>
  <c r="V814" i="2"/>
  <c r="U814" i="2"/>
  <c r="AE813" i="2"/>
  <c r="AD813" i="2"/>
  <c r="AC813" i="2"/>
  <c r="AB813" i="2"/>
  <c r="AA813" i="2"/>
  <c r="Z813" i="2"/>
  <c r="X813" i="2"/>
  <c r="W813" i="2"/>
  <c r="V813" i="2"/>
  <c r="U813" i="2"/>
  <c r="AE812" i="2"/>
  <c r="AD812" i="2"/>
  <c r="AC812" i="2"/>
  <c r="AB812" i="2"/>
  <c r="AA812" i="2"/>
  <c r="Z812" i="2"/>
  <c r="X812" i="2"/>
  <c r="W812" i="2"/>
  <c r="V812" i="2"/>
  <c r="U812" i="2"/>
  <c r="AE811" i="2"/>
  <c r="AD811" i="2"/>
  <c r="AC811" i="2"/>
  <c r="AB811" i="2"/>
  <c r="AA811" i="2"/>
  <c r="Z811" i="2"/>
  <c r="X811" i="2"/>
  <c r="W811" i="2"/>
  <c r="V811" i="2"/>
  <c r="U811" i="2"/>
  <c r="AE810" i="2"/>
  <c r="AD810" i="2"/>
  <c r="AC810" i="2"/>
  <c r="AB810" i="2"/>
  <c r="AA810" i="2"/>
  <c r="Z810" i="2"/>
  <c r="X810" i="2"/>
  <c r="W810" i="2"/>
  <c r="V810" i="2"/>
  <c r="U810" i="2"/>
  <c r="AE809" i="2"/>
  <c r="AD809" i="2"/>
  <c r="AC809" i="2"/>
  <c r="AB809" i="2"/>
  <c r="AA809" i="2"/>
  <c r="Z809" i="2"/>
  <c r="X809" i="2"/>
  <c r="W809" i="2"/>
  <c r="V809" i="2"/>
  <c r="U809" i="2"/>
  <c r="AE808" i="2"/>
  <c r="AD808" i="2"/>
  <c r="AC808" i="2"/>
  <c r="AB808" i="2"/>
  <c r="AA808" i="2"/>
  <c r="Z808" i="2"/>
  <c r="X808" i="2"/>
  <c r="W808" i="2"/>
  <c r="V808" i="2"/>
  <c r="U808" i="2"/>
  <c r="AE807" i="2"/>
  <c r="AD807" i="2"/>
  <c r="AC807" i="2"/>
  <c r="AB807" i="2"/>
  <c r="AA807" i="2"/>
  <c r="Z807" i="2"/>
  <c r="X807" i="2"/>
  <c r="W807" i="2"/>
  <c r="V807" i="2"/>
  <c r="U807" i="2"/>
  <c r="AE806" i="2"/>
  <c r="AD806" i="2"/>
  <c r="AC806" i="2"/>
  <c r="AB806" i="2"/>
  <c r="AA806" i="2"/>
  <c r="Z806" i="2"/>
  <c r="X806" i="2"/>
  <c r="W806" i="2"/>
  <c r="V806" i="2"/>
  <c r="U806" i="2"/>
  <c r="AE805" i="2"/>
  <c r="AD805" i="2"/>
  <c r="AC805" i="2"/>
  <c r="AB805" i="2"/>
  <c r="AA805" i="2"/>
  <c r="Z805" i="2"/>
  <c r="X805" i="2"/>
  <c r="W805" i="2"/>
  <c r="V805" i="2"/>
  <c r="U805" i="2"/>
  <c r="AE804" i="2"/>
  <c r="AD804" i="2"/>
  <c r="AC804" i="2"/>
  <c r="AB804" i="2"/>
  <c r="AA804" i="2"/>
  <c r="Z804" i="2"/>
  <c r="X804" i="2"/>
  <c r="W804" i="2"/>
  <c r="V804" i="2"/>
  <c r="U804" i="2"/>
  <c r="AE803" i="2"/>
  <c r="AD803" i="2"/>
  <c r="AC803" i="2"/>
  <c r="AB803" i="2"/>
  <c r="AA803" i="2"/>
  <c r="Z803" i="2"/>
  <c r="X803" i="2"/>
  <c r="W803" i="2"/>
  <c r="V803" i="2"/>
  <c r="U803" i="2"/>
  <c r="AE802" i="2"/>
  <c r="AD802" i="2"/>
  <c r="AC802" i="2"/>
  <c r="AB802" i="2"/>
  <c r="AA802" i="2"/>
  <c r="Z802" i="2"/>
  <c r="X802" i="2"/>
  <c r="W802" i="2"/>
  <c r="V802" i="2"/>
  <c r="U802" i="2"/>
  <c r="AE801" i="2"/>
  <c r="AD801" i="2"/>
  <c r="AC801" i="2"/>
  <c r="AB801" i="2"/>
  <c r="AA801" i="2"/>
  <c r="Z801" i="2"/>
  <c r="X801" i="2"/>
  <c r="W801" i="2"/>
  <c r="V801" i="2"/>
  <c r="U801" i="2"/>
  <c r="AE800" i="2"/>
  <c r="AD800" i="2"/>
  <c r="AC800" i="2"/>
  <c r="AB800" i="2"/>
  <c r="AA800" i="2"/>
  <c r="Z800" i="2"/>
  <c r="X800" i="2"/>
  <c r="W800" i="2"/>
  <c r="V800" i="2"/>
  <c r="U800" i="2"/>
  <c r="AE799" i="2"/>
  <c r="AD799" i="2"/>
  <c r="AC799" i="2"/>
  <c r="AB799" i="2"/>
  <c r="AA799" i="2"/>
  <c r="Z799" i="2"/>
  <c r="X799" i="2"/>
  <c r="W799" i="2"/>
  <c r="V799" i="2"/>
  <c r="U799" i="2"/>
  <c r="AE798" i="2"/>
  <c r="AD798" i="2"/>
  <c r="AC798" i="2"/>
  <c r="AB798" i="2"/>
  <c r="AA798" i="2"/>
  <c r="Z798" i="2"/>
  <c r="X798" i="2"/>
  <c r="W798" i="2"/>
  <c r="V798" i="2"/>
  <c r="U798" i="2"/>
  <c r="AE797" i="2"/>
  <c r="AD797" i="2"/>
  <c r="AC797" i="2"/>
  <c r="AB797" i="2"/>
  <c r="AA797" i="2"/>
  <c r="Z797" i="2"/>
  <c r="X797" i="2"/>
  <c r="W797" i="2"/>
  <c r="V797" i="2"/>
  <c r="U797" i="2"/>
  <c r="AE796" i="2"/>
  <c r="AD796" i="2"/>
  <c r="AC796" i="2"/>
  <c r="AB796" i="2"/>
  <c r="AA796" i="2"/>
  <c r="Z796" i="2"/>
  <c r="X796" i="2"/>
  <c r="W796" i="2"/>
  <c r="V796" i="2"/>
  <c r="U796" i="2"/>
  <c r="AE795" i="2"/>
  <c r="AD795" i="2"/>
  <c r="AC795" i="2"/>
  <c r="AB795" i="2"/>
  <c r="AA795" i="2"/>
  <c r="Z795" i="2"/>
  <c r="X795" i="2"/>
  <c r="W795" i="2"/>
  <c r="V795" i="2"/>
  <c r="U795" i="2"/>
  <c r="AE794" i="2"/>
  <c r="AD794" i="2"/>
  <c r="AC794" i="2"/>
  <c r="AB794" i="2"/>
  <c r="AA794" i="2"/>
  <c r="Z794" i="2"/>
  <c r="X794" i="2"/>
  <c r="W794" i="2"/>
  <c r="V794" i="2"/>
  <c r="U794" i="2"/>
  <c r="AE793" i="2"/>
  <c r="AD793" i="2"/>
  <c r="AC793" i="2"/>
  <c r="AB793" i="2"/>
  <c r="AA793" i="2"/>
  <c r="Z793" i="2"/>
  <c r="X793" i="2"/>
  <c r="W793" i="2"/>
  <c r="V793" i="2"/>
  <c r="U793" i="2"/>
  <c r="AE792" i="2"/>
  <c r="AD792" i="2"/>
  <c r="AC792" i="2"/>
  <c r="AB792" i="2"/>
  <c r="AA792" i="2"/>
  <c r="Z792" i="2"/>
  <c r="X792" i="2"/>
  <c r="W792" i="2"/>
  <c r="V792" i="2"/>
  <c r="U792" i="2"/>
  <c r="AE791" i="2"/>
  <c r="AD791" i="2"/>
  <c r="AC791" i="2"/>
  <c r="AB791" i="2"/>
  <c r="AA791" i="2"/>
  <c r="Z791" i="2"/>
  <c r="X791" i="2"/>
  <c r="W791" i="2"/>
  <c r="V791" i="2"/>
  <c r="U791" i="2"/>
  <c r="AE790" i="2"/>
  <c r="AD790" i="2"/>
  <c r="AC790" i="2"/>
  <c r="AB790" i="2"/>
  <c r="AA790" i="2"/>
  <c r="Z790" i="2"/>
  <c r="X790" i="2"/>
  <c r="W790" i="2"/>
  <c r="V790" i="2"/>
  <c r="U790" i="2"/>
  <c r="AE789" i="2"/>
  <c r="AD789" i="2"/>
  <c r="AC789" i="2"/>
  <c r="AB789" i="2"/>
  <c r="AA789" i="2"/>
  <c r="Z789" i="2"/>
  <c r="X789" i="2"/>
  <c r="W789" i="2"/>
  <c r="V789" i="2"/>
  <c r="U789" i="2"/>
  <c r="AE788" i="2"/>
  <c r="AD788" i="2"/>
  <c r="AC788" i="2"/>
  <c r="AB788" i="2"/>
  <c r="AA788" i="2"/>
  <c r="Z788" i="2"/>
  <c r="X788" i="2"/>
  <c r="W788" i="2"/>
  <c r="V788" i="2"/>
  <c r="U788" i="2"/>
  <c r="AE787" i="2"/>
  <c r="AD787" i="2"/>
  <c r="AC787" i="2"/>
  <c r="AB787" i="2"/>
  <c r="AA787" i="2"/>
  <c r="Z787" i="2"/>
  <c r="X787" i="2"/>
  <c r="W787" i="2"/>
  <c r="V787" i="2"/>
  <c r="U787" i="2"/>
  <c r="AE786" i="2"/>
  <c r="AD786" i="2"/>
  <c r="AC786" i="2"/>
  <c r="AB786" i="2"/>
  <c r="AA786" i="2"/>
  <c r="Z786" i="2"/>
  <c r="X786" i="2"/>
  <c r="W786" i="2"/>
  <c r="V786" i="2"/>
  <c r="U786" i="2"/>
  <c r="AE785" i="2"/>
  <c r="AD785" i="2"/>
  <c r="AC785" i="2"/>
  <c r="AB785" i="2"/>
  <c r="AA785" i="2"/>
  <c r="Z785" i="2"/>
  <c r="X785" i="2"/>
  <c r="W785" i="2"/>
  <c r="V785" i="2"/>
  <c r="U785" i="2"/>
  <c r="AE784" i="2"/>
  <c r="AD784" i="2"/>
  <c r="AC784" i="2"/>
  <c r="AB784" i="2"/>
  <c r="AA784" i="2"/>
  <c r="Z784" i="2"/>
  <c r="X784" i="2"/>
  <c r="W784" i="2"/>
  <c r="V784" i="2"/>
  <c r="U784" i="2"/>
  <c r="AE783" i="2"/>
  <c r="AD783" i="2"/>
  <c r="AC783" i="2"/>
  <c r="AB783" i="2"/>
  <c r="AA783" i="2"/>
  <c r="Z783" i="2"/>
  <c r="X783" i="2"/>
  <c r="W783" i="2"/>
  <c r="V783" i="2"/>
  <c r="U783" i="2"/>
  <c r="AE782" i="2"/>
  <c r="AD782" i="2"/>
  <c r="AC782" i="2"/>
  <c r="AB782" i="2"/>
  <c r="AA782" i="2"/>
  <c r="Z782" i="2"/>
  <c r="X782" i="2"/>
  <c r="W782" i="2"/>
  <c r="V782" i="2"/>
  <c r="U782" i="2"/>
  <c r="AE781" i="2"/>
  <c r="AD781" i="2"/>
  <c r="AC781" i="2"/>
  <c r="AB781" i="2"/>
  <c r="AA781" i="2"/>
  <c r="Z781" i="2"/>
  <c r="X781" i="2"/>
  <c r="W781" i="2"/>
  <c r="V781" i="2"/>
  <c r="U781" i="2"/>
  <c r="AE780" i="2"/>
  <c r="AD780" i="2"/>
  <c r="AC780" i="2"/>
  <c r="AB780" i="2"/>
  <c r="AA780" i="2"/>
  <c r="Z780" i="2"/>
  <c r="X780" i="2"/>
  <c r="W780" i="2"/>
  <c r="V780" i="2"/>
  <c r="U780" i="2"/>
  <c r="AE779" i="2"/>
  <c r="AD779" i="2"/>
  <c r="AC779" i="2"/>
  <c r="AB779" i="2"/>
  <c r="AA779" i="2"/>
  <c r="Z779" i="2"/>
  <c r="X779" i="2"/>
  <c r="W779" i="2"/>
  <c r="V779" i="2"/>
  <c r="U779" i="2"/>
  <c r="AE778" i="2"/>
  <c r="AD778" i="2"/>
  <c r="AC778" i="2"/>
  <c r="AB778" i="2"/>
  <c r="AA778" i="2"/>
  <c r="Z778" i="2"/>
  <c r="X778" i="2"/>
  <c r="W778" i="2"/>
  <c r="V778" i="2"/>
  <c r="U778" i="2"/>
  <c r="AE777" i="2"/>
  <c r="AD777" i="2"/>
  <c r="AC777" i="2"/>
  <c r="AB777" i="2"/>
  <c r="AA777" i="2"/>
  <c r="Z777" i="2"/>
  <c r="X777" i="2"/>
  <c r="W777" i="2"/>
  <c r="V777" i="2"/>
  <c r="U777" i="2"/>
  <c r="AE776" i="2"/>
  <c r="AD776" i="2"/>
  <c r="AC776" i="2"/>
  <c r="AB776" i="2"/>
  <c r="AA776" i="2"/>
  <c r="Z776" i="2"/>
  <c r="X776" i="2"/>
  <c r="W776" i="2"/>
  <c r="V776" i="2"/>
  <c r="U776" i="2"/>
  <c r="AE775" i="2"/>
  <c r="AD775" i="2"/>
  <c r="AC775" i="2"/>
  <c r="AB775" i="2"/>
  <c r="AA775" i="2"/>
  <c r="Z775" i="2"/>
  <c r="X775" i="2"/>
  <c r="W775" i="2"/>
  <c r="V775" i="2"/>
  <c r="U775" i="2"/>
  <c r="AE774" i="2"/>
  <c r="AD774" i="2"/>
  <c r="AC774" i="2"/>
  <c r="AB774" i="2"/>
  <c r="AA774" i="2"/>
  <c r="Z774" i="2"/>
  <c r="X774" i="2"/>
  <c r="W774" i="2"/>
  <c r="V774" i="2"/>
  <c r="U774" i="2"/>
  <c r="AE773" i="2"/>
  <c r="AD773" i="2"/>
  <c r="AC773" i="2"/>
  <c r="AB773" i="2"/>
  <c r="AA773" i="2"/>
  <c r="Z773" i="2"/>
  <c r="X773" i="2"/>
  <c r="W773" i="2"/>
  <c r="V773" i="2"/>
  <c r="U773" i="2"/>
  <c r="AE772" i="2"/>
  <c r="AD772" i="2"/>
  <c r="AC772" i="2"/>
  <c r="AB772" i="2"/>
  <c r="AA772" i="2"/>
  <c r="Z772" i="2"/>
  <c r="X772" i="2"/>
  <c r="W772" i="2"/>
  <c r="V772" i="2"/>
  <c r="U772" i="2"/>
  <c r="AE771" i="2"/>
  <c r="AD771" i="2"/>
  <c r="AC771" i="2"/>
  <c r="AB771" i="2"/>
  <c r="AA771" i="2"/>
  <c r="Z771" i="2"/>
  <c r="X771" i="2"/>
  <c r="W771" i="2"/>
  <c r="V771" i="2"/>
  <c r="U771" i="2"/>
  <c r="AE770" i="2"/>
  <c r="AD770" i="2"/>
  <c r="AC770" i="2"/>
  <c r="AB770" i="2"/>
  <c r="AA770" i="2"/>
  <c r="Z770" i="2"/>
  <c r="X770" i="2"/>
  <c r="W770" i="2"/>
  <c r="V770" i="2"/>
  <c r="U770" i="2"/>
  <c r="AE769" i="2"/>
  <c r="AD769" i="2"/>
  <c r="AC769" i="2"/>
  <c r="AB769" i="2"/>
  <c r="AA769" i="2"/>
  <c r="Z769" i="2"/>
  <c r="X769" i="2"/>
  <c r="W769" i="2"/>
  <c r="V769" i="2"/>
  <c r="U769" i="2"/>
  <c r="AE768" i="2"/>
  <c r="AD768" i="2"/>
  <c r="AC768" i="2"/>
  <c r="AB768" i="2"/>
  <c r="AA768" i="2"/>
  <c r="Z768" i="2"/>
  <c r="X768" i="2"/>
  <c r="W768" i="2"/>
  <c r="V768" i="2"/>
  <c r="U768" i="2"/>
  <c r="AE767" i="2"/>
  <c r="AD767" i="2"/>
  <c r="AC767" i="2"/>
  <c r="AB767" i="2"/>
  <c r="AA767" i="2"/>
  <c r="Z767" i="2"/>
  <c r="X767" i="2"/>
  <c r="W767" i="2"/>
  <c r="V767" i="2"/>
  <c r="U767" i="2"/>
  <c r="AE766" i="2"/>
  <c r="AD766" i="2"/>
  <c r="AC766" i="2"/>
  <c r="AB766" i="2"/>
  <c r="AA766" i="2"/>
  <c r="Z766" i="2"/>
  <c r="X766" i="2"/>
  <c r="W766" i="2"/>
  <c r="V766" i="2"/>
  <c r="U766" i="2"/>
  <c r="AE765" i="2"/>
  <c r="AD765" i="2"/>
  <c r="AC765" i="2"/>
  <c r="AB765" i="2"/>
  <c r="AA765" i="2"/>
  <c r="Z765" i="2"/>
  <c r="X765" i="2"/>
  <c r="W765" i="2"/>
  <c r="V765" i="2"/>
  <c r="U765" i="2"/>
  <c r="AE764" i="2"/>
  <c r="AD764" i="2"/>
  <c r="AC764" i="2"/>
  <c r="AB764" i="2"/>
  <c r="AA764" i="2"/>
  <c r="Z764" i="2"/>
  <c r="X764" i="2"/>
  <c r="W764" i="2"/>
  <c r="V764" i="2"/>
  <c r="U764" i="2"/>
  <c r="AE763" i="2"/>
  <c r="AD763" i="2"/>
  <c r="AC763" i="2"/>
  <c r="AB763" i="2"/>
  <c r="AA763" i="2"/>
  <c r="Z763" i="2"/>
  <c r="X763" i="2"/>
  <c r="W763" i="2"/>
  <c r="V763" i="2"/>
  <c r="U763" i="2"/>
  <c r="AE762" i="2"/>
  <c r="AD762" i="2"/>
  <c r="AC762" i="2"/>
  <c r="AB762" i="2"/>
  <c r="AA762" i="2"/>
  <c r="Z762" i="2"/>
  <c r="X762" i="2"/>
  <c r="W762" i="2"/>
  <c r="V762" i="2"/>
  <c r="U762" i="2"/>
  <c r="AE761" i="2"/>
  <c r="AD761" i="2"/>
  <c r="AC761" i="2"/>
  <c r="AB761" i="2"/>
  <c r="AA761" i="2"/>
  <c r="Z761" i="2"/>
  <c r="X761" i="2"/>
  <c r="W761" i="2"/>
  <c r="V761" i="2"/>
  <c r="U761" i="2"/>
  <c r="AE760" i="2"/>
  <c r="AD760" i="2"/>
  <c r="AC760" i="2"/>
  <c r="AB760" i="2"/>
  <c r="AA760" i="2"/>
  <c r="Z760" i="2"/>
  <c r="X760" i="2"/>
  <c r="W760" i="2"/>
  <c r="V760" i="2"/>
  <c r="U760" i="2"/>
  <c r="AE759" i="2"/>
  <c r="AD759" i="2"/>
  <c r="AC759" i="2"/>
  <c r="AB759" i="2"/>
  <c r="AA759" i="2"/>
  <c r="Z759" i="2"/>
  <c r="X759" i="2"/>
  <c r="W759" i="2"/>
  <c r="V759" i="2"/>
  <c r="U759" i="2"/>
  <c r="AE758" i="2"/>
  <c r="AD758" i="2"/>
  <c r="AC758" i="2"/>
  <c r="AB758" i="2"/>
  <c r="AA758" i="2"/>
  <c r="Z758" i="2"/>
  <c r="X758" i="2"/>
  <c r="W758" i="2"/>
  <c r="V758" i="2"/>
  <c r="U758" i="2"/>
  <c r="AE757" i="2"/>
  <c r="AD757" i="2"/>
  <c r="AC757" i="2"/>
  <c r="AB757" i="2"/>
  <c r="AA757" i="2"/>
  <c r="Z757" i="2"/>
  <c r="X757" i="2"/>
  <c r="W757" i="2"/>
  <c r="V757" i="2"/>
  <c r="U757" i="2"/>
  <c r="AE756" i="2"/>
  <c r="AD756" i="2"/>
  <c r="AC756" i="2"/>
  <c r="AB756" i="2"/>
  <c r="AA756" i="2"/>
  <c r="Z756" i="2"/>
  <c r="X756" i="2"/>
  <c r="W756" i="2"/>
  <c r="V756" i="2"/>
  <c r="U756" i="2"/>
  <c r="AE755" i="2"/>
  <c r="AD755" i="2"/>
  <c r="AC755" i="2"/>
  <c r="AB755" i="2"/>
  <c r="AA755" i="2"/>
  <c r="Z755" i="2"/>
  <c r="X755" i="2"/>
  <c r="W755" i="2"/>
  <c r="V755" i="2"/>
  <c r="U755" i="2"/>
  <c r="AE754" i="2"/>
  <c r="AD754" i="2"/>
  <c r="AC754" i="2"/>
  <c r="AB754" i="2"/>
  <c r="AA754" i="2"/>
  <c r="Z754" i="2"/>
  <c r="X754" i="2"/>
  <c r="W754" i="2"/>
  <c r="V754" i="2"/>
  <c r="U754" i="2"/>
  <c r="AE753" i="2"/>
  <c r="AD753" i="2"/>
  <c r="AC753" i="2"/>
  <c r="AB753" i="2"/>
  <c r="AA753" i="2"/>
  <c r="Z753" i="2"/>
  <c r="X753" i="2"/>
  <c r="W753" i="2"/>
  <c r="V753" i="2"/>
  <c r="U753" i="2"/>
  <c r="AE752" i="2"/>
  <c r="AD752" i="2"/>
  <c r="AC752" i="2"/>
  <c r="AB752" i="2"/>
  <c r="AA752" i="2"/>
  <c r="Z752" i="2"/>
  <c r="X752" i="2"/>
  <c r="W752" i="2"/>
  <c r="V752" i="2"/>
  <c r="U752" i="2"/>
  <c r="AE751" i="2"/>
  <c r="AD751" i="2"/>
  <c r="AC751" i="2"/>
  <c r="AB751" i="2"/>
  <c r="AA751" i="2"/>
  <c r="Z751" i="2"/>
  <c r="X751" i="2"/>
  <c r="W751" i="2"/>
  <c r="V751" i="2"/>
  <c r="U751" i="2"/>
  <c r="AE750" i="2"/>
  <c r="AD750" i="2"/>
  <c r="AC750" i="2"/>
  <c r="AB750" i="2"/>
  <c r="AA750" i="2"/>
  <c r="Z750" i="2"/>
  <c r="X750" i="2"/>
  <c r="W750" i="2"/>
  <c r="V750" i="2"/>
  <c r="U750" i="2"/>
  <c r="AE749" i="2"/>
  <c r="AD749" i="2"/>
  <c r="AC749" i="2"/>
  <c r="AB749" i="2"/>
  <c r="AA749" i="2"/>
  <c r="Z749" i="2"/>
  <c r="X749" i="2"/>
  <c r="W749" i="2"/>
  <c r="V749" i="2"/>
  <c r="U749" i="2"/>
  <c r="AE748" i="2"/>
  <c r="AD748" i="2"/>
  <c r="AC748" i="2"/>
  <c r="AB748" i="2"/>
  <c r="AA748" i="2"/>
  <c r="Z748" i="2"/>
  <c r="X748" i="2"/>
  <c r="W748" i="2"/>
  <c r="V748" i="2"/>
  <c r="U748" i="2"/>
  <c r="AE747" i="2"/>
  <c r="AD747" i="2"/>
  <c r="AC747" i="2"/>
  <c r="AB747" i="2"/>
  <c r="AA747" i="2"/>
  <c r="Z747" i="2"/>
  <c r="X747" i="2"/>
  <c r="W747" i="2"/>
  <c r="V747" i="2"/>
  <c r="U747" i="2"/>
  <c r="AE746" i="2"/>
  <c r="AD746" i="2"/>
  <c r="AC746" i="2"/>
  <c r="AB746" i="2"/>
  <c r="AA746" i="2"/>
  <c r="Z746" i="2"/>
  <c r="X746" i="2"/>
  <c r="W746" i="2"/>
  <c r="V746" i="2"/>
  <c r="U746" i="2"/>
  <c r="AE745" i="2"/>
  <c r="AD745" i="2"/>
  <c r="AC745" i="2"/>
  <c r="AB745" i="2"/>
  <c r="AA745" i="2"/>
  <c r="Z745" i="2"/>
  <c r="X745" i="2"/>
  <c r="W745" i="2"/>
  <c r="V745" i="2"/>
  <c r="U745" i="2"/>
  <c r="AE744" i="2"/>
  <c r="AD744" i="2"/>
  <c r="AC744" i="2"/>
  <c r="AB744" i="2"/>
  <c r="AA744" i="2"/>
  <c r="Z744" i="2"/>
  <c r="X744" i="2"/>
  <c r="W744" i="2"/>
  <c r="V744" i="2"/>
  <c r="U744" i="2"/>
  <c r="AE743" i="2"/>
  <c r="AD743" i="2"/>
  <c r="AC743" i="2"/>
  <c r="AB743" i="2"/>
  <c r="AA743" i="2"/>
  <c r="Z743" i="2"/>
  <c r="X743" i="2"/>
  <c r="W743" i="2"/>
  <c r="V743" i="2"/>
  <c r="U743" i="2"/>
  <c r="AE742" i="2"/>
  <c r="AD742" i="2"/>
  <c r="AC742" i="2"/>
  <c r="AB742" i="2"/>
  <c r="AA742" i="2"/>
  <c r="Z742" i="2"/>
  <c r="X742" i="2"/>
  <c r="W742" i="2"/>
  <c r="V742" i="2"/>
  <c r="U742" i="2"/>
  <c r="AE741" i="2"/>
  <c r="AD741" i="2"/>
  <c r="AC741" i="2"/>
  <c r="AB741" i="2"/>
  <c r="AA741" i="2"/>
  <c r="Z741" i="2"/>
  <c r="X741" i="2"/>
  <c r="W741" i="2"/>
  <c r="V741" i="2"/>
  <c r="U741" i="2"/>
  <c r="AE740" i="2"/>
  <c r="AD740" i="2"/>
  <c r="AC740" i="2"/>
  <c r="AB740" i="2"/>
  <c r="AA740" i="2"/>
  <c r="Z740" i="2"/>
  <c r="X740" i="2"/>
  <c r="W740" i="2"/>
  <c r="V740" i="2"/>
  <c r="U740" i="2"/>
  <c r="AE739" i="2"/>
  <c r="AD739" i="2"/>
  <c r="AC739" i="2"/>
  <c r="AB739" i="2"/>
  <c r="AA739" i="2"/>
  <c r="Z739" i="2"/>
  <c r="X739" i="2"/>
  <c r="W739" i="2"/>
  <c r="V739" i="2"/>
  <c r="U739" i="2"/>
  <c r="AE738" i="2"/>
  <c r="AD738" i="2"/>
  <c r="AC738" i="2"/>
  <c r="AB738" i="2"/>
  <c r="AA738" i="2"/>
  <c r="Z738" i="2"/>
  <c r="X738" i="2"/>
  <c r="W738" i="2"/>
  <c r="V738" i="2"/>
  <c r="U738" i="2"/>
  <c r="AE737" i="2"/>
  <c r="AD737" i="2"/>
  <c r="AC737" i="2"/>
  <c r="AB737" i="2"/>
  <c r="AA737" i="2"/>
  <c r="Z737" i="2"/>
  <c r="X737" i="2"/>
  <c r="W737" i="2"/>
  <c r="V737" i="2"/>
  <c r="U737" i="2"/>
  <c r="AE736" i="2"/>
  <c r="AD736" i="2"/>
  <c r="AC736" i="2"/>
  <c r="AB736" i="2"/>
  <c r="AA736" i="2"/>
  <c r="Z736" i="2"/>
  <c r="X736" i="2"/>
  <c r="W736" i="2"/>
  <c r="V736" i="2"/>
  <c r="U736" i="2"/>
  <c r="AE735" i="2"/>
  <c r="AD735" i="2"/>
  <c r="AC735" i="2"/>
  <c r="AB735" i="2"/>
  <c r="AA735" i="2"/>
  <c r="Z735" i="2"/>
  <c r="X735" i="2"/>
  <c r="W735" i="2"/>
  <c r="V735" i="2"/>
  <c r="U735" i="2"/>
  <c r="AE734" i="2"/>
  <c r="AD734" i="2"/>
  <c r="AC734" i="2"/>
  <c r="AB734" i="2"/>
  <c r="AA734" i="2"/>
  <c r="Z734" i="2"/>
  <c r="X734" i="2"/>
  <c r="W734" i="2"/>
  <c r="V734" i="2"/>
  <c r="U734" i="2"/>
  <c r="AE733" i="2"/>
  <c r="AD733" i="2"/>
  <c r="AC733" i="2"/>
  <c r="AB733" i="2"/>
  <c r="AA733" i="2"/>
  <c r="Z733" i="2"/>
  <c r="X733" i="2"/>
  <c r="W733" i="2"/>
  <c r="V733" i="2"/>
  <c r="U733" i="2"/>
  <c r="AE732" i="2"/>
  <c r="AD732" i="2"/>
  <c r="AC732" i="2"/>
  <c r="AB732" i="2"/>
  <c r="AA732" i="2"/>
  <c r="Z732" i="2"/>
  <c r="X732" i="2"/>
  <c r="W732" i="2"/>
  <c r="V732" i="2"/>
  <c r="U732" i="2"/>
  <c r="AE731" i="2"/>
  <c r="AD731" i="2"/>
  <c r="AC731" i="2"/>
  <c r="AB731" i="2"/>
  <c r="AA731" i="2"/>
  <c r="Z731" i="2"/>
  <c r="X731" i="2"/>
  <c r="W731" i="2"/>
  <c r="V731" i="2"/>
  <c r="U731" i="2"/>
  <c r="AE730" i="2"/>
  <c r="AD730" i="2"/>
  <c r="AC730" i="2"/>
  <c r="AB730" i="2"/>
  <c r="AA730" i="2"/>
  <c r="Z730" i="2"/>
  <c r="X730" i="2"/>
  <c r="W730" i="2"/>
  <c r="V730" i="2"/>
  <c r="U730" i="2"/>
  <c r="AE729" i="2"/>
  <c r="AD729" i="2"/>
  <c r="AC729" i="2"/>
  <c r="AB729" i="2"/>
  <c r="AA729" i="2"/>
  <c r="Z729" i="2"/>
  <c r="X729" i="2"/>
  <c r="W729" i="2"/>
  <c r="V729" i="2"/>
  <c r="U729" i="2"/>
  <c r="AE728" i="2"/>
  <c r="AD728" i="2"/>
  <c r="AC728" i="2"/>
  <c r="AB728" i="2"/>
  <c r="AA728" i="2"/>
  <c r="Z728" i="2"/>
  <c r="X728" i="2"/>
  <c r="W728" i="2"/>
  <c r="V728" i="2"/>
  <c r="U728" i="2"/>
  <c r="AE727" i="2"/>
  <c r="AD727" i="2"/>
  <c r="AC727" i="2"/>
  <c r="AB727" i="2"/>
  <c r="AA727" i="2"/>
  <c r="Z727" i="2"/>
  <c r="X727" i="2"/>
  <c r="W727" i="2"/>
  <c r="V727" i="2"/>
  <c r="U727" i="2"/>
  <c r="AE726" i="2"/>
  <c r="AD726" i="2"/>
  <c r="AC726" i="2"/>
  <c r="AB726" i="2"/>
  <c r="AA726" i="2"/>
  <c r="Z726" i="2"/>
  <c r="X726" i="2"/>
  <c r="W726" i="2"/>
  <c r="V726" i="2"/>
  <c r="U726" i="2"/>
  <c r="AE725" i="2"/>
  <c r="AD725" i="2"/>
  <c r="AC725" i="2"/>
  <c r="AB725" i="2"/>
  <c r="AA725" i="2"/>
  <c r="Z725" i="2"/>
  <c r="X725" i="2"/>
  <c r="W725" i="2"/>
  <c r="V725" i="2"/>
  <c r="U725" i="2"/>
  <c r="AE724" i="2"/>
  <c r="AD724" i="2"/>
  <c r="AC724" i="2"/>
  <c r="AB724" i="2"/>
  <c r="AA724" i="2"/>
  <c r="Z724" i="2"/>
  <c r="X724" i="2"/>
  <c r="W724" i="2"/>
  <c r="V724" i="2"/>
  <c r="U724" i="2"/>
  <c r="AE723" i="2"/>
  <c r="AD723" i="2"/>
  <c r="AC723" i="2"/>
  <c r="AB723" i="2"/>
  <c r="AA723" i="2"/>
  <c r="Z723" i="2"/>
  <c r="X723" i="2"/>
  <c r="W723" i="2"/>
  <c r="V723" i="2"/>
  <c r="U723" i="2"/>
  <c r="AE722" i="2"/>
  <c r="AD722" i="2"/>
  <c r="AC722" i="2"/>
  <c r="AB722" i="2"/>
  <c r="AA722" i="2"/>
  <c r="Z722" i="2"/>
  <c r="X722" i="2"/>
  <c r="W722" i="2"/>
  <c r="V722" i="2"/>
  <c r="U722" i="2"/>
  <c r="AE721" i="2"/>
  <c r="AD721" i="2"/>
  <c r="AC721" i="2"/>
  <c r="AB721" i="2"/>
  <c r="AA721" i="2"/>
  <c r="Z721" i="2"/>
  <c r="X721" i="2"/>
  <c r="W721" i="2"/>
  <c r="V721" i="2"/>
  <c r="U721" i="2"/>
  <c r="AE720" i="2"/>
  <c r="AD720" i="2"/>
  <c r="AC720" i="2"/>
  <c r="AB720" i="2"/>
  <c r="AA720" i="2"/>
  <c r="Z720" i="2"/>
  <c r="X720" i="2"/>
  <c r="W720" i="2"/>
  <c r="V720" i="2"/>
  <c r="U720" i="2"/>
  <c r="AE719" i="2"/>
  <c r="AD719" i="2"/>
  <c r="AC719" i="2"/>
  <c r="AB719" i="2"/>
  <c r="AA719" i="2"/>
  <c r="Z719" i="2"/>
  <c r="X719" i="2"/>
  <c r="W719" i="2"/>
  <c r="V719" i="2"/>
  <c r="U719" i="2"/>
  <c r="AE718" i="2"/>
  <c r="AD718" i="2"/>
  <c r="AC718" i="2"/>
  <c r="AB718" i="2"/>
  <c r="AA718" i="2"/>
  <c r="Z718" i="2"/>
  <c r="X718" i="2"/>
  <c r="W718" i="2"/>
  <c r="V718" i="2"/>
  <c r="U718" i="2"/>
  <c r="AE717" i="2"/>
  <c r="AD717" i="2"/>
  <c r="AC717" i="2"/>
  <c r="AB717" i="2"/>
  <c r="AA717" i="2"/>
  <c r="Z717" i="2"/>
  <c r="X717" i="2"/>
  <c r="W717" i="2"/>
  <c r="V717" i="2"/>
  <c r="U717" i="2"/>
  <c r="AE716" i="2"/>
  <c r="AD716" i="2"/>
  <c r="AC716" i="2"/>
  <c r="AB716" i="2"/>
  <c r="AA716" i="2"/>
  <c r="Z716" i="2"/>
  <c r="X716" i="2"/>
  <c r="W716" i="2"/>
  <c r="V716" i="2"/>
  <c r="U716" i="2"/>
  <c r="AE715" i="2"/>
  <c r="AD715" i="2"/>
  <c r="AC715" i="2"/>
  <c r="AB715" i="2"/>
  <c r="AA715" i="2"/>
  <c r="Z715" i="2"/>
  <c r="X715" i="2"/>
  <c r="W715" i="2"/>
  <c r="V715" i="2"/>
  <c r="U715" i="2"/>
  <c r="AE714" i="2"/>
  <c r="AD714" i="2"/>
  <c r="AC714" i="2"/>
  <c r="AB714" i="2"/>
  <c r="AA714" i="2"/>
  <c r="Z714" i="2"/>
  <c r="X714" i="2"/>
  <c r="W714" i="2"/>
  <c r="V714" i="2"/>
  <c r="U714" i="2"/>
  <c r="AE713" i="2"/>
  <c r="AD713" i="2"/>
  <c r="AC713" i="2"/>
  <c r="AB713" i="2"/>
  <c r="AA713" i="2"/>
  <c r="Z713" i="2"/>
  <c r="X713" i="2"/>
  <c r="W713" i="2"/>
  <c r="V713" i="2"/>
  <c r="U713" i="2"/>
  <c r="AE712" i="2"/>
  <c r="AD712" i="2"/>
  <c r="AC712" i="2"/>
  <c r="AB712" i="2"/>
  <c r="AA712" i="2"/>
  <c r="Z712" i="2"/>
  <c r="X712" i="2"/>
  <c r="W712" i="2"/>
  <c r="V712" i="2"/>
  <c r="U712" i="2"/>
  <c r="AE711" i="2"/>
  <c r="AD711" i="2"/>
  <c r="AC711" i="2"/>
  <c r="AB711" i="2"/>
  <c r="AA711" i="2"/>
  <c r="Z711" i="2"/>
  <c r="X711" i="2"/>
  <c r="W711" i="2"/>
  <c r="V711" i="2"/>
  <c r="U711" i="2"/>
  <c r="AE710" i="2"/>
  <c r="AD710" i="2"/>
  <c r="AC710" i="2"/>
  <c r="AB710" i="2"/>
  <c r="AA710" i="2"/>
  <c r="Z710" i="2"/>
  <c r="X710" i="2"/>
  <c r="W710" i="2"/>
  <c r="V710" i="2"/>
  <c r="U710" i="2"/>
  <c r="AE709" i="2"/>
  <c r="AD709" i="2"/>
  <c r="AC709" i="2"/>
  <c r="AB709" i="2"/>
  <c r="AA709" i="2"/>
  <c r="Z709" i="2"/>
  <c r="X709" i="2"/>
  <c r="W709" i="2"/>
  <c r="V709" i="2"/>
  <c r="U709" i="2"/>
  <c r="AE708" i="2"/>
  <c r="AD708" i="2"/>
  <c r="AC708" i="2"/>
  <c r="AB708" i="2"/>
  <c r="AA708" i="2"/>
  <c r="Z708" i="2"/>
  <c r="X708" i="2"/>
  <c r="W708" i="2"/>
  <c r="V708" i="2"/>
  <c r="U708" i="2"/>
  <c r="AE707" i="2"/>
  <c r="AD707" i="2"/>
  <c r="AC707" i="2"/>
  <c r="AB707" i="2"/>
  <c r="AA707" i="2"/>
  <c r="Z707" i="2"/>
  <c r="X707" i="2"/>
  <c r="W707" i="2"/>
  <c r="V707" i="2"/>
  <c r="U707" i="2"/>
  <c r="AE706" i="2"/>
  <c r="AD706" i="2"/>
  <c r="AC706" i="2"/>
  <c r="AB706" i="2"/>
  <c r="AA706" i="2"/>
  <c r="Z706" i="2"/>
  <c r="X706" i="2"/>
  <c r="W706" i="2"/>
  <c r="V706" i="2"/>
  <c r="U706" i="2"/>
  <c r="AE705" i="2"/>
  <c r="AD705" i="2"/>
  <c r="AC705" i="2"/>
  <c r="AB705" i="2"/>
  <c r="AA705" i="2"/>
  <c r="Z705" i="2"/>
  <c r="X705" i="2"/>
  <c r="W705" i="2"/>
  <c r="V705" i="2"/>
  <c r="U705" i="2"/>
  <c r="AE704" i="2"/>
  <c r="AD704" i="2"/>
  <c r="AC704" i="2"/>
  <c r="AB704" i="2"/>
  <c r="AA704" i="2"/>
  <c r="Z704" i="2"/>
  <c r="X704" i="2"/>
  <c r="W704" i="2"/>
  <c r="V704" i="2"/>
  <c r="U704" i="2"/>
  <c r="AE703" i="2"/>
  <c r="AD703" i="2"/>
  <c r="AC703" i="2"/>
  <c r="AB703" i="2"/>
  <c r="AA703" i="2"/>
  <c r="Z703" i="2"/>
  <c r="X703" i="2"/>
  <c r="W703" i="2"/>
  <c r="V703" i="2"/>
  <c r="U703" i="2"/>
  <c r="AE702" i="2"/>
  <c r="AD702" i="2"/>
  <c r="AC702" i="2"/>
  <c r="AB702" i="2"/>
  <c r="AA702" i="2"/>
  <c r="Z702" i="2"/>
  <c r="X702" i="2"/>
  <c r="W702" i="2"/>
  <c r="V702" i="2"/>
  <c r="U702" i="2"/>
  <c r="AE701" i="2"/>
  <c r="AD701" i="2"/>
  <c r="AC701" i="2"/>
  <c r="AB701" i="2"/>
  <c r="AA701" i="2"/>
  <c r="Z701" i="2"/>
  <c r="X701" i="2"/>
  <c r="W701" i="2"/>
  <c r="V701" i="2"/>
  <c r="U701" i="2"/>
  <c r="AE700" i="2"/>
  <c r="AD700" i="2"/>
  <c r="AC700" i="2"/>
  <c r="AB700" i="2"/>
  <c r="AA700" i="2"/>
  <c r="Z700" i="2"/>
  <c r="X700" i="2"/>
  <c r="W700" i="2"/>
  <c r="V700" i="2"/>
  <c r="U700" i="2"/>
  <c r="AE699" i="2"/>
  <c r="AD699" i="2"/>
  <c r="AC699" i="2"/>
  <c r="AB699" i="2"/>
  <c r="AA699" i="2"/>
  <c r="Z699" i="2"/>
  <c r="X699" i="2"/>
  <c r="W699" i="2"/>
  <c r="V699" i="2"/>
  <c r="U699" i="2"/>
  <c r="AE698" i="2"/>
  <c r="AD698" i="2"/>
  <c r="AC698" i="2"/>
  <c r="AB698" i="2"/>
  <c r="AA698" i="2"/>
  <c r="Z698" i="2"/>
  <c r="X698" i="2"/>
  <c r="W698" i="2"/>
  <c r="V698" i="2"/>
  <c r="U698" i="2"/>
  <c r="AE697" i="2"/>
  <c r="AD697" i="2"/>
  <c r="AC697" i="2"/>
  <c r="AB697" i="2"/>
  <c r="AA697" i="2"/>
  <c r="Z697" i="2"/>
  <c r="X697" i="2"/>
  <c r="W697" i="2"/>
  <c r="V697" i="2"/>
  <c r="U697" i="2"/>
  <c r="AE696" i="2"/>
  <c r="AD696" i="2"/>
  <c r="AC696" i="2"/>
  <c r="AB696" i="2"/>
  <c r="AA696" i="2"/>
  <c r="Z696" i="2"/>
  <c r="X696" i="2"/>
  <c r="W696" i="2"/>
  <c r="V696" i="2"/>
  <c r="U696" i="2"/>
  <c r="AE695" i="2"/>
  <c r="AD695" i="2"/>
  <c r="AC695" i="2"/>
  <c r="AB695" i="2"/>
  <c r="AA695" i="2"/>
  <c r="Z695" i="2"/>
  <c r="X695" i="2"/>
  <c r="W695" i="2"/>
  <c r="V695" i="2"/>
  <c r="U695" i="2"/>
  <c r="AE694" i="2"/>
  <c r="AD694" i="2"/>
  <c r="AC694" i="2"/>
  <c r="AB694" i="2"/>
  <c r="AA694" i="2"/>
  <c r="Z694" i="2"/>
  <c r="X694" i="2"/>
  <c r="W694" i="2"/>
  <c r="V694" i="2"/>
  <c r="U694" i="2"/>
  <c r="AE693" i="2"/>
  <c r="AD693" i="2"/>
  <c r="AC693" i="2"/>
  <c r="AB693" i="2"/>
  <c r="AA693" i="2"/>
  <c r="Z693" i="2"/>
  <c r="X693" i="2"/>
  <c r="W693" i="2"/>
  <c r="V693" i="2"/>
  <c r="U693" i="2"/>
  <c r="AE692" i="2"/>
  <c r="AD692" i="2"/>
  <c r="AC692" i="2"/>
  <c r="AB692" i="2"/>
  <c r="AA692" i="2"/>
  <c r="Z692" i="2"/>
  <c r="X692" i="2"/>
  <c r="W692" i="2"/>
  <c r="V692" i="2"/>
  <c r="U692" i="2"/>
  <c r="AE691" i="2"/>
  <c r="AD691" i="2"/>
  <c r="AC691" i="2"/>
  <c r="AB691" i="2"/>
  <c r="AA691" i="2"/>
  <c r="Z691" i="2"/>
  <c r="X691" i="2"/>
  <c r="W691" i="2"/>
  <c r="V691" i="2"/>
  <c r="U691" i="2"/>
  <c r="AE690" i="2"/>
  <c r="AD690" i="2"/>
  <c r="AC690" i="2"/>
  <c r="AB690" i="2"/>
  <c r="AA690" i="2"/>
  <c r="Z690" i="2"/>
  <c r="X690" i="2"/>
  <c r="W690" i="2"/>
  <c r="V690" i="2"/>
  <c r="U690" i="2"/>
  <c r="AE689" i="2"/>
  <c r="AD689" i="2"/>
  <c r="AC689" i="2"/>
  <c r="AB689" i="2"/>
  <c r="AA689" i="2"/>
  <c r="Z689" i="2"/>
  <c r="X689" i="2"/>
  <c r="W689" i="2"/>
  <c r="V689" i="2"/>
  <c r="U689" i="2"/>
  <c r="AE688" i="2"/>
  <c r="AD688" i="2"/>
  <c r="AC688" i="2"/>
  <c r="AB688" i="2"/>
  <c r="AA688" i="2"/>
  <c r="Z688" i="2"/>
  <c r="X688" i="2"/>
  <c r="W688" i="2"/>
  <c r="V688" i="2"/>
  <c r="U688" i="2"/>
  <c r="AE687" i="2"/>
  <c r="AD687" i="2"/>
  <c r="AC687" i="2"/>
  <c r="AB687" i="2"/>
  <c r="AA687" i="2"/>
  <c r="Z687" i="2"/>
  <c r="X687" i="2"/>
  <c r="W687" i="2"/>
  <c r="V687" i="2"/>
  <c r="U687" i="2"/>
  <c r="AE686" i="2"/>
  <c r="AD686" i="2"/>
  <c r="AC686" i="2"/>
  <c r="AB686" i="2"/>
  <c r="AA686" i="2"/>
  <c r="Z686" i="2"/>
  <c r="X686" i="2"/>
  <c r="W686" i="2"/>
  <c r="V686" i="2"/>
  <c r="U686" i="2"/>
  <c r="AE685" i="2"/>
  <c r="AD685" i="2"/>
  <c r="AC685" i="2"/>
  <c r="AB685" i="2"/>
  <c r="AA685" i="2"/>
  <c r="Z685" i="2"/>
  <c r="X685" i="2"/>
  <c r="W685" i="2"/>
  <c r="V685" i="2"/>
  <c r="U685" i="2"/>
  <c r="AE684" i="2"/>
  <c r="AD684" i="2"/>
  <c r="AC684" i="2"/>
  <c r="AB684" i="2"/>
  <c r="AA684" i="2"/>
  <c r="Z684" i="2"/>
  <c r="X684" i="2"/>
  <c r="W684" i="2"/>
  <c r="V684" i="2"/>
  <c r="U684" i="2"/>
  <c r="AE683" i="2"/>
  <c r="AD683" i="2"/>
  <c r="AC683" i="2"/>
  <c r="AB683" i="2"/>
  <c r="AA683" i="2"/>
  <c r="Z683" i="2"/>
  <c r="X683" i="2"/>
  <c r="W683" i="2"/>
  <c r="V683" i="2"/>
  <c r="U683" i="2"/>
  <c r="AE682" i="2"/>
  <c r="AD682" i="2"/>
  <c r="AC682" i="2"/>
  <c r="AB682" i="2"/>
  <c r="AA682" i="2"/>
  <c r="Z682" i="2"/>
  <c r="X682" i="2"/>
  <c r="W682" i="2"/>
  <c r="V682" i="2"/>
  <c r="U682" i="2"/>
  <c r="AE681" i="2"/>
  <c r="AD681" i="2"/>
  <c r="AC681" i="2"/>
  <c r="AB681" i="2"/>
  <c r="AA681" i="2"/>
  <c r="Z681" i="2"/>
  <c r="X681" i="2"/>
  <c r="W681" i="2"/>
  <c r="V681" i="2"/>
  <c r="U681" i="2"/>
  <c r="AE680" i="2"/>
  <c r="AD680" i="2"/>
  <c r="AC680" i="2"/>
  <c r="AB680" i="2"/>
  <c r="AA680" i="2"/>
  <c r="Z680" i="2"/>
  <c r="X680" i="2"/>
  <c r="W680" i="2"/>
  <c r="V680" i="2"/>
  <c r="U680" i="2"/>
  <c r="AE679" i="2"/>
  <c r="AD679" i="2"/>
  <c r="AC679" i="2"/>
  <c r="AB679" i="2"/>
  <c r="AA679" i="2"/>
  <c r="Z679" i="2"/>
  <c r="X679" i="2"/>
  <c r="W679" i="2"/>
  <c r="V679" i="2"/>
  <c r="U679" i="2"/>
  <c r="AE678" i="2"/>
  <c r="AD678" i="2"/>
  <c r="AC678" i="2"/>
  <c r="AB678" i="2"/>
  <c r="AA678" i="2"/>
  <c r="Z678" i="2"/>
  <c r="X678" i="2"/>
  <c r="W678" i="2"/>
  <c r="V678" i="2"/>
  <c r="U678" i="2"/>
  <c r="AE677" i="2"/>
  <c r="AD677" i="2"/>
  <c r="AC677" i="2"/>
  <c r="AB677" i="2"/>
  <c r="AA677" i="2"/>
  <c r="Z677" i="2"/>
  <c r="X677" i="2"/>
  <c r="W677" i="2"/>
  <c r="V677" i="2"/>
  <c r="U677" i="2"/>
  <c r="AE676" i="2"/>
  <c r="AD676" i="2"/>
  <c r="AC676" i="2"/>
  <c r="AB676" i="2"/>
  <c r="AA676" i="2"/>
  <c r="Z676" i="2"/>
  <c r="X676" i="2"/>
  <c r="W676" i="2"/>
  <c r="V676" i="2"/>
  <c r="U676" i="2"/>
  <c r="AE675" i="2"/>
  <c r="AD675" i="2"/>
  <c r="AC675" i="2"/>
  <c r="AB675" i="2"/>
  <c r="AA675" i="2"/>
  <c r="Z675" i="2"/>
  <c r="X675" i="2"/>
  <c r="W675" i="2"/>
  <c r="V675" i="2"/>
  <c r="U675" i="2"/>
  <c r="AE674" i="2"/>
  <c r="AD674" i="2"/>
  <c r="AC674" i="2"/>
  <c r="AB674" i="2"/>
  <c r="AA674" i="2"/>
  <c r="Z674" i="2"/>
  <c r="X674" i="2"/>
  <c r="W674" i="2"/>
  <c r="V674" i="2"/>
  <c r="U674" i="2"/>
  <c r="AE673" i="2"/>
  <c r="AD673" i="2"/>
  <c r="AC673" i="2"/>
  <c r="AB673" i="2"/>
  <c r="AA673" i="2"/>
  <c r="Z673" i="2"/>
  <c r="X673" i="2"/>
  <c r="W673" i="2"/>
  <c r="V673" i="2"/>
  <c r="U673" i="2"/>
  <c r="AE672" i="2"/>
  <c r="AD672" i="2"/>
  <c r="AC672" i="2"/>
  <c r="AB672" i="2"/>
  <c r="AA672" i="2"/>
  <c r="Z672" i="2"/>
  <c r="X672" i="2"/>
  <c r="W672" i="2"/>
  <c r="V672" i="2"/>
  <c r="U672" i="2"/>
  <c r="AE671" i="2"/>
  <c r="AD671" i="2"/>
  <c r="AC671" i="2"/>
  <c r="AB671" i="2"/>
  <c r="AA671" i="2"/>
  <c r="Z671" i="2"/>
  <c r="X671" i="2"/>
  <c r="W671" i="2"/>
  <c r="V671" i="2"/>
  <c r="U671" i="2"/>
  <c r="AE670" i="2"/>
  <c r="AD670" i="2"/>
  <c r="AC670" i="2"/>
  <c r="AB670" i="2"/>
  <c r="AA670" i="2"/>
  <c r="Z670" i="2"/>
  <c r="X670" i="2"/>
  <c r="W670" i="2"/>
  <c r="V670" i="2"/>
  <c r="U670" i="2"/>
  <c r="AE669" i="2"/>
  <c r="AD669" i="2"/>
  <c r="AC669" i="2"/>
  <c r="AB669" i="2"/>
  <c r="AA669" i="2"/>
  <c r="Z669" i="2"/>
  <c r="X669" i="2"/>
  <c r="W669" i="2"/>
  <c r="V669" i="2"/>
  <c r="U669" i="2"/>
  <c r="AE668" i="2"/>
  <c r="AD668" i="2"/>
  <c r="AC668" i="2"/>
  <c r="AB668" i="2"/>
  <c r="AA668" i="2"/>
  <c r="Z668" i="2"/>
  <c r="X668" i="2"/>
  <c r="W668" i="2"/>
  <c r="V668" i="2"/>
  <c r="U668" i="2"/>
  <c r="AE667" i="2"/>
  <c r="AD667" i="2"/>
  <c r="AC667" i="2"/>
  <c r="AB667" i="2"/>
  <c r="AA667" i="2"/>
  <c r="Z667" i="2"/>
  <c r="X667" i="2"/>
  <c r="W667" i="2"/>
  <c r="V667" i="2"/>
  <c r="U667" i="2"/>
  <c r="AE666" i="2"/>
  <c r="AD666" i="2"/>
  <c r="AC666" i="2"/>
  <c r="AB666" i="2"/>
  <c r="AA666" i="2"/>
  <c r="Z666" i="2"/>
  <c r="X666" i="2"/>
  <c r="W666" i="2"/>
  <c r="V666" i="2"/>
  <c r="U666" i="2"/>
  <c r="AE665" i="2"/>
  <c r="AD665" i="2"/>
  <c r="AC665" i="2"/>
  <c r="AB665" i="2"/>
  <c r="AA665" i="2"/>
  <c r="Z665" i="2"/>
  <c r="X665" i="2"/>
  <c r="W665" i="2"/>
  <c r="V665" i="2"/>
  <c r="U665" i="2"/>
  <c r="AE664" i="2"/>
  <c r="AD664" i="2"/>
  <c r="AC664" i="2"/>
  <c r="AB664" i="2"/>
  <c r="AA664" i="2"/>
  <c r="Z664" i="2"/>
  <c r="X664" i="2"/>
  <c r="W664" i="2"/>
  <c r="V664" i="2"/>
  <c r="U664" i="2"/>
  <c r="AE663" i="2"/>
  <c r="AD663" i="2"/>
  <c r="AC663" i="2"/>
  <c r="AB663" i="2"/>
  <c r="AA663" i="2"/>
  <c r="Z663" i="2"/>
  <c r="X663" i="2"/>
  <c r="W663" i="2"/>
  <c r="V663" i="2"/>
  <c r="U663" i="2"/>
  <c r="AE662" i="2"/>
  <c r="AD662" i="2"/>
  <c r="AC662" i="2"/>
  <c r="AB662" i="2"/>
  <c r="AA662" i="2"/>
  <c r="Z662" i="2"/>
  <c r="X662" i="2"/>
  <c r="W662" i="2"/>
  <c r="V662" i="2"/>
  <c r="U662" i="2"/>
  <c r="AE661" i="2"/>
  <c r="AD661" i="2"/>
  <c r="AC661" i="2"/>
  <c r="AB661" i="2"/>
  <c r="AA661" i="2"/>
  <c r="Z661" i="2"/>
  <c r="X661" i="2"/>
  <c r="W661" i="2"/>
  <c r="V661" i="2"/>
  <c r="U661" i="2"/>
  <c r="AE660" i="2"/>
  <c r="AD660" i="2"/>
  <c r="AC660" i="2"/>
  <c r="AB660" i="2"/>
  <c r="AA660" i="2"/>
  <c r="Z660" i="2"/>
  <c r="X660" i="2"/>
  <c r="W660" i="2"/>
  <c r="V660" i="2"/>
  <c r="U660" i="2"/>
  <c r="AE659" i="2"/>
  <c r="AD659" i="2"/>
  <c r="AC659" i="2"/>
  <c r="AB659" i="2"/>
  <c r="AA659" i="2"/>
  <c r="Z659" i="2"/>
  <c r="X659" i="2"/>
  <c r="W659" i="2"/>
  <c r="V659" i="2"/>
  <c r="U659" i="2"/>
  <c r="AE658" i="2"/>
  <c r="AD658" i="2"/>
  <c r="AC658" i="2"/>
  <c r="AB658" i="2"/>
  <c r="AA658" i="2"/>
  <c r="Z658" i="2"/>
  <c r="X658" i="2"/>
  <c r="W658" i="2"/>
  <c r="V658" i="2"/>
  <c r="U658" i="2"/>
  <c r="AE657" i="2"/>
  <c r="AD657" i="2"/>
  <c r="AC657" i="2"/>
  <c r="AB657" i="2"/>
  <c r="AA657" i="2"/>
  <c r="Z657" i="2"/>
  <c r="X657" i="2"/>
  <c r="W657" i="2"/>
  <c r="V657" i="2"/>
  <c r="U657" i="2"/>
  <c r="AE656" i="2"/>
  <c r="AD656" i="2"/>
  <c r="AC656" i="2"/>
  <c r="AB656" i="2"/>
  <c r="AA656" i="2"/>
  <c r="Z656" i="2"/>
  <c r="X656" i="2"/>
  <c r="W656" i="2"/>
  <c r="V656" i="2"/>
  <c r="U656" i="2"/>
  <c r="AE655" i="2"/>
  <c r="AD655" i="2"/>
  <c r="AC655" i="2"/>
  <c r="AB655" i="2"/>
  <c r="AA655" i="2"/>
  <c r="Z655" i="2"/>
  <c r="X655" i="2"/>
  <c r="W655" i="2"/>
  <c r="V655" i="2"/>
  <c r="U655" i="2"/>
  <c r="AE654" i="2"/>
  <c r="AD654" i="2"/>
  <c r="AC654" i="2"/>
  <c r="AB654" i="2"/>
  <c r="AA654" i="2"/>
  <c r="Z654" i="2"/>
  <c r="X654" i="2"/>
  <c r="W654" i="2"/>
  <c r="V654" i="2"/>
  <c r="U654" i="2"/>
  <c r="AE653" i="2"/>
  <c r="AD653" i="2"/>
  <c r="AC653" i="2"/>
  <c r="AB653" i="2"/>
  <c r="AA653" i="2"/>
  <c r="Z653" i="2"/>
  <c r="X653" i="2"/>
  <c r="W653" i="2"/>
  <c r="V653" i="2"/>
  <c r="U653" i="2"/>
  <c r="AE652" i="2"/>
  <c r="AD652" i="2"/>
  <c r="AC652" i="2"/>
  <c r="AB652" i="2"/>
  <c r="AA652" i="2"/>
  <c r="Z652" i="2"/>
  <c r="X652" i="2"/>
  <c r="W652" i="2"/>
  <c r="V652" i="2"/>
  <c r="U652" i="2"/>
  <c r="AE651" i="2"/>
  <c r="AD651" i="2"/>
  <c r="AC651" i="2"/>
  <c r="AB651" i="2"/>
  <c r="AA651" i="2"/>
  <c r="Z651" i="2"/>
  <c r="X651" i="2"/>
  <c r="W651" i="2"/>
  <c r="V651" i="2"/>
  <c r="U651" i="2"/>
  <c r="AE650" i="2"/>
  <c r="AD650" i="2"/>
  <c r="AC650" i="2"/>
  <c r="AB650" i="2"/>
  <c r="AA650" i="2"/>
  <c r="Z650" i="2"/>
  <c r="X650" i="2"/>
  <c r="W650" i="2"/>
  <c r="V650" i="2"/>
  <c r="U650" i="2"/>
  <c r="AE649" i="2"/>
  <c r="AD649" i="2"/>
  <c r="AC649" i="2"/>
  <c r="AB649" i="2"/>
  <c r="AA649" i="2"/>
  <c r="Z649" i="2"/>
  <c r="X649" i="2"/>
  <c r="W649" i="2"/>
  <c r="V649" i="2"/>
  <c r="U649" i="2"/>
  <c r="AE648" i="2"/>
  <c r="AD648" i="2"/>
  <c r="AC648" i="2"/>
  <c r="AB648" i="2"/>
  <c r="AA648" i="2"/>
  <c r="Z648" i="2"/>
  <c r="X648" i="2"/>
  <c r="W648" i="2"/>
  <c r="V648" i="2"/>
  <c r="U648" i="2"/>
  <c r="AE647" i="2"/>
  <c r="AD647" i="2"/>
  <c r="AC647" i="2"/>
  <c r="AB647" i="2"/>
  <c r="AA647" i="2"/>
  <c r="Z647" i="2"/>
  <c r="X647" i="2"/>
  <c r="W647" i="2"/>
  <c r="V647" i="2"/>
  <c r="U647" i="2"/>
  <c r="AE646" i="2"/>
  <c r="AD646" i="2"/>
  <c r="AC646" i="2"/>
  <c r="AB646" i="2"/>
  <c r="AA646" i="2"/>
  <c r="Z646" i="2"/>
  <c r="X646" i="2"/>
  <c r="W646" i="2"/>
  <c r="V646" i="2"/>
  <c r="U646" i="2"/>
  <c r="AE645" i="2"/>
  <c r="AD645" i="2"/>
  <c r="AC645" i="2"/>
  <c r="AB645" i="2"/>
  <c r="AA645" i="2"/>
  <c r="Z645" i="2"/>
  <c r="X645" i="2"/>
  <c r="W645" i="2"/>
  <c r="V645" i="2"/>
  <c r="U645" i="2"/>
  <c r="AE644" i="2"/>
  <c r="AD644" i="2"/>
  <c r="AC644" i="2"/>
  <c r="AB644" i="2"/>
  <c r="AA644" i="2"/>
  <c r="Z644" i="2"/>
  <c r="X644" i="2"/>
  <c r="W644" i="2"/>
  <c r="V644" i="2"/>
  <c r="U644" i="2"/>
  <c r="AE643" i="2"/>
  <c r="AD643" i="2"/>
  <c r="AC643" i="2"/>
  <c r="AB643" i="2"/>
  <c r="AA643" i="2"/>
  <c r="Z643" i="2"/>
  <c r="X643" i="2"/>
  <c r="W643" i="2"/>
  <c r="V643" i="2"/>
  <c r="U643" i="2"/>
  <c r="AE642" i="2"/>
  <c r="AD642" i="2"/>
  <c r="AC642" i="2"/>
  <c r="AB642" i="2"/>
  <c r="AA642" i="2"/>
  <c r="Z642" i="2"/>
  <c r="X642" i="2"/>
  <c r="W642" i="2"/>
  <c r="V642" i="2"/>
  <c r="U642" i="2"/>
  <c r="AE641" i="2"/>
  <c r="AD641" i="2"/>
  <c r="AC641" i="2"/>
  <c r="AB641" i="2"/>
  <c r="AA641" i="2"/>
  <c r="Z641" i="2"/>
  <c r="X641" i="2"/>
  <c r="W641" i="2"/>
  <c r="V641" i="2"/>
  <c r="U641" i="2"/>
  <c r="AE640" i="2"/>
  <c r="AD640" i="2"/>
  <c r="AC640" i="2"/>
  <c r="AB640" i="2"/>
  <c r="AA640" i="2"/>
  <c r="Z640" i="2"/>
  <c r="X640" i="2"/>
  <c r="W640" i="2"/>
  <c r="V640" i="2"/>
  <c r="U640" i="2"/>
  <c r="AE639" i="2"/>
  <c r="AD639" i="2"/>
  <c r="AC639" i="2"/>
  <c r="AB639" i="2"/>
  <c r="AA639" i="2"/>
  <c r="Z639" i="2"/>
  <c r="X639" i="2"/>
  <c r="W639" i="2"/>
  <c r="V639" i="2"/>
  <c r="U639" i="2"/>
  <c r="AE638" i="2"/>
  <c r="AD638" i="2"/>
  <c r="AC638" i="2"/>
  <c r="AB638" i="2"/>
  <c r="AA638" i="2"/>
  <c r="Z638" i="2"/>
  <c r="X638" i="2"/>
  <c r="W638" i="2"/>
  <c r="V638" i="2"/>
  <c r="U638" i="2"/>
  <c r="AE637" i="2"/>
  <c r="AD637" i="2"/>
  <c r="AC637" i="2"/>
  <c r="AB637" i="2"/>
  <c r="AA637" i="2"/>
  <c r="Z637" i="2"/>
  <c r="X637" i="2"/>
  <c r="W637" i="2"/>
  <c r="V637" i="2"/>
  <c r="U637" i="2"/>
  <c r="AE636" i="2"/>
  <c r="AD636" i="2"/>
  <c r="AC636" i="2"/>
  <c r="AB636" i="2"/>
  <c r="AA636" i="2"/>
  <c r="Z636" i="2"/>
  <c r="X636" i="2"/>
  <c r="W636" i="2"/>
  <c r="V636" i="2"/>
  <c r="U636" i="2"/>
  <c r="AE635" i="2"/>
  <c r="AD635" i="2"/>
  <c r="AC635" i="2"/>
  <c r="AB635" i="2"/>
  <c r="AA635" i="2"/>
  <c r="Z635" i="2"/>
  <c r="X635" i="2"/>
  <c r="W635" i="2"/>
  <c r="V635" i="2"/>
  <c r="U635" i="2"/>
  <c r="AE634" i="2"/>
  <c r="AD634" i="2"/>
  <c r="AC634" i="2"/>
  <c r="AB634" i="2"/>
  <c r="AA634" i="2"/>
  <c r="Z634" i="2"/>
  <c r="X634" i="2"/>
  <c r="W634" i="2"/>
  <c r="V634" i="2"/>
  <c r="U634" i="2"/>
  <c r="AE633" i="2"/>
  <c r="AD633" i="2"/>
  <c r="AC633" i="2"/>
  <c r="AB633" i="2"/>
  <c r="AA633" i="2"/>
  <c r="Z633" i="2"/>
  <c r="X633" i="2"/>
  <c r="W633" i="2"/>
  <c r="V633" i="2"/>
  <c r="U633" i="2"/>
  <c r="AE632" i="2"/>
  <c r="AD632" i="2"/>
  <c r="AC632" i="2"/>
  <c r="AB632" i="2"/>
  <c r="AA632" i="2"/>
  <c r="Z632" i="2"/>
  <c r="X632" i="2"/>
  <c r="W632" i="2"/>
  <c r="V632" i="2"/>
  <c r="U632" i="2"/>
  <c r="AE631" i="2"/>
  <c r="AD631" i="2"/>
  <c r="AC631" i="2"/>
  <c r="AB631" i="2"/>
  <c r="AA631" i="2"/>
  <c r="Z631" i="2"/>
  <c r="X631" i="2"/>
  <c r="W631" i="2"/>
  <c r="V631" i="2"/>
  <c r="U631" i="2"/>
  <c r="AE630" i="2"/>
  <c r="AD630" i="2"/>
  <c r="AC630" i="2"/>
  <c r="AB630" i="2"/>
  <c r="AA630" i="2"/>
  <c r="Z630" i="2"/>
  <c r="X630" i="2"/>
  <c r="W630" i="2"/>
  <c r="V630" i="2"/>
  <c r="U630" i="2"/>
  <c r="AE629" i="2"/>
  <c r="AD629" i="2"/>
  <c r="AC629" i="2"/>
  <c r="AB629" i="2"/>
  <c r="AA629" i="2"/>
  <c r="Z629" i="2"/>
  <c r="X629" i="2"/>
  <c r="W629" i="2"/>
  <c r="V629" i="2"/>
  <c r="U629" i="2"/>
  <c r="AE628" i="2"/>
  <c r="AD628" i="2"/>
  <c r="AC628" i="2"/>
  <c r="AB628" i="2"/>
  <c r="AA628" i="2"/>
  <c r="Z628" i="2"/>
  <c r="X628" i="2"/>
  <c r="W628" i="2"/>
  <c r="V628" i="2"/>
  <c r="U628" i="2"/>
  <c r="AE627" i="2"/>
  <c r="AD627" i="2"/>
  <c r="AC627" i="2"/>
  <c r="AB627" i="2"/>
  <c r="AA627" i="2"/>
  <c r="Z627" i="2"/>
  <c r="X627" i="2"/>
  <c r="W627" i="2"/>
  <c r="V627" i="2"/>
  <c r="U627" i="2"/>
  <c r="AE626" i="2"/>
  <c r="AD626" i="2"/>
  <c r="AC626" i="2"/>
  <c r="AB626" i="2"/>
  <c r="AA626" i="2"/>
  <c r="Z626" i="2"/>
  <c r="X626" i="2"/>
  <c r="W626" i="2"/>
  <c r="V626" i="2"/>
  <c r="U626" i="2"/>
  <c r="AE625" i="2"/>
  <c r="AD625" i="2"/>
  <c r="AC625" i="2"/>
  <c r="AB625" i="2"/>
  <c r="AA625" i="2"/>
  <c r="Z625" i="2"/>
  <c r="X625" i="2"/>
  <c r="W625" i="2"/>
  <c r="V625" i="2"/>
  <c r="U625" i="2"/>
  <c r="AE624" i="2"/>
  <c r="AD624" i="2"/>
  <c r="AC624" i="2"/>
  <c r="AB624" i="2"/>
  <c r="AA624" i="2"/>
  <c r="Z624" i="2"/>
  <c r="X624" i="2"/>
  <c r="W624" i="2"/>
  <c r="V624" i="2"/>
  <c r="U624" i="2"/>
  <c r="AE623" i="2"/>
  <c r="AD623" i="2"/>
  <c r="AC623" i="2"/>
  <c r="AB623" i="2"/>
  <c r="AA623" i="2"/>
  <c r="Z623" i="2"/>
  <c r="X623" i="2"/>
  <c r="W623" i="2"/>
  <c r="V623" i="2"/>
  <c r="U623" i="2"/>
  <c r="AE622" i="2"/>
  <c r="AD622" i="2"/>
  <c r="AC622" i="2"/>
  <c r="AB622" i="2"/>
  <c r="AA622" i="2"/>
  <c r="Z622" i="2"/>
  <c r="X622" i="2"/>
  <c r="W622" i="2"/>
  <c r="V622" i="2"/>
  <c r="U622" i="2"/>
  <c r="AE621" i="2"/>
  <c r="AD621" i="2"/>
  <c r="AC621" i="2"/>
  <c r="AB621" i="2"/>
  <c r="AA621" i="2"/>
  <c r="Z621" i="2"/>
  <c r="X621" i="2"/>
  <c r="W621" i="2"/>
  <c r="V621" i="2"/>
  <c r="U621" i="2"/>
  <c r="AE620" i="2"/>
  <c r="AD620" i="2"/>
  <c r="AC620" i="2"/>
  <c r="AB620" i="2"/>
  <c r="AA620" i="2"/>
  <c r="Z620" i="2"/>
  <c r="X620" i="2"/>
  <c r="W620" i="2"/>
  <c r="V620" i="2"/>
  <c r="U620" i="2"/>
  <c r="AE619" i="2"/>
  <c r="AD619" i="2"/>
  <c r="AC619" i="2"/>
  <c r="AB619" i="2"/>
  <c r="AA619" i="2"/>
  <c r="Z619" i="2"/>
  <c r="X619" i="2"/>
  <c r="W619" i="2"/>
  <c r="V619" i="2"/>
  <c r="U619" i="2"/>
  <c r="AE618" i="2"/>
  <c r="AD618" i="2"/>
  <c r="AC618" i="2"/>
  <c r="AB618" i="2"/>
  <c r="AA618" i="2"/>
  <c r="Z618" i="2"/>
  <c r="X618" i="2"/>
  <c r="W618" i="2"/>
  <c r="V618" i="2"/>
  <c r="U618" i="2"/>
  <c r="AE617" i="2"/>
  <c r="AD617" i="2"/>
  <c r="AC617" i="2"/>
  <c r="AB617" i="2"/>
  <c r="AA617" i="2"/>
  <c r="Z617" i="2"/>
  <c r="X617" i="2"/>
  <c r="W617" i="2"/>
  <c r="V617" i="2"/>
  <c r="U617" i="2"/>
  <c r="AE616" i="2"/>
  <c r="AD616" i="2"/>
  <c r="AC616" i="2"/>
  <c r="AB616" i="2"/>
  <c r="AA616" i="2"/>
  <c r="Z616" i="2"/>
  <c r="X616" i="2"/>
  <c r="W616" i="2"/>
  <c r="V616" i="2"/>
  <c r="U616" i="2"/>
  <c r="AE615" i="2"/>
  <c r="AD615" i="2"/>
  <c r="AC615" i="2"/>
  <c r="AB615" i="2"/>
  <c r="AA615" i="2"/>
  <c r="Z615" i="2"/>
  <c r="X615" i="2"/>
  <c r="W615" i="2"/>
  <c r="V615" i="2"/>
  <c r="U615" i="2"/>
  <c r="AE614" i="2"/>
  <c r="AD614" i="2"/>
  <c r="AC614" i="2"/>
  <c r="AB614" i="2"/>
  <c r="AA614" i="2"/>
  <c r="Z614" i="2"/>
  <c r="X614" i="2"/>
  <c r="W614" i="2"/>
  <c r="V614" i="2"/>
  <c r="U614" i="2"/>
  <c r="AE613" i="2"/>
  <c r="AD613" i="2"/>
  <c r="AC613" i="2"/>
  <c r="AB613" i="2"/>
  <c r="AA613" i="2"/>
  <c r="Z613" i="2"/>
  <c r="X613" i="2"/>
  <c r="W613" i="2"/>
  <c r="V613" i="2"/>
  <c r="U613" i="2"/>
  <c r="AE612" i="2"/>
  <c r="AD612" i="2"/>
  <c r="AC612" i="2"/>
  <c r="AB612" i="2"/>
  <c r="AA612" i="2"/>
  <c r="Z612" i="2"/>
  <c r="X612" i="2"/>
  <c r="W612" i="2"/>
  <c r="V612" i="2"/>
  <c r="U612" i="2"/>
  <c r="AE611" i="2"/>
  <c r="AD611" i="2"/>
  <c r="AC611" i="2"/>
  <c r="AB611" i="2"/>
  <c r="AA611" i="2"/>
  <c r="Z611" i="2"/>
  <c r="X611" i="2"/>
  <c r="W611" i="2"/>
  <c r="V611" i="2"/>
  <c r="U611" i="2"/>
  <c r="AE610" i="2"/>
  <c r="AD610" i="2"/>
  <c r="AC610" i="2"/>
  <c r="AB610" i="2"/>
  <c r="AA610" i="2"/>
  <c r="Z610" i="2"/>
  <c r="X610" i="2"/>
  <c r="W610" i="2"/>
  <c r="V610" i="2"/>
  <c r="U610" i="2"/>
  <c r="AE609" i="2"/>
  <c r="AD609" i="2"/>
  <c r="AC609" i="2"/>
  <c r="AB609" i="2"/>
  <c r="AA609" i="2"/>
  <c r="Z609" i="2"/>
  <c r="X609" i="2"/>
  <c r="W609" i="2"/>
  <c r="V609" i="2"/>
  <c r="U609" i="2"/>
  <c r="AE608" i="2"/>
  <c r="AD608" i="2"/>
  <c r="AC608" i="2"/>
  <c r="AB608" i="2"/>
  <c r="AA608" i="2"/>
  <c r="Z608" i="2"/>
  <c r="X608" i="2"/>
  <c r="W608" i="2"/>
  <c r="V608" i="2"/>
  <c r="U608" i="2"/>
  <c r="AE607" i="2"/>
  <c r="AD607" i="2"/>
  <c r="AC607" i="2"/>
  <c r="AB607" i="2"/>
  <c r="AA607" i="2"/>
  <c r="Z607" i="2"/>
  <c r="X607" i="2"/>
  <c r="W607" i="2"/>
  <c r="V607" i="2"/>
  <c r="U607" i="2"/>
  <c r="AE606" i="2"/>
  <c r="AD606" i="2"/>
  <c r="AC606" i="2"/>
  <c r="AB606" i="2"/>
  <c r="AA606" i="2"/>
  <c r="Z606" i="2"/>
  <c r="X606" i="2"/>
  <c r="W606" i="2"/>
  <c r="V606" i="2"/>
  <c r="U606" i="2"/>
  <c r="AE605" i="2"/>
  <c r="AD605" i="2"/>
  <c r="AC605" i="2"/>
  <c r="AB605" i="2"/>
  <c r="AA605" i="2"/>
  <c r="Z605" i="2"/>
  <c r="X605" i="2"/>
  <c r="W605" i="2"/>
  <c r="V605" i="2"/>
  <c r="U605" i="2"/>
  <c r="AE604" i="2"/>
  <c r="AD604" i="2"/>
  <c r="AC604" i="2"/>
  <c r="AB604" i="2"/>
  <c r="AA604" i="2"/>
  <c r="Z604" i="2"/>
  <c r="X604" i="2"/>
  <c r="W604" i="2"/>
  <c r="V604" i="2"/>
  <c r="U604" i="2"/>
  <c r="AE603" i="2"/>
  <c r="AD603" i="2"/>
  <c r="AC603" i="2"/>
  <c r="AB603" i="2"/>
  <c r="AA603" i="2"/>
  <c r="Z603" i="2"/>
  <c r="X603" i="2"/>
  <c r="W603" i="2"/>
  <c r="V603" i="2"/>
  <c r="U603" i="2"/>
  <c r="AE602" i="2"/>
  <c r="AD602" i="2"/>
  <c r="AC602" i="2"/>
  <c r="AB602" i="2"/>
  <c r="AA602" i="2"/>
  <c r="Z602" i="2"/>
  <c r="X602" i="2"/>
  <c r="W602" i="2"/>
  <c r="V602" i="2"/>
  <c r="U602" i="2"/>
  <c r="AE601" i="2"/>
  <c r="AD601" i="2"/>
  <c r="AC601" i="2"/>
  <c r="AB601" i="2"/>
  <c r="AA601" i="2"/>
  <c r="Z601" i="2"/>
  <c r="X601" i="2"/>
  <c r="W601" i="2"/>
  <c r="V601" i="2"/>
  <c r="U601" i="2"/>
  <c r="AE600" i="2"/>
  <c r="AD600" i="2"/>
  <c r="AC600" i="2"/>
  <c r="AB600" i="2"/>
  <c r="AA600" i="2"/>
  <c r="Z600" i="2"/>
  <c r="X600" i="2"/>
  <c r="W600" i="2"/>
  <c r="V600" i="2"/>
  <c r="U600" i="2"/>
  <c r="AE599" i="2"/>
  <c r="AD599" i="2"/>
  <c r="AC599" i="2"/>
  <c r="AB599" i="2"/>
  <c r="AA599" i="2"/>
  <c r="Z599" i="2"/>
  <c r="X599" i="2"/>
  <c r="W599" i="2"/>
  <c r="V599" i="2"/>
  <c r="U599" i="2"/>
  <c r="AE598" i="2"/>
  <c r="AD598" i="2"/>
  <c r="AC598" i="2"/>
  <c r="AB598" i="2"/>
  <c r="AA598" i="2"/>
  <c r="Z598" i="2"/>
  <c r="X598" i="2"/>
  <c r="W598" i="2"/>
  <c r="V598" i="2"/>
  <c r="U598" i="2"/>
  <c r="AE597" i="2"/>
  <c r="AD597" i="2"/>
  <c r="AC597" i="2"/>
  <c r="AB597" i="2"/>
  <c r="AA597" i="2"/>
  <c r="Z597" i="2"/>
  <c r="X597" i="2"/>
  <c r="W597" i="2"/>
  <c r="V597" i="2"/>
  <c r="U597" i="2"/>
  <c r="AE596" i="2"/>
  <c r="AD596" i="2"/>
  <c r="AC596" i="2"/>
  <c r="AB596" i="2"/>
  <c r="AA596" i="2"/>
  <c r="Z596" i="2"/>
  <c r="X596" i="2"/>
  <c r="W596" i="2"/>
  <c r="V596" i="2"/>
  <c r="U596" i="2"/>
  <c r="AE595" i="2"/>
  <c r="AD595" i="2"/>
  <c r="AC595" i="2"/>
  <c r="AB595" i="2"/>
  <c r="AA595" i="2"/>
  <c r="Z595" i="2"/>
  <c r="X595" i="2"/>
  <c r="W595" i="2"/>
  <c r="V595" i="2"/>
  <c r="U595" i="2"/>
  <c r="AE594" i="2"/>
  <c r="AD594" i="2"/>
  <c r="AC594" i="2"/>
  <c r="AB594" i="2"/>
  <c r="AA594" i="2"/>
  <c r="Z594" i="2"/>
  <c r="X594" i="2"/>
  <c r="W594" i="2"/>
  <c r="V594" i="2"/>
  <c r="U594" i="2"/>
  <c r="AE593" i="2"/>
  <c r="AD593" i="2"/>
  <c r="AC593" i="2"/>
  <c r="AB593" i="2"/>
  <c r="AA593" i="2"/>
  <c r="Z593" i="2"/>
  <c r="X593" i="2"/>
  <c r="W593" i="2"/>
  <c r="V593" i="2"/>
  <c r="U593" i="2"/>
  <c r="AE592" i="2"/>
  <c r="AD592" i="2"/>
  <c r="AC592" i="2"/>
  <c r="AB592" i="2"/>
  <c r="AA592" i="2"/>
  <c r="Z592" i="2"/>
  <c r="X592" i="2"/>
  <c r="W592" i="2"/>
  <c r="V592" i="2"/>
  <c r="U592" i="2"/>
  <c r="AE591" i="2"/>
  <c r="AD591" i="2"/>
  <c r="AC591" i="2"/>
  <c r="AB591" i="2"/>
  <c r="AA591" i="2"/>
  <c r="Z591" i="2"/>
  <c r="X591" i="2"/>
  <c r="W591" i="2"/>
  <c r="V591" i="2"/>
  <c r="U591" i="2"/>
  <c r="AE590" i="2"/>
  <c r="AD590" i="2"/>
  <c r="AC590" i="2"/>
  <c r="AB590" i="2"/>
  <c r="AA590" i="2"/>
  <c r="Z590" i="2"/>
  <c r="X590" i="2"/>
  <c r="W590" i="2"/>
  <c r="V590" i="2"/>
  <c r="U590" i="2"/>
  <c r="AE589" i="2"/>
  <c r="AD589" i="2"/>
  <c r="AC589" i="2"/>
  <c r="AB589" i="2"/>
  <c r="AA589" i="2"/>
  <c r="Z589" i="2"/>
  <c r="X589" i="2"/>
  <c r="W589" i="2"/>
  <c r="V589" i="2"/>
  <c r="U589" i="2"/>
  <c r="AE588" i="2"/>
  <c r="AD588" i="2"/>
  <c r="AC588" i="2"/>
  <c r="AB588" i="2"/>
  <c r="AA588" i="2"/>
  <c r="Z588" i="2"/>
  <c r="X588" i="2"/>
  <c r="W588" i="2"/>
  <c r="V588" i="2"/>
  <c r="U588" i="2"/>
  <c r="AE587" i="2"/>
  <c r="AD587" i="2"/>
  <c r="AC587" i="2"/>
  <c r="AB587" i="2"/>
  <c r="AA587" i="2"/>
  <c r="Z587" i="2"/>
  <c r="X587" i="2"/>
  <c r="W587" i="2"/>
  <c r="V587" i="2"/>
  <c r="U587" i="2"/>
  <c r="AE586" i="2"/>
  <c r="AD586" i="2"/>
  <c r="AC586" i="2"/>
  <c r="AB586" i="2"/>
  <c r="AA586" i="2"/>
  <c r="Z586" i="2"/>
  <c r="X586" i="2"/>
  <c r="W586" i="2"/>
  <c r="V586" i="2"/>
  <c r="U586" i="2"/>
  <c r="AE585" i="2"/>
  <c r="AD585" i="2"/>
  <c r="AC585" i="2"/>
  <c r="AB585" i="2"/>
  <c r="AA585" i="2"/>
  <c r="Z585" i="2"/>
  <c r="X585" i="2"/>
  <c r="W585" i="2"/>
  <c r="V585" i="2"/>
  <c r="U585" i="2"/>
  <c r="AE584" i="2"/>
  <c r="AD584" i="2"/>
  <c r="AC584" i="2"/>
  <c r="AB584" i="2"/>
  <c r="AA584" i="2"/>
  <c r="Z584" i="2"/>
  <c r="X584" i="2"/>
  <c r="W584" i="2"/>
  <c r="V584" i="2"/>
  <c r="U584" i="2"/>
  <c r="AE583" i="2"/>
  <c r="AD583" i="2"/>
  <c r="AC583" i="2"/>
  <c r="AB583" i="2"/>
  <c r="AA583" i="2"/>
  <c r="Z583" i="2"/>
  <c r="X583" i="2"/>
  <c r="W583" i="2"/>
  <c r="V583" i="2"/>
  <c r="U583" i="2"/>
  <c r="AE582" i="2"/>
  <c r="AD582" i="2"/>
  <c r="AC582" i="2"/>
  <c r="AB582" i="2"/>
  <c r="AA582" i="2"/>
  <c r="Z582" i="2"/>
  <c r="X582" i="2"/>
  <c r="W582" i="2"/>
  <c r="V582" i="2"/>
  <c r="U582" i="2"/>
  <c r="AE581" i="2"/>
  <c r="AD581" i="2"/>
  <c r="AC581" i="2"/>
  <c r="AB581" i="2"/>
  <c r="AA581" i="2"/>
  <c r="Z581" i="2"/>
  <c r="X581" i="2"/>
  <c r="W581" i="2"/>
  <c r="V581" i="2"/>
  <c r="U581" i="2"/>
  <c r="AE580" i="2"/>
  <c r="AD580" i="2"/>
  <c r="AC580" i="2"/>
  <c r="AB580" i="2"/>
  <c r="AA580" i="2"/>
  <c r="Z580" i="2"/>
  <c r="X580" i="2"/>
  <c r="W580" i="2"/>
  <c r="V580" i="2"/>
  <c r="U580" i="2"/>
  <c r="AE579" i="2"/>
  <c r="AD579" i="2"/>
  <c r="AC579" i="2"/>
  <c r="AB579" i="2"/>
  <c r="AA579" i="2"/>
  <c r="Z579" i="2"/>
  <c r="X579" i="2"/>
  <c r="W579" i="2"/>
  <c r="V579" i="2"/>
  <c r="U579" i="2"/>
  <c r="AE578" i="2"/>
  <c r="AD578" i="2"/>
  <c r="AC578" i="2"/>
  <c r="AB578" i="2"/>
  <c r="AA578" i="2"/>
  <c r="Z578" i="2"/>
  <c r="X578" i="2"/>
  <c r="W578" i="2"/>
  <c r="V578" i="2"/>
  <c r="U578" i="2"/>
  <c r="AE577" i="2"/>
  <c r="AD577" i="2"/>
  <c r="AC577" i="2"/>
  <c r="AB577" i="2"/>
  <c r="AA577" i="2"/>
  <c r="Z577" i="2"/>
  <c r="X577" i="2"/>
  <c r="W577" i="2"/>
  <c r="V577" i="2"/>
  <c r="U577" i="2"/>
  <c r="AE576" i="2"/>
  <c r="AD576" i="2"/>
  <c r="AC576" i="2"/>
  <c r="AB576" i="2"/>
  <c r="AA576" i="2"/>
  <c r="Z576" i="2"/>
  <c r="X576" i="2"/>
  <c r="W576" i="2"/>
  <c r="V576" i="2"/>
  <c r="U576" i="2"/>
  <c r="AE575" i="2"/>
  <c r="AD575" i="2"/>
  <c r="AC575" i="2"/>
  <c r="AB575" i="2"/>
  <c r="AA575" i="2"/>
  <c r="Z575" i="2"/>
  <c r="X575" i="2"/>
  <c r="W575" i="2"/>
  <c r="V575" i="2"/>
  <c r="U575" i="2"/>
  <c r="AE574" i="2"/>
  <c r="AD574" i="2"/>
  <c r="AC574" i="2"/>
  <c r="AB574" i="2"/>
  <c r="AA574" i="2"/>
  <c r="Z574" i="2"/>
  <c r="X574" i="2"/>
  <c r="W574" i="2"/>
  <c r="V574" i="2"/>
  <c r="U574" i="2"/>
  <c r="AE573" i="2"/>
  <c r="AD573" i="2"/>
  <c r="AC573" i="2"/>
  <c r="AB573" i="2"/>
  <c r="AA573" i="2"/>
  <c r="Z573" i="2"/>
  <c r="X573" i="2"/>
  <c r="W573" i="2"/>
  <c r="V573" i="2"/>
  <c r="U573" i="2"/>
  <c r="AE572" i="2"/>
  <c r="AD572" i="2"/>
  <c r="AC572" i="2"/>
  <c r="AB572" i="2"/>
  <c r="AA572" i="2"/>
  <c r="Z572" i="2"/>
  <c r="X572" i="2"/>
  <c r="W572" i="2"/>
  <c r="V572" i="2"/>
  <c r="U572" i="2"/>
  <c r="AE571" i="2"/>
  <c r="AD571" i="2"/>
  <c r="AC571" i="2"/>
  <c r="AB571" i="2"/>
  <c r="AA571" i="2"/>
  <c r="Z571" i="2"/>
  <c r="X571" i="2"/>
  <c r="W571" i="2"/>
  <c r="V571" i="2"/>
  <c r="U571" i="2"/>
  <c r="AE570" i="2"/>
  <c r="AD570" i="2"/>
  <c r="AC570" i="2"/>
  <c r="AB570" i="2"/>
  <c r="AA570" i="2"/>
  <c r="Z570" i="2"/>
  <c r="X570" i="2"/>
  <c r="W570" i="2"/>
  <c r="V570" i="2"/>
  <c r="U570" i="2"/>
  <c r="AE569" i="2"/>
  <c r="AD569" i="2"/>
  <c r="AC569" i="2"/>
  <c r="AB569" i="2"/>
  <c r="AA569" i="2"/>
  <c r="Z569" i="2"/>
  <c r="X569" i="2"/>
  <c r="W569" i="2"/>
  <c r="V569" i="2"/>
  <c r="U569" i="2"/>
  <c r="AE568" i="2"/>
  <c r="AD568" i="2"/>
  <c r="AC568" i="2"/>
  <c r="AB568" i="2"/>
  <c r="AA568" i="2"/>
  <c r="Z568" i="2"/>
  <c r="X568" i="2"/>
  <c r="W568" i="2"/>
  <c r="V568" i="2"/>
  <c r="U568" i="2"/>
  <c r="AE567" i="2"/>
  <c r="AD567" i="2"/>
  <c r="AC567" i="2"/>
  <c r="AB567" i="2"/>
  <c r="AA567" i="2"/>
  <c r="Z567" i="2"/>
  <c r="X567" i="2"/>
  <c r="W567" i="2"/>
  <c r="V567" i="2"/>
  <c r="U567" i="2"/>
  <c r="AE566" i="2"/>
  <c r="AD566" i="2"/>
  <c r="AC566" i="2"/>
  <c r="AB566" i="2"/>
  <c r="AA566" i="2"/>
  <c r="Z566" i="2"/>
  <c r="X566" i="2"/>
  <c r="W566" i="2"/>
  <c r="V566" i="2"/>
  <c r="U566" i="2"/>
  <c r="AE565" i="2"/>
  <c r="AD565" i="2"/>
  <c r="AC565" i="2"/>
  <c r="AB565" i="2"/>
  <c r="AA565" i="2"/>
  <c r="Z565" i="2"/>
  <c r="X565" i="2"/>
  <c r="W565" i="2"/>
  <c r="V565" i="2"/>
  <c r="U565" i="2"/>
  <c r="AE564" i="2"/>
  <c r="AD564" i="2"/>
  <c r="AC564" i="2"/>
  <c r="AB564" i="2"/>
  <c r="AA564" i="2"/>
  <c r="Z564" i="2"/>
  <c r="X564" i="2"/>
  <c r="W564" i="2"/>
  <c r="V564" i="2"/>
  <c r="U564" i="2"/>
  <c r="AE563" i="2"/>
  <c r="AD563" i="2"/>
  <c r="AC563" i="2"/>
  <c r="AB563" i="2"/>
  <c r="AA563" i="2"/>
  <c r="Z563" i="2"/>
  <c r="X563" i="2"/>
  <c r="W563" i="2"/>
  <c r="V563" i="2"/>
  <c r="U563" i="2"/>
  <c r="AE562" i="2"/>
  <c r="AD562" i="2"/>
  <c r="AC562" i="2"/>
  <c r="AB562" i="2"/>
  <c r="AA562" i="2"/>
  <c r="Z562" i="2"/>
  <c r="X562" i="2"/>
  <c r="W562" i="2"/>
  <c r="V562" i="2"/>
  <c r="U562" i="2"/>
  <c r="AE561" i="2"/>
  <c r="AD561" i="2"/>
  <c r="AC561" i="2"/>
  <c r="AB561" i="2"/>
  <c r="AA561" i="2"/>
  <c r="Z561" i="2"/>
  <c r="X561" i="2"/>
  <c r="W561" i="2"/>
  <c r="V561" i="2"/>
  <c r="U561" i="2"/>
  <c r="AE560" i="2"/>
  <c r="AD560" i="2"/>
  <c r="AC560" i="2"/>
  <c r="AB560" i="2"/>
  <c r="AA560" i="2"/>
  <c r="Z560" i="2"/>
  <c r="X560" i="2"/>
  <c r="W560" i="2"/>
  <c r="V560" i="2"/>
  <c r="U560" i="2"/>
  <c r="AE559" i="2"/>
  <c r="AD559" i="2"/>
  <c r="AC559" i="2"/>
  <c r="AB559" i="2"/>
  <c r="AA559" i="2"/>
  <c r="Z559" i="2"/>
  <c r="X559" i="2"/>
  <c r="W559" i="2"/>
  <c r="V559" i="2"/>
  <c r="U559" i="2"/>
  <c r="AE558" i="2"/>
  <c r="AD558" i="2"/>
  <c r="AC558" i="2"/>
  <c r="AB558" i="2"/>
  <c r="AA558" i="2"/>
  <c r="Z558" i="2"/>
  <c r="X558" i="2"/>
  <c r="W558" i="2"/>
  <c r="V558" i="2"/>
  <c r="U558" i="2"/>
  <c r="AE557" i="2"/>
  <c r="AD557" i="2"/>
  <c r="AC557" i="2"/>
  <c r="AB557" i="2"/>
  <c r="AA557" i="2"/>
  <c r="Z557" i="2"/>
  <c r="X557" i="2"/>
  <c r="W557" i="2"/>
  <c r="V557" i="2"/>
  <c r="U557" i="2"/>
  <c r="AE556" i="2"/>
  <c r="AD556" i="2"/>
  <c r="AC556" i="2"/>
  <c r="AB556" i="2"/>
  <c r="AA556" i="2"/>
  <c r="Z556" i="2"/>
  <c r="X556" i="2"/>
  <c r="W556" i="2"/>
  <c r="V556" i="2"/>
  <c r="U556" i="2"/>
  <c r="AE555" i="2"/>
  <c r="AD555" i="2"/>
  <c r="AC555" i="2"/>
  <c r="AB555" i="2"/>
  <c r="AA555" i="2"/>
  <c r="Z555" i="2"/>
  <c r="X555" i="2"/>
  <c r="W555" i="2"/>
  <c r="V555" i="2"/>
  <c r="U555" i="2"/>
  <c r="AE554" i="2"/>
  <c r="AD554" i="2"/>
  <c r="AC554" i="2"/>
  <c r="AB554" i="2"/>
  <c r="AA554" i="2"/>
  <c r="Z554" i="2"/>
  <c r="X554" i="2"/>
  <c r="W554" i="2"/>
  <c r="V554" i="2"/>
  <c r="U554" i="2"/>
  <c r="AE553" i="2"/>
  <c r="AD553" i="2"/>
  <c r="AC553" i="2"/>
  <c r="AB553" i="2"/>
  <c r="AA553" i="2"/>
  <c r="Z553" i="2"/>
  <c r="X553" i="2"/>
  <c r="W553" i="2"/>
  <c r="V553" i="2"/>
  <c r="U553" i="2"/>
  <c r="AE552" i="2"/>
  <c r="AD552" i="2"/>
  <c r="AC552" i="2"/>
  <c r="AB552" i="2"/>
  <c r="AA552" i="2"/>
  <c r="Z552" i="2"/>
  <c r="X552" i="2"/>
  <c r="W552" i="2"/>
  <c r="V552" i="2"/>
  <c r="U552" i="2"/>
  <c r="AE551" i="2"/>
  <c r="AD551" i="2"/>
  <c r="AC551" i="2"/>
  <c r="AB551" i="2"/>
  <c r="AA551" i="2"/>
  <c r="Z551" i="2"/>
  <c r="X551" i="2"/>
  <c r="W551" i="2"/>
  <c r="V551" i="2"/>
  <c r="U551" i="2"/>
  <c r="AE550" i="2"/>
  <c r="AD550" i="2"/>
  <c r="AC550" i="2"/>
  <c r="AB550" i="2"/>
  <c r="AA550" i="2"/>
  <c r="Z550" i="2"/>
  <c r="X550" i="2"/>
  <c r="W550" i="2"/>
  <c r="V550" i="2"/>
  <c r="U550" i="2"/>
  <c r="AE549" i="2"/>
  <c r="AD549" i="2"/>
  <c r="AC549" i="2"/>
  <c r="AB549" i="2"/>
  <c r="AA549" i="2"/>
  <c r="Z549" i="2"/>
  <c r="X549" i="2"/>
  <c r="W549" i="2"/>
  <c r="V549" i="2"/>
  <c r="U549" i="2"/>
  <c r="AE548" i="2"/>
  <c r="AD548" i="2"/>
  <c r="AC548" i="2"/>
  <c r="AB548" i="2"/>
  <c r="AA548" i="2"/>
  <c r="Z548" i="2"/>
  <c r="X548" i="2"/>
  <c r="W548" i="2"/>
  <c r="V548" i="2"/>
  <c r="U548" i="2"/>
  <c r="AE547" i="2"/>
  <c r="AD547" i="2"/>
  <c r="AC547" i="2"/>
  <c r="AB547" i="2"/>
  <c r="AA547" i="2"/>
  <c r="Z547" i="2"/>
  <c r="X547" i="2"/>
  <c r="W547" i="2"/>
  <c r="V547" i="2"/>
  <c r="U547" i="2"/>
  <c r="AE546" i="2"/>
  <c r="AD546" i="2"/>
  <c r="AC546" i="2"/>
  <c r="AB546" i="2"/>
  <c r="AA546" i="2"/>
  <c r="Z546" i="2"/>
  <c r="X546" i="2"/>
  <c r="W546" i="2"/>
  <c r="V546" i="2"/>
  <c r="U546" i="2"/>
  <c r="AE545" i="2"/>
  <c r="AD545" i="2"/>
  <c r="AC545" i="2"/>
  <c r="AB545" i="2"/>
  <c r="AA545" i="2"/>
  <c r="Z545" i="2"/>
  <c r="X545" i="2"/>
  <c r="W545" i="2"/>
  <c r="V545" i="2"/>
  <c r="U545" i="2"/>
  <c r="AE544" i="2"/>
  <c r="AD544" i="2"/>
  <c r="AC544" i="2"/>
  <c r="AB544" i="2"/>
  <c r="AA544" i="2"/>
  <c r="Z544" i="2"/>
  <c r="X544" i="2"/>
  <c r="W544" i="2"/>
  <c r="V544" i="2"/>
  <c r="U544" i="2"/>
  <c r="AE543" i="2"/>
  <c r="AD543" i="2"/>
  <c r="AC543" i="2"/>
  <c r="AB543" i="2"/>
  <c r="AA543" i="2"/>
  <c r="Z543" i="2"/>
  <c r="X543" i="2"/>
  <c r="W543" i="2"/>
  <c r="V543" i="2"/>
  <c r="U543" i="2"/>
  <c r="AE542" i="2"/>
  <c r="AD542" i="2"/>
  <c r="AC542" i="2"/>
  <c r="AB542" i="2"/>
  <c r="AA542" i="2"/>
  <c r="Z542" i="2"/>
  <c r="X542" i="2"/>
  <c r="W542" i="2"/>
  <c r="V542" i="2"/>
  <c r="U542" i="2"/>
  <c r="AE541" i="2"/>
  <c r="AD541" i="2"/>
  <c r="AC541" i="2"/>
  <c r="AB541" i="2"/>
  <c r="AA541" i="2"/>
  <c r="Z541" i="2"/>
  <c r="X541" i="2"/>
  <c r="W541" i="2"/>
  <c r="V541" i="2"/>
  <c r="U541" i="2"/>
  <c r="AE540" i="2"/>
  <c r="AD540" i="2"/>
  <c r="AC540" i="2"/>
  <c r="AB540" i="2"/>
  <c r="AA540" i="2"/>
  <c r="Z540" i="2"/>
  <c r="X540" i="2"/>
  <c r="W540" i="2"/>
  <c r="V540" i="2"/>
  <c r="U540" i="2"/>
  <c r="AE539" i="2"/>
  <c r="AD539" i="2"/>
  <c r="AC539" i="2"/>
  <c r="AB539" i="2"/>
  <c r="AA539" i="2"/>
  <c r="Z539" i="2"/>
  <c r="X539" i="2"/>
  <c r="W539" i="2"/>
  <c r="V539" i="2"/>
  <c r="U539" i="2"/>
  <c r="AE538" i="2"/>
  <c r="AD538" i="2"/>
  <c r="AC538" i="2"/>
  <c r="AB538" i="2"/>
  <c r="AA538" i="2"/>
  <c r="Z538" i="2"/>
  <c r="X538" i="2"/>
  <c r="W538" i="2"/>
  <c r="V538" i="2"/>
  <c r="U538" i="2"/>
  <c r="AE537" i="2"/>
  <c r="AD537" i="2"/>
  <c r="AC537" i="2"/>
  <c r="AB537" i="2"/>
  <c r="AA537" i="2"/>
  <c r="Z537" i="2"/>
  <c r="X537" i="2"/>
  <c r="W537" i="2"/>
  <c r="V537" i="2"/>
  <c r="U537" i="2"/>
  <c r="AE536" i="2"/>
  <c r="AD536" i="2"/>
  <c r="AC536" i="2"/>
  <c r="AB536" i="2"/>
  <c r="AA536" i="2"/>
  <c r="Z536" i="2"/>
  <c r="X536" i="2"/>
  <c r="W536" i="2"/>
  <c r="V536" i="2"/>
  <c r="U536" i="2"/>
  <c r="AE535" i="2"/>
  <c r="AD535" i="2"/>
  <c r="AC535" i="2"/>
  <c r="AB535" i="2"/>
  <c r="AA535" i="2"/>
  <c r="Z535" i="2"/>
  <c r="X535" i="2"/>
  <c r="W535" i="2"/>
  <c r="V535" i="2"/>
  <c r="U535" i="2"/>
  <c r="AE534" i="2"/>
  <c r="AD534" i="2"/>
  <c r="AC534" i="2"/>
  <c r="AB534" i="2"/>
  <c r="AA534" i="2"/>
  <c r="Z534" i="2"/>
  <c r="X534" i="2"/>
  <c r="W534" i="2"/>
  <c r="V534" i="2"/>
  <c r="U534" i="2"/>
  <c r="AE533" i="2"/>
  <c r="AD533" i="2"/>
  <c r="AC533" i="2"/>
  <c r="AB533" i="2"/>
  <c r="AA533" i="2"/>
  <c r="Z533" i="2"/>
  <c r="X533" i="2"/>
  <c r="W533" i="2"/>
  <c r="V533" i="2"/>
  <c r="U533" i="2"/>
  <c r="AE532" i="2"/>
  <c r="AD532" i="2"/>
  <c r="AC532" i="2"/>
  <c r="AB532" i="2"/>
  <c r="AA532" i="2"/>
  <c r="Z532" i="2"/>
  <c r="X532" i="2"/>
  <c r="W532" i="2"/>
  <c r="V532" i="2"/>
  <c r="U532" i="2"/>
  <c r="AE531" i="2"/>
  <c r="AD531" i="2"/>
  <c r="AC531" i="2"/>
  <c r="AB531" i="2"/>
  <c r="AA531" i="2"/>
  <c r="Z531" i="2"/>
  <c r="X531" i="2"/>
  <c r="W531" i="2"/>
  <c r="V531" i="2"/>
  <c r="U531" i="2"/>
  <c r="AE530" i="2"/>
  <c r="AD530" i="2"/>
  <c r="AC530" i="2"/>
  <c r="AB530" i="2"/>
  <c r="AA530" i="2"/>
  <c r="Z530" i="2"/>
  <c r="X530" i="2"/>
  <c r="W530" i="2"/>
  <c r="V530" i="2"/>
  <c r="U530" i="2"/>
  <c r="AE529" i="2"/>
  <c r="AD529" i="2"/>
  <c r="AC529" i="2"/>
  <c r="AB529" i="2"/>
  <c r="AA529" i="2"/>
  <c r="Z529" i="2"/>
  <c r="X529" i="2"/>
  <c r="W529" i="2"/>
  <c r="V529" i="2"/>
  <c r="U529" i="2"/>
  <c r="AE528" i="2"/>
  <c r="AD528" i="2"/>
  <c r="AC528" i="2"/>
  <c r="AB528" i="2"/>
  <c r="AA528" i="2"/>
  <c r="Z528" i="2"/>
  <c r="X528" i="2"/>
  <c r="W528" i="2"/>
  <c r="V528" i="2"/>
  <c r="U528" i="2"/>
  <c r="AE527" i="2"/>
  <c r="AD527" i="2"/>
  <c r="AC527" i="2"/>
  <c r="AB527" i="2"/>
  <c r="AA527" i="2"/>
  <c r="Z527" i="2"/>
  <c r="X527" i="2"/>
  <c r="W527" i="2"/>
  <c r="V527" i="2"/>
  <c r="U527" i="2"/>
  <c r="AE526" i="2"/>
  <c r="AD526" i="2"/>
  <c r="AC526" i="2"/>
  <c r="AB526" i="2"/>
  <c r="AA526" i="2"/>
  <c r="Z526" i="2"/>
  <c r="X526" i="2"/>
  <c r="W526" i="2"/>
  <c r="V526" i="2"/>
  <c r="U526" i="2"/>
  <c r="AE525" i="2"/>
  <c r="AD525" i="2"/>
  <c r="AC525" i="2"/>
  <c r="AB525" i="2"/>
  <c r="AA525" i="2"/>
  <c r="Z525" i="2"/>
  <c r="X525" i="2"/>
  <c r="W525" i="2"/>
  <c r="V525" i="2"/>
  <c r="U525" i="2"/>
  <c r="AE524" i="2"/>
  <c r="AD524" i="2"/>
  <c r="AC524" i="2"/>
  <c r="AB524" i="2"/>
  <c r="AA524" i="2"/>
  <c r="Z524" i="2"/>
  <c r="X524" i="2"/>
  <c r="W524" i="2"/>
  <c r="V524" i="2"/>
  <c r="U524" i="2"/>
  <c r="AE523" i="2"/>
  <c r="AD523" i="2"/>
  <c r="AC523" i="2"/>
  <c r="AB523" i="2"/>
  <c r="AA523" i="2"/>
  <c r="Z523" i="2"/>
  <c r="X523" i="2"/>
  <c r="W523" i="2"/>
  <c r="V523" i="2"/>
  <c r="U523" i="2"/>
  <c r="AE522" i="2"/>
  <c r="AD522" i="2"/>
  <c r="AC522" i="2"/>
  <c r="AB522" i="2"/>
  <c r="AA522" i="2"/>
  <c r="Z522" i="2"/>
  <c r="X522" i="2"/>
  <c r="W522" i="2"/>
  <c r="V522" i="2"/>
  <c r="U522" i="2"/>
  <c r="AE521" i="2"/>
  <c r="AD521" i="2"/>
  <c r="AC521" i="2"/>
  <c r="AB521" i="2"/>
  <c r="AA521" i="2"/>
  <c r="Z521" i="2"/>
  <c r="X521" i="2"/>
  <c r="W521" i="2"/>
  <c r="V521" i="2"/>
  <c r="U521" i="2"/>
  <c r="AE520" i="2"/>
  <c r="AD520" i="2"/>
  <c r="AC520" i="2"/>
  <c r="AB520" i="2"/>
  <c r="AA520" i="2"/>
  <c r="Z520" i="2"/>
  <c r="X520" i="2"/>
  <c r="W520" i="2"/>
  <c r="V520" i="2"/>
  <c r="U520" i="2"/>
  <c r="AE519" i="2"/>
  <c r="AD519" i="2"/>
  <c r="AC519" i="2"/>
  <c r="AB519" i="2"/>
  <c r="AA519" i="2"/>
  <c r="Z519" i="2"/>
  <c r="X519" i="2"/>
  <c r="W519" i="2"/>
  <c r="V519" i="2"/>
  <c r="U519" i="2"/>
  <c r="AE518" i="2"/>
  <c r="AD518" i="2"/>
  <c r="AC518" i="2"/>
  <c r="AB518" i="2"/>
  <c r="AA518" i="2"/>
  <c r="Z518" i="2"/>
  <c r="X518" i="2"/>
  <c r="W518" i="2"/>
  <c r="V518" i="2"/>
  <c r="U518" i="2"/>
  <c r="AE517" i="2"/>
  <c r="AD517" i="2"/>
  <c r="AC517" i="2"/>
  <c r="AB517" i="2"/>
  <c r="AA517" i="2"/>
  <c r="Z517" i="2"/>
  <c r="X517" i="2"/>
  <c r="W517" i="2"/>
  <c r="V517" i="2"/>
  <c r="U517" i="2"/>
  <c r="AE516" i="2"/>
  <c r="AD516" i="2"/>
  <c r="AC516" i="2"/>
  <c r="AB516" i="2"/>
  <c r="AA516" i="2"/>
  <c r="Z516" i="2"/>
  <c r="X516" i="2"/>
  <c r="W516" i="2"/>
  <c r="V516" i="2"/>
  <c r="U516" i="2"/>
  <c r="AE515" i="2"/>
  <c r="AD515" i="2"/>
  <c r="AC515" i="2"/>
  <c r="AB515" i="2"/>
  <c r="AA515" i="2"/>
  <c r="Z515" i="2"/>
  <c r="X515" i="2"/>
  <c r="W515" i="2"/>
  <c r="V515" i="2"/>
  <c r="U515" i="2"/>
  <c r="AE514" i="2"/>
  <c r="AD514" i="2"/>
  <c r="AC514" i="2"/>
  <c r="AB514" i="2"/>
  <c r="AA514" i="2"/>
  <c r="Z514" i="2"/>
  <c r="X514" i="2"/>
  <c r="W514" i="2"/>
  <c r="V514" i="2"/>
  <c r="U514" i="2"/>
  <c r="AE513" i="2"/>
  <c r="AD513" i="2"/>
  <c r="AC513" i="2"/>
  <c r="AB513" i="2"/>
  <c r="AA513" i="2"/>
  <c r="Z513" i="2"/>
  <c r="X513" i="2"/>
  <c r="W513" i="2"/>
  <c r="V513" i="2"/>
  <c r="U513" i="2"/>
  <c r="AE512" i="2"/>
  <c r="AD512" i="2"/>
  <c r="AC512" i="2"/>
  <c r="AB512" i="2"/>
  <c r="AA512" i="2"/>
  <c r="Z512" i="2"/>
  <c r="X512" i="2"/>
  <c r="W512" i="2"/>
  <c r="V512" i="2"/>
  <c r="U512" i="2"/>
  <c r="AE511" i="2"/>
  <c r="AD511" i="2"/>
  <c r="AC511" i="2"/>
  <c r="AB511" i="2"/>
  <c r="AA511" i="2"/>
  <c r="Z511" i="2"/>
  <c r="X511" i="2"/>
  <c r="W511" i="2"/>
  <c r="V511" i="2"/>
  <c r="U511" i="2"/>
  <c r="AE510" i="2"/>
  <c r="AD510" i="2"/>
  <c r="AC510" i="2"/>
  <c r="AB510" i="2"/>
  <c r="AA510" i="2"/>
  <c r="Z510" i="2"/>
  <c r="X510" i="2"/>
  <c r="W510" i="2"/>
  <c r="V510" i="2"/>
  <c r="U510" i="2"/>
  <c r="AE509" i="2"/>
  <c r="AD509" i="2"/>
  <c r="AC509" i="2"/>
  <c r="AB509" i="2"/>
  <c r="AA509" i="2"/>
  <c r="Z509" i="2"/>
  <c r="X509" i="2"/>
  <c r="W509" i="2"/>
  <c r="V509" i="2"/>
  <c r="U509" i="2"/>
  <c r="AE508" i="2"/>
  <c r="AD508" i="2"/>
  <c r="AC508" i="2"/>
  <c r="AB508" i="2"/>
  <c r="AA508" i="2"/>
  <c r="Z508" i="2"/>
  <c r="X508" i="2"/>
  <c r="W508" i="2"/>
  <c r="V508" i="2"/>
  <c r="U508" i="2"/>
  <c r="AE507" i="2"/>
  <c r="AD507" i="2"/>
  <c r="AC507" i="2"/>
  <c r="AB507" i="2"/>
  <c r="AA507" i="2"/>
  <c r="Z507" i="2"/>
  <c r="X507" i="2"/>
  <c r="W507" i="2"/>
  <c r="V507" i="2"/>
  <c r="U507" i="2"/>
  <c r="AE506" i="2"/>
  <c r="AD506" i="2"/>
  <c r="AC506" i="2"/>
  <c r="AB506" i="2"/>
  <c r="AA506" i="2"/>
  <c r="Z506" i="2"/>
  <c r="X506" i="2"/>
  <c r="W506" i="2"/>
  <c r="V506" i="2"/>
  <c r="U506" i="2"/>
  <c r="AE505" i="2"/>
  <c r="AD505" i="2"/>
  <c r="AC505" i="2"/>
  <c r="AB505" i="2"/>
  <c r="AA505" i="2"/>
  <c r="Z505" i="2"/>
  <c r="X505" i="2"/>
  <c r="W505" i="2"/>
  <c r="V505" i="2"/>
  <c r="U505" i="2"/>
  <c r="AE504" i="2"/>
  <c r="AD504" i="2"/>
  <c r="AC504" i="2"/>
  <c r="AB504" i="2"/>
  <c r="AA504" i="2"/>
  <c r="Z504" i="2"/>
  <c r="X504" i="2"/>
  <c r="W504" i="2"/>
  <c r="V504" i="2"/>
  <c r="U504" i="2"/>
  <c r="AE503" i="2"/>
  <c r="AD503" i="2"/>
  <c r="AC503" i="2"/>
  <c r="AB503" i="2"/>
  <c r="AA503" i="2"/>
  <c r="Z503" i="2"/>
  <c r="X503" i="2"/>
  <c r="W503" i="2"/>
  <c r="V503" i="2"/>
  <c r="U503" i="2"/>
  <c r="AE502" i="2"/>
  <c r="AD502" i="2"/>
  <c r="AC502" i="2"/>
  <c r="AB502" i="2"/>
  <c r="AA502" i="2"/>
  <c r="Z502" i="2"/>
  <c r="X502" i="2"/>
  <c r="W502" i="2"/>
  <c r="V502" i="2"/>
  <c r="U502" i="2"/>
  <c r="AE501" i="2"/>
  <c r="AD501" i="2"/>
  <c r="AC501" i="2"/>
  <c r="AB501" i="2"/>
  <c r="AA501" i="2"/>
  <c r="Z501" i="2"/>
  <c r="X501" i="2"/>
  <c r="W501" i="2"/>
  <c r="V501" i="2"/>
  <c r="U501" i="2"/>
  <c r="AE500" i="2"/>
  <c r="AD500" i="2"/>
  <c r="AC500" i="2"/>
  <c r="AB500" i="2"/>
  <c r="AA500" i="2"/>
  <c r="Z500" i="2"/>
  <c r="X500" i="2"/>
  <c r="W500" i="2"/>
  <c r="V500" i="2"/>
  <c r="U500" i="2"/>
  <c r="AE499" i="2"/>
  <c r="AD499" i="2"/>
  <c r="AC499" i="2"/>
  <c r="AB499" i="2"/>
  <c r="AA499" i="2"/>
  <c r="Z499" i="2"/>
  <c r="X499" i="2"/>
  <c r="W499" i="2"/>
  <c r="V499" i="2"/>
  <c r="U499" i="2"/>
  <c r="AE498" i="2"/>
  <c r="AD498" i="2"/>
  <c r="AC498" i="2"/>
  <c r="AB498" i="2"/>
  <c r="AA498" i="2"/>
  <c r="Z498" i="2"/>
  <c r="X498" i="2"/>
  <c r="W498" i="2"/>
  <c r="V498" i="2"/>
  <c r="U498" i="2"/>
  <c r="AE497" i="2"/>
  <c r="AD497" i="2"/>
  <c r="AC497" i="2"/>
  <c r="AB497" i="2"/>
  <c r="AA497" i="2"/>
  <c r="Z497" i="2"/>
  <c r="X497" i="2"/>
  <c r="W497" i="2"/>
  <c r="V497" i="2"/>
  <c r="U497" i="2"/>
  <c r="AE496" i="2"/>
  <c r="AD496" i="2"/>
  <c r="AC496" i="2"/>
  <c r="AB496" i="2"/>
  <c r="AA496" i="2"/>
  <c r="Z496" i="2"/>
  <c r="X496" i="2"/>
  <c r="W496" i="2"/>
  <c r="V496" i="2"/>
  <c r="U496" i="2"/>
  <c r="AE495" i="2"/>
  <c r="AD495" i="2"/>
  <c r="AC495" i="2"/>
  <c r="AB495" i="2"/>
  <c r="AA495" i="2"/>
  <c r="Z495" i="2"/>
  <c r="X495" i="2"/>
  <c r="W495" i="2"/>
  <c r="V495" i="2"/>
  <c r="U495" i="2"/>
  <c r="AE494" i="2"/>
  <c r="AD494" i="2"/>
  <c r="AC494" i="2"/>
  <c r="AB494" i="2"/>
  <c r="AA494" i="2"/>
  <c r="Z494" i="2"/>
  <c r="X494" i="2"/>
  <c r="W494" i="2"/>
  <c r="V494" i="2"/>
  <c r="U494" i="2"/>
  <c r="AE493" i="2"/>
  <c r="AD493" i="2"/>
  <c r="AC493" i="2"/>
  <c r="AB493" i="2"/>
  <c r="AA493" i="2"/>
  <c r="Z493" i="2"/>
  <c r="X493" i="2"/>
  <c r="W493" i="2"/>
  <c r="V493" i="2"/>
  <c r="U493" i="2"/>
  <c r="AE492" i="2"/>
  <c r="AD492" i="2"/>
  <c r="AC492" i="2"/>
  <c r="AB492" i="2"/>
  <c r="AA492" i="2"/>
  <c r="Z492" i="2"/>
  <c r="X492" i="2"/>
  <c r="W492" i="2"/>
  <c r="V492" i="2"/>
  <c r="U492" i="2"/>
  <c r="AE491" i="2"/>
  <c r="AD491" i="2"/>
  <c r="AC491" i="2"/>
  <c r="AB491" i="2"/>
  <c r="AA491" i="2"/>
  <c r="Z491" i="2"/>
  <c r="X491" i="2"/>
  <c r="W491" i="2"/>
  <c r="V491" i="2"/>
  <c r="U491" i="2"/>
  <c r="AE490" i="2"/>
  <c r="AD490" i="2"/>
  <c r="AC490" i="2"/>
  <c r="AB490" i="2"/>
  <c r="AA490" i="2"/>
  <c r="Z490" i="2"/>
  <c r="X490" i="2"/>
  <c r="W490" i="2"/>
  <c r="V490" i="2"/>
  <c r="U490" i="2"/>
  <c r="AE489" i="2"/>
  <c r="AD489" i="2"/>
  <c r="AC489" i="2"/>
  <c r="AB489" i="2"/>
  <c r="AA489" i="2"/>
  <c r="Z489" i="2"/>
  <c r="X489" i="2"/>
  <c r="W489" i="2"/>
  <c r="V489" i="2"/>
  <c r="U489" i="2"/>
  <c r="AE488" i="2"/>
  <c r="AD488" i="2"/>
  <c r="AC488" i="2"/>
  <c r="AB488" i="2"/>
  <c r="AA488" i="2"/>
  <c r="Z488" i="2"/>
  <c r="X488" i="2"/>
  <c r="W488" i="2"/>
  <c r="V488" i="2"/>
  <c r="U488" i="2"/>
  <c r="AE487" i="2"/>
  <c r="AD487" i="2"/>
  <c r="AC487" i="2"/>
  <c r="AB487" i="2"/>
  <c r="AA487" i="2"/>
  <c r="Z487" i="2"/>
  <c r="X487" i="2"/>
  <c r="W487" i="2"/>
  <c r="V487" i="2"/>
  <c r="U487" i="2"/>
  <c r="AE486" i="2"/>
  <c r="AD486" i="2"/>
  <c r="AC486" i="2"/>
  <c r="AB486" i="2"/>
  <c r="AA486" i="2"/>
  <c r="Z486" i="2"/>
  <c r="X486" i="2"/>
  <c r="W486" i="2"/>
  <c r="V486" i="2"/>
  <c r="U486" i="2"/>
  <c r="AE485" i="2"/>
  <c r="AD485" i="2"/>
  <c r="AC485" i="2"/>
  <c r="AB485" i="2"/>
  <c r="AA485" i="2"/>
  <c r="Z485" i="2"/>
  <c r="X485" i="2"/>
  <c r="W485" i="2"/>
  <c r="V485" i="2"/>
  <c r="U485" i="2"/>
  <c r="AE484" i="2"/>
  <c r="AD484" i="2"/>
  <c r="AC484" i="2"/>
  <c r="AB484" i="2"/>
  <c r="AA484" i="2"/>
  <c r="Z484" i="2"/>
  <c r="X484" i="2"/>
  <c r="W484" i="2"/>
  <c r="V484" i="2"/>
  <c r="U484" i="2"/>
  <c r="AE483" i="2"/>
  <c r="AD483" i="2"/>
  <c r="AC483" i="2"/>
  <c r="AB483" i="2"/>
  <c r="AA483" i="2"/>
  <c r="Z483" i="2"/>
  <c r="X483" i="2"/>
  <c r="W483" i="2"/>
  <c r="V483" i="2"/>
  <c r="U483" i="2"/>
  <c r="AE482" i="2"/>
  <c r="AD482" i="2"/>
  <c r="AC482" i="2"/>
  <c r="AB482" i="2"/>
  <c r="AA482" i="2"/>
  <c r="Z482" i="2"/>
  <c r="X482" i="2"/>
  <c r="W482" i="2"/>
  <c r="V482" i="2"/>
  <c r="U482" i="2"/>
  <c r="AE481" i="2"/>
  <c r="AD481" i="2"/>
  <c r="AC481" i="2"/>
  <c r="AB481" i="2"/>
  <c r="AA481" i="2"/>
  <c r="Z481" i="2"/>
  <c r="X481" i="2"/>
  <c r="W481" i="2"/>
  <c r="V481" i="2"/>
  <c r="U481" i="2"/>
  <c r="AE480" i="2"/>
  <c r="AD480" i="2"/>
  <c r="AC480" i="2"/>
  <c r="AB480" i="2"/>
  <c r="AA480" i="2"/>
  <c r="Z480" i="2"/>
  <c r="X480" i="2"/>
  <c r="W480" i="2"/>
  <c r="V480" i="2"/>
  <c r="U480" i="2"/>
  <c r="AE479" i="2"/>
  <c r="AD479" i="2"/>
  <c r="AC479" i="2"/>
  <c r="AB479" i="2"/>
  <c r="AA479" i="2"/>
  <c r="Z479" i="2"/>
  <c r="X479" i="2"/>
  <c r="W479" i="2"/>
  <c r="V479" i="2"/>
  <c r="U479" i="2"/>
  <c r="AE478" i="2"/>
  <c r="AD478" i="2"/>
  <c r="AC478" i="2"/>
  <c r="AB478" i="2"/>
  <c r="AA478" i="2"/>
  <c r="Z478" i="2"/>
  <c r="X478" i="2"/>
  <c r="W478" i="2"/>
  <c r="V478" i="2"/>
  <c r="U478" i="2"/>
  <c r="AE477" i="2"/>
  <c r="AD477" i="2"/>
  <c r="AC477" i="2"/>
  <c r="AB477" i="2"/>
  <c r="AA477" i="2"/>
  <c r="Z477" i="2"/>
  <c r="X477" i="2"/>
  <c r="W477" i="2"/>
  <c r="V477" i="2"/>
  <c r="U477" i="2"/>
  <c r="AE476" i="2"/>
  <c r="AD476" i="2"/>
  <c r="AC476" i="2"/>
  <c r="AB476" i="2"/>
  <c r="AA476" i="2"/>
  <c r="Z476" i="2"/>
  <c r="X476" i="2"/>
  <c r="W476" i="2"/>
  <c r="V476" i="2"/>
  <c r="U476" i="2"/>
  <c r="AE475" i="2"/>
  <c r="AD475" i="2"/>
  <c r="AC475" i="2"/>
  <c r="AB475" i="2"/>
  <c r="AA475" i="2"/>
  <c r="Z475" i="2"/>
  <c r="X475" i="2"/>
  <c r="W475" i="2"/>
  <c r="V475" i="2"/>
  <c r="U475" i="2"/>
  <c r="AE474" i="2"/>
  <c r="AD474" i="2"/>
  <c r="AC474" i="2"/>
  <c r="AB474" i="2"/>
  <c r="AA474" i="2"/>
  <c r="Z474" i="2"/>
  <c r="X474" i="2"/>
  <c r="W474" i="2"/>
  <c r="V474" i="2"/>
  <c r="U474" i="2"/>
  <c r="AE473" i="2"/>
  <c r="AD473" i="2"/>
  <c r="AC473" i="2"/>
  <c r="AB473" i="2"/>
  <c r="AA473" i="2"/>
  <c r="Z473" i="2"/>
  <c r="X473" i="2"/>
  <c r="W473" i="2"/>
  <c r="V473" i="2"/>
  <c r="U473" i="2"/>
  <c r="AE472" i="2"/>
  <c r="AD472" i="2"/>
  <c r="AC472" i="2"/>
  <c r="AB472" i="2"/>
  <c r="AA472" i="2"/>
  <c r="Z472" i="2"/>
  <c r="X472" i="2"/>
  <c r="W472" i="2"/>
  <c r="V472" i="2"/>
  <c r="U472" i="2"/>
  <c r="AE471" i="2"/>
  <c r="AD471" i="2"/>
  <c r="AC471" i="2"/>
  <c r="AB471" i="2"/>
  <c r="AA471" i="2"/>
  <c r="Z471" i="2"/>
  <c r="X471" i="2"/>
  <c r="W471" i="2"/>
  <c r="V471" i="2"/>
  <c r="U471" i="2"/>
  <c r="AE470" i="2"/>
  <c r="AD470" i="2"/>
  <c r="AC470" i="2"/>
  <c r="AB470" i="2"/>
  <c r="AA470" i="2"/>
  <c r="Z470" i="2"/>
  <c r="X470" i="2"/>
  <c r="W470" i="2"/>
  <c r="V470" i="2"/>
  <c r="U470" i="2"/>
  <c r="AE469" i="2"/>
  <c r="AD469" i="2"/>
  <c r="AC469" i="2"/>
  <c r="AB469" i="2"/>
  <c r="AA469" i="2"/>
  <c r="Z469" i="2"/>
  <c r="X469" i="2"/>
  <c r="W469" i="2"/>
  <c r="V469" i="2"/>
  <c r="U469" i="2"/>
  <c r="AE468" i="2"/>
  <c r="AD468" i="2"/>
  <c r="AC468" i="2"/>
  <c r="AB468" i="2"/>
  <c r="AA468" i="2"/>
  <c r="Z468" i="2"/>
  <c r="X468" i="2"/>
  <c r="W468" i="2"/>
  <c r="V468" i="2"/>
  <c r="U468" i="2"/>
  <c r="AE467" i="2"/>
  <c r="AD467" i="2"/>
  <c r="AC467" i="2"/>
  <c r="AB467" i="2"/>
  <c r="AA467" i="2"/>
  <c r="Z467" i="2"/>
  <c r="X467" i="2"/>
  <c r="W467" i="2"/>
  <c r="V467" i="2"/>
  <c r="U467" i="2"/>
  <c r="AE466" i="2"/>
  <c r="AD466" i="2"/>
  <c r="AC466" i="2"/>
  <c r="AB466" i="2"/>
  <c r="AA466" i="2"/>
  <c r="Z466" i="2"/>
  <c r="X466" i="2"/>
  <c r="W466" i="2"/>
  <c r="V466" i="2"/>
  <c r="U466" i="2"/>
  <c r="AE465" i="2"/>
  <c r="AD465" i="2"/>
  <c r="AC465" i="2"/>
  <c r="AB465" i="2"/>
  <c r="AA465" i="2"/>
  <c r="Z465" i="2"/>
  <c r="X465" i="2"/>
  <c r="W465" i="2"/>
  <c r="V465" i="2"/>
  <c r="U465" i="2"/>
  <c r="AE464" i="2"/>
  <c r="AD464" i="2"/>
  <c r="AC464" i="2"/>
  <c r="AB464" i="2"/>
  <c r="AA464" i="2"/>
  <c r="Z464" i="2"/>
  <c r="X464" i="2"/>
  <c r="W464" i="2"/>
  <c r="V464" i="2"/>
  <c r="U464" i="2"/>
  <c r="AE463" i="2"/>
  <c r="AD463" i="2"/>
  <c r="AC463" i="2"/>
  <c r="AB463" i="2"/>
  <c r="AA463" i="2"/>
  <c r="Z463" i="2"/>
  <c r="X463" i="2"/>
  <c r="W463" i="2"/>
  <c r="V463" i="2"/>
  <c r="U463" i="2"/>
  <c r="AE462" i="2"/>
  <c r="AD462" i="2"/>
  <c r="AC462" i="2"/>
  <c r="AB462" i="2"/>
  <c r="AA462" i="2"/>
  <c r="Z462" i="2"/>
  <c r="X462" i="2"/>
  <c r="W462" i="2"/>
  <c r="V462" i="2"/>
  <c r="U462" i="2"/>
  <c r="AE461" i="2"/>
  <c r="AD461" i="2"/>
  <c r="AC461" i="2"/>
  <c r="AB461" i="2"/>
  <c r="AA461" i="2"/>
  <c r="Z461" i="2"/>
  <c r="X461" i="2"/>
  <c r="W461" i="2"/>
  <c r="V461" i="2"/>
  <c r="U461" i="2"/>
  <c r="AE460" i="2"/>
  <c r="AD460" i="2"/>
  <c r="AC460" i="2"/>
  <c r="AB460" i="2"/>
  <c r="AA460" i="2"/>
  <c r="Z460" i="2"/>
  <c r="X460" i="2"/>
  <c r="W460" i="2"/>
  <c r="V460" i="2"/>
  <c r="U460" i="2"/>
  <c r="AE459" i="2"/>
  <c r="AD459" i="2"/>
  <c r="AC459" i="2"/>
  <c r="AB459" i="2"/>
  <c r="AA459" i="2"/>
  <c r="Z459" i="2"/>
  <c r="X459" i="2"/>
  <c r="W459" i="2"/>
  <c r="V459" i="2"/>
  <c r="U459" i="2"/>
  <c r="AE458" i="2"/>
  <c r="AD458" i="2"/>
  <c r="AC458" i="2"/>
  <c r="AB458" i="2"/>
  <c r="AA458" i="2"/>
  <c r="Z458" i="2"/>
  <c r="X458" i="2"/>
  <c r="W458" i="2"/>
  <c r="V458" i="2"/>
  <c r="U458" i="2"/>
  <c r="AE457" i="2"/>
  <c r="AD457" i="2"/>
  <c r="AC457" i="2"/>
  <c r="AB457" i="2"/>
  <c r="AA457" i="2"/>
  <c r="Z457" i="2"/>
  <c r="X457" i="2"/>
  <c r="W457" i="2"/>
  <c r="V457" i="2"/>
  <c r="U457" i="2"/>
  <c r="AE456" i="2"/>
  <c r="AD456" i="2"/>
  <c r="AC456" i="2"/>
  <c r="AB456" i="2"/>
  <c r="AA456" i="2"/>
  <c r="Z456" i="2"/>
  <c r="X456" i="2"/>
  <c r="W456" i="2"/>
  <c r="V456" i="2"/>
  <c r="U456" i="2"/>
  <c r="AE455" i="2"/>
  <c r="AD455" i="2"/>
  <c r="AC455" i="2"/>
  <c r="AB455" i="2"/>
  <c r="AA455" i="2"/>
  <c r="Z455" i="2"/>
  <c r="X455" i="2"/>
  <c r="W455" i="2"/>
  <c r="V455" i="2"/>
  <c r="U455" i="2"/>
  <c r="AE454" i="2"/>
  <c r="AD454" i="2"/>
  <c r="AC454" i="2"/>
  <c r="AB454" i="2"/>
  <c r="AA454" i="2"/>
  <c r="Z454" i="2"/>
  <c r="X454" i="2"/>
  <c r="W454" i="2"/>
  <c r="V454" i="2"/>
  <c r="U454" i="2"/>
  <c r="AE453" i="2"/>
  <c r="AD453" i="2"/>
  <c r="AC453" i="2"/>
  <c r="AB453" i="2"/>
  <c r="AA453" i="2"/>
  <c r="Z453" i="2"/>
  <c r="X453" i="2"/>
  <c r="W453" i="2"/>
  <c r="V453" i="2"/>
  <c r="U453" i="2"/>
  <c r="AE452" i="2"/>
  <c r="AD452" i="2"/>
  <c r="AC452" i="2"/>
  <c r="AB452" i="2"/>
  <c r="AA452" i="2"/>
  <c r="Z452" i="2"/>
  <c r="X452" i="2"/>
  <c r="W452" i="2"/>
  <c r="V452" i="2"/>
  <c r="U452" i="2"/>
  <c r="AE451" i="2"/>
  <c r="AD451" i="2"/>
  <c r="AC451" i="2"/>
  <c r="AB451" i="2"/>
  <c r="AA451" i="2"/>
  <c r="Z451" i="2"/>
  <c r="X451" i="2"/>
  <c r="W451" i="2"/>
  <c r="V451" i="2"/>
  <c r="U451" i="2"/>
  <c r="AE450" i="2"/>
  <c r="AD450" i="2"/>
  <c r="AC450" i="2"/>
  <c r="AB450" i="2"/>
  <c r="AA450" i="2"/>
  <c r="Z450" i="2"/>
  <c r="X450" i="2"/>
  <c r="W450" i="2"/>
  <c r="V450" i="2"/>
  <c r="U450" i="2"/>
  <c r="AE449" i="2"/>
  <c r="AD449" i="2"/>
  <c r="AC449" i="2"/>
  <c r="AB449" i="2"/>
  <c r="AA449" i="2"/>
  <c r="Z449" i="2"/>
  <c r="X449" i="2"/>
  <c r="W449" i="2"/>
  <c r="V449" i="2"/>
  <c r="U449" i="2"/>
  <c r="AE448" i="2"/>
  <c r="AD448" i="2"/>
  <c r="AC448" i="2"/>
  <c r="AB448" i="2"/>
  <c r="AA448" i="2"/>
  <c r="Z448" i="2"/>
  <c r="X448" i="2"/>
  <c r="W448" i="2"/>
  <c r="V448" i="2"/>
  <c r="U448" i="2"/>
  <c r="AE447" i="2"/>
  <c r="AD447" i="2"/>
  <c r="AC447" i="2"/>
  <c r="AB447" i="2"/>
  <c r="AA447" i="2"/>
  <c r="Z447" i="2"/>
  <c r="X447" i="2"/>
  <c r="W447" i="2"/>
  <c r="V447" i="2"/>
  <c r="U447" i="2"/>
  <c r="AE446" i="2"/>
  <c r="AD446" i="2"/>
  <c r="AC446" i="2"/>
  <c r="AB446" i="2"/>
  <c r="AA446" i="2"/>
  <c r="Z446" i="2"/>
  <c r="X446" i="2"/>
  <c r="W446" i="2"/>
  <c r="V446" i="2"/>
  <c r="U446" i="2"/>
  <c r="AE445" i="2"/>
  <c r="AD445" i="2"/>
  <c r="AC445" i="2"/>
  <c r="AB445" i="2"/>
  <c r="AA445" i="2"/>
  <c r="Z445" i="2"/>
  <c r="X445" i="2"/>
  <c r="W445" i="2"/>
  <c r="V445" i="2"/>
  <c r="U445" i="2"/>
  <c r="AE444" i="2"/>
  <c r="AD444" i="2"/>
  <c r="AC444" i="2"/>
  <c r="AB444" i="2"/>
  <c r="AA444" i="2"/>
  <c r="Z444" i="2"/>
  <c r="X444" i="2"/>
  <c r="W444" i="2"/>
  <c r="V444" i="2"/>
  <c r="U444" i="2"/>
  <c r="AE443" i="2"/>
  <c r="AD443" i="2"/>
  <c r="AC443" i="2"/>
  <c r="AB443" i="2"/>
  <c r="AA443" i="2"/>
  <c r="Z443" i="2"/>
  <c r="X443" i="2"/>
  <c r="W443" i="2"/>
  <c r="V443" i="2"/>
  <c r="U443" i="2"/>
  <c r="AE442" i="2"/>
  <c r="AD442" i="2"/>
  <c r="AC442" i="2"/>
  <c r="AB442" i="2"/>
  <c r="AA442" i="2"/>
  <c r="Z442" i="2"/>
  <c r="X442" i="2"/>
  <c r="W442" i="2"/>
  <c r="V442" i="2"/>
  <c r="U442" i="2"/>
  <c r="AE441" i="2"/>
  <c r="AD441" i="2"/>
  <c r="AC441" i="2"/>
  <c r="AB441" i="2"/>
  <c r="AA441" i="2"/>
  <c r="Z441" i="2"/>
  <c r="X441" i="2"/>
  <c r="W441" i="2"/>
  <c r="V441" i="2"/>
  <c r="U441" i="2"/>
  <c r="AE440" i="2"/>
  <c r="AD440" i="2"/>
  <c r="AC440" i="2"/>
  <c r="AB440" i="2"/>
  <c r="AA440" i="2"/>
  <c r="Z440" i="2"/>
  <c r="X440" i="2"/>
  <c r="W440" i="2"/>
  <c r="V440" i="2"/>
  <c r="U440" i="2"/>
  <c r="AE439" i="2"/>
  <c r="AD439" i="2"/>
  <c r="AC439" i="2"/>
  <c r="AB439" i="2"/>
  <c r="AA439" i="2"/>
  <c r="Z439" i="2"/>
  <c r="X439" i="2"/>
  <c r="W439" i="2"/>
  <c r="V439" i="2"/>
  <c r="U439" i="2"/>
  <c r="AE438" i="2"/>
  <c r="AD438" i="2"/>
  <c r="AC438" i="2"/>
  <c r="AB438" i="2"/>
  <c r="AA438" i="2"/>
  <c r="Z438" i="2"/>
  <c r="X438" i="2"/>
  <c r="W438" i="2"/>
  <c r="V438" i="2"/>
  <c r="U438" i="2"/>
  <c r="AE437" i="2"/>
  <c r="AD437" i="2"/>
  <c r="AC437" i="2"/>
  <c r="AB437" i="2"/>
  <c r="AA437" i="2"/>
  <c r="Z437" i="2"/>
  <c r="X437" i="2"/>
  <c r="W437" i="2"/>
  <c r="V437" i="2"/>
  <c r="U437" i="2"/>
  <c r="AE436" i="2"/>
  <c r="AD436" i="2"/>
  <c r="AC436" i="2"/>
  <c r="AB436" i="2"/>
  <c r="AA436" i="2"/>
  <c r="Z436" i="2"/>
  <c r="X436" i="2"/>
  <c r="W436" i="2"/>
  <c r="V436" i="2"/>
  <c r="U436" i="2"/>
  <c r="AE435" i="2"/>
  <c r="AD435" i="2"/>
  <c r="AC435" i="2"/>
  <c r="AB435" i="2"/>
  <c r="AA435" i="2"/>
  <c r="Z435" i="2"/>
  <c r="X435" i="2"/>
  <c r="W435" i="2"/>
  <c r="V435" i="2"/>
  <c r="U435" i="2"/>
  <c r="AE434" i="2"/>
  <c r="AD434" i="2"/>
  <c r="AC434" i="2"/>
  <c r="AB434" i="2"/>
  <c r="AA434" i="2"/>
  <c r="Z434" i="2"/>
  <c r="X434" i="2"/>
  <c r="W434" i="2"/>
  <c r="V434" i="2"/>
  <c r="U434" i="2"/>
  <c r="AE433" i="2"/>
  <c r="AD433" i="2"/>
  <c r="AC433" i="2"/>
  <c r="AB433" i="2"/>
  <c r="AA433" i="2"/>
  <c r="Z433" i="2"/>
  <c r="X433" i="2"/>
  <c r="W433" i="2"/>
  <c r="V433" i="2"/>
  <c r="U433" i="2"/>
  <c r="AE432" i="2"/>
  <c r="AD432" i="2"/>
  <c r="AC432" i="2"/>
  <c r="AB432" i="2"/>
  <c r="AA432" i="2"/>
  <c r="Z432" i="2"/>
  <c r="X432" i="2"/>
  <c r="W432" i="2"/>
  <c r="V432" i="2"/>
  <c r="U432" i="2"/>
  <c r="AE431" i="2"/>
  <c r="AD431" i="2"/>
  <c r="AC431" i="2"/>
  <c r="AB431" i="2"/>
  <c r="AA431" i="2"/>
  <c r="Z431" i="2"/>
  <c r="X431" i="2"/>
  <c r="W431" i="2"/>
  <c r="V431" i="2"/>
  <c r="U431" i="2"/>
  <c r="AE430" i="2"/>
  <c r="AD430" i="2"/>
  <c r="AC430" i="2"/>
  <c r="AB430" i="2"/>
  <c r="AA430" i="2"/>
  <c r="Z430" i="2"/>
  <c r="X430" i="2"/>
  <c r="W430" i="2"/>
  <c r="V430" i="2"/>
  <c r="U430" i="2"/>
  <c r="AE429" i="2"/>
  <c r="AD429" i="2"/>
  <c r="AC429" i="2"/>
  <c r="AB429" i="2"/>
  <c r="AA429" i="2"/>
  <c r="Z429" i="2"/>
  <c r="X429" i="2"/>
  <c r="W429" i="2"/>
  <c r="V429" i="2"/>
  <c r="U429" i="2"/>
  <c r="AE428" i="2"/>
  <c r="AD428" i="2"/>
  <c r="AC428" i="2"/>
  <c r="AB428" i="2"/>
  <c r="AA428" i="2"/>
  <c r="Z428" i="2"/>
  <c r="X428" i="2"/>
  <c r="W428" i="2"/>
  <c r="V428" i="2"/>
  <c r="U428" i="2"/>
  <c r="AE427" i="2"/>
  <c r="AD427" i="2"/>
  <c r="AC427" i="2"/>
  <c r="AB427" i="2"/>
  <c r="AA427" i="2"/>
  <c r="Z427" i="2"/>
  <c r="X427" i="2"/>
  <c r="W427" i="2"/>
  <c r="V427" i="2"/>
  <c r="U427" i="2"/>
  <c r="AE426" i="2"/>
  <c r="AD426" i="2"/>
  <c r="AC426" i="2"/>
  <c r="AB426" i="2"/>
  <c r="AA426" i="2"/>
  <c r="Z426" i="2"/>
  <c r="X426" i="2"/>
  <c r="W426" i="2"/>
  <c r="V426" i="2"/>
  <c r="U426" i="2"/>
  <c r="AE425" i="2"/>
  <c r="AD425" i="2"/>
  <c r="AC425" i="2"/>
  <c r="AB425" i="2"/>
  <c r="AA425" i="2"/>
  <c r="Z425" i="2"/>
  <c r="X425" i="2"/>
  <c r="W425" i="2"/>
  <c r="V425" i="2"/>
  <c r="U425" i="2"/>
  <c r="AE424" i="2"/>
  <c r="AD424" i="2"/>
  <c r="AC424" i="2"/>
  <c r="AB424" i="2"/>
  <c r="AA424" i="2"/>
  <c r="Z424" i="2"/>
  <c r="X424" i="2"/>
  <c r="W424" i="2"/>
  <c r="V424" i="2"/>
  <c r="U424" i="2"/>
  <c r="AE423" i="2"/>
  <c r="AD423" i="2"/>
  <c r="AC423" i="2"/>
  <c r="AB423" i="2"/>
  <c r="AA423" i="2"/>
  <c r="Z423" i="2"/>
  <c r="X423" i="2"/>
  <c r="W423" i="2"/>
  <c r="V423" i="2"/>
  <c r="U423" i="2"/>
  <c r="AE422" i="2"/>
  <c r="AD422" i="2"/>
  <c r="AC422" i="2"/>
  <c r="AB422" i="2"/>
  <c r="AA422" i="2"/>
  <c r="Z422" i="2"/>
  <c r="X422" i="2"/>
  <c r="W422" i="2"/>
  <c r="V422" i="2"/>
  <c r="U422" i="2"/>
  <c r="AE421" i="2"/>
  <c r="AD421" i="2"/>
  <c r="AC421" i="2"/>
  <c r="AB421" i="2"/>
  <c r="AA421" i="2"/>
  <c r="Z421" i="2"/>
  <c r="X421" i="2"/>
  <c r="W421" i="2"/>
  <c r="V421" i="2"/>
  <c r="U421" i="2"/>
  <c r="AE420" i="2"/>
  <c r="AD420" i="2"/>
  <c r="AC420" i="2"/>
  <c r="AB420" i="2"/>
  <c r="AA420" i="2"/>
  <c r="Z420" i="2"/>
  <c r="X420" i="2"/>
  <c r="W420" i="2"/>
  <c r="V420" i="2"/>
  <c r="U420" i="2"/>
  <c r="AE419" i="2"/>
  <c r="AD419" i="2"/>
  <c r="AC419" i="2"/>
  <c r="AB419" i="2"/>
  <c r="AA419" i="2"/>
  <c r="Z419" i="2"/>
  <c r="X419" i="2"/>
  <c r="W419" i="2"/>
  <c r="V419" i="2"/>
  <c r="U419" i="2"/>
  <c r="AE418" i="2"/>
  <c r="AD418" i="2"/>
  <c r="AC418" i="2"/>
  <c r="AB418" i="2"/>
  <c r="AA418" i="2"/>
  <c r="Z418" i="2"/>
  <c r="X418" i="2"/>
  <c r="W418" i="2"/>
  <c r="V418" i="2"/>
  <c r="U418" i="2"/>
  <c r="AE417" i="2"/>
  <c r="AD417" i="2"/>
  <c r="AC417" i="2"/>
  <c r="AB417" i="2"/>
  <c r="AA417" i="2"/>
  <c r="Z417" i="2"/>
  <c r="X417" i="2"/>
  <c r="W417" i="2"/>
  <c r="V417" i="2"/>
  <c r="U417" i="2"/>
  <c r="AE416" i="2"/>
  <c r="AD416" i="2"/>
  <c r="AC416" i="2"/>
  <c r="AB416" i="2"/>
  <c r="AA416" i="2"/>
  <c r="Z416" i="2"/>
  <c r="X416" i="2"/>
  <c r="W416" i="2"/>
  <c r="V416" i="2"/>
  <c r="U416" i="2"/>
  <c r="AE415" i="2"/>
  <c r="AD415" i="2"/>
  <c r="AC415" i="2"/>
  <c r="AB415" i="2"/>
  <c r="AA415" i="2"/>
  <c r="Z415" i="2"/>
  <c r="X415" i="2"/>
  <c r="W415" i="2"/>
  <c r="V415" i="2"/>
  <c r="U415" i="2"/>
  <c r="AE414" i="2"/>
  <c r="AD414" i="2"/>
  <c r="AC414" i="2"/>
  <c r="AB414" i="2"/>
  <c r="AA414" i="2"/>
  <c r="Z414" i="2"/>
  <c r="X414" i="2"/>
  <c r="W414" i="2"/>
  <c r="V414" i="2"/>
  <c r="U414" i="2"/>
  <c r="AE413" i="2"/>
  <c r="AD413" i="2"/>
  <c r="AC413" i="2"/>
  <c r="AB413" i="2"/>
  <c r="AA413" i="2"/>
  <c r="Z413" i="2"/>
  <c r="X413" i="2"/>
  <c r="W413" i="2"/>
  <c r="V413" i="2"/>
  <c r="U413" i="2"/>
  <c r="AE412" i="2"/>
  <c r="AD412" i="2"/>
  <c r="AC412" i="2"/>
  <c r="AB412" i="2"/>
  <c r="AA412" i="2"/>
  <c r="Z412" i="2"/>
  <c r="X412" i="2"/>
  <c r="W412" i="2"/>
  <c r="V412" i="2"/>
  <c r="U412" i="2"/>
  <c r="AE411" i="2"/>
  <c r="AD411" i="2"/>
  <c r="AC411" i="2"/>
  <c r="AB411" i="2"/>
  <c r="AA411" i="2"/>
  <c r="Z411" i="2"/>
  <c r="X411" i="2"/>
  <c r="W411" i="2"/>
  <c r="V411" i="2"/>
  <c r="U411" i="2"/>
  <c r="AE410" i="2"/>
  <c r="AD410" i="2"/>
  <c r="AC410" i="2"/>
  <c r="AB410" i="2"/>
  <c r="AA410" i="2"/>
  <c r="Z410" i="2"/>
  <c r="X410" i="2"/>
  <c r="W410" i="2"/>
  <c r="V410" i="2"/>
  <c r="U410" i="2"/>
  <c r="AE409" i="2"/>
  <c r="AD409" i="2"/>
  <c r="AC409" i="2"/>
  <c r="AB409" i="2"/>
  <c r="AA409" i="2"/>
  <c r="Z409" i="2"/>
  <c r="X409" i="2"/>
  <c r="W409" i="2"/>
  <c r="V409" i="2"/>
  <c r="U409" i="2"/>
  <c r="AE408" i="2"/>
  <c r="AD408" i="2"/>
  <c r="AC408" i="2"/>
  <c r="AB408" i="2"/>
  <c r="AA408" i="2"/>
  <c r="Z408" i="2"/>
  <c r="X408" i="2"/>
  <c r="W408" i="2"/>
  <c r="V408" i="2"/>
  <c r="U408" i="2"/>
  <c r="AE407" i="2"/>
  <c r="AD407" i="2"/>
  <c r="AC407" i="2"/>
  <c r="AB407" i="2"/>
  <c r="AA407" i="2"/>
  <c r="Z407" i="2"/>
  <c r="X407" i="2"/>
  <c r="W407" i="2"/>
  <c r="V407" i="2"/>
  <c r="U407" i="2"/>
  <c r="AE406" i="2"/>
  <c r="AD406" i="2"/>
  <c r="AC406" i="2"/>
  <c r="AB406" i="2"/>
  <c r="AA406" i="2"/>
  <c r="Z406" i="2"/>
  <c r="X406" i="2"/>
  <c r="W406" i="2"/>
  <c r="V406" i="2"/>
  <c r="U406" i="2"/>
  <c r="AE405" i="2"/>
  <c r="AD405" i="2"/>
  <c r="AC405" i="2"/>
  <c r="AB405" i="2"/>
  <c r="AA405" i="2"/>
  <c r="Z405" i="2"/>
  <c r="X405" i="2"/>
  <c r="W405" i="2"/>
  <c r="V405" i="2"/>
  <c r="U405" i="2"/>
  <c r="AE404" i="2"/>
  <c r="AD404" i="2"/>
  <c r="AC404" i="2"/>
  <c r="AB404" i="2"/>
  <c r="AA404" i="2"/>
  <c r="Z404" i="2"/>
  <c r="X404" i="2"/>
  <c r="W404" i="2"/>
  <c r="V404" i="2"/>
  <c r="U404" i="2"/>
  <c r="AE403" i="2"/>
  <c r="AD403" i="2"/>
  <c r="AC403" i="2"/>
  <c r="AB403" i="2"/>
  <c r="AA403" i="2"/>
  <c r="Z403" i="2"/>
  <c r="X403" i="2"/>
  <c r="W403" i="2"/>
  <c r="V403" i="2"/>
  <c r="U403" i="2"/>
  <c r="AE402" i="2"/>
  <c r="AD402" i="2"/>
  <c r="AC402" i="2"/>
  <c r="AB402" i="2"/>
  <c r="AA402" i="2"/>
  <c r="Z402" i="2"/>
  <c r="X402" i="2"/>
  <c r="W402" i="2"/>
  <c r="V402" i="2"/>
  <c r="U402" i="2"/>
  <c r="AE401" i="2"/>
  <c r="AD401" i="2"/>
  <c r="AC401" i="2"/>
  <c r="AB401" i="2"/>
  <c r="AA401" i="2"/>
  <c r="Z401" i="2"/>
  <c r="X401" i="2"/>
  <c r="W401" i="2"/>
  <c r="V401" i="2"/>
  <c r="U401" i="2"/>
  <c r="AE400" i="2"/>
  <c r="AD400" i="2"/>
  <c r="AC400" i="2"/>
  <c r="AB400" i="2"/>
  <c r="AA400" i="2"/>
  <c r="Z400" i="2"/>
  <c r="X400" i="2"/>
  <c r="W400" i="2"/>
  <c r="V400" i="2"/>
  <c r="U400" i="2"/>
  <c r="AE399" i="2"/>
  <c r="AD399" i="2"/>
  <c r="AC399" i="2"/>
  <c r="AB399" i="2"/>
  <c r="AA399" i="2"/>
  <c r="Z399" i="2"/>
  <c r="X399" i="2"/>
  <c r="W399" i="2"/>
  <c r="V399" i="2"/>
  <c r="U399" i="2"/>
  <c r="AE398" i="2"/>
  <c r="AD398" i="2"/>
  <c r="AC398" i="2"/>
  <c r="AB398" i="2"/>
  <c r="AA398" i="2"/>
  <c r="Z398" i="2"/>
  <c r="X398" i="2"/>
  <c r="W398" i="2"/>
  <c r="V398" i="2"/>
  <c r="U398" i="2"/>
  <c r="AE397" i="2"/>
  <c r="AD397" i="2"/>
  <c r="AC397" i="2"/>
  <c r="AB397" i="2"/>
  <c r="AA397" i="2"/>
  <c r="Z397" i="2"/>
  <c r="X397" i="2"/>
  <c r="W397" i="2"/>
  <c r="V397" i="2"/>
  <c r="U397" i="2"/>
  <c r="AE396" i="2"/>
  <c r="AD396" i="2"/>
  <c r="AC396" i="2"/>
  <c r="AB396" i="2"/>
  <c r="AA396" i="2"/>
  <c r="Z396" i="2"/>
  <c r="X396" i="2"/>
  <c r="W396" i="2"/>
  <c r="V396" i="2"/>
  <c r="U396" i="2"/>
  <c r="AE395" i="2"/>
  <c r="AD395" i="2"/>
  <c r="AC395" i="2"/>
  <c r="AB395" i="2"/>
  <c r="AA395" i="2"/>
  <c r="Z395" i="2"/>
  <c r="X395" i="2"/>
  <c r="W395" i="2"/>
  <c r="V395" i="2"/>
  <c r="U395" i="2"/>
  <c r="AE394" i="2"/>
  <c r="AD394" i="2"/>
  <c r="AC394" i="2"/>
  <c r="AB394" i="2"/>
  <c r="AA394" i="2"/>
  <c r="Z394" i="2"/>
  <c r="X394" i="2"/>
  <c r="W394" i="2"/>
  <c r="V394" i="2"/>
  <c r="U394" i="2"/>
  <c r="AE393" i="2"/>
  <c r="AD393" i="2"/>
  <c r="AC393" i="2"/>
  <c r="AB393" i="2"/>
  <c r="AA393" i="2"/>
  <c r="Z393" i="2"/>
  <c r="X393" i="2"/>
  <c r="W393" i="2"/>
  <c r="V393" i="2"/>
  <c r="U393" i="2"/>
  <c r="AE392" i="2"/>
  <c r="AD392" i="2"/>
  <c r="AC392" i="2"/>
  <c r="AB392" i="2"/>
  <c r="AA392" i="2"/>
  <c r="Z392" i="2"/>
  <c r="X392" i="2"/>
  <c r="W392" i="2"/>
  <c r="V392" i="2"/>
  <c r="U392" i="2"/>
  <c r="AE391" i="2"/>
  <c r="AD391" i="2"/>
  <c r="AC391" i="2"/>
  <c r="AB391" i="2"/>
  <c r="AA391" i="2"/>
  <c r="Z391" i="2"/>
  <c r="X391" i="2"/>
  <c r="W391" i="2"/>
  <c r="V391" i="2"/>
  <c r="U391" i="2"/>
  <c r="AE390" i="2"/>
  <c r="AD390" i="2"/>
  <c r="AC390" i="2"/>
  <c r="AB390" i="2"/>
  <c r="AA390" i="2"/>
  <c r="Z390" i="2"/>
  <c r="X390" i="2"/>
  <c r="W390" i="2"/>
  <c r="V390" i="2"/>
  <c r="U390" i="2"/>
  <c r="AE389" i="2"/>
  <c r="AD389" i="2"/>
  <c r="AC389" i="2"/>
  <c r="AB389" i="2"/>
  <c r="AA389" i="2"/>
  <c r="Z389" i="2"/>
  <c r="X389" i="2"/>
  <c r="W389" i="2"/>
  <c r="V389" i="2"/>
  <c r="U389" i="2"/>
  <c r="AE388" i="2"/>
  <c r="AD388" i="2"/>
  <c r="AC388" i="2"/>
  <c r="AB388" i="2"/>
  <c r="AA388" i="2"/>
  <c r="Z388" i="2"/>
  <c r="X388" i="2"/>
  <c r="W388" i="2"/>
  <c r="V388" i="2"/>
  <c r="U388" i="2"/>
  <c r="AE387" i="2"/>
  <c r="AD387" i="2"/>
  <c r="AC387" i="2"/>
  <c r="AB387" i="2"/>
  <c r="AA387" i="2"/>
  <c r="Z387" i="2"/>
  <c r="X387" i="2"/>
  <c r="W387" i="2"/>
  <c r="V387" i="2"/>
  <c r="U387" i="2"/>
  <c r="AE386" i="2"/>
  <c r="AD386" i="2"/>
  <c r="AC386" i="2"/>
  <c r="AB386" i="2"/>
  <c r="AA386" i="2"/>
  <c r="Z386" i="2"/>
  <c r="X386" i="2"/>
  <c r="W386" i="2"/>
  <c r="V386" i="2"/>
  <c r="U386" i="2"/>
  <c r="AE385" i="2"/>
  <c r="AD385" i="2"/>
  <c r="AC385" i="2"/>
  <c r="AB385" i="2"/>
  <c r="AA385" i="2"/>
  <c r="Z385" i="2"/>
  <c r="X385" i="2"/>
  <c r="W385" i="2"/>
  <c r="V385" i="2"/>
  <c r="U385" i="2"/>
  <c r="AE384" i="2"/>
  <c r="AD384" i="2"/>
  <c r="AC384" i="2"/>
  <c r="AB384" i="2"/>
  <c r="AA384" i="2"/>
  <c r="Z384" i="2"/>
  <c r="X384" i="2"/>
  <c r="W384" i="2"/>
  <c r="V384" i="2"/>
  <c r="U384" i="2"/>
  <c r="AE383" i="2"/>
  <c r="AD383" i="2"/>
  <c r="AC383" i="2"/>
  <c r="AB383" i="2"/>
  <c r="AA383" i="2"/>
  <c r="Z383" i="2"/>
  <c r="X383" i="2"/>
  <c r="W383" i="2"/>
  <c r="V383" i="2"/>
  <c r="U383" i="2"/>
  <c r="AE382" i="2"/>
  <c r="AD382" i="2"/>
  <c r="AC382" i="2"/>
  <c r="AB382" i="2"/>
  <c r="AA382" i="2"/>
  <c r="Z382" i="2"/>
  <c r="X382" i="2"/>
  <c r="W382" i="2"/>
  <c r="V382" i="2"/>
  <c r="U382" i="2"/>
  <c r="AE381" i="2"/>
  <c r="AD381" i="2"/>
  <c r="AC381" i="2"/>
  <c r="AB381" i="2"/>
  <c r="AA381" i="2"/>
  <c r="Z381" i="2"/>
  <c r="X381" i="2"/>
  <c r="W381" i="2"/>
  <c r="V381" i="2"/>
  <c r="U381" i="2"/>
  <c r="AE380" i="2"/>
  <c r="AD380" i="2"/>
  <c r="AC380" i="2"/>
  <c r="AB380" i="2"/>
  <c r="AA380" i="2"/>
  <c r="Z380" i="2"/>
  <c r="X380" i="2"/>
  <c r="W380" i="2"/>
  <c r="V380" i="2"/>
  <c r="U380" i="2"/>
  <c r="AE379" i="2"/>
  <c r="AD379" i="2"/>
  <c r="AC379" i="2"/>
  <c r="AB379" i="2"/>
  <c r="AA379" i="2"/>
  <c r="Z379" i="2"/>
  <c r="X379" i="2"/>
  <c r="W379" i="2"/>
  <c r="V379" i="2"/>
  <c r="U379" i="2"/>
  <c r="AE378" i="2"/>
  <c r="AD378" i="2"/>
  <c r="AC378" i="2"/>
  <c r="AB378" i="2"/>
  <c r="AA378" i="2"/>
  <c r="Z378" i="2"/>
  <c r="X378" i="2"/>
  <c r="W378" i="2"/>
  <c r="V378" i="2"/>
  <c r="U378" i="2"/>
  <c r="AE377" i="2"/>
  <c r="AD377" i="2"/>
  <c r="AC377" i="2"/>
  <c r="AB377" i="2"/>
  <c r="AA377" i="2"/>
  <c r="Z377" i="2"/>
  <c r="X377" i="2"/>
  <c r="W377" i="2"/>
  <c r="V377" i="2"/>
  <c r="U377" i="2"/>
  <c r="AE376" i="2"/>
  <c r="AD376" i="2"/>
  <c r="AC376" i="2"/>
  <c r="AB376" i="2"/>
  <c r="AA376" i="2"/>
  <c r="Z376" i="2"/>
  <c r="X376" i="2"/>
  <c r="W376" i="2"/>
  <c r="V376" i="2"/>
  <c r="U376" i="2"/>
  <c r="AE375" i="2"/>
  <c r="AD375" i="2"/>
  <c r="AC375" i="2"/>
  <c r="AB375" i="2"/>
  <c r="AA375" i="2"/>
  <c r="Z375" i="2"/>
  <c r="X375" i="2"/>
  <c r="W375" i="2"/>
  <c r="V375" i="2"/>
  <c r="U375" i="2"/>
  <c r="AE374" i="2"/>
  <c r="AD374" i="2"/>
  <c r="AC374" i="2"/>
  <c r="AB374" i="2"/>
  <c r="AA374" i="2"/>
  <c r="Z374" i="2"/>
  <c r="X374" i="2"/>
  <c r="W374" i="2"/>
  <c r="V374" i="2"/>
  <c r="U374" i="2"/>
  <c r="AE373" i="2"/>
  <c r="AD373" i="2"/>
  <c r="AC373" i="2"/>
  <c r="AB373" i="2"/>
  <c r="AA373" i="2"/>
  <c r="Z373" i="2"/>
  <c r="X373" i="2"/>
  <c r="W373" i="2"/>
  <c r="V373" i="2"/>
  <c r="U373" i="2"/>
  <c r="AE372" i="2"/>
  <c r="AD372" i="2"/>
  <c r="AC372" i="2"/>
  <c r="AB372" i="2"/>
  <c r="AA372" i="2"/>
  <c r="Z372" i="2"/>
  <c r="X372" i="2"/>
  <c r="W372" i="2"/>
  <c r="V372" i="2"/>
  <c r="U372" i="2"/>
  <c r="AE371" i="2"/>
  <c r="AD371" i="2"/>
  <c r="AC371" i="2"/>
  <c r="AB371" i="2"/>
  <c r="AA371" i="2"/>
  <c r="Z371" i="2"/>
  <c r="X371" i="2"/>
  <c r="W371" i="2"/>
  <c r="V371" i="2"/>
  <c r="U371" i="2"/>
  <c r="AE370" i="2"/>
  <c r="AD370" i="2"/>
  <c r="AC370" i="2"/>
  <c r="AB370" i="2"/>
  <c r="AA370" i="2"/>
  <c r="Z370" i="2"/>
  <c r="X370" i="2"/>
  <c r="W370" i="2"/>
  <c r="V370" i="2"/>
  <c r="U370" i="2"/>
  <c r="AE369" i="2"/>
  <c r="AD369" i="2"/>
  <c r="AC369" i="2"/>
  <c r="AB369" i="2"/>
  <c r="AA369" i="2"/>
  <c r="Z369" i="2"/>
  <c r="X369" i="2"/>
  <c r="W369" i="2"/>
  <c r="V369" i="2"/>
  <c r="U369" i="2"/>
  <c r="AE368" i="2"/>
  <c r="AD368" i="2"/>
  <c r="AC368" i="2"/>
  <c r="AB368" i="2"/>
  <c r="AA368" i="2"/>
  <c r="Z368" i="2"/>
  <c r="X368" i="2"/>
  <c r="W368" i="2"/>
  <c r="V368" i="2"/>
  <c r="U368" i="2"/>
  <c r="AE367" i="2"/>
  <c r="AD367" i="2"/>
  <c r="AC367" i="2"/>
  <c r="AB367" i="2"/>
  <c r="AA367" i="2"/>
  <c r="Z367" i="2"/>
  <c r="X367" i="2"/>
  <c r="W367" i="2"/>
  <c r="V367" i="2"/>
  <c r="U367" i="2"/>
  <c r="AE366" i="2"/>
  <c r="AD366" i="2"/>
  <c r="AC366" i="2"/>
  <c r="AB366" i="2"/>
  <c r="AA366" i="2"/>
  <c r="Z366" i="2"/>
  <c r="X366" i="2"/>
  <c r="W366" i="2"/>
  <c r="V366" i="2"/>
  <c r="U366" i="2"/>
  <c r="AE365" i="2"/>
  <c r="AD365" i="2"/>
  <c r="AC365" i="2"/>
  <c r="AB365" i="2"/>
  <c r="AA365" i="2"/>
  <c r="Z365" i="2"/>
  <c r="X365" i="2"/>
  <c r="W365" i="2"/>
  <c r="V365" i="2"/>
  <c r="U365" i="2"/>
  <c r="AE364" i="2"/>
  <c r="AD364" i="2"/>
  <c r="AC364" i="2"/>
  <c r="AB364" i="2"/>
  <c r="AA364" i="2"/>
  <c r="Z364" i="2"/>
  <c r="X364" i="2"/>
  <c r="W364" i="2"/>
  <c r="V364" i="2"/>
  <c r="U364" i="2"/>
  <c r="AE363" i="2"/>
  <c r="AD363" i="2"/>
  <c r="AC363" i="2"/>
  <c r="AB363" i="2"/>
  <c r="AA363" i="2"/>
  <c r="Z363" i="2"/>
  <c r="X363" i="2"/>
  <c r="W363" i="2"/>
  <c r="V363" i="2"/>
  <c r="U363" i="2"/>
  <c r="AE362" i="2"/>
  <c r="AD362" i="2"/>
  <c r="AC362" i="2"/>
  <c r="AB362" i="2"/>
  <c r="AA362" i="2"/>
  <c r="Z362" i="2"/>
  <c r="X362" i="2"/>
  <c r="W362" i="2"/>
  <c r="V362" i="2"/>
  <c r="U362" i="2"/>
  <c r="AE361" i="2"/>
  <c r="AD361" i="2"/>
  <c r="AC361" i="2"/>
  <c r="AB361" i="2"/>
  <c r="AA361" i="2"/>
  <c r="Z361" i="2"/>
  <c r="X361" i="2"/>
  <c r="W361" i="2"/>
  <c r="V361" i="2"/>
  <c r="U361" i="2"/>
  <c r="AE360" i="2"/>
  <c r="AD360" i="2"/>
  <c r="AC360" i="2"/>
  <c r="AB360" i="2"/>
  <c r="AA360" i="2"/>
  <c r="Z360" i="2"/>
  <c r="X360" i="2"/>
  <c r="W360" i="2"/>
  <c r="V360" i="2"/>
  <c r="U360" i="2"/>
  <c r="AE359" i="2"/>
  <c r="AD359" i="2"/>
  <c r="AC359" i="2"/>
  <c r="AB359" i="2"/>
  <c r="AA359" i="2"/>
  <c r="Z359" i="2"/>
  <c r="X359" i="2"/>
  <c r="W359" i="2"/>
  <c r="V359" i="2"/>
  <c r="U359" i="2"/>
  <c r="AE358" i="2"/>
  <c r="AD358" i="2"/>
  <c r="AC358" i="2"/>
  <c r="AB358" i="2"/>
  <c r="AA358" i="2"/>
  <c r="Z358" i="2"/>
  <c r="X358" i="2"/>
  <c r="W358" i="2"/>
  <c r="V358" i="2"/>
  <c r="U358" i="2"/>
  <c r="AE357" i="2"/>
  <c r="AD357" i="2"/>
  <c r="AC357" i="2"/>
  <c r="AB357" i="2"/>
  <c r="AA357" i="2"/>
  <c r="Z357" i="2"/>
  <c r="X357" i="2"/>
  <c r="W357" i="2"/>
  <c r="V357" i="2"/>
  <c r="U357" i="2"/>
  <c r="AE356" i="2"/>
  <c r="AD356" i="2"/>
  <c r="AC356" i="2"/>
  <c r="AB356" i="2"/>
  <c r="AA356" i="2"/>
  <c r="Z356" i="2"/>
  <c r="X356" i="2"/>
  <c r="W356" i="2"/>
  <c r="V356" i="2"/>
  <c r="U356" i="2"/>
  <c r="AE355" i="2"/>
  <c r="AD355" i="2"/>
  <c r="AC355" i="2"/>
  <c r="AB355" i="2"/>
  <c r="AA355" i="2"/>
  <c r="Z355" i="2"/>
  <c r="X355" i="2"/>
  <c r="W355" i="2"/>
  <c r="V355" i="2"/>
  <c r="U355" i="2"/>
  <c r="AE354" i="2"/>
  <c r="AD354" i="2"/>
  <c r="AC354" i="2"/>
  <c r="AB354" i="2"/>
  <c r="AA354" i="2"/>
  <c r="Z354" i="2"/>
  <c r="X354" i="2"/>
  <c r="W354" i="2"/>
  <c r="V354" i="2"/>
  <c r="U354" i="2"/>
  <c r="AE353" i="2"/>
  <c r="AD353" i="2"/>
  <c r="AC353" i="2"/>
  <c r="AB353" i="2"/>
  <c r="AA353" i="2"/>
  <c r="Z353" i="2"/>
  <c r="X353" i="2"/>
  <c r="W353" i="2"/>
  <c r="V353" i="2"/>
  <c r="U353" i="2"/>
  <c r="AE352" i="2"/>
  <c r="AD352" i="2"/>
  <c r="AC352" i="2"/>
  <c r="AB352" i="2"/>
  <c r="AA352" i="2"/>
  <c r="Z352" i="2"/>
  <c r="X352" i="2"/>
  <c r="W352" i="2"/>
  <c r="V352" i="2"/>
  <c r="U352" i="2"/>
  <c r="AE351" i="2"/>
  <c r="AD351" i="2"/>
  <c r="AC351" i="2"/>
  <c r="AB351" i="2"/>
  <c r="AA351" i="2"/>
  <c r="Z351" i="2"/>
  <c r="X351" i="2"/>
  <c r="W351" i="2"/>
  <c r="V351" i="2"/>
  <c r="U351" i="2"/>
  <c r="AE350" i="2"/>
  <c r="AD350" i="2"/>
  <c r="AC350" i="2"/>
  <c r="AB350" i="2"/>
  <c r="AA350" i="2"/>
  <c r="Z350" i="2"/>
  <c r="X350" i="2"/>
  <c r="W350" i="2"/>
  <c r="V350" i="2"/>
  <c r="U350" i="2"/>
  <c r="AE349" i="2"/>
  <c r="AD349" i="2"/>
  <c r="AC349" i="2"/>
  <c r="AB349" i="2"/>
  <c r="AA349" i="2"/>
  <c r="Z349" i="2"/>
  <c r="X349" i="2"/>
  <c r="W349" i="2"/>
  <c r="V349" i="2"/>
  <c r="U349" i="2"/>
  <c r="AE348" i="2"/>
  <c r="AD348" i="2"/>
  <c r="AC348" i="2"/>
  <c r="AB348" i="2"/>
  <c r="AA348" i="2"/>
  <c r="Z348" i="2"/>
  <c r="X348" i="2"/>
  <c r="W348" i="2"/>
  <c r="V348" i="2"/>
  <c r="U348" i="2"/>
  <c r="AE347" i="2"/>
  <c r="AD347" i="2"/>
  <c r="AC347" i="2"/>
  <c r="AB347" i="2"/>
  <c r="AA347" i="2"/>
  <c r="Z347" i="2"/>
  <c r="X347" i="2"/>
  <c r="W347" i="2"/>
  <c r="V347" i="2"/>
  <c r="U347" i="2"/>
  <c r="AE346" i="2"/>
  <c r="AD346" i="2"/>
  <c r="AC346" i="2"/>
  <c r="AB346" i="2"/>
  <c r="AA346" i="2"/>
  <c r="Z346" i="2"/>
  <c r="X346" i="2"/>
  <c r="W346" i="2"/>
  <c r="V346" i="2"/>
  <c r="U346" i="2"/>
  <c r="AE345" i="2"/>
  <c r="AD345" i="2"/>
  <c r="AC345" i="2"/>
  <c r="AB345" i="2"/>
  <c r="AA345" i="2"/>
  <c r="Z345" i="2"/>
  <c r="X345" i="2"/>
  <c r="W345" i="2"/>
  <c r="V345" i="2"/>
  <c r="U345" i="2"/>
  <c r="AE344" i="2"/>
  <c r="AD344" i="2"/>
  <c r="AC344" i="2"/>
  <c r="AB344" i="2"/>
  <c r="AA344" i="2"/>
  <c r="Z344" i="2"/>
  <c r="X344" i="2"/>
  <c r="W344" i="2"/>
  <c r="V344" i="2"/>
  <c r="U344" i="2"/>
  <c r="AE343" i="2"/>
  <c r="AD343" i="2"/>
  <c r="AC343" i="2"/>
  <c r="AB343" i="2"/>
  <c r="AA343" i="2"/>
  <c r="Z343" i="2"/>
  <c r="X343" i="2"/>
  <c r="W343" i="2"/>
  <c r="V343" i="2"/>
  <c r="U343" i="2"/>
  <c r="AE342" i="2"/>
  <c r="AD342" i="2"/>
  <c r="AC342" i="2"/>
  <c r="AB342" i="2"/>
  <c r="AA342" i="2"/>
  <c r="Z342" i="2"/>
  <c r="X342" i="2"/>
  <c r="W342" i="2"/>
  <c r="V342" i="2"/>
  <c r="U342" i="2"/>
  <c r="AE341" i="2"/>
  <c r="AD341" i="2"/>
  <c r="AC341" i="2"/>
  <c r="AB341" i="2"/>
  <c r="AA341" i="2"/>
  <c r="Z341" i="2"/>
  <c r="X341" i="2"/>
  <c r="W341" i="2"/>
  <c r="V341" i="2"/>
  <c r="U341" i="2"/>
  <c r="AE340" i="2"/>
  <c r="AD340" i="2"/>
  <c r="AC340" i="2"/>
  <c r="AB340" i="2"/>
  <c r="AA340" i="2"/>
  <c r="Z340" i="2"/>
  <c r="X340" i="2"/>
  <c r="W340" i="2"/>
  <c r="V340" i="2"/>
  <c r="U340" i="2"/>
  <c r="AE339" i="2"/>
  <c r="AD339" i="2"/>
  <c r="AC339" i="2"/>
  <c r="AB339" i="2"/>
  <c r="AA339" i="2"/>
  <c r="Z339" i="2"/>
  <c r="X339" i="2"/>
  <c r="W339" i="2"/>
  <c r="V339" i="2"/>
  <c r="U339" i="2"/>
  <c r="AE338" i="2"/>
  <c r="AD338" i="2"/>
  <c r="AC338" i="2"/>
  <c r="AB338" i="2"/>
  <c r="AA338" i="2"/>
  <c r="Z338" i="2"/>
  <c r="X338" i="2"/>
  <c r="W338" i="2"/>
  <c r="V338" i="2"/>
  <c r="U338" i="2"/>
  <c r="AE337" i="2"/>
  <c r="AD337" i="2"/>
  <c r="AC337" i="2"/>
  <c r="AB337" i="2"/>
  <c r="AA337" i="2"/>
  <c r="Z337" i="2"/>
  <c r="X337" i="2"/>
  <c r="W337" i="2"/>
  <c r="V337" i="2"/>
  <c r="U337" i="2"/>
  <c r="AE336" i="2"/>
  <c r="AD336" i="2"/>
  <c r="AC336" i="2"/>
  <c r="AB336" i="2"/>
  <c r="AA336" i="2"/>
  <c r="Z336" i="2"/>
  <c r="X336" i="2"/>
  <c r="W336" i="2"/>
  <c r="V336" i="2"/>
  <c r="U336" i="2"/>
  <c r="AE335" i="2"/>
  <c r="AD335" i="2"/>
  <c r="AC335" i="2"/>
  <c r="AB335" i="2"/>
  <c r="AA335" i="2"/>
  <c r="Z335" i="2"/>
  <c r="X335" i="2"/>
  <c r="W335" i="2"/>
  <c r="V335" i="2"/>
  <c r="U335" i="2"/>
  <c r="AE334" i="2"/>
  <c r="AD334" i="2"/>
  <c r="AC334" i="2"/>
  <c r="AB334" i="2"/>
  <c r="AA334" i="2"/>
  <c r="Z334" i="2"/>
  <c r="X334" i="2"/>
  <c r="W334" i="2"/>
  <c r="V334" i="2"/>
  <c r="U334" i="2"/>
  <c r="AE333" i="2"/>
  <c r="AD333" i="2"/>
  <c r="AC333" i="2"/>
  <c r="AB333" i="2"/>
  <c r="AA333" i="2"/>
  <c r="Z333" i="2"/>
  <c r="X333" i="2"/>
  <c r="W333" i="2"/>
  <c r="V333" i="2"/>
  <c r="U333" i="2"/>
  <c r="AE332" i="2"/>
  <c r="AD332" i="2"/>
  <c r="AC332" i="2"/>
  <c r="AB332" i="2"/>
  <c r="AA332" i="2"/>
  <c r="Z332" i="2"/>
  <c r="X332" i="2"/>
  <c r="W332" i="2"/>
  <c r="V332" i="2"/>
  <c r="U332" i="2"/>
  <c r="AE331" i="2"/>
  <c r="AD331" i="2"/>
  <c r="AC331" i="2"/>
  <c r="AB331" i="2"/>
  <c r="AA331" i="2"/>
  <c r="Z331" i="2"/>
  <c r="X331" i="2"/>
  <c r="W331" i="2"/>
  <c r="V331" i="2"/>
  <c r="U331" i="2"/>
  <c r="AE330" i="2"/>
  <c r="AD330" i="2"/>
  <c r="AC330" i="2"/>
  <c r="AB330" i="2"/>
  <c r="AA330" i="2"/>
  <c r="Z330" i="2"/>
  <c r="X330" i="2"/>
  <c r="W330" i="2"/>
  <c r="V330" i="2"/>
  <c r="U330" i="2"/>
  <c r="AE329" i="2"/>
  <c r="AD329" i="2"/>
  <c r="AC329" i="2"/>
  <c r="AB329" i="2"/>
  <c r="AA329" i="2"/>
  <c r="Z329" i="2"/>
  <c r="X329" i="2"/>
  <c r="W329" i="2"/>
  <c r="V329" i="2"/>
  <c r="U329" i="2"/>
  <c r="AE328" i="2"/>
  <c r="AD328" i="2"/>
  <c r="AC328" i="2"/>
  <c r="AB328" i="2"/>
  <c r="AA328" i="2"/>
  <c r="Z328" i="2"/>
  <c r="X328" i="2"/>
  <c r="W328" i="2"/>
  <c r="V328" i="2"/>
  <c r="U328" i="2"/>
  <c r="AE327" i="2"/>
  <c r="AD327" i="2"/>
  <c r="AC327" i="2"/>
  <c r="AB327" i="2"/>
  <c r="AA327" i="2"/>
  <c r="Z327" i="2"/>
  <c r="X327" i="2"/>
  <c r="W327" i="2"/>
  <c r="V327" i="2"/>
  <c r="U327" i="2"/>
  <c r="AE326" i="2"/>
  <c r="AD326" i="2"/>
  <c r="AC326" i="2"/>
  <c r="AB326" i="2"/>
  <c r="AA326" i="2"/>
  <c r="Z326" i="2"/>
  <c r="X326" i="2"/>
  <c r="W326" i="2"/>
  <c r="V326" i="2"/>
  <c r="U326" i="2"/>
  <c r="AE325" i="2"/>
  <c r="AD325" i="2"/>
  <c r="AC325" i="2"/>
  <c r="AB325" i="2"/>
  <c r="AA325" i="2"/>
  <c r="Z325" i="2"/>
  <c r="X325" i="2"/>
  <c r="W325" i="2"/>
  <c r="V325" i="2"/>
  <c r="U325" i="2"/>
  <c r="AE324" i="2"/>
  <c r="AD324" i="2"/>
  <c r="AC324" i="2"/>
  <c r="AB324" i="2"/>
  <c r="AA324" i="2"/>
  <c r="Z324" i="2"/>
  <c r="X324" i="2"/>
  <c r="W324" i="2"/>
  <c r="V324" i="2"/>
  <c r="U324" i="2"/>
  <c r="AE323" i="2"/>
  <c r="AD323" i="2"/>
  <c r="AC323" i="2"/>
  <c r="AB323" i="2"/>
  <c r="AA323" i="2"/>
  <c r="Z323" i="2"/>
  <c r="X323" i="2"/>
  <c r="W323" i="2"/>
  <c r="V323" i="2"/>
  <c r="U323" i="2"/>
  <c r="AE322" i="2"/>
  <c r="AD322" i="2"/>
  <c r="AC322" i="2"/>
  <c r="AB322" i="2"/>
  <c r="AA322" i="2"/>
  <c r="Z322" i="2"/>
  <c r="X322" i="2"/>
  <c r="W322" i="2"/>
  <c r="V322" i="2"/>
  <c r="U322" i="2"/>
  <c r="AE321" i="2"/>
  <c r="AD321" i="2"/>
  <c r="AC321" i="2"/>
  <c r="AB321" i="2"/>
  <c r="AA321" i="2"/>
  <c r="Z321" i="2"/>
  <c r="X321" i="2"/>
  <c r="W321" i="2"/>
  <c r="V321" i="2"/>
  <c r="U321" i="2"/>
  <c r="AE320" i="2"/>
  <c r="AD320" i="2"/>
  <c r="AC320" i="2"/>
  <c r="AB320" i="2"/>
  <c r="AA320" i="2"/>
  <c r="Z320" i="2"/>
  <c r="X320" i="2"/>
  <c r="W320" i="2"/>
  <c r="V320" i="2"/>
  <c r="U320" i="2"/>
  <c r="AE319" i="2"/>
  <c r="AD319" i="2"/>
  <c r="AC319" i="2"/>
  <c r="AB319" i="2"/>
  <c r="AA319" i="2"/>
  <c r="Z319" i="2"/>
  <c r="X319" i="2"/>
  <c r="W319" i="2"/>
  <c r="V319" i="2"/>
  <c r="U319" i="2"/>
  <c r="AE318" i="2"/>
  <c r="AD318" i="2"/>
  <c r="AC318" i="2"/>
  <c r="AB318" i="2"/>
  <c r="AA318" i="2"/>
  <c r="Z318" i="2"/>
  <c r="X318" i="2"/>
  <c r="W318" i="2"/>
  <c r="V318" i="2"/>
  <c r="U318" i="2"/>
  <c r="AE317" i="2"/>
  <c r="AD317" i="2"/>
  <c r="AC317" i="2"/>
  <c r="AB317" i="2"/>
  <c r="AA317" i="2"/>
  <c r="Z317" i="2"/>
  <c r="X317" i="2"/>
  <c r="W317" i="2"/>
  <c r="V317" i="2"/>
  <c r="U317" i="2"/>
  <c r="AE316" i="2"/>
  <c r="AD316" i="2"/>
  <c r="AC316" i="2"/>
  <c r="AB316" i="2"/>
  <c r="AA316" i="2"/>
  <c r="Z316" i="2"/>
  <c r="X316" i="2"/>
  <c r="W316" i="2"/>
  <c r="V316" i="2"/>
  <c r="U316" i="2"/>
  <c r="AE315" i="2"/>
  <c r="AD315" i="2"/>
  <c r="AC315" i="2"/>
  <c r="AB315" i="2"/>
  <c r="AA315" i="2"/>
  <c r="Z315" i="2"/>
  <c r="X315" i="2"/>
  <c r="W315" i="2"/>
  <c r="V315" i="2"/>
  <c r="U315" i="2"/>
  <c r="AE314" i="2"/>
  <c r="AD314" i="2"/>
  <c r="AC314" i="2"/>
  <c r="AB314" i="2"/>
  <c r="AA314" i="2"/>
  <c r="Z314" i="2"/>
  <c r="X314" i="2"/>
  <c r="W314" i="2"/>
  <c r="V314" i="2"/>
  <c r="U314" i="2"/>
  <c r="AE313" i="2"/>
  <c r="AD313" i="2"/>
  <c r="AC313" i="2"/>
  <c r="AB313" i="2"/>
  <c r="AA313" i="2"/>
  <c r="Z313" i="2"/>
  <c r="X313" i="2"/>
  <c r="W313" i="2"/>
  <c r="V313" i="2"/>
  <c r="U313" i="2"/>
  <c r="AE312" i="2"/>
  <c r="AD312" i="2"/>
  <c r="AC312" i="2"/>
  <c r="AB312" i="2"/>
  <c r="AA312" i="2"/>
  <c r="Z312" i="2"/>
  <c r="X312" i="2"/>
  <c r="W312" i="2"/>
  <c r="V312" i="2"/>
  <c r="U312" i="2"/>
  <c r="AE311" i="2"/>
  <c r="AD311" i="2"/>
  <c r="AC311" i="2"/>
  <c r="AB311" i="2"/>
  <c r="AA311" i="2"/>
  <c r="Z311" i="2"/>
  <c r="X311" i="2"/>
  <c r="W311" i="2"/>
  <c r="V311" i="2"/>
  <c r="U311" i="2"/>
  <c r="AE310" i="2"/>
  <c r="AD310" i="2"/>
  <c r="AC310" i="2"/>
  <c r="AB310" i="2"/>
  <c r="AA310" i="2"/>
  <c r="Z310" i="2"/>
  <c r="X310" i="2"/>
  <c r="W310" i="2"/>
  <c r="V310" i="2"/>
  <c r="U310" i="2"/>
  <c r="AE309" i="2"/>
  <c r="AD309" i="2"/>
  <c r="AC309" i="2"/>
  <c r="AB309" i="2"/>
  <c r="AA309" i="2"/>
  <c r="Z309" i="2"/>
  <c r="X309" i="2"/>
  <c r="W309" i="2"/>
  <c r="V309" i="2"/>
  <c r="U309" i="2"/>
  <c r="AE308" i="2"/>
  <c r="AD308" i="2"/>
  <c r="AC308" i="2"/>
  <c r="AB308" i="2"/>
  <c r="AA308" i="2"/>
  <c r="Z308" i="2"/>
  <c r="X308" i="2"/>
  <c r="W308" i="2"/>
  <c r="V308" i="2"/>
  <c r="U308" i="2"/>
  <c r="AE307" i="2"/>
  <c r="AD307" i="2"/>
  <c r="AC307" i="2"/>
  <c r="AB307" i="2"/>
  <c r="AA307" i="2"/>
  <c r="Z307" i="2"/>
  <c r="X307" i="2"/>
  <c r="W307" i="2"/>
  <c r="V307" i="2"/>
  <c r="U307" i="2"/>
  <c r="AE306" i="2"/>
  <c r="AD306" i="2"/>
  <c r="AC306" i="2"/>
  <c r="AB306" i="2"/>
  <c r="AA306" i="2"/>
  <c r="Z306" i="2"/>
  <c r="X306" i="2"/>
  <c r="W306" i="2"/>
  <c r="V306" i="2"/>
  <c r="U306" i="2"/>
  <c r="AE305" i="2"/>
  <c r="AD305" i="2"/>
  <c r="AC305" i="2"/>
  <c r="AB305" i="2"/>
  <c r="AA305" i="2"/>
  <c r="Z305" i="2"/>
  <c r="X305" i="2"/>
  <c r="W305" i="2"/>
  <c r="V305" i="2"/>
  <c r="U305" i="2"/>
  <c r="AE304" i="2"/>
  <c r="AD304" i="2"/>
  <c r="AC304" i="2"/>
  <c r="AB304" i="2"/>
  <c r="AA304" i="2"/>
  <c r="Z304" i="2"/>
  <c r="X304" i="2"/>
  <c r="W304" i="2"/>
  <c r="V304" i="2"/>
  <c r="U304" i="2"/>
  <c r="AE303" i="2"/>
  <c r="AD303" i="2"/>
  <c r="AC303" i="2"/>
  <c r="AB303" i="2"/>
  <c r="AA303" i="2"/>
  <c r="Z303" i="2"/>
  <c r="X303" i="2"/>
  <c r="W303" i="2"/>
  <c r="V303" i="2"/>
  <c r="U303" i="2"/>
  <c r="AE302" i="2"/>
  <c r="AD302" i="2"/>
  <c r="AC302" i="2"/>
  <c r="AB302" i="2"/>
  <c r="AA302" i="2"/>
  <c r="Z302" i="2"/>
  <c r="X302" i="2"/>
  <c r="W302" i="2"/>
  <c r="V302" i="2"/>
  <c r="U302" i="2"/>
  <c r="AE301" i="2"/>
  <c r="AD301" i="2"/>
  <c r="AC301" i="2"/>
  <c r="AB301" i="2"/>
  <c r="AA301" i="2"/>
  <c r="Z301" i="2"/>
  <c r="X301" i="2"/>
  <c r="W301" i="2"/>
  <c r="V301" i="2"/>
  <c r="U301" i="2"/>
  <c r="AE300" i="2"/>
  <c r="AD300" i="2"/>
  <c r="AC300" i="2"/>
  <c r="AB300" i="2"/>
  <c r="AA300" i="2"/>
  <c r="Z300" i="2"/>
  <c r="X300" i="2"/>
  <c r="W300" i="2"/>
  <c r="V300" i="2"/>
  <c r="U300" i="2"/>
  <c r="AE299" i="2"/>
  <c r="AD299" i="2"/>
  <c r="AC299" i="2"/>
  <c r="AB299" i="2"/>
  <c r="AA299" i="2"/>
  <c r="Z299" i="2"/>
  <c r="X299" i="2"/>
  <c r="W299" i="2"/>
  <c r="V299" i="2"/>
  <c r="U299" i="2"/>
  <c r="AE298" i="2"/>
  <c r="AD298" i="2"/>
  <c r="AC298" i="2"/>
  <c r="AB298" i="2"/>
  <c r="AA298" i="2"/>
  <c r="Z298" i="2"/>
  <c r="X298" i="2"/>
  <c r="W298" i="2"/>
  <c r="V298" i="2"/>
  <c r="U298" i="2"/>
  <c r="AE297" i="2"/>
  <c r="AD297" i="2"/>
  <c r="AC297" i="2"/>
  <c r="AB297" i="2"/>
  <c r="AA297" i="2"/>
  <c r="Z297" i="2"/>
  <c r="X297" i="2"/>
  <c r="W297" i="2"/>
  <c r="V297" i="2"/>
  <c r="U297" i="2"/>
  <c r="AE296" i="2"/>
  <c r="AD296" i="2"/>
  <c r="AC296" i="2"/>
  <c r="AB296" i="2"/>
  <c r="AA296" i="2"/>
  <c r="Z296" i="2"/>
  <c r="X296" i="2"/>
  <c r="W296" i="2"/>
  <c r="V296" i="2"/>
  <c r="U296" i="2"/>
  <c r="AE295" i="2"/>
  <c r="AD295" i="2"/>
  <c r="AC295" i="2"/>
  <c r="AB295" i="2"/>
  <c r="AA295" i="2"/>
  <c r="Z295" i="2"/>
  <c r="X295" i="2"/>
  <c r="W295" i="2"/>
  <c r="V295" i="2"/>
  <c r="U295" i="2"/>
  <c r="AE294" i="2"/>
  <c r="AD294" i="2"/>
  <c r="AC294" i="2"/>
  <c r="AB294" i="2"/>
  <c r="AA294" i="2"/>
  <c r="Z294" i="2"/>
  <c r="X294" i="2"/>
  <c r="W294" i="2"/>
  <c r="V294" i="2"/>
  <c r="U294" i="2"/>
  <c r="AE293" i="2"/>
  <c r="AD293" i="2"/>
  <c r="AC293" i="2"/>
  <c r="AB293" i="2"/>
  <c r="AA293" i="2"/>
  <c r="Z293" i="2"/>
  <c r="X293" i="2"/>
  <c r="W293" i="2"/>
  <c r="V293" i="2"/>
  <c r="U293" i="2"/>
  <c r="AE292" i="2"/>
  <c r="AD292" i="2"/>
  <c r="AC292" i="2"/>
  <c r="AB292" i="2"/>
  <c r="AA292" i="2"/>
  <c r="Z292" i="2"/>
  <c r="X292" i="2"/>
  <c r="W292" i="2"/>
  <c r="V292" i="2"/>
  <c r="U292" i="2"/>
  <c r="AE291" i="2"/>
  <c r="AD291" i="2"/>
  <c r="AC291" i="2"/>
  <c r="AB291" i="2"/>
  <c r="AA291" i="2"/>
  <c r="Z291" i="2"/>
  <c r="X291" i="2"/>
  <c r="W291" i="2"/>
  <c r="V291" i="2"/>
  <c r="U291" i="2"/>
  <c r="AE290" i="2"/>
  <c r="AD290" i="2"/>
  <c r="AC290" i="2"/>
  <c r="AB290" i="2"/>
  <c r="AA290" i="2"/>
  <c r="Z290" i="2"/>
  <c r="X290" i="2"/>
  <c r="W290" i="2"/>
  <c r="V290" i="2"/>
  <c r="U290" i="2"/>
  <c r="AE289" i="2"/>
  <c r="AD289" i="2"/>
  <c r="AC289" i="2"/>
  <c r="AB289" i="2"/>
  <c r="AA289" i="2"/>
  <c r="Z289" i="2"/>
  <c r="X289" i="2"/>
  <c r="W289" i="2"/>
  <c r="V289" i="2"/>
  <c r="U289" i="2"/>
  <c r="AE288" i="2"/>
  <c r="AD288" i="2"/>
  <c r="AC288" i="2"/>
  <c r="AB288" i="2"/>
  <c r="AA288" i="2"/>
  <c r="Z288" i="2"/>
  <c r="X288" i="2"/>
  <c r="W288" i="2"/>
  <c r="V288" i="2"/>
  <c r="U288" i="2"/>
  <c r="AE287" i="2"/>
  <c r="AD287" i="2"/>
  <c r="AC287" i="2"/>
  <c r="AB287" i="2"/>
  <c r="AA287" i="2"/>
  <c r="Z287" i="2"/>
  <c r="X287" i="2"/>
  <c r="W287" i="2"/>
  <c r="V287" i="2"/>
  <c r="U287" i="2"/>
  <c r="AE286" i="2"/>
  <c r="AD286" i="2"/>
  <c r="AC286" i="2"/>
  <c r="AB286" i="2"/>
  <c r="AA286" i="2"/>
  <c r="Z286" i="2"/>
  <c r="X286" i="2"/>
  <c r="W286" i="2"/>
  <c r="V286" i="2"/>
  <c r="U286" i="2"/>
  <c r="AE285" i="2"/>
  <c r="AD285" i="2"/>
  <c r="AC285" i="2"/>
  <c r="AB285" i="2"/>
  <c r="AA285" i="2"/>
  <c r="Z285" i="2"/>
  <c r="X285" i="2"/>
  <c r="W285" i="2"/>
  <c r="V285" i="2"/>
  <c r="U285" i="2"/>
  <c r="AE284" i="2"/>
  <c r="AD284" i="2"/>
  <c r="AC284" i="2"/>
  <c r="AB284" i="2"/>
  <c r="AA284" i="2"/>
  <c r="Z284" i="2"/>
  <c r="X284" i="2"/>
  <c r="W284" i="2"/>
  <c r="V284" i="2"/>
  <c r="U284" i="2"/>
  <c r="AE283" i="2"/>
  <c r="AD283" i="2"/>
  <c r="AC283" i="2"/>
  <c r="AB283" i="2"/>
  <c r="AA283" i="2"/>
  <c r="Z283" i="2"/>
  <c r="X283" i="2"/>
  <c r="W283" i="2"/>
  <c r="V283" i="2"/>
  <c r="U283" i="2"/>
  <c r="AE282" i="2"/>
  <c r="AD282" i="2"/>
  <c r="AC282" i="2"/>
  <c r="AB282" i="2"/>
  <c r="AA282" i="2"/>
  <c r="Z282" i="2"/>
  <c r="X282" i="2"/>
  <c r="W282" i="2"/>
  <c r="V282" i="2"/>
  <c r="U282" i="2"/>
  <c r="AE281" i="2"/>
  <c r="AD281" i="2"/>
  <c r="AC281" i="2"/>
  <c r="AB281" i="2"/>
  <c r="AA281" i="2"/>
  <c r="Z281" i="2"/>
  <c r="X281" i="2"/>
  <c r="W281" i="2"/>
  <c r="V281" i="2"/>
  <c r="U281" i="2"/>
  <c r="AE280" i="2"/>
  <c r="AD280" i="2"/>
  <c r="AC280" i="2"/>
  <c r="AB280" i="2"/>
  <c r="AA280" i="2"/>
  <c r="Z280" i="2"/>
  <c r="X280" i="2"/>
  <c r="W280" i="2"/>
  <c r="V280" i="2"/>
  <c r="U280" i="2"/>
  <c r="AE279" i="2"/>
  <c r="AD279" i="2"/>
  <c r="AC279" i="2"/>
  <c r="AB279" i="2"/>
  <c r="AA279" i="2"/>
  <c r="Z279" i="2"/>
  <c r="X279" i="2"/>
  <c r="W279" i="2"/>
  <c r="V279" i="2"/>
  <c r="U279" i="2"/>
  <c r="AE278" i="2"/>
  <c r="AD278" i="2"/>
  <c r="AC278" i="2"/>
  <c r="AB278" i="2"/>
  <c r="AA278" i="2"/>
  <c r="Z278" i="2"/>
  <c r="X278" i="2"/>
  <c r="W278" i="2"/>
  <c r="V278" i="2"/>
  <c r="U278" i="2"/>
  <c r="AE277" i="2"/>
  <c r="AD277" i="2"/>
  <c r="AC277" i="2"/>
  <c r="AB277" i="2"/>
  <c r="AA277" i="2"/>
  <c r="Z277" i="2"/>
  <c r="X277" i="2"/>
  <c r="W277" i="2"/>
  <c r="V277" i="2"/>
  <c r="U277" i="2"/>
  <c r="AE276" i="2"/>
  <c r="AD276" i="2"/>
  <c r="AC276" i="2"/>
  <c r="AB276" i="2"/>
  <c r="AA276" i="2"/>
  <c r="Z276" i="2"/>
  <c r="X276" i="2"/>
  <c r="W276" i="2"/>
  <c r="V276" i="2"/>
  <c r="U276" i="2"/>
  <c r="AE275" i="2"/>
  <c r="AD275" i="2"/>
  <c r="AC275" i="2"/>
  <c r="AB275" i="2"/>
  <c r="AA275" i="2"/>
  <c r="Z275" i="2"/>
  <c r="X275" i="2"/>
  <c r="W275" i="2"/>
  <c r="V275" i="2"/>
  <c r="U275" i="2"/>
  <c r="AE274" i="2"/>
  <c r="AD274" i="2"/>
  <c r="AC274" i="2"/>
  <c r="AB274" i="2"/>
  <c r="AA274" i="2"/>
  <c r="Z274" i="2"/>
  <c r="X274" i="2"/>
  <c r="W274" i="2"/>
  <c r="V274" i="2"/>
  <c r="U274" i="2"/>
  <c r="AE273" i="2"/>
  <c r="AD273" i="2"/>
  <c r="AC273" i="2"/>
  <c r="AB273" i="2"/>
  <c r="AA273" i="2"/>
  <c r="Z273" i="2"/>
  <c r="X273" i="2"/>
  <c r="W273" i="2"/>
  <c r="V273" i="2"/>
  <c r="U273" i="2"/>
  <c r="AE272" i="2"/>
  <c r="AD272" i="2"/>
  <c r="AC272" i="2"/>
  <c r="AB272" i="2"/>
  <c r="AA272" i="2"/>
  <c r="Z272" i="2"/>
  <c r="X272" i="2"/>
  <c r="W272" i="2"/>
  <c r="V272" i="2"/>
  <c r="U272" i="2"/>
  <c r="AE271" i="2"/>
  <c r="AD271" i="2"/>
  <c r="AC271" i="2"/>
  <c r="AB271" i="2"/>
  <c r="AA271" i="2"/>
  <c r="Z271" i="2"/>
  <c r="X271" i="2"/>
  <c r="W271" i="2"/>
  <c r="V271" i="2"/>
  <c r="U271" i="2"/>
  <c r="AE270" i="2"/>
  <c r="AD270" i="2"/>
  <c r="AC270" i="2"/>
  <c r="AB270" i="2"/>
  <c r="AA270" i="2"/>
  <c r="Z270" i="2"/>
  <c r="X270" i="2"/>
  <c r="W270" i="2"/>
  <c r="V270" i="2"/>
  <c r="U270" i="2"/>
  <c r="AE269" i="2"/>
  <c r="AD269" i="2"/>
  <c r="AC269" i="2"/>
  <c r="AB269" i="2"/>
  <c r="AA269" i="2"/>
  <c r="Z269" i="2"/>
  <c r="X269" i="2"/>
  <c r="W269" i="2"/>
  <c r="V269" i="2"/>
  <c r="U269" i="2"/>
  <c r="AE268" i="2"/>
  <c r="AD268" i="2"/>
  <c r="AC268" i="2"/>
  <c r="AB268" i="2"/>
  <c r="AA268" i="2"/>
  <c r="Z268" i="2"/>
  <c r="X268" i="2"/>
  <c r="W268" i="2"/>
  <c r="V268" i="2"/>
  <c r="U268" i="2"/>
  <c r="AE267" i="2"/>
  <c r="AD267" i="2"/>
  <c r="AC267" i="2"/>
  <c r="AB267" i="2"/>
  <c r="AA267" i="2"/>
  <c r="Z267" i="2"/>
  <c r="X267" i="2"/>
  <c r="W267" i="2"/>
  <c r="V267" i="2"/>
  <c r="U267" i="2"/>
  <c r="AE266" i="2"/>
  <c r="AD266" i="2"/>
  <c r="AC266" i="2"/>
  <c r="AB266" i="2"/>
  <c r="AA266" i="2"/>
  <c r="Z266" i="2"/>
  <c r="X266" i="2"/>
  <c r="W266" i="2"/>
  <c r="V266" i="2"/>
  <c r="U266" i="2"/>
  <c r="AE265" i="2"/>
  <c r="AD265" i="2"/>
  <c r="AC265" i="2"/>
  <c r="AB265" i="2"/>
  <c r="AA265" i="2"/>
  <c r="Z265" i="2"/>
  <c r="X265" i="2"/>
  <c r="W265" i="2"/>
  <c r="V265" i="2"/>
  <c r="U265" i="2"/>
  <c r="AE264" i="2"/>
  <c r="AD264" i="2"/>
  <c r="AC264" i="2"/>
  <c r="AB264" i="2"/>
  <c r="AA264" i="2"/>
  <c r="Z264" i="2"/>
  <c r="X264" i="2"/>
  <c r="W264" i="2"/>
  <c r="V264" i="2"/>
  <c r="U264" i="2"/>
  <c r="AE263" i="2"/>
  <c r="AD263" i="2"/>
  <c r="AC263" i="2"/>
  <c r="AB263" i="2"/>
  <c r="AA263" i="2"/>
  <c r="Z263" i="2"/>
  <c r="X263" i="2"/>
  <c r="W263" i="2"/>
  <c r="V263" i="2"/>
  <c r="U263" i="2"/>
  <c r="AE262" i="2"/>
  <c r="AD262" i="2"/>
  <c r="AC262" i="2"/>
  <c r="AB262" i="2"/>
  <c r="AA262" i="2"/>
  <c r="Z262" i="2"/>
  <c r="X262" i="2"/>
  <c r="W262" i="2"/>
  <c r="V262" i="2"/>
  <c r="U262" i="2"/>
  <c r="AE261" i="2"/>
  <c r="AD261" i="2"/>
  <c r="AC261" i="2"/>
  <c r="AB261" i="2"/>
  <c r="AA261" i="2"/>
  <c r="Z261" i="2"/>
  <c r="X261" i="2"/>
  <c r="W261" i="2"/>
  <c r="V261" i="2"/>
  <c r="U261" i="2"/>
  <c r="AE260" i="2"/>
  <c r="AD260" i="2"/>
  <c r="AC260" i="2"/>
  <c r="AB260" i="2"/>
  <c r="AA260" i="2"/>
  <c r="Z260" i="2"/>
  <c r="X260" i="2"/>
  <c r="W260" i="2"/>
  <c r="V260" i="2"/>
  <c r="U260" i="2"/>
  <c r="AE259" i="2"/>
  <c r="AD259" i="2"/>
  <c r="AC259" i="2"/>
  <c r="AB259" i="2"/>
  <c r="AA259" i="2"/>
  <c r="Z259" i="2"/>
  <c r="X259" i="2"/>
  <c r="W259" i="2"/>
  <c r="V259" i="2"/>
  <c r="U259" i="2"/>
  <c r="AE258" i="2"/>
  <c r="AD258" i="2"/>
  <c r="AC258" i="2"/>
  <c r="AB258" i="2"/>
  <c r="AA258" i="2"/>
  <c r="Z258" i="2"/>
  <c r="X258" i="2"/>
  <c r="W258" i="2"/>
  <c r="V258" i="2"/>
  <c r="U258" i="2"/>
  <c r="AE257" i="2"/>
  <c r="AD257" i="2"/>
  <c r="AC257" i="2"/>
  <c r="AB257" i="2"/>
  <c r="AA257" i="2"/>
  <c r="Z257" i="2"/>
  <c r="X257" i="2"/>
  <c r="W257" i="2"/>
  <c r="V257" i="2"/>
  <c r="U257" i="2"/>
  <c r="AE256" i="2"/>
  <c r="AD256" i="2"/>
  <c r="AC256" i="2"/>
  <c r="AB256" i="2"/>
  <c r="AA256" i="2"/>
  <c r="Z256" i="2"/>
  <c r="X256" i="2"/>
  <c r="W256" i="2"/>
  <c r="V256" i="2"/>
  <c r="U256" i="2"/>
  <c r="AE255" i="2"/>
  <c r="AD255" i="2"/>
  <c r="AC255" i="2"/>
  <c r="AB255" i="2"/>
  <c r="AA255" i="2"/>
  <c r="Z255" i="2"/>
  <c r="X255" i="2"/>
  <c r="W255" i="2"/>
  <c r="V255" i="2"/>
  <c r="U255" i="2"/>
  <c r="AE254" i="2"/>
  <c r="AD254" i="2"/>
  <c r="AC254" i="2"/>
  <c r="AB254" i="2"/>
  <c r="AA254" i="2"/>
  <c r="Z254" i="2"/>
  <c r="X254" i="2"/>
  <c r="W254" i="2"/>
  <c r="V254" i="2"/>
  <c r="U254" i="2"/>
  <c r="AE253" i="2"/>
  <c r="AD253" i="2"/>
  <c r="AC253" i="2"/>
  <c r="AB253" i="2"/>
  <c r="AA253" i="2"/>
  <c r="Z253" i="2"/>
  <c r="X253" i="2"/>
  <c r="W253" i="2"/>
  <c r="V253" i="2"/>
  <c r="U253" i="2"/>
  <c r="AE252" i="2"/>
  <c r="AD252" i="2"/>
  <c r="AC252" i="2"/>
  <c r="AB252" i="2"/>
  <c r="AA252" i="2"/>
  <c r="Z252" i="2"/>
  <c r="X252" i="2"/>
  <c r="W252" i="2"/>
  <c r="V252" i="2"/>
  <c r="U252" i="2"/>
  <c r="AE251" i="2"/>
  <c r="AD251" i="2"/>
  <c r="AC251" i="2"/>
  <c r="AB251" i="2"/>
  <c r="AA251" i="2"/>
  <c r="Z251" i="2"/>
  <c r="X251" i="2"/>
  <c r="W251" i="2"/>
  <c r="V251" i="2"/>
  <c r="U251" i="2"/>
  <c r="AE250" i="2"/>
  <c r="AD250" i="2"/>
  <c r="AC250" i="2"/>
  <c r="AB250" i="2"/>
  <c r="AA250" i="2"/>
  <c r="Z250" i="2"/>
  <c r="X250" i="2"/>
  <c r="W250" i="2"/>
  <c r="V250" i="2"/>
  <c r="U250" i="2"/>
  <c r="AE249" i="2"/>
  <c r="AD249" i="2"/>
  <c r="AC249" i="2"/>
  <c r="AB249" i="2"/>
  <c r="AA249" i="2"/>
  <c r="Z249" i="2"/>
  <c r="X249" i="2"/>
  <c r="W249" i="2"/>
  <c r="V249" i="2"/>
  <c r="U249" i="2"/>
  <c r="AE248" i="2"/>
  <c r="AD248" i="2"/>
  <c r="AC248" i="2"/>
  <c r="AB248" i="2"/>
  <c r="AA248" i="2"/>
  <c r="Z248" i="2"/>
  <c r="X248" i="2"/>
  <c r="W248" i="2"/>
  <c r="V248" i="2"/>
  <c r="U248" i="2"/>
  <c r="AE247" i="2"/>
  <c r="AD247" i="2"/>
  <c r="AC247" i="2"/>
  <c r="AB247" i="2"/>
  <c r="AA247" i="2"/>
  <c r="Z247" i="2"/>
  <c r="X247" i="2"/>
  <c r="W247" i="2"/>
  <c r="V247" i="2"/>
  <c r="U247" i="2"/>
  <c r="AE246" i="2"/>
  <c r="AD246" i="2"/>
  <c r="AC246" i="2"/>
  <c r="AB246" i="2"/>
  <c r="AA246" i="2"/>
  <c r="Z246" i="2"/>
  <c r="X246" i="2"/>
  <c r="W246" i="2"/>
  <c r="V246" i="2"/>
  <c r="U246" i="2"/>
  <c r="AE245" i="2"/>
  <c r="AD245" i="2"/>
  <c r="AC245" i="2"/>
  <c r="AB245" i="2"/>
  <c r="AA245" i="2"/>
  <c r="Z245" i="2"/>
  <c r="X245" i="2"/>
  <c r="W245" i="2"/>
  <c r="V245" i="2"/>
  <c r="U245" i="2"/>
  <c r="AE244" i="2"/>
  <c r="AD244" i="2"/>
  <c r="AC244" i="2"/>
  <c r="AB244" i="2"/>
  <c r="AA244" i="2"/>
  <c r="Z244" i="2"/>
  <c r="X244" i="2"/>
  <c r="W244" i="2"/>
  <c r="V244" i="2"/>
  <c r="U244" i="2"/>
  <c r="AE243" i="2"/>
  <c r="AD243" i="2"/>
  <c r="AC243" i="2"/>
  <c r="AB243" i="2"/>
  <c r="AA243" i="2"/>
  <c r="Z243" i="2"/>
  <c r="X243" i="2"/>
  <c r="W243" i="2"/>
  <c r="V243" i="2"/>
  <c r="U243" i="2"/>
  <c r="AE242" i="2"/>
  <c r="AD242" i="2"/>
  <c r="AC242" i="2"/>
  <c r="AB242" i="2"/>
  <c r="AA242" i="2"/>
  <c r="Z242" i="2"/>
  <c r="X242" i="2"/>
  <c r="W242" i="2"/>
  <c r="V242" i="2"/>
  <c r="U242" i="2"/>
  <c r="AE241" i="2"/>
  <c r="AD241" i="2"/>
  <c r="AC241" i="2"/>
  <c r="AB241" i="2"/>
  <c r="AA241" i="2"/>
  <c r="Z241" i="2"/>
  <c r="X241" i="2"/>
  <c r="W241" i="2"/>
  <c r="V241" i="2"/>
  <c r="U241" i="2"/>
  <c r="AE240" i="2"/>
  <c r="AD240" i="2"/>
  <c r="AC240" i="2"/>
  <c r="AB240" i="2"/>
  <c r="AA240" i="2"/>
  <c r="Z240" i="2"/>
  <c r="X240" i="2"/>
  <c r="W240" i="2"/>
  <c r="V240" i="2"/>
  <c r="U240" i="2"/>
  <c r="AE239" i="2"/>
  <c r="AD239" i="2"/>
  <c r="AC239" i="2"/>
  <c r="AB239" i="2"/>
  <c r="AA239" i="2"/>
  <c r="Z239" i="2"/>
  <c r="X239" i="2"/>
  <c r="W239" i="2"/>
  <c r="V239" i="2"/>
  <c r="U239" i="2"/>
  <c r="AE238" i="2"/>
  <c r="AD238" i="2"/>
  <c r="AC238" i="2"/>
  <c r="AB238" i="2"/>
  <c r="AA238" i="2"/>
  <c r="Z238" i="2"/>
  <c r="X238" i="2"/>
  <c r="W238" i="2"/>
  <c r="V238" i="2"/>
  <c r="U238" i="2"/>
  <c r="AE237" i="2"/>
  <c r="AD237" i="2"/>
  <c r="AC237" i="2"/>
  <c r="AB237" i="2"/>
  <c r="AA237" i="2"/>
  <c r="Z237" i="2"/>
  <c r="X237" i="2"/>
  <c r="W237" i="2"/>
  <c r="V237" i="2"/>
  <c r="U237" i="2"/>
  <c r="AE236" i="2"/>
  <c r="AD236" i="2"/>
  <c r="AC236" i="2"/>
  <c r="AB236" i="2"/>
  <c r="AA236" i="2"/>
  <c r="Z236" i="2"/>
  <c r="X236" i="2"/>
  <c r="W236" i="2"/>
  <c r="V236" i="2"/>
  <c r="U236" i="2"/>
  <c r="AE235" i="2"/>
  <c r="AD235" i="2"/>
  <c r="AC235" i="2"/>
  <c r="AB235" i="2"/>
  <c r="AA235" i="2"/>
  <c r="Z235" i="2"/>
  <c r="X235" i="2"/>
  <c r="W235" i="2"/>
  <c r="V235" i="2"/>
  <c r="U235" i="2"/>
  <c r="AE234" i="2"/>
  <c r="AD234" i="2"/>
  <c r="AC234" i="2"/>
  <c r="AB234" i="2"/>
  <c r="AA234" i="2"/>
  <c r="Z234" i="2"/>
  <c r="X234" i="2"/>
  <c r="W234" i="2"/>
  <c r="V234" i="2"/>
  <c r="U234" i="2"/>
  <c r="AE233" i="2"/>
  <c r="AD233" i="2"/>
  <c r="AC233" i="2"/>
  <c r="AB233" i="2"/>
  <c r="AA233" i="2"/>
  <c r="Z233" i="2"/>
  <c r="X233" i="2"/>
  <c r="W233" i="2"/>
  <c r="V233" i="2"/>
  <c r="U233" i="2"/>
  <c r="AE232" i="2"/>
  <c r="AD232" i="2"/>
  <c r="AC232" i="2"/>
  <c r="AB232" i="2"/>
  <c r="AA232" i="2"/>
  <c r="Z232" i="2"/>
  <c r="X232" i="2"/>
  <c r="W232" i="2"/>
  <c r="V232" i="2"/>
  <c r="U232" i="2"/>
  <c r="AE231" i="2"/>
  <c r="AD231" i="2"/>
  <c r="AC231" i="2"/>
  <c r="AB231" i="2"/>
  <c r="AA231" i="2"/>
  <c r="Z231" i="2"/>
  <c r="X231" i="2"/>
  <c r="W231" i="2"/>
  <c r="V231" i="2"/>
  <c r="U231" i="2"/>
  <c r="AE230" i="2"/>
  <c r="AD230" i="2"/>
  <c r="AC230" i="2"/>
  <c r="AB230" i="2"/>
  <c r="AA230" i="2"/>
  <c r="Z230" i="2"/>
  <c r="X230" i="2"/>
  <c r="W230" i="2"/>
  <c r="V230" i="2"/>
  <c r="U230" i="2"/>
  <c r="AE229" i="2"/>
  <c r="AD229" i="2"/>
  <c r="AC229" i="2"/>
  <c r="AB229" i="2"/>
  <c r="AA229" i="2"/>
  <c r="Z229" i="2"/>
  <c r="X229" i="2"/>
  <c r="W229" i="2"/>
  <c r="V229" i="2"/>
  <c r="U229" i="2"/>
  <c r="AE228" i="2"/>
  <c r="AD228" i="2"/>
  <c r="AC228" i="2"/>
  <c r="AB228" i="2"/>
  <c r="AA228" i="2"/>
  <c r="Z228" i="2"/>
  <c r="X228" i="2"/>
  <c r="W228" i="2"/>
  <c r="V228" i="2"/>
  <c r="U228" i="2"/>
  <c r="AE227" i="2"/>
  <c r="AD227" i="2"/>
  <c r="AC227" i="2"/>
  <c r="AB227" i="2"/>
  <c r="AA227" i="2"/>
  <c r="Z227" i="2"/>
  <c r="X227" i="2"/>
  <c r="W227" i="2"/>
  <c r="V227" i="2"/>
  <c r="U227" i="2"/>
  <c r="AE226" i="2"/>
  <c r="AD226" i="2"/>
  <c r="AC226" i="2"/>
  <c r="AB226" i="2"/>
  <c r="AA226" i="2"/>
  <c r="Z226" i="2"/>
  <c r="X226" i="2"/>
  <c r="W226" i="2"/>
  <c r="V226" i="2"/>
  <c r="U226" i="2"/>
  <c r="AE225" i="2"/>
  <c r="AD225" i="2"/>
  <c r="AC225" i="2"/>
  <c r="AB225" i="2"/>
  <c r="AA225" i="2"/>
  <c r="Z225" i="2"/>
  <c r="X225" i="2"/>
  <c r="W225" i="2"/>
  <c r="V225" i="2"/>
  <c r="U225" i="2"/>
  <c r="AE224" i="2"/>
  <c r="AD224" i="2"/>
  <c r="AC224" i="2"/>
  <c r="AB224" i="2"/>
  <c r="AA224" i="2"/>
  <c r="Z224" i="2"/>
  <c r="X224" i="2"/>
  <c r="W224" i="2"/>
  <c r="V224" i="2"/>
  <c r="U224" i="2"/>
  <c r="AE223" i="2"/>
  <c r="AD223" i="2"/>
  <c r="AC223" i="2"/>
  <c r="AB223" i="2"/>
  <c r="AA223" i="2"/>
  <c r="Z223" i="2"/>
  <c r="X223" i="2"/>
  <c r="W223" i="2"/>
  <c r="V223" i="2"/>
  <c r="U223" i="2"/>
  <c r="AE222" i="2"/>
  <c r="AD222" i="2"/>
  <c r="AC222" i="2"/>
  <c r="AB222" i="2"/>
  <c r="AA222" i="2"/>
  <c r="Z222" i="2"/>
  <c r="X222" i="2"/>
  <c r="W222" i="2"/>
  <c r="V222" i="2"/>
  <c r="U222" i="2"/>
  <c r="AE221" i="2"/>
  <c r="AD221" i="2"/>
  <c r="AC221" i="2"/>
  <c r="AB221" i="2"/>
  <c r="AA221" i="2"/>
  <c r="Z221" i="2"/>
  <c r="X221" i="2"/>
  <c r="W221" i="2"/>
  <c r="V221" i="2"/>
  <c r="U221" i="2"/>
  <c r="AE220" i="2"/>
  <c r="AD220" i="2"/>
  <c r="AC220" i="2"/>
  <c r="AB220" i="2"/>
  <c r="AA220" i="2"/>
  <c r="Z220" i="2"/>
  <c r="X220" i="2"/>
  <c r="W220" i="2"/>
  <c r="V220" i="2"/>
  <c r="U220" i="2"/>
  <c r="AE219" i="2"/>
  <c r="AD219" i="2"/>
  <c r="AC219" i="2"/>
  <c r="AB219" i="2"/>
  <c r="AA219" i="2"/>
  <c r="Z219" i="2"/>
  <c r="X219" i="2"/>
  <c r="W219" i="2"/>
  <c r="V219" i="2"/>
  <c r="U219" i="2"/>
  <c r="AE218" i="2"/>
  <c r="AD218" i="2"/>
  <c r="AC218" i="2"/>
  <c r="AB218" i="2"/>
  <c r="AA218" i="2"/>
  <c r="Z218" i="2"/>
  <c r="X218" i="2"/>
  <c r="W218" i="2"/>
  <c r="V218" i="2"/>
  <c r="U218" i="2"/>
  <c r="AE217" i="2"/>
  <c r="AD217" i="2"/>
  <c r="AC217" i="2"/>
  <c r="AB217" i="2"/>
  <c r="AA217" i="2"/>
  <c r="Z217" i="2"/>
  <c r="X217" i="2"/>
  <c r="W217" i="2"/>
  <c r="V217" i="2"/>
  <c r="U217" i="2"/>
  <c r="AE216" i="2"/>
  <c r="AD216" i="2"/>
  <c r="AC216" i="2"/>
  <c r="AB216" i="2"/>
  <c r="AA216" i="2"/>
  <c r="Z216" i="2"/>
  <c r="X216" i="2"/>
  <c r="W216" i="2"/>
  <c r="V216" i="2"/>
  <c r="U216" i="2"/>
  <c r="AE215" i="2"/>
  <c r="AD215" i="2"/>
  <c r="AC215" i="2"/>
  <c r="AB215" i="2"/>
  <c r="AA215" i="2"/>
  <c r="Z215" i="2"/>
  <c r="X215" i="2"/>
  <c r="W215" i="2"/>
  <c r="V215" i="2"/>
  <c r="U215" i="2"/>
  <c r="AE214" i="2"/>
  <c r="AD214" i="2"/>
  <c r="AC214" i="2"/>
  <c r="AB214" i="2"/>
  <c r="AA214" i="2"/>
  <c r="Z214" i="2"/>
  <c r="X214" i="2"/>
  <c r="W214" i="2"/>
  <c r="V214" i="2"/>
  <c r="U214" i="2"/>
  <c r="AE213" i="2"/>
  <c r="AD213" i="2"/>
  <c r="AC213" i="2"/>
  <c r="AB213" i="2"/>
  <c r="AA213" i="2"/>
  <c r="Z213" i="2"/>
  <c r="X213" i="2"/>
  <c r="W213" i="2"/>
  <c r="V213" i="2"/>
  <c r="U213" i="2"/>
  <c r="AE212" i="2"/>
  <c r="AD212" i="2"/>
  <c r="AC212" i="2"/>
  <c r="AB212" i="2"/>
  <c r="AA212" i="2"/>
  <c r="Z212" i="2"/>
  <c r="X212" i="2"/>
  <c r="W212" i="2"/>
  <c r="V212" i="2"/>
  <c r="U212" i="2"/>
  <c r="AE211" i="2"/>
  <c r="AD211" i="2"/>
  <c r="AC211" i="2"/>
  <c r="AB211" i="2"/>
  <c r="AA211" i="2"/>
  <c r="Z211" i="2"/>
  <c r="X211" i="2"/>
  <c r="W211" i="2"/>
  <c r="V211" i="2"/>
  <c r="U211" i="2"/>
  <c r="AE210" i="2"/>
  <c r="AD210" i="2"/>
  <c r="AC210" i="2"/>
  <c r="AB210" i="2"/>
  <c r="AA210" i="2"/>
  <c r="Z210" i="2"/>
  <c r="X210" i="2"/>
  <c r="W210" i="2"/>
  <c r="V210" i="2"/>
  <c r="U210" i="2"/>
  <c r="AE209" i="2"/>
  <c r="AD209" i="2"/>
  <c r="AC209" i="2"/>
  <c r="AB209" i="2"/>
  <c r="AA209" i="2"/>
  <c r="Z209" i="2"/>
  <c r="X209" i="2"/>
  <c r="W209" i="2"/>
  <c r="V209" i="2"/>
  <c r="U209" i="2"/>
  <c r="AE208" i="2"/>
  <c r="AD208" i="2"/>
  <c r="AC208" i="2"/>
  <c r="AB208" i="2"/>
  <c r="AA208" i="2"/>
  <c r="Z208" i="2"/>
  <c r="X208" i="2"/>
  <c r="W208" i="2"/>
  <c r="V208" i="2"/>
  <c r="U208" i="2"/>
  <c r="AE207" i="2"/>
  <c r="AD207" i="2"/>
  <c r="AC207" i="2"/>
  <c r="AB207" i="2"/>
  <c r="AA207" i="2"/>
  <c r="Z207" i="2"/>
  <c r="X207" i="2"/>
  <c r="W207" i="2"/>
  <c r="V207" i="2"/>
  <c r="U207" i="2"/>
  <c r="AE206" i="2"/>
  <c r="AD206" i="2"/>
  <c r="AC206" i="2"/>
  <c r="AB206" i="2"/>
  <c r="AA206" i="2"/>
  <c r="Z206" i="2"/>
  <c r="X206" i="2"/>
  <c r="W206" i="2"/>
  <c r="V206" i="2"/>
  <c r="U206" i="2"/>
  <c r="AE205" i="2"/>
  <c r="AD205" i="2"/>
  <c r="AC205" i="2"/>
  <c r="AB205" i="2"/>
  <c r="AA205" i="2"/>
  <c r="Z205" i="2"/>
  <c r="X205" i="2"/>
  <c r="W205" i="2"/>
  <c r="V205" i="2"/>
  <c r="U205" i="2"/>
  <c r="AE204" i="2"/>
  <c r="AD204" i="2"/>
  <c r="AC204" i="2"/>
  <c r="AB204" i="2"/>
  <c r="AA204" i="2"/>
  <c r="Z204" i="2"/>
  <c r="X204" i="2"/>
  <c r="W204" i="2"/>
  <c r="V204" i="2"/>
  <c r="U204" i="2"/>
  <c r="AE203" i="2"/>
  <c r="AD203" i="2"/>
  <c r="AC203" i="2"/>
  <c r="AB203" i="2"/>
  <c r="AA203" i="2"/>
  <c r="Z203" i="2"/>
  <c r="X203" i="2"/>
  <c r="W203" i="2"/>
  <c r="V203" i="2"/>
  <c r="U203" i="2"/>
  <c r="AE202" i="2"/>
  <c r="AD202" i="2"/>
  <c r="AC202" i="2"/>
  <c r="AB202" i="2"/>
  <c r="AA202" i="2"/>
  <c r="Z202" i="2"/>
  <c r="X202" i="2"/>
  <c r="W202" i="2"/>
  <c r="V202" i="2"/>
  <c r="U202" i="2"/>
  <c r="AE201" i="2"/>
  <c r="AD201" i="2"/>
  <c r="AC201" i="2"/>
  <c r="AB201" i="2"/>
  <c r="AA201" i="2"/>
  <c r="Z201" i="2"/>
  <c r="X201" i="2"/>
  <c r="W201" i="2"/>
  <c r="V201" i="2"/>
  <c r="U201" i="2"/>
  <c r="AE200" i="2"/>
  <c r="AD200" i="2"/>
  <c r="AC200" i="2"/>
  <c r="AB200" i="2"/>
  <c r="AA200" i="2"/>
  <c r="Z200" i="2"/>
  <c r="X200" i="2"/>
  <c r="W200" i="2"/>
  <c r="V200" i="2"/>
  <c r="U200" i="2"/>
  <c r="AE199" i="2"/>
  <c r="AD199" i="2"/>
  <c r="AC199" i="2"/>
  <c r="AB199" i="2"/>
  <c r="AA199" i="2"/>
  <c r="Z199" i="2"/>
  <c r="X199" i="2"/>
  <c r="W199" i="2"/>
  <c r="V199" i="2"/>
  <c r="U199" i="2"/>
  <c r="AE198" i="2"/>
  <c r="AD198" i="2"/>
  <c r="AC198" i="2"/>
  <c r="AB198" i="2"/>
  <c r="AA198" i="2"/>
  <c r="Z198" i="2"/>
  <c r="X198" i="2"/>
  <c r="W198" i="2"/>
  <c r="V198" i="2"/>
  <c r="U198" i="2"/>
  <c r="AE197" i="2"/>
  <c r="AD197" i="2"/>
  <c r="AC197" i="2"/>
  <c r="AB197" i="2"/>
  <c r="AA197" i="2"/>
  <c r="Z197" i="2"/>
  <c r="X197" i="2"/>
  <c r="W197" i="2"/>
  <c r="V197" i="2"/>
  <c r="U197" i="2"/>
  <c r="AE196" i="2"/>
  <c r="AD196" i="2"/>
  <c r="AC196" i="2"/>
  <c r="AB196" i="2"/>
  <c r="AA196" i="2"/>
  <c r="Z196" i="2"/>
  <c r="X196" i="2"/>
  <c r="W196" i="2"/>
  <c r="V196" i="2"/>
  <c r="U196" i="2"/>
  <c r="AE195" i="2"/>
  <c r="AD195" i="2"/>
  <c r="AC195" i="2"/>
  <c r="AB195" i="2"/>
  <c r="AA195" i="2"/>
  <c r="Z195" i="2"/>
  <c r="X195" i="2"/>
  <c r="W195" i="2"/>
  <c r="V195" i="2"/>
  <c r="U195" i="2"/>
  <c r="AE194" i="2"/>
  <c r="AD194" i="2"/>
  <c r="AC194" i="2"/>
  <c r="AB194" i="2"/>
  <c r="AA194" i="2"/>
  <c r="Z194" i="2"/>
  <c r="X194" i="2"/>
  <c r="W194" i="2"/>
  <c r="V194" i="2"/>
  <c r="U194" i="2"/>
  <c r="AE193" i="2"/>
  <c r="AD193" i="2"/>
  <c r="AC193" i="2"/>
  <c r="AB193" i="2"/>
  <c r="AA193" i="2"/>
  <c r="Z193" i="2"/>
  <c r="X193" i="2"/>
  <c r="W193" i="2"/>
  <c r="V193" i="2"/>
  <c r="U193" i="2"/>
  <c r="AE192" i="2"/>
  <c r="AD192" i="2"/>
  <c r="AC192" i="2"/>
  <c r="AB192" i="2"/>
  <c r="AA192" i="2"/>
  <c r="Z192" i="2"/>
  <c r="X192" i="2"/>
  <c r="W192" i="2"/>
  <c r="V192" i="2"/>
  <c r="U192" i="2"/>
  <c r="AE191" i="2"/>
  <c r="AD191" i="2"/>
  <c r="AC191" i="2"/>
  <c r="AB191" i="2"/>
  <c r="AA191" i="2"/>
  <c r="Z191" i="2"/>
  <c r="X191" i="2"/>
  <c r="W191" i="2"/>
  <c r="V191" i="2"/>
  <c r="U191" i="2"/>
  <c r="AE190" i="2"/>
  <c r="AD190" i="2"/>
  <c r="AC190" i="2"/>
  <c r="AB190" i="2"/>
  <c r="AA190" i="2"/>
  <c r="Z190" i="2"/>
  <c r="X190" i="2"/>
  <c r="W190" i="2"/>
  <c r="V190" i="2"/>
  <c r="U190" i="2"/>
  <c r="AE189" i="2"/>
  <c r="AD189" i="2"/>
  <c r="AC189" i="2"/>
  <c r="AB189" i="2"/>
  <c r="AA189" i="2"/>
  <c r="Z189" i="2"/>
  <c r="X189" i="2"/>
  <c r="W189" i="2"/>
  <c r="V189" i="2"/>
  <c r="U189" i="2"/>
  <c r="AE188" i="2"/>
  <c r="AD188" i="2"/>
  <c r="AC188" i="2"/>
  <c r="AB188" i="2"/>
  <c r="AA188" i="2"/>
  <c r="Z188" i="2"/>
  <c r="X188" i="2"/>
  <c r="W188" i="2"/>
  <c r="V188" i="2"/>
  <c r="U188" i="2"/>
  <c r="AE187" i="2"/>
  <c r="AD187" i="2"/>
  <c r="AC187" i="2"/>
  <c r="AB187" i="2"/>
  <c r="AA187" i="2"/>
  <c r="Z187" i="2"/>
  <c r="X187" i="2"/>
  <c r="W187" i="2"/>
  <c r="V187" i="2"/>
  <c r="U187" i="2"/>
  <c r="AE186" i="2"/>
  <c r="AD186" i="2"/>
  <c r="AC186" i="2"/>
  <c r="AB186" i="2"/>
  <c r="AA186" i="2"/>
  <c r="Z186" i="2"/>
  <c r="X186" i="2"/>
  <c r="W186" i="2"/>
  <c r="V186" i="2"/>
  <c r="U186" i="2"/>
  <c r="AE185" i="2"/>
  <c r="AD185" i="2"/>
  <c r="AC185" i="2"/>
  <c r="AB185" i="2"/>
  <c r="AA185" i="2"/>
  <c r="Z185" i="2"/>
  <c r="X185" i="2"/>
  <c r="W185" i="2"/>
  <c r="V185" i="2"/>
  <c r="U185" i="2"/>
  <c r="AE184" i="2"/>
  <c r="AD184" i="2"/>
  <c r="AC184" i="2"/>
  <c r="AB184" i="2"/>
  <c r="AA184" i="2"/>
  <c r="Z184" i="2"/>
  <c r="X184" i="2"/>
  <c r="W184" i="2"/>
  <c r="V184" i="2"/>
  <c r="U184" i="2"/>
  <c r="AE183" i="2"/>
  <c r="AD183" i="2"/>
  <c r="AC183" i="2"/>
  <c r="AB183" i="2"/>
  <c r="AA183" i="2"/>
  <c r="Z183" i="2"/>
  <c r="X183" i="2"/>
  <c r="W183" i="2"/>
  <c r="V183" i="2"/>
  <c r="U183" i="2"/>
  <c r="AE182" i="2"/>
  <c r="AD182" i="2"/>
  <c r="AC182" i="2"/>
  <c r="AB182" i="2"/>
  <c r="AA182" i="2"/>
  <c r="Z182" i="2"/>
  <c r="X182" i="2"/>
  <c r="W182" i="2"/>
  <c r="V182" i="2"/>
  <c r="U182" i="2"/>
  <c r="AE181" i="2"/>
  <c r="AD181" i="2"/>
  <c r="AC181" i="2"/>
  <c r="AB181" i="2"/>
  <c r="AA181" i="2"/>
  <c r="Z181" i="2"/>
  <c r="X181" i="2"/>
  <c r="W181" i="2"/>
  <c r="V181" i="2"/>
  <c r="U181" i="2"/>
  <c r="AE180" i="2"/>
  <c r="AD180" i="2"/>
  <c r="AC180" i="2"/>
  <c r="AB180" i="2"/>
  <c r="AA180" i="2"/>
  <c r="Z180" i="2"/>
  <c r="X180" i="2"/>
  <c r="W180" i="2"/>
  <c r="V180" i="2"/>
  <c r="U180" i="2"/>
  <c r="AE179" i="2"/>
  <c r="AD179" i="2"/>
  <c r="AC179" i="2"/>
  <c r="AB179" i="2"/>
  <c r="AA179" i="2"/>
  <c r="Z179" i="2"/>
  <c r="X179" i="2"/>
  <c r="W179" i="2"/>
  <c r="V179" i="2"/>
  <c r="U179" i="2"/>
  <c r="AE178" i="2"/>
  <c r="AD178" i="2"/>
  <c r="AC178" i="2"/>
  <c r="AB178" i="2"/>
  <c r="AA178" i="2"/>
  <c r="Z178" i="2"/>
  <c r="X178" i="2"/>
  <c r="W178" i="2"/>
  <c r="V178" i="2"/>
  <c r="U178" i="2"/>
  <c r="AE177" i="2"/>
  <c r="AD177" i="2"/>
  <c r="AC177" i="2"/>
  <c r="AB177" i="2"/>
  <c r="AA177" i="2"/>
  <c r="Z177" i="2"/>
  <c r="X177" i="2"/>
  <c r="W177" i="2"/>
  <c r="V177" i="2"/>
  <c r="U177" i="2"/>
  <c r="AE176" i="2"/>
  <c r="AD176" i="2"/>
  <c r="AC176" i="2"/>
  <c r="AB176" i="2"/>
  <c r="AA176" i="2"/>
  <c r="Z176" i="2"/>
  <c r="X176" i="2"/>
  <c r="W176" i="2"/>
  <c r="V176" i="2"/>
  <c r="U176" i="2"/>
  <c r="AE175" i="2"/>
  <c r="AD175" i="2"/>
  <c r="AC175" i="2"/>
  <c r="AB175" i="2"/>
  <c r="AA175" i="2"/>
  <c r="Z175" i="2"/>
  <c r="X175" i="2"/>
  <c r="W175" i="2"/>
  <c r="V175" i="2"/>
  <c r="U175" i="2"/>
  <c r="AE174" i="2"/>
  <c r="AD174" i="2"/>
  <c r="AC174" i="2"/>
  <c r="AB174" i="2"/>
  <c r="AA174" i="2"/>
  <c r="Z174" i="2"/>
  <c r="X174" i="2"/>
  <c r="W174" i="2"/>
  <c r="V174" i="2"/>
  <c r="U174" i="2"/>
  <c r="AE173" i="2"/>
  <c r="AD173" i="2"/>
  <c r="AC173" i="2"/>
  <c r="AB173" i="2"/>
  <c r="AA173" i="2"/>
  <c r="Z173" i="2"/>
  <c r="X173" i="2"/>
  <c r="W173" i="2"/>
  <c r="V173" i="2"/>
  <c r="U173" i="2"/>
  <c r="AE172" i="2"/>
  <c r="AD172" i="2"/>
  <c r="AC172" i="2"/>
  <c r="AB172" i="2"/>
  <c r="AA172" i="2"/>
  <c r="Z172" i="2"/>
  <c r="X172" i="2"/>
  <c r="W172" i="2"/>
  <c r="V172" i="2"/>
  <c r="U172" i="2"/>
  <c r="AE171" i="2"/>
  <c r="AD171" i="2"/>
  <c r="AC171" i="2"/>
  <c r="AB171" i="2"/>
  <c r="AA171" i="2"/>
  <c r="Z171" i="2"/>
  <c r="X171" i="2"/>
  <c r="W171" i="2"/>
  <c r="V171" i="2"/>
  <c r="U171" i="2"/>
  <c r="AE170" i="2"/>
  <c r="AD170" i="2"/>
  <c r="AC170" i="2"/>
  <c r="AB170" i="2"/>
  <c r="AA170" i="2"/>
  <c r="Z170" i="2"/>
  <c r="X170" i="2"/>
  <c r="W170" i="2"/>
  <c r="V170" i="2"/>
  <c r="U170" i="2"/>
  <c r="AE169" i="2"/>
  <c r="AD169" i="2"/>
  <c r="AC169" i="2"/>
  <c r="AB169" i="2"/>
  <c r="AA169" i="2"/>
  <c r="Z169" i="2"/>
  <c r="X169" i="2"/>
  <c r="W169" i="2"/>
  <c r="V169" i="2"/>
  <c r="U169" i="2"/>
  <c r="AE168" i="2"/>
  <c r="AD168" i="2"/>
  <c r="AC168" i="2"/>
  <c r="AB168" i="2"/>
  <c r="AA168" i="2"/>
  <c r="Z168" i="2"/>
  <c r="X168" i="2"/>
  <c r="W168" i="2"/>
  <c r="V168" i="2"/>
  <c r="U168" i="2"/>
  <c r="AE167" i="2"/>
  <c r="AD167" i="2"/>
  <c r="AC167" i="2"/>
  <c r="AB167" i="2"/>
  <c r="AA167" i="2"/>
  <c r="Z167" i="2"/>
  <c r="X167" i="2"/>
  <c r="W167" i="2"/>
  <c r="V167" i="2"/>
  <c r="U167" i="2"/>
  <c r="AE166" i="2"/>
  <c r="AD166" i="2"/>
  <c r="AC166" i="2"/>
  <c r="AB166" i="2"/>
  <c r="AA166" i="2"/>
  <c r="Z166" i="2"/>
  <c r="X166" i="2"/>
  <c r="W166" i="2"/>
  <c r="V166" i="2"/>
  <c r="U166" i="2"/>
  <c r="AE165" i="2"/>
  <c r="AD165" i="2"/>
  <c r="AC165" i="2"/>
  <c r="AB165" i="2"/>
  <c r="AA165" i="2"/>
  <c r="Z165" i="2"/>
  <c r="X165" i="2"/>
  <c r="W165" i="2"/>
  <c r="V165" i="2"/>
  <c r="U165" i="2"/>
  <c r="AE164" i="2"/>
  <c r="AD164" i="2"/>
  <c r="AC164" i="2"/>
  <c r="AB164" i="2"/>
  <c r="AA164" i="2"/>
  <c r="Z164" i="2"/>
  <c r="X164" i="2"/>
  <c r="W164" i="2"/>
  <c r="V164" i="2"/>
  <c r="U164" i="2"/>
  <c r="AE163" i="2"/>
  <c r="AD163" i="2"/>
  <c r="AC163" i="2"/>
  <c r="AB163" i="2"/>
  <c r="AA163" i="2"/>
  <c r="Z163" i="2"/>
  <c r="X163" i="2"/>
  <c r="W163" i="2"/>
  <c r="V163" i="2"/>
  <c r="U163" i="2"/>
  <c r="AE162" i="2"/>
  <c r="AD162" i="2"/>
  <c r="AC162" i="2"/>
  <c r="AB162" i="2"/>
  <c r="AA162" i="2"/>
  <c r="Z162" i="2"/>
  <c r="X162" i="2"/>
  <c r="W162" i="2"/>
  <c r="V162" i="2"/>
  <c r="U162" i="2"/>
  <c r="AE161" i="2"/>
  <c r="AD161" i="2"/>
  <c r="AC161" i="2"/>
  <c r="AB161" i="2"/>
  <c r="AA161" i="2"/>
  <c r="Z161" i="2"/>
  <c r="X161" i="2"/>
  <c r="W161" i="2"/>
  <c r="V161" i="2"/>
  <c r="U161" i="2"/>
  <c r="AE160" i="2"/>
  <c r="AD160" i="2"/>
  <c r="AC160" i="2"/>
  <c r="AB160" i="2"/>
  <c r="AA160" i="2"/>
  <c r="Z160" i="2"/>
  <c r="X160" i="2"/>
  <c r="W160" i="2"/>
  <c r="V160" i="2"/>
  <c r="U160" i="2"/>
  <c r="AE159" i="2"/>
  <c r="AD159" i="2"/>
  <c r="AC159" i="2"/>
  <c r="AB159" i="2"/>
  <c r="AA159" i="2"/>
  <c r="Z159" i="2"/>
  <c r="X159" i="2"/>
  <c r="W159" i="2"/>
  <c r="V159" i="2"/>
  <c r="U159" i="2"/>
  <c r="AE158" i="2"/>
  <c r="AD158" i="2"/>
  <c r="AC158" i="2"/>
  <c r="AB158" i="2"/>
  <c r="AA158" i="2"/>
  <c r="Z158" i="2"/>
  <c r="X158" i="2"/>
  <c r="W158" i="2"/>
  <c r="V158" i="2"/>
  <c r="U158" i="2"/>
  <c r="AE157" i="2"/>
  <c r="AD157" i="2"/>
  <c r="AC157" i="2"/>
  <c r="AB157" i="2"/>
  <c r="AA157" i="2"/>
  <c r="Z157" i="2"/>
  <c r="X157" i="2"/>
  <c r="W157" i="2"/>
  <c r="V157" i="2"/>
  <c r="U157" i="2"/>
  <c r="AE156" i="2"/>
  <c r="AD156" i="2"/>
  <c r="AC156" i="2"/>
  <c r="AB156" i="2"/>
  <c r="AA156" i="2"/>
  <c r="Z156" i="2"/>
  <c r="X156" i="2"/>
  <c r="W156" i="2"/>
  <c r="V156" i="2"/>
  <c r="U156" i="2"/>
  <c r="AE155" i="2"/>
  <c r="AD155" i="2"/>
  <c r="AC155" i="2"/>
  <c r="AB155" i="2"/>
  <c r="AA155" i="2"/>
  <c r="Z155" i="2"/>
  <c r="X155" i="2"/>
  <c r="W155" i="2"/>
  <c r="V155" i="2"/>
  <c r="U155" i="2"/>
  <c r="AE154" i="2"/>
  <c r="AD154" i="2"/>
  <c r="AC154" i="2"/>
  <c r="AB154" i="2"/>
  <c r="AA154" i="2"/>
  <c r="Z154" i="2"/>
  <c r="X154" i="2"/>
  <c r="W154" i="2"/>
  <c r="V154" i="2"/>
  <c r="U154" i="2"/>
  <c r="AE153" i="2"/>
  <c r="AD153" i="2"/>
  <c r="AC153" i="2"/>
  <c r="AB153" i="2"/>
  <c r="AA153" i="2"/>
  <c r="Z153" i="2"/>
  <c r="X153" i="2"/>
  <c r="W153" i="2"/>
  <c r="V153" i="2"/>
  <c r="U153" i="2"/>
  <c r="AE152" i="2"/>
  <c r="AD152" i="2"/>
  <c r="AC152" i="2"/>
  <c r="AB152" i="2"/>
  <c r="AA152" i="2"/>
  <c r="Z152" i="2"/>
  <c r="X152" i="2"/>
  <c r="W152" i="2"/>
  <c r="V152" i="2"/>
  <c r="U152" i="2"/>
  <c r="AE151" i="2"/>
  <c r="AD151" i="2"/>
  <c r="AC151" i="2"/>
  <c r="AB151" i="2"/>
  <c r="AA151" i="2"/>
  <c r="Z151" i="2"/>
  <c r="X151" i="2"/>
  <c r="W151" i="2"/>
  <c r="V151" i="2"/>
  <c r="U151" i="2"/>
  <c r="AE150" i="2"/>
  <c r="AD150" i="2"/>
  <c r="AC150" i="2"/>
  <c r="AB150" i="2"/>
  <c r="AA150" i="2"/>
  <c r="Z150" i="2"/>
  <c r="X150" i="2"/>
  <c r="W150" i="2"/>
  <c r="V150" i="2"/>
  <c r="U150" i="2"/>
  <c r="AE149" i="2"/>
  <c r="AD149" i="2"/>
  <c r="AC149" i="2"/>
  <c r="AB149" i="2"/>
  <c r="AA149" i="2"/>
  <c r="Z149" i="2"/>
  <c r="X149" i="2"/>
  <c r="W149" i="2"/>
  <c r="V149" i="2"/>
  <c r="U149" i="2"/>
  <c r="AE148" i="2"/>
  <c r="AD148" i="2"/>
  <c r="AC148" i="2"/>
  <c r="AB148" i="2"/>
  <c r="AA148" i="2"/>
  <c r="Z148" i="2"/>
  <c r="X148" i="2"/>
  <c r="W148" i="2"/>
  <c r="V148" i="2"/>
  <c r="U148" i="2"/>
  <c r="AE147" i="2"/>
  <c r="AD147" i="2"/>
  <c r="AC147" i="2"/>
  <c r="AB147" i="2"/>
  <c r="AA147" i="2"/>
  <c r="Z147" i="2"/>
  <c r="X147" i="2"/>
  <c r="W147" i="2"/>
  <c r="V147" i="2"/>
  <c r="U147" i="2"/>
  <c r="AE146" i="2"/>
  <c r="AD146" i="2"/>
  <c r="AC146" i="2"/>
  <c r="AB146" i="2"/>
  <c r="AA146" i="2"/>
  <c r="Z146" i="2"/>
  <c r="X146" i="2"/>
  <c r="W146" i="2"/>
  <c r="V146" i="2"/>
  <c r="U146" i="2"/>
  <c r="AE145" i="2"/>
  <c r="AD145" i="2"/>
  <c r="AC145" i="2"/>
  <c r="AB145" i="2"/>
  <c r="AA145" i="2"/>
  <c r="Z145" i="2"/>
  <c r="X145" i="2"/>
  <c r="W145" i="2"/>
  <c r="V145" i="2"/>
  <c r="U145" i="2"/>
  <c r="AE144" i="2"/>
  <c r="AD144" i="2"/>
  <c r="AC144" i="2"/>
  <c r="AB144" i="2"/>
  <c r="AA144" i="2"/>
  <c r="Z144" i="2"/>
  <c r="X144" i="2"/>
  <c r="W144" i="2"/>
  <c r="V144" i="2"/>
  <c r="U144" i="2"/>
  <c r="AE143" i="2"/>
  <c r="AD143" i="2"/>
  <c r="AC143" i="2"/>
  <c r="AB143" i="2"/>
  <c r="AA143" i="2"/>
  <c r="Z143" i="2"/>
  <c r="X143" i="2"/>
  <c r="W143" i="2"/>
  <c r="V143" i="2"/>
  <c r="U143" i="2"/>
  <c r="AE142" i="2"/>
  <c r="AD142" i="2"/>
  <c r="AC142" i="2"/>
  <c r="AB142" i="2"/>
  <c r="AA142" i="2"/>
  <c r="Z142" i="2"/>
  <c r="X142" i="2"/>
  <c r="W142" i="2"/>
  <c r="V142" i="2"/>
  <c r="U142" i="2"/>
  <c r="AE141" i="2"/>
  <c r="AD141" i="2"/>
  <c r="AC141" i="2"/>
  <c r="AB141" i="2"/>
  <c r="AA141" i="2"/>
  <c r="Z141" i="2"/>
  <c r="X141" i="2"/>
  <c r="W141" i="2"/>
  <c r="V141" i="2"/>
  <c r="U141" i="2"/>
  <c r="AE140" i="2"/>
  <c r="AD140" i="2"/>
  <c r="AC140" i="2"/>
  <c r="AB140" i="2"/>
  <c r="AA140" i="2"/>
  <c r="Z140" i="2"/>
  <c r="X140" i="2"/>
  <c r="W140" i="2"/>
  <c r="V140" i="2"/>
  <c r="U140" i="2"/>
  <c r="AE139" i="2"/>
  <c r="AD139" i="2"/>
  <c r="AC139" i="2"/>
  <c r="AB139" i="2"/>
  <c r="AA139" i="2"/>
  <c r="Z139" i="2"/>
  <c r="X139" i="2"/>
  <c r="W139" i="2"/>
  <c r="V139" i="2"/>
  <c r="U139" i="2"/>
  <c r="AE138" i="2"/>
  <c r="AD138" i="2"/>
  <c r="AC138" i="2"/>
  <c r="AB138" i="2"/>
  <c r="AA138" i="2"/>
  <c r="Z138" i="2"/>
  <c r="X138" i="2"/>
  <c r="W138" i="2"/>
  <c r="V138" i="2"/>
  <c r="U138" i="2"/>
  <c r="AE137" i="2"/>
  <c r="AD137" i="2"/>
  <c r="AC137" i="2"/>
  <c r="AB137" i="2"/>
  <c r="AA137" i="2"/>
  <c r="Z137" i="2"/>
  <c r="X137" i="2"/>
  <c r="W137" i="2"/>
  <c r="V137" i="2"/>
  <c r="U137" i="2"/>
  <c r="AE136" i="2"/>
  <c r="AD136" i="2"/>
  <c r="AC136" i="2"/>
  <c r="AB136" i="2"/>
  <c r="AA136" i="2"/>
  <c r="Z136" i="2"/>
  <c r="X136" i="2"/>
  <c r="W136" i="2"/>
  <c r="V136" i="2"/>
  <c r="U136" i="2"/>
  <c r="AE135" i="2"/>
  <c r="AD135" i="2"/>
  <c r="AC135" i="2"/>
  <c r="AB135" i="2"/>
  <c r="AA135" i="2"/>
  <c r="Z135" i="2"/>
  <c r="X135" i="2"/>
  <c r="W135" i="2"/>
  <c r="V135" i="2"/>
  <c r="U135" i="2"/>
  <c r="AE134" i="2"/>
  <c r="AD134" i="2"/>
  <c r="AC134" i="2"/>
  <c r="AB134" i="2"/>
  <c r="AA134" i="2"/>
  <c r="Z134" i="2"/>
  <c r="X134" i="2"/>
  <c r="W134" i="2"/>
  <c r="V134" i="2"/>
  <c r="U134" i="2"/>
  <c r="AE133" i="2"/>
  <c r="AD133" i="2"/>
  <c r="AC133" i="2"/>
  <c r="AB133" i="2"/>
  <c r="AA133" i="2"/>
  <c r="Z133" i="2"/>
  <c r="X133" i="2"/>
  <c r="W133" i="2"/>
  <c r="V133" i="2"/>
  <c r="U133" i="2"/>
  <c r="AE132" i="2"/>
  <c r="AD132" i="2"/>
  <c r="AC132" i="2"/>
  <c r="AB132" i="2"/>
  <c r="AA132" i="2"/>
  <c r="Z132" i="2"/>
  <c r="X132" i="2"/>
  <c r="W132" i="2"/>
  <c r="V132" i="2"/>
  <c r="U132" i="2"/>
  <c r="AE131" i="2"/>
  <c r="AD131" i="2"/>
  <c r="AC131" i="2"/>
  <c r="AB131" i="2"/>
  <c r="AA131" i="2"/>
  <c r="Z131" i="2"/>
  <c r="X131" i="2"/>
  <c r="W131" i="2"/>
  <c r="V131" i="2"/>
  <c r="U131" i="2"/>
  <c r="AE130" i="2"/>
  <c r="AD130" i="2"/>
  <c r="AC130" i="2"/>
  <c r="AB130" i="2"/>
  <c r="AA130" i="2"/>
  <c r="Z130" i="2"/>
  <c r="X130" i="2"/>
  <c r="W130" i="2"/>
  <c r="V130" i="2"/>
  <c r="U130" i="2"/>
  <c r="AE129" i="2"/>
  <c r="AD129" i="2"/>
  <c r="AC129" i="2"/>
  <c r="AB129" i="2"/>
  <c r="AA129" i="2"/>
  <c r="Z129" i="2"/>
  <c r="X129" i="2"/>
  <c r="W129" i="2"/>
  <c r="V129" i="2"/>
  <c r="U129" i="2"/>
  <c r="AE128" i="2"/>
  <c r="AD128" i="2"/>
  <c r="AC128" i="2"/>
  <c r="AB128" i="2"/>
  <c r="AA128" i="2"/>
  <c r="Z128" i="2"/>
  <c r="X128" i="2"/>
  <c r="W128" i="2"/>
  <c r="V128" i="2"/>
  <c r="U128" i="2"/>
  <c r="AE127" i="2"/>
  <c r="AD127" i="2"/>
  <c r="AC127" i="2"/>
  <c r="AB127" i="2"/>
  <c r="AA127" i="2"/>
  <c r="Z127" i="2"/>
  <c r="X127" i="2"/>
  <c r="W127" i="2"/>
  <c r="V127" i="2"/>
  <c r="U127" i="2"/>
  <c r="AE126" i="2"/>
  <c r="AD126" i="2"/>
  <c r="AC126" i="2"/>
  <c r="AB126" i="2"/>
  <c r="AA126" i="2"/>
  <c r="Z126" i="2"/>
  <c r="X126" i="2"/>
  <c r="W126" i="2"/>
  <c r="V126" i="2"/>
  <c r="U126" i="2"/>
  <c r="AE125" i="2"/>
  <c r="AD125" i="2"/>
  <c r="AC125" i="2"/>
  <c r="AB125" i="2"/>
  <c r="AA125" i="2"/>
  <c r="Z125" i="2"/>
  <c r="X125" i="2"/>
  <c r="W125" i="2"/>
  <c r="V125" i="2"/>
  <c r="U125" i="2"/>
  <c r="AE124" i="2"/>
  <c r="AD124" i="2"/>
  <c r="AC124" i="2"/>
  <c r="AB124" i="2"/>
  <c r="AA124" i="2"/>
  <c r="Z124" i="2"/>
  <c r="X124" i="2"/>
  <c r="W124" i="2"/>
  <c r="V124" i="2"/>
  <c r="U124" i="2"/>
  <c r="AE123" i="2"/>
  <c r="AD123" i="2"/>
  <c r="AC123" i="2"/>
  <c r="AB123" i="2"/>
  <c r="AA123" i="2"/>
  <c r="Z123" i="2"/>
  <c r="X123" i="2"/>
  <c r="W123" i="2"/>
  <c r="V123" i="2"/>
  <c r="U123" i="2"/>
  <c r="AE122" i="2"/>
  <c r="AD122" i="2"/>
  <c r="AC122" i="2"/>
  <c r="AB122" i="2"/>
  <c r="AA122" i="2"/>
  <c r="Z122" i="2"/>
  <c r="X122" i="2"/>
  <c r="W122" i="2"/>
  <c r="V122" i="2"/>
  <c r="U122" i="2"/>
  <c r="AE121" i="2"/>
  <c r="AD121" i="2"/>
  <c r="AC121" i="2"/>
  <c r="AB121" i="2"/>
  <c r="AA121" i="2"/>
  <c r="Z121" i="2"/>
  <c r="X121" i="2"/>
  <c r="W121" i="2"/>
  <c r="V121" i="2"/>
  <c r="U121" i="2"/>
  <c r="AE120" i="2"/>
  <c r="AD120" i="2"/>
  <c r="AC120" i="2"/>
  <c r="AB120" i="2"/>
  <c r="AA120" i="2"/>
  <c r="Z120" i="2"/>
  <c r="X120" i="2"/>
  <c r="W120" i="2"/>
  <c r="V120" i="2"/>
  <c r="U120" i="2"/>
  <c r="AE119" i="2"/>
  <c r="AD119" i="2"/>
  <c r="AC119" i="2"/>
  <c r="AB119" i="2"/>
  <c r="AA119" i="2"/>
  <c r="Z119" i="2"/>
  <c r="X119" i="2"/>
  <c r="W119" i="2"/>
  <c r="V119" i="2"/>
  <c r="U119" i="2"/>
  <c r="AE118" i="2"/>
  <c r="AD118" i="2"/>
  <c r="AC118" i="2"/>
  <c r="AB118" i="2"/>
  <c r="AA118" i="2"/>
  <c r="Z118" i="2"/>
  <c r="X118" i="2"/>
  <c r="W118" i="2"/>
  <c r="V118" i="2"/>
  <c r="U118" i="2"/>
  <c r="AE117" i="2"/>
  <c r="AD117" i="2"/>
  <c r="AC117" i="2"/>
  <c r="AB117" i="2"/>
  <c r="AA117" i="2"/>
  <c r="Z117" i="2"/>
  <c r="X117" i="2"/>
  <c r="W117" i="2"/>
  <c r="V117" i="2"/>
  <c r="U117" i="2"/>
  <c r="AE116" i="2"/>
  <c r="AD116" i="2"/>
  <c r="AC116" i="2"/>
  <c r="AB116" i="2"/>
  <c r="AA116" i="2"/>
  <c r="Z116" i="2"/>
  <c r="X116" i="2"/>
  <c r="W116" i="2"/>
  <c r="V116" i="2"/>
  <c r="U116" i="2"/>
  <c r="AE115" i="2"/>
  <c r="AD115" i="2"/>
  <c r="AC115" i="2"/>
  <c r="AB115" i="2"/>
  <c r="AA115" i="2"/>
  <c r="Z115" i="2"/>
  <c r="X115" i="2"/>
  <c r="W115" i="2"/>
  <c r="V115" i="2"/>
  <c r="U115" i="2"/>
  <c r="AE114" i="2"/>
  <c r="AD114" i="2"/>
  <c r="AC114" i="2"/>
  <c r="AB114" i="2"/>
  <c r="AA114" i="2"/>
  <c r="Z114" i="2"/>
  <c r="X114" i="2"/>
  <c r="W114" i="2"/>
  <c r="V114" i="2"/>
  <c r="U114" i="2"/>
  <c r="AE113" i="2"/>
  <c r="AD113" i="2"/>
  <c r="AC113" i="2"/>
  <c r="AB113" i="2"/>
  <c r="AA113" i="2"/>
  <c r="Z113" i="2"/>
  <c r="X113" i="2"/>
  <c r="W113" i="2"/>
  <c r="V113" i="2"/>
  <c r="U113" i="2"/>
  <c r="AE112" i="2"/>
  <c r="AD112" i="2"/>
  <c r="AC112" i="2"/>
  <c r="AB112" i="2"/>
  <c r="AA112" i="2"/>
  <c r="Z112" i="2"/>
  <c r="X112" i="2"/>
  <c r="W112" i="2"/>
  <c r="V112" i="2"/>
  <c r="U112" i="2"/>
  <c r="AE111" i="2"/>
  <c r="AD111" i="2"/>
  <c r="AC111" i="2"/>
  <c r="AB111" i="2"/>
  <c r="AA111" i="2"/>
  <c r="Z111" i="2"/>
  <c r="X111" i="2"/>
  <c r="W111" i="2"/>
  <c r="V111" i="2"/>
  <c r="U111" i="2"/>
  <c r="AE110" i="2"/>
  <c r="AD110" i="2"/>
  <c r="AC110" i="2"/>
  <c r="AB110" i="2"/>
  <c r="AA110" i="2"/>
  <c r="Z110" i="2"/>
  <c r="X110" i="2"/>
  <c r="W110" i="2"/>
  <c r="V110" i="2"/>
  <c r="U110" i="2"/>
  <c r="AE109" i="2"/>
  <c r="AD109" i="2"/>
  <c r="AC109" i="2"/>
  <c r="AB109" i="2"/>
  <c r="AA109" i="2"/>
  <c r="Z109" i="2"/>
  <c r="X109" i="2"/>
  <c r="W109" i="2"/>
  <c r="V109" i="2"/>
  <c r="U109" i="2"/>
  <c r="AE108" i="2"/>
  <c r="AD108" i="2"/>
  <c r="AC108" i="2"/>
  <c r="AB108" i="2"/>
  <c r="AA108" i="2"/>
  <c r="Z108" i="2"/>
  <c r="X108" i="2"/>
  <c r="W108" i="2"/>
  <c r="V108" i="2"/>
  <c r="U108" i="2"/>
  <c r="AE107" i="2"/>
  <c r="AD107" i="2"/>
  <c r="AC107" i="2"/>
  <c r="AB107" i="2"/>
  <c r="AA107" i="2"/>
  <c r="Z107" i="2"/>
  <c r="X107" i="2"/>
  <c r="W107" i="2"/>
  <c r="V107" i="2"/>
  <c r="U107" i="2"/>
  <c r="AE106" i="2"/>
  <c r="AD106" i="2"/>
  <c r="AC106" i="2"/>
  <c r="AB106" i="2"/>
  <c r="AA106" i="2"/>
  <c r="Z106" i="2"/>
  <c r="X106" i="2"/>
  <c r="W106" i="2"/>
  <c r="V106" i="2"/>
  <c r="U106" i="2"/>
  <c r="AE105" i="2"/>
  <c r="AD105" i="2"/>
  <c r="AC105" i="2"/>
  <c r="AB105" i="2"/>
  <c r="AA105" i="2"/>
  <c r="Z105" i="2"/>
  <c r="X105" i="2"/>
  <c r="W105" i="2"/>
  <c r="V105" i="2"/>
  <c r="U105" i="2"/>
  <c r="AE104" i="2"/>
  <c r="AD104" i="2"/>
  <c r="AC104" i="2"/>
  <c r="AB104" i="2"/>
  <c r="AA104" i="2"/>
  <c r="Z104" i="2"/>
  <c r="X104" i="2"/>
  <c r="W104" i="2"/>
  <c r="V104" i="2"/>
  <c r="U104" i="2"/>
  <c r="AE103" i="2"/>
  <c r="AD103" i="2"/>
  <c r="AC103" i="2"/>
  <c r="AB103" i="2"/>
  <c r="AA103" i="2"/>
  <c r="Z103" i="2"/>
  <c r="X103" i="2"/>
  <c r="W103" i="2"/>
  <c r="V103" i="2"/>
  <c r="U103" i="2"/>
  <c r="AE102" i="2"/>
  <c r="AD102" i="2"/>
  <c r="AC102" i="2"/>
  <c r="AB102" i="2"/>
  <c r="AA102" i="2"/>
  <c r="Z102" i="2"/>
  <c r="X102" i="2"/>
  <c r="W102" i="2"/>
  <c r="V102" i="2"/>
  <c r="U102" i="2"/>
  <c r="AE101" i="2"/>
  <c r="AD101" i="2"/>
  <c r="AC101" i="2"/>
  <c r="AB101" i="2"/>
  <c r="AA101" i="2"/>
  <c r="Z101" i="2"/>
  <c r="X101" i="2"/>
  <c r="W101" i="2"/>
  <c r="V101" i="2"/>
  <c r="U101" i="2"/>
  <c r="AE100" i="2"/>
  <c r="AD100" i="2"/>
  <c r="AC100" i="2"/>
  <c r="AB100" i="2"/>
  <c r="AA100" i="2"/>
  <c r="Z100" i="2"/>
  <c r="X100" i="2"/>
  <c r="W100" i="2"/>
  <c r="V100" i="2"/>
  <c r="U100" i="2"/>
  <c r="AE99" i="2"/>
  <c r="AD99" i="2"/>
  <c r="AC99" i="2"/>
  <c r="AB99" i="2"/>
  <c r="AA99" i="2"/>
  <c r="Z99" i="2"/>
  <c r="X99" i="2"/>
  <c r="W99" i="2"/>
  <c r="V99" i="2"/>
  <c r="U99" i="2"/>
  <c r="AE98" i="2"/>
  <c r="AD98" i="2"/>
  <c r="AC98" i="2"/>
  <c r="AB98" i="2"/>
  <c r="AA98" i="2"/>
  <c r="Z98" i="2"/>
  <c r="X98" i="2"/>
  <c r="W98" i="2"/>
  <c r="V98" i="2"/>
  <c r="U98" i="2"/>
  <c r="AE97" i="2"/>
  <c r="AD97" i="2"/>
  <c r="AC97" i="2"/>
  <c r="AB97" i="2"/>
  <c r="AA97" i="2"/>
  <c r="Z97" i="2"/>
  <c r="X97" i="2"/>
  <c r="W97" i="2"/>
  <c r="V97" i="2"/>
  <c r="U97" i="2"/>
  <c r="AE96" i="2"/>
  <c r="AD96" i="2"/>
  <c r="AC96" i="2"/>
  <c r="AB96" i="2"/>
  <c r="AA96" i="2"/>
  <c r="Z96" i="2"/>
  <c r="X96" i="2"/>
  <c r="W96" i="2"/>
  <c r="V96" i="2"/>
  <c r="U96" i="2"/>
  <c r="AE95" i="2"/>
  <c r="AD95" i="2"/>
  <c r="AC95" i="2"/>
  <c r="AB95" i="2"/>
  <c r="AA95" i="2"/>
  <c r="Z95" i="2"/>
  <c r="X95" i="2"/>
  <c r="W95" i="2"/>
  <c r="V95" i="2"/>
  <c r="U95" i="2"/>
  <c r="AE94" i="2"/>
  <c r="AD94" i="2"/>
  <c r="AC94" i="2"/>
  <c r="AB94" i="2"/>
  <c r="AA94" i="2"/>
  <c r="Z94" i="2"/>
  <c r="X94" i="2"/>
  <c r="W94" i="2"/>
  <c r="V94" i="2"/>
  <c r="U94" i="2"/>
  <c r="AE93" i="2"/>
  <c r="AD93" i="2"/>
  <c r="AC93" i="2"/>
  <c r="AB93" i="2"/>
  <c r="AA93" i="2"/>
  <c r="Z93" i="2"/>
  <c r="X93" i="2"/>
  <c r="W93" i="2"/>
  <c r="V93" i="2"/>
  <c r="U93" i="2"/>
  <c r="AE92" i="2"/>
  <c r="AD92" i="2"/>
  <c r="AC92" i="2"/>
  <c r="AB92" i="2"/>
  <c r="AA92" i="2"/>
  <c r="Z92" i="2"/>
  <c r="X92" i="2"/>
  <c r="W92" i="2"/>
  <c r="V92" i="2"/>
  <c r="U92" i="2"/>
  <c r="AE91" i="2"/>
  <c r="AD91" i="2"/>
  <c r="AC91" i="2"/>
  <c r="AB91" i="2"/>
  <c r="AA91" i="2"/>
  <c r="Z91" i="2"/>
  <c r="X91" i="2"/>
  <c r="W91" i="2"/>
  <c r="V91" i="2"/>
  <c r="U91" i="2"/>
  <c r="AE90" i="2"/>
  <c r="AD90" i="2"/>
  <c r="AC90" i="2"/>
  <c r="AB90" i="2"/>
  <c r="AA90" i="2"/>
  <c r="Z90" i="2"/>
  <c r="X90" i="2"/>
  <c r="W90" i="2"/>
  <c r="V90" i="2"/>
  <c r="U90" i="2"/>
  <c r="AE89" i="2"/>
  <c r="AD89" i="2"/>
  <c r="AC89" i="2"/>
  <c r="AB89" i="2"/>
  <c r="AA89" i="2"/>
  <c r="Z89" i="2"/>
  <c r="X89" i="2"/>
  <c r="W89" i="2"/>
  <c r="V89" i="2"/>
  <c r="U89" i="2"/>
  <c r="AE88" i="2"/>
  <c r="AD88" i="2"/>
  <c r="AC88" i="2"/>
  <c r="AB88" i="2"/>
  <c r="AA88" i="2"/>
  <c r="Z88" i="2"/>
  <c r="X88" i="2"/>
  <c r="W88" i="2"/>
  <c r="V88" i="2"/>
  <c r="U88" i="2"/>
  <c r="AE87" i="2"/>
  <c r="AD87" i="2"/>
  <c r="AC87" i="2"/>
  <c r="AB87" i="2"/>
  <c r="AA87" i="2"/>
  <c r="Z87" i="2"/>
  <c r="X87" i="2"/>
  <c r="W87" i="2"/>
  <c r="V87" i="2"/>
  <c r="U87" i="2"/>
  <c r="AE86" i="2"/>
  <c r="AD86" i="2"/>
  <c r="AC86" i="2"/>
  <c r="AB86" i="2"/>
  <c r="AA86" i="2"/>
  <c r="Z86" i="2"/>
  <c r="X86" i="2"/>
  <c r="W86" i="2"/>
  <c r="V86" i="2"/>
  <c r="U86" i="2"/>
  <c r="AE85" i="2"/>
  <c r="AD85" i="2"/>
  <c r="AC85" i="2"/>
  <c r="AB85" i="2"/>
  <c r="AA85" i="2"/>
  <c r="Z85" i="2"/>
  <c r="X85" i="2"/>
  <c r="W85" i="2"/>
  <c r="V85" i="2"/>
  <c r="U85" i="2"/>
  <c r="AE84" i="2"/>
  <c r="AD84" i="2"/>
  <c r="AC84" i="2"/>
  <c r="AB84" i="2"/>
  <c r="AA84" i="2"/>
  <c r="Z84" i="2"/>
  <c r="X84" i="2"/>
  <c r="W84" i="2"/>
  <c r="V84" i="2"/>
  <c r="U84" i="2"/>
  <c r="AE83" i="2"/>
  <c r="AD83" i="2"/>
  <c r="AC83" i="2"/>
  <c r="AB83" i="2"/>
  <c r="AA83" i="2"/>
  <c r="Z83" i="2"/>
  <c r="X83" i="2"/>
  <c r="W83" i="2"/>
  <c r="V83" i="2"/>
  <c r="U83" i="2"/>
  <c r="AE82" i="2"/>
  <c r="AD82" i="2"/>
  <c r="AC82" i="2"/>
  <c r="AB82" i="2"/>
  <c r="AA82" i="2"/>
  <c r="Z82" i="2"/>
  <c r="X82" i="2"/>
  <c r="W82" i="2"/>
  <c r="V82" i="2"/>
  <c r="U82" i="2"/>
  <c r="AE81" i="2"/>
  <c r="AD81" i="2"/>
  <c r="AC81" i="2"/>
  <c r="AB81" i="2"/>
  <c r="AA81" i="2"/>
  <c r="Z81" i="2"/>
  <c r="X81" i="2"/>
  <c r="W81" i="2"/>
  <c r="V81" i="2"/>
  <c r="U81" i="2"/>
  <c r="AE80" i="2"/>
  <c r="AD80" i="2"/>
  <c r="AC80" i="2"/>
  <c r="AB80" i="2"/>
  <c r="AA80" i="2"/>
  <c r="Z80" i="2"/>
  <c r="X80" i="2"/>
  <c r="W80" i="2"/>
  <c r="V80" i="2"/>
  <c r="U80" i="2"/>
  <c r="AE79" i="2"/>
  <c r="AD79" i="2"/>
  <c r="AC79" i="2"/>
  <c r="AB79" i="2"/>
  <c r="AA79" i="2"/>
  <c r="Z79" i="2"/>
  <c r="X79" i="2"/>
  <c r="W79" i="2"/>
  <c r="V79" i="2"/>
  <c r="U79" i="2"/>
  <c r="AE78" i="2"/>
  <c r="AD78" i="2"/>
  <c r="AC78" i="2"/>
  <c r="AB78" i="2"/>
  <c r="AA78" i="2"/>
  <c r="Z78" i="2"/>
  <c r="X78" i="2"/>
  <c r="W78" i="2"/>
  <c r="V78" i="2"/>
  <c r="U78" i="2"/>
  <c r="AE77" i="2"/>
  <c r="AD77" i="2"/>
  <c r="AC77" i="2"/>
  <c r="AB77" i="2"/>
  <c r="AA77" i="2"/>
  <c r="Z77" i="2"/>
  <c r="X77" i="2"/>
  <c r="W77" i="2"/>
  <c r="V77" i="2"/>
  <c r="U77" i="2"/>
  <c r="AE76" i="2"/>
  <c r="AD76" i="2"/>
  <c r="AC76" i="2"/>
  <c r="AB76" i="2"/>
  <c r="AA76" i="2"/>
  <c r="Z76" i="2"/>
  <c r="X76" i="2"/>
  <c r="W76" i="2"/>
  <c r="V76" i="2"/>
  <c r="U76" i="2"/>
  <c r="AE75" i="2"/>
  <c r="AD75" i="2"/>
  <c r="AC75" i="2"/>
  <c r="AB75" i="2"/>
  <c r="AA75" i="2"/>
  <c r="Z75" i="2"/>
  <c r="X75" i="2"/>
  <c r="W75" i="2"/>
  <c r="V75" i="2"/>
  <c r="U75" i="2"/>
  <c r="AE74" i="2"/>
  <c r="AD74" i="2"/>
  <c r="AC74" i="2"/>
  <c r="AB74" i="2"/>
  <c r="AA74" i="2"/>
  <c r="Z74" i="2"/>
  <c r="X74" i="2"/>
  <c r="W74" i="2"/>
  <c r="V74" i="2"/>
  <c r="U74" i="2"/>
  <c r="AE73" i="2"/>
  <c r="AD73" i="2"/>
  <c r="AC73" i="2"/>
  <c r="AB73" i="2"/>
  <c r="AA73" i="2"/>
  <c r="Z73" i="2"/>
  <c r="X73" i="2"/>
  <c r="W73" i="2"/>
  <c r="V73" i="2"/>
  <c r="U73" i="2"/>
  <c r="AE72" i="2"/>
  <c r="AD72" i="2"/>
  <c r="AC72" i="2"/>
  <c r="AB72" i="2"/>
  <c r="AA72" i="2"/>
  <c r="Z72" i="2"/>
  <c r="X72" i="2"/>
  <c r="W72" i="2"/>
  <c r="V72" i="2"/>
  <c r="U72" i="2"/>
  <c r="AE71" i="2"/>
  <c r="AD71" i="2"/>
  <c r="AC71" i="2"/>
  <c r="AB71" i="2"/>
  <c r="AA71" i="2"/>
  <c r="Z71" i="2"/>
  <c r="X71" i="2"/>
  <c r="W71" i="2"/>
  <c r="V71" i="2"/>
  <c r="U71" i="2"/>
  <c r="AE70" i="2"/>
  <c r="AD70" i="2"/>
  <c r="AC70" i="2"/>
  <c r="AB70" i="2"/>
  <c r="AA70" i="2"/>
  <c r="Z70" i="2"/>
  <c r="X70" i="2"/>
  <c r="W70" i="2"/>
  <c r="V70" i="2"/>
  <c r="U70" i="2"/>
  <c r="AE69" i="2"/>
  <c r="AD69" i="2"/>
  <c r="AC69" i="2"/>
  <c r="AB69" i="2"/>
  <c r="AA69" i="2"/>
  <c r="Z69" i="2"/>
  <c r="X69" i="2"/>
  <c r="W69" i="2"/>
  <c r="V69" i="2"/>
  <c r="U69" i="2"/>
  <c r="AE68" i="2"/>
  <c r="AD68" i="2"/>
  <c r="AC68" i="2"/>
  <c r="AB68" i="2"/>
  <c r="AA68" i="2"/>
  <c r="Z68" i="2"/>
  <c r="X68" i="2"/>
  <c r="W68" i="2"/>
  <c r="V68" i="2"/>
  <c r="U68" i="2"/>
  <c r="AE67" i="2"/>
  <c r="AD67" i="2"/>
  <c r="AC67" i="2"/>
  <c r="AB67" i="2"/>
  <c r="AA67" i="2"/>
  <c r="Z67" i="2"/>
  <c r="X67" i="2"/>
  <c r="W67" i="2"/>
  <c r="V67" i="2"/>
  <c r="U67" i="2"/>
  <c r="AE66" i="2"/>
  <c r="AD66" i="2"/>
  <c r="AC66" i="2"/>
  <c r="AB66" i="2"/>
  <c r="AA66" i="2"/>
  <c r="Z66" i="2"/>
  <c r="X66" i="2"/>
  <c r="W66" i="2"/>
  <c r="V66" i="2"/>
  <c r="U66" i="2"/>
  <c r="AE65" i="2"/>
  <c r="AD65" i="2"/>
  <c r="AC65" i="2"/>
  <c r="AB65" i="2"/>
  <c r="AA65" i="2"/>
  <c r="Z65" i="2"/>
  <c r="X65" i="2"/>
  <c r="W65" i="2"/>
  <c r="V65" i="2"/>
  <c r="U65" i="2"/>
  <c r="AE64" i="2"/>
  <c r="AD64" i="2"/>
  <c r="AC64" i="2"/>
  <c r="AB64" i="2"/>
  <c r="AA64" i="2"/>
  <c r="Z64" i="2"/>
  <c r="X64" i="2"/>
  <c r="W64" i="2"/>
  <c r="V64" i="2"/>
  <c r="U64" i="2"/>
  <c r="AE63" i="2"/>
  <c r="AD63" i="2"/>
  <c r="AC63" i="2"/>
  <c r="AB63" i="2"/>
  <c r="AA63" i="2"/>
  <c r="Z63" i="2"/>
  <c r="X63" i="2"/>
  <c r="W63" i="2"/>
  <c r="V63" i="2"/>
  <c r="U63" i="2"/>
  <c r="AE62" i="2"/>
  <c r="AD62" i="2"/>
  <c r="AC62" i="2"/>
  <c r="AB62" i="2"/>
  <c r="AA62" i="2"/>
  <c r="Z62" i="2"/>
  <c r="X62" i="2"/>
  <c r="W62" i="2"/>
  <c r="V62" i="2"/>
  <c r="U62" i="2"/>
  <c r="AE61" i="2"/>
  <c r="AD61" i="2"/>
  <c r="AC61" i="2"/>
  <c r="AB61" i="2"/>
  <c r="AA61" i="2"/>
  <c r="Z61" i="2"/>
  <c r="X61" i="2"/>
  <c r="W61" i="2"/>
  <c r="V61" i="2"/>
  <c r="U61" i="2"/>
  <c r="AE60" i="2"/>
  <c r="AD60" i="2"/>
  <c r="AC60" i="2"/>
  <c r="AB60" i="2"/>
  <c r="AA60" i="2"/>
  <c r="Z60" i="2"/>
  <c r="X60" i="2"/>
  <c r="W60" i="2"/>
  <c r="V60" i="2"/>
  <c r="U60" i="2"/>
  <c r="AE59" i="2"/>
  <c r="AD59" i="2"/>
  <c r="AC59" i="2"/>
  <c r="AB59" i="2"/>
  <c r="AA59" i="2"/>
  <c r="Z59" i="2"/>
  <c r="X59" i="2"/>
  <c r="W59" i="2"/>
  <c r="V59" i="2"/>
  <c r="U59" i="2"/>
  <c r="AE58" i="2"/>
  <c r="AD58" i="2"/>
  <c r="AC58" i="2"/>
  <c r="AB58" i="2"/>
  <c r="AA58" i="2"/>
  <c r="Z58" i="2"/>
  <c r="X58" i="2"/>
  <c r="W58" i="2"/>
  <c r="V58" i="2"/>
  <c r="U58" i="2"/>
  <c r="AE57" i="2"/>
  <c r="AD57" i="2"/>
  <c r="AC57" i="2"/>
  <c r="AB57" i="2"/>
  <c r="AA57" i="2"/>
  <c r="Z57" i="2"/>
  <c r="X57" i="2"/>
  <c r="W57" i="2"/>
  <c r="V57" i="2"/>
  <c r="U57" i="2"/>
  <c r="AE56" i="2"/>
  <c r="AD56" i="2"/>
  <c r="AC56" i="2"/>
  <c r="AB56" i="2"/>
  <c r="AA56" i="2"/>
  <c r="Z56" i="2"/>
  <c r="X56" i="2"/>
  <c r="W56" i="2"/>
  <c r="V56" i="2"/>
  <c r="U56" i="2"/>
  <c r="AE55" i="2"/>
  <c r="AD55" i="2"/>
  <c r="AC55" i="2"/>
  <c r="AB55" i="2"/>
  <c r="AA55" i="2"/>
  <c r="Z55" i="2"/>
  <c r="X55" i="2"/>
  <c r="W55" i="2"/>
  <c r="V55" i="2"/>
  <c r="U55" i="2"/>
  <c r="AE54" i="2"/>
  <c r="AD54" i="2"/>
  <c r="AC54" i="2"/>
  <c r="AB54" i="2"/>
  <c r="AA54" i="2"/>
  <c r="Z54" i="2"/>
  <c r="X54" i="2"/>
  <c r="W54" i="2"/>
  <c r="V54" i="2"/>
  <c r="U54" i="2"/>
  <c r="AE53" i="2"/>
  <c r="AD53" i="2"/>
  <c r="AC53" i="2"/>
  <c r="AB53" i="2"/>
  <c r="AA53" i="2"/>
  <c r="Z53" i="2"/>
  <c r="X53" i="2"/>
  <c r="W53" i="2"/>
  <c r="V53" i="2"/>
  <c r="U53" i="2"/>
  <c r="AE52" i="2"/>
  <c r="AD52" i="2"/>
  <c r="AC52" i="2"/>
  <c r="AB52" i="2"/>
  <c r="AA52" i="2"/>
  <c r="Z52" i="2"/>
  <c r="X52" i="2"/>
  <c r="W52" i="2"/>
  <c r="V52" i="2"/>
  <c r="U52" i="2"/>
  <c r="AE51" i="2"/>
  <c r="AD51" i="2"/>
  <c r="AC51" i="2"/>
  <c r="AB51" i="2"/>
  <c r="AA51" i="2"/>
  <c r="Z51" i="2"/>
  <c r="X51" i="2"/>
  <c r="W51" i="2"/>
  <c r="V51" i="2"/>
  <c r="U51" i="2"/>
  <c r="AE50" i="2"/>
  <c r="AD50" i="2"/>
  <c r="AC50" i="2"/>
  <c r="AB50" i="2"/>
  <c r="AA50" i="2"/>
  <c r="Z50" i="2"/>
  <c r="X50" i="2"/>
  <c r="W50" i="2"/>
  <c r="V50" i="2"/>
  <c r="U50" i="2"/>
  <c r="AE49" i="2"/>
  <c r="AD49" i="2"/>
  <c r="AC49" i="2"/>
  <c r="AB49" i="2"/>
  <c r="AA49" i="2"/>
  <c r="Z49" i="2"/>
  <c r="X49" i="2"/>
  <c r="W49" i="2"/>
  <c r="V49" i="2"/>
  <c r="U49" i="2"/>
  <c r="AE48" i="2"/>
  <c r="AD48" i="2"/>
  <c r="AC48" i="2"/>
  <c r="AB48" i="2"/>
  <c r="AA48" i="2"/>
  <c r="Z48" i="2"/>
  <c r="X48" i="2"/>
  <c r="W48" i="2"/>
  <c r="V48" i="2"/>
  <c r="U48" i="2"/>
  <c r="AE47" i="2"/>
  <c r="AD47" i="2"/>
  <c r="AC47" i="2"/>
  <c r="AB47" i="2"/>
  <c r="AA47" i="2"/>
  <c r="Z47" i="2"/>
  <c r="X47" i="2"/>
  <c r="W47" i="2"/>
  <c r="V47" i="2"/>
  <c r="U47" i="2"/>
  <c r="AE46" i="2"/>
  <c r="AD46" i="2"/>
  <c r="AC46" i="2"/>
  <c r="AB46" i="2"/>
  <c r="AA46" i="2"/>
  <c r="Z46" i="2"/>
  <c r="X46" i="2"/>
  <c r="W46" i="2"/>
  <c r="V46" i="2"/>
  <c r="U46" i="2"/>
  <c r="AE45" i="2"/>
  <c r="AD45" i="2"/>
  <c r="AC45" i="2"/>
  <c r="AB45" i="2"/>
  <c r="AA45" i="2"/>
  <c r="Z45" i="2"/>
  <c r="X45" i="2"/>
  <c r="W45" i="2"/>
  <c r="V45" i="2"/>
  <c r="U45" i="2"/>
  <c r="AE44" i="2"/>
  <c r="AD44" i="2"/>
  <c r="AC44" i="2"/>
  <c r="AB44" i="2"/>
  <c r="AA44" i="2"/>
  <c r="Z44" i="2"/>
  <c r="X44" i="2"/>
  <c r="W44" i="2"/>
  <c r="V44" i="2"/>
  <c r="U44" i="2"/>
  <c r="AE43" i="2"/>
  <c r="AD43" i="2"/>
  <c r="AC43" i="2"/>
  <c r="AB43" i="2"/>
  <c r="AA43" i="2"/>
  <c r="Z43" i="2"/>
  <c r="X43" i="2"/>
  <c r="W43" i="2"/>
  <c r="V43" i="2"/>
  <c r="U43" i="2"/>
  <c r="AE42" i="2"/>
  <c r="AD42" i="2"/>
  <c r="AC42" i="2"/>
  <c r="AB42" i="2"/>
  <c r="AA42" i="2"/>
  <c r="Z42" i="2"/>
  <c r="X42" i="2"/>
  <c r="W42" i="2"/>
  <c r="V42" i="2"/>
  <c r="U42" i="2"/>
  <c r="AE41" i="2"/>
  <c r="AD41" i="2"/>
  <c r="AC41" i="2"/>
  <c r="AB41" i="2"/>
  <c r="AA41" i="2"/>
  <c r="Z41" i="2"/>
  <c r="X41" i="2"/>
  <c r="W41" i="2"/>
  <c r="V41" i="2"/>
  <c r="U41" i="2"/>
  <c r="AE40" i="2"/>
  <c r="AD40" i="2"/>
  <c r="AC40" i="2"/>
  <c r="AB40" i="2"/>
  <c r="AA40" i="2"/>
  <c r="Z40" i="2"/>
  <c r="X40" i="2"/>
  <c r="W40" i="2"/>
  <c r="V40" i="2"/>
  <c r="U40" i="2"/>
  <c r="AE39" i="2"/>
  <c r="AD39" i="2"/>
  <c r="AC39" i="2"/>
  <c r="AB39" i="2"/>
  <c r="AA39" i="2"/>
  <c r="Z39" i="2"/>
  <c r="X39" i="2"/>
  <c r="W39" i="2"/>
  <c r="V39" i="2"/>
  <c r="U39" i="2"/>
  <c r="AE38" i="2"/>
  <c r="AD38" i="2"/>
  <c r="AC38" i="2"/>
  <c r="AB38" i="2"/>
  <c r="AA38" i="2"/>
  <c r="Z38" i="2"/>
  <c r="X38" i="2"/>
  <c r="W38" i="2"/>
  <c r="V38" i="2"/>
  <c r="U38" i="2"/>
  <c r="AE37" i="2"/>
  <c r="AD37" i="2"/>
  <c r="AC37" i="2"/>
  <c r="AB37" i="2"/>
  <c r="AA37" i="2"/>
  <c r="Z37" i="2"/>
  <c r="X37" i="2"/>
  <c r="W37" i="2"/>
  <c r="V37" i="2"/>
  <c r="U37" i="2"/>
  <c r="AE36" i="2"/>
  <c r="AD36" i="2"/>
  <c r="AC36" i="2"/>
  <c r="AB36" i="2"/>
  <c r="AA36" i="2"/>
  <c r="Z36" i="2"/>
  <c r="X36" i="2"/>
  <c r="W36" i="2"/>
  <c r="V36" i="2"/>
  <c r="U36" i="2"/>
  <c r="AE35" i="2"/>
  <c r="AD35" i="2"/>
  <c r="AC35" i="2"/>
  <c r="AB35" i="2"/>
  <c r="AA35" i="2"/>
  <c r="Z35" i="2"/>
  <c r="X35" i="2"/>
  <c r="W35" i="2"/>
  <c r="V35" i="2"/>
  <c r="U35" i="2"/>
  <c r="AE34" i="2"/>
  <c r="AD34" i="2"/>
  <c r="AC34" i="2"/>
  <c r="AB34" i="2"/>
  <c r="AA34" i="2"/>
  <c r="Z34" i="2"/>
  <c r="X34" i="2"/>
  <c r="W34" i="2"/>
  <c r="V34" i="2"/>
  <c r="U34" i="2"/>
  <c r="AE33" i="2"/>
  <c r="AD33" i="2"/>
  <c r="AC33" i="2"/>
  <c r="AB33" i="2"/>
  <c r="AA33" i="2"/>
  <c r="Z33" i="2"/>
  <c r="X33" i="2"/>
  <c r="W33" i="2"/>
  <c r="V33" i="2"/>
  <c r="U33" i="2"/>
  <c r="AE32" i="2"/>
  <c r="AD32" i="2"/>
  <c r="AC32" i="2"/>
  <c r="AB32" i="2"/>
  <c r="AA32" i="2"/>
  <c r="Z32" i="2"/>
  <c r="X32" i="2"/>
  <c r="W32" i="2"/>
  <c r="V32" i="2"/>
  <c r="U32" i="2"/>
  <c r="AE31" i="2"/>
  <c r="AD31" i="2"/>
  <c r="AC31" i="2"/>
  <c r="AB31" i="2"/>
  <c r="AA31" i="2"/>
  <c r="Z31" i="2"/>
  <c r="X31" i="2"/>
  <c r="W31" i="2"/>
  <c r="V31" i="2"/>
  <c r="U31" i="2"/>
  <c r="AE30" i="2"/>
  <c r="AD30" i="2"/>
  <c r="AC30" i="2"/>
  <c r="AB30" i="2"/>
  <c r="AA30" i="2"/>
  <c r="Z30" i="2"/>
  <c r="X30" i="2"/>
  <c r="W30" i="2"/>
  <c r="V30" i="2"/>
  <c r="U30" i="2"/>
  <c r="AE29" i="2"/>
  <c r="AD29" i="2"/>
  <c r="AC29" i="2"/>
  <c r="AB29" i="2"/>
  <c r="AA29" i="2"/>
  <c r="Z29" i="2"/>
  <c r="X29" i="2"/>
  <c r="W29" i="2"/>
  <c r="V29" i="2"/>
  <c r="U29" i="2"/>
  <c r="AE28" i="2"/>
  <c r="AD28" i="2"/>
  <c r="AC28" i="2"/>
  <c r="AB28" i="2"/>
  <c r="AA28" i="2"/>
  <c r="Z28" i="2"/>
  <c r="X28" i="2"/>
  <c r="W28" i="2"/>
  <c r="V28" i="2"/>
  <c r="U28" i="2"/>
  <c r="AE27" i="2"/>
  <c r="AD27" i="2"/>
  <c r="AC27" i="2"/>
  <c r="AB27" i="2"/>
  <c r="AA27" i="2"/>
  <c r="Z27" i="2"/>
  <c r="X27" i="2"/>
  <c r="W27" i="2"/>
  <c r="V27" i="2"/>
  <c r="U27" i="2"/>
  <c r="AE26" i="2"/>
  <c r="AD26" i="2"/>
  <c r="AC26" i="2"/>
  <c r="AB26" i="2"/>
  <c r="AA26" i="2"/>
  <c r="Z26" i="2"/>
  <c r="X26" i="2"/>
  <c r="W26" i="2"/>
  <c r="V26" i="2"/>
  <c r="U26" i="2"/>
  <c r="AE25" i="2"/>
  <c r="AD25" i="2"/>
  <c r="AC25" i="2"/>
  <c r="AB25" i="2"/>
  <c r="AA25" i="2"/>
  <c r="Z25" i="2"/>
  <c r="X25" i="2"/>
  <c r="W25" i="2"/>
  <c r="V25" i="2"/>
  <c r="U25" i="2"/>
  <c r="AE24" i="2"/>
  <c r="AD24" i="2"/>
  <c r="AC24" i="2"/>
  <c r="AB24" i="2"/>
  <c r="AA24" i="2"/>
  <c r="Z24" i="2"/>
  <c r="X24" i="2"/>
  <c r="W24" i="2"/>
  <c r="V24" i="2"/>
  <c r="U24" i="2"/>
  <c r="AE23" i="2"/>
  <c r="AD23" i="2"/>
  <c r="AC23" i="2"/>
  <c r="AB23" i="2"/>
  <c r="AA23" i="2"/>
  <c r="Z23" i="2"/>
  <c r="X23" i="2"/>
  <c r="W23" i="2"/>
  <c r="V23" i="2"/>
  <c r="U23" i="2"/>
  <c r="AE22" i="2"/>
  <c r="AD22" i="2"/>
  <c r="AC22" i="2"/>
  <c r="AB22" i="2"/>
  <c r="AA22" i="2"/>
  <c r="Z22" i="2"/>
  <c r="X22" i="2"/>
  <c r="W22" i="2"/>
  <c r="V22" i="2"/>
  <c r="U22" i="2"/>
  <c r="AE21" i="2"/>
  <c r="AD21" i="2"/>
  <c r="AC21" i="2"/>
  <c r="AB21" i="2"/>
  <c r="AA21" i="2"/>
  <c r="Z21" i="2"/>
  <c r="X21" i="2"/>
  <c r="W21" i="2"/>
  <c r="V21" i="2"/>
  <c r="U21" i="2"/>
  <c r="AE20" i="2"/>
  <c r="AD20" i="2"/>
  <c r="AC20" i="2"/>
  <c r="AB20" i="2"/>
  <c r="AA20" i="2"/>
  <c r="Z20" i="2"/>
  <c r="X20" i="2"/>
  <c r="W20" i="2"/>
  <c r="V20" i="2"/>
  <c r="U20" i="2"/>
  <c r="AE19" i="2"/>
  <c r="AD19" i="2"/>
  <c r="AC19" i="2"/>
  <c r="AB19" i="2"/>
  <c r="AA19" i="2"/>
  <c r="Z19" i="2"/>
  <c r="X19" i="2"/>
  <c r="W19" i="2"/>
  <c r="V19" i="2"/>
  <c r="U19" i="2"/>
  <c r="AE18" i="2"/>
  <c r="AD18" i="2"/>
  <c r="AC18" i="2"/>
  <c r="AB18" i="2"/>
  <c r="AA18" i="2"/>
  <c r="Z18" i="2"/>
  <c r="X18" i="2"/>
  <c r="W18" i="2"/>
  <c r="V18" i="2"/>
  <c r="U18" i="2"/>
  <c r="AE17" i="2"/>
  <c r="AD17" i="2"/>
  <c r="AC17" i="2"/>
  <c r="AB17" i="2"/>
  <c r="AA17" i="2"/>
  <c r="Z17" i="2"/>
  <c r="X17" i="2"/>
  <c r="W17" i="2"/>
  <c r="V17" i="2"/>
  <c r="U17" i="2"/>
  <c r="AE16" i="2"/>
  <c r="AD16" i="2"/>
  <c r="AC16" i="2"/>
  <c r="AB16" i="2"/>
  <c r="AA16" i="2"/>
  <c r="Z16" i="2"/>
  <c r="X16" i="2"/>
  <c r="W16" i="2"/>
  <c r="V16" i="2"/>
  <c r="U16" i="2"/>
  <c r="AE15" i="2"/>
  <c r="AD15" i="2"/>
  <c r="AC15" i="2"/>
  <c r="AB15" i="2"/>
  <c r="AA15" i="2"/>
  <c r="Z15" i="2"/>
  <c r="X15" i="2"/>
  <c r="W15" i="2"/>
  <c r="V15" i="2"/>
  <c r="U15" i="2"/>
  <c r="AE14" i="2"/>
  <c r="AD14" i="2"/>
  <c r="AC14" i="2"/>
  <c r="AB14" i="2"/>
  <c r="AA14" i="2"/>
  <c r="Z14" i="2"/>
  <c r="X14" i="2"/>
  <c r="W14" i="2"/>
  <c r="V14" i="2"/>
  <c r="U14" i="2"/>
  <c r="AE13" i="2"/>
  <c r="AD13" i="2"/>
  <c r="AC13" i="2"/>
  <c r="AB13" i="2"/>
  <c r="AA13" i="2"/>
  <c r="Z13" i="2"/>
  <c r="X13" i="2"/>
  <c r="W13" i="2"/>
  <c r="V13" i="2"/>
  <c r="U13" i="2"/>
  <c r="AE12" i="2"/>
  <c r="AD12" i="2"/>
  <c r="AC12" i="2"/>
  <c r="AB12" i="2"/>
  <c r="AA12" i="2"/>
  <c r="Z12" i="2"/>
  <c r="X12" i="2"/>
  <c r="W12" i="2"/>
  <c r="V12" i="2"/>
  <c r="U12" i="2"/>
  <c r="AE11" i="2"/>
  <c r="AD11" i="2"/>
  <c r="AC11" i="2"/>
  <c r="AB11" i="2"/>
  <c r="AA11" i="2"/>
  <c r="Z11" i="2"/>
  <c r="X11" i="2"/>
  <c r="W11" i="2"/>
  <c r="V11" i="2"/>
  <c r="U11" i="2"/>
  <c r="AE10" i="2"/>
  <c r="AD10" i="2"/>
  <c r="AC10" i="2"/>
  <c r="AB10" i="2"/>
  <c r="AA10" i="2"/>
  <c r="Z10" i="2"/>
  <c r="X10" i="2"/>
  <c r="W10" i="2"/>
  <c r="V10" i="2"/>
  <c r="U10" i="2"/>
  <c r="AE9" i="2"/>
  <c r="AD9" i="2"/>
  <c r="AC9" i="2"/>
  <c r="AB9" i="2"/>
  <c r="AA9" i="2"/>
  <c r="Z9" i="2"/>
  <c r="X9" i="2"/>
  <c r="W9" i="2"/>
  <c r="V9" i="2"/>
  <c r="U9" i="2"/>
  <c r="AE8" i="2"/>
  <c r="AD8" i="2"/>
  <c r="AC8" i="2"/>
  <c r="AB8" i="2"/>
  <c r="AA8" i="2"/>
  <c r="Z8" i="2"/>
  <c r="X8" i="2"/>
  <c r="W8" i="2"/>
  <c r="V8" i="2"/>
  <c r="U8" i="2"/>
  <c r="AE7" i="2"/>
  <c r="AD7" i="2"/>
  <c r="AC7" i="2"/>
  <c r="AB7" i="2"/>
  <c r="AA7" i="2"/>
  <c r="Z7" i="2"/>
  <c r="X7" i="2"/>
  <c r="W7" i="2"/>
  <c r="V7" i="2"/>
  <c r="U7" i="2"/>
  <c r="AE6" i="2"/>
  <c r="AD6" i="2"/>
  <c r="AC6" i="2"/>
  <c r="AB6" i="2"/>
  <c r="AA6" i="2"/>
  <c r="Z6" i="2"/>
  <c r="X6" i="2"/>
  <c r="W6" i="2"/>
  <c r="V6" i="2"/>
  <c r="U6" i="2"/>
  <c r="AE5" i="2"/>
  <c r="AD5" i="2"/>
  <c r="AC5" i="2"/>
  <c r="AB5" i="2"/>
  <c r="AA5" i="2"/>
  <c r="Z5" i="2"/>
  <c r="X5" i="2"/>
  <c r="W5" i="2"/>
  <c r="V5" i="2"/>
  <c r="U5" i="2"/>
  <c r="AE4" i="2"/>
  <c r="AD4" i="2"/>
  <c r="AC4" i="2"/>
  <c r="AB4" i="2"/>
  <c r="AA4" i="2"/>
  <c r="Z4" i="2"/>
  <c r="X4" i="2"/>
  <c r="W4" i="2"/>
  <c r="V4" i="2"/>
  <c r="U4" i="2"/>
  <c r="AE3" i="2"/>
  <c r="AD3" i="2"/>
  <c r="AC3" i="2"/>
  <c r="AB3" i="2"/>
  <c r="AA3" i="2"/>
  <c r="Z3" i="2"/>
  <c r="X3" i="2"/>
  <c r="W3" i="2"/>
  <c r="V3" i="2"/>
  <c r="U3" i="2"/>
  <c r="AE2" i="2"/>
  <c r="AD2" i="2"/>
  <c r="AC2" i="2"/>
  <c r="AB2" i="2"/>
  <c r="AA2" i="2"/>
  <c r="Z2" i="2"/>
  <c r="X2" i="2"/>
  <c r="W2" i="2"/>
  <c r="V2" i="2"/>
  <c r="U2" i="2"/>
  <c r="AE1166" i="1"/>
  <c r="AE1165" i="1"/>
  <c r="AE1164" i="1"/>
  <c r="AE1163" i="1"/>
  <c r="AE1162" i="1"/>
  <c r="AE1161" i="1"/>
  <c r="AE1160" i="1"/>
  <c r="AE1159" i="1"/>
  <c r="AE1158" i="1"/>
  <c r="AE1157" i="1"/>
  <c r="AE1156" i="1"/>
  <c r="AE1155" i="1"/>
  <c r="AE1154" i="1"/>
  <c r="AE1153" i="1"/>
  <c r="AE1152" i="1"/>
  <c r="AE1151" i="1"/>
  <c r="AE1150" i="1"/>
  <c r="AE1149" i="1"/>
  <c r="AE1148" i="1"/>
  <c r="AE1147" i="1"/>
  <c r="AE1146" i="1"/>
  <c r="AE1145" i="1"/>
  <c r="AE1144" i="1"/>
  <c r="AE1143" i="1"/>
  <c r="AE1142" i="1"/>
  <c r="AE1141" i="1"/>
  <c r="AE1140" i="1"/>
  <c r="AE1139" i="1"/>
  <c r="AE1138" i="1"/>
  <c r="AE1137" i="1"/>
  <c r="AE1136" i="1"/>
  <c r="AE1135" i="1"/>
  <c r="AE1134" i="1"/>
  <c r="AE1133" i="1"/>
  <c r="AE1132" i="1"/>
  <c r="AE1131" i="1"/>
  <c r="AE1130" i="1"/>
  <c r="AE1129" i="1"/>
  <c r="AE1128" i="1"/>
  <c r="AE1127" i="1"/>
  <c r="AE1126" i="1"/>
  <c r="AE1125" i="1"/>
  <c r="AE1124" i="1"/>
  <c r="AE1123" i="1"/>
  <c r="AE1122" i="1"/>
  <c r="AE1121" i="1"/>
  <c r="AE1120" i="1"/>
  <c r="AE1119" i="1"/>
  <c r="AE1118" i="1"/>
  <c r="AE1117" i="1"/>
  <c r="AE1116" i="1"/>
  <c r="AE1115" i="1"/>
  <c r="AE1114" i="1"/>
  <c r="AE1113" i="1"/>
  <c r="AE1112" i="1"/>
  <c r="AE1111" i="1"/>
  <c r="AE1110" i="1"/>
  <c r="AE1109" i="1"/>
  <c r="AE1108" i="1"/>
  <c r="AE1107" i="1"/>
  <c r="AE1106" i="1"/>
  <c r="AE1105" i="1"/>
  <c r="AE1104" i="1"/>
  <c r="AE1103" i="1"/>
  <c r="AE1102" i="1"/>
  <c r="AE1101" i="1"/>
  <c r="AE1100" i="1"/>
  <c r="AE1099" i="1"/>
  <c r="AE1098" i="1"/>
  <c r="AE1097" i="1"/>
  <c r="AE1096" i="1"/>
  <c r="AE1095" i="1"/>
  <c r="AE1094" i="1"/>
  <c r="AE1093" i="1"/>
  <c r="AE1092" i="1"/>
  <c r="AE1091" i="1"/>
  <c r="AE1090" i="1"/>
  <c r="AE1089" i="1"/>
  <c r="AE1088" i="1"/>
  <c r="AE1087" i="1"/>
  <c r="AE1086" i="1"/>
  <c r="AE1085" i="1"/>
  <c r="AE1084" i="1"/>
  <c r="AE1083" i="1"/>
  <c r="AE1082" i="1"/>
  <c r="AE1081" i="1"/>
  <c r="AE1080" i="1"/>
  <c r="AE1079" i="1"/>
  <c r="AE1078" i="1"/>
  <c r="AE1077" i="1"/>
  <c r="AE1076" i="1"/>
  <c r="AE1075" i="1"/>
  <c r="AE1074" i="1"/>
  <c r="AE1073" i="1"/>
  <c r="AE1072" i="1"/>
  <c r="AE1071" i="1"/>
  <c r="AE1070" i="1"/>
  <c r="AE1069" i="1"/>
  <c r="AE1068" i="1"/>
  <c r="AE1067" i="1"/>
  <c r="AE1066" i="1"/>
  <c r="AE1065" i="1"/>
  <c r="AE1064" i="1"/>
  <c r="AE1063" i="1"/>
  <c r="AE1062" i="1"/>
  <c r="AE1061" i="1"/>
  <c r="AE1060" i="1"/>
  <c r="AE1059" i="1"/>
  <c r="AE1058" i="1"/>
  <c r="AE1057" i="1"/>
  <c r="AE1056" i="1"/>
  <c r="AE1055" i="1"/>
  <c r="AE1054" i="1"/>
  <c r="AE1053" i="1"/>
  <c r="AE1052" i="1"/>
  <c r="AE1051" i="1"/>
  <c r="AE1050" i="1"/>
  <c r="AE1049" i="1"/>
  <c r="AE1048" i="1"/>
  <c r="AE1047" i="1"/>
  <c r="AE1046" i="1"/>
  <c r="AE1045" i="1"/>
  <c r="AE1044" i="1"/>
  <c r="AE1043" i="1"/>
  <c r="AE1042" i="1"/>
  <c r="AE1041" i="1"/>
  <c r="AE1040" i="1"/>
  <c r="AE1039" i="1"/>
  <c r="AE1038" i="1"/>
  <c r="AE1037" i="1"/>
  <c r="AE1036" i="1"/>
  <c r="AE1035" i="1"/>
  <c r="AE1034" i="1"/>
  <c r="AE1033" i="1"/>
  <c r="AE1032" i="1"/>
  <c r="AE1031" i="1"/>
  <c r="AE1030" i="1"/>
  <c r="AE1029" i="1"/>
  <c r="AE1028" i="1"/>
  <c r="AE1027" i="1"/>
  <c r="AE1026" i="1"/>
  <c r="AE1025" i="1"/>
  <c r="AE1024" i="1"/>
  <c r="AE1023" i="1"/>
  <c r="AE1022" i="1"/>
  <c r="AE1021" i="1"/>
  <c r="AE1020" i="1"/>
  <c r="AE1019" i="1"/>
  <c r="AE1018" i="1"/>
  <c r="AE1017" i="1"/>
  <c r="AE1016" i="1"/>
  <c r="AE1015" i="1"/>
  <c r="AE1014" i="1"/>
  <c r="AE1013" i="1"/>
  <c r="AE1012" i="1"/>
  <c r="AE1011" i="1"/>
  <c r="AE1010" i="1"/>
  <c r="AE1009" i="1"/>
  <c r="AE1008" i="1"/>
  <c r="AE1007" i="1"/>
  <c r="AE1006" i="1"/>
  <c r="AE1005" i="1"/>
  <c r="AE1004" i="1"/>
  <c r="AE1003" i="1"/>
  <c r="AE1002" i="1"/>
  <c r="AE1001" i="1"/>
  <c r="AE1000" i="1"/>
  <c r="AE999" i="1"/>
  <c r="AE998" i="1"/>
  <c r="AE997" i="1"/>
  <c r="AE996" i="1"/>
  <c r="AE995" i="1"/>
  <c r="AE994" i="1"/>
  <c r="AE993" i="1"/>
  <c r="AE992" i="1"/>
  <c r="AE991" i="1"/>
  <c r="AE990" i="1"/>
  <c r="AE989" i="1"/>
  <c r="AE988" i="1"/>
  <c r="AE987" i="1"/>
  <c r="AE986" i="1"/>
  <c r="AE985" i="1"/>
  <c r="AE984" i="1"/>
  <c r="AE983" i="1"/>
  <c r="AE982" i="1"/>
  <c r="AE981" i="1"/>
  <c r="AE980" i="1"/>
  <c r="AE979" i="1"/>
  <c r="AE978" i="1"/>
  <c r="AE977" i="1"/>
  <c r="AE976" i="1"/>
  <c r="AE975" i="1"/>
  <c r="AE974" i="1"/>
  <c r="AE973" i="1"/>
  <c r="AE972" i="1"/>
  <c r="AE971" i="1"/>
  <c r="AE970" i="1"/>
  <c r="AE969" i="1"/>
  <c r="AE968" i="1"/>
  <c r="AE967" i="1"/>
  <c r="AE966" i="1"/>
  <c r="AE965" i="1"/>
  <c r="AE964" i="1"/>
  <c r="AE963" i="1"/>
  <c r="AE962" i="1"/>
  <c r="AE961" i="1"/>
  <c r="AE960" i="1"/>
  <c r="AE959" i="1"/>
  <c r="AE958" i="1"/>
  <c r="AE957" i="1"/>
  <c r="AE956" i="1"/>
  <c r="AE955" i="1"/>
  <c r="AE954" i="1"/>
  <c r="AE953" i="1"/>
  <c r="AE952" i="1"/>
  <c r="AE951" i="1"/>
  <c r="AE950" i="1"/>
  <c r="AE949" i="1"/>
  <c r="AE948" i="1"/>
  <c r="AE947" i="1"/>
  <c r="AE946" i="1"/>
  <c r="AE945" i="1"/>
  <c r="AE944" i="1"/>
  <c r="AE943" i="1"/>
  <c r="AE942" i="1"/>
  <c r="AE941" i="1"/>
  <c r="AE940" i="1"/>
  <c r="AE939" i="1"/>
  <c r="AE938" i="1"/>
  <c r="AE937" i="1"/>
  <c r="AE936" i="1"/>
  <c r="AE935" i="1"/>
  <c r="AE934" i="1"/>
  <c r="AE933" i="1"/>
  <c r="AE932" i="1"/>
  <c r="AE931" i="1"/>
  <c r="AE930" i="1"/>
  <c r="AE929" i="1"/>
  <c r="AE928" i="1"/>
  <c r="AE927" i="1"/>
  <c r="AE926" i="1"/>
  <c r="AE925" i="1"/>
  <c r="AE924" i="1"/>
  <c r="AE923" i="1"/>
  <c r="AE922" i="1"/>
  <c r="AE921" i="1"/>
  <c r="AE920" i="1"/>
  <c r="AE919" i="1"/>
  <c r="AE918" i="1"/>
  <c r="AE917" i="1"/>
  <c r="AE916" i="1"/>
  <c r="AE915" i="1"/>
  <c r="AE914" i="1"/>
  <c r="AE913" i="1"/>
  <c r="AE912" i="1"/>
  <c r="AE911" i="1"/>
  <c r="AE910" i="1"/>
  <c r="AE909" i="1"/>
  <c r="AE908" i="1"/>
  <c r="AE907" i="1"/>
  <c r="AE906" i="1"/>
  <c r="AE905" i="1"/>
  <c r="AE904" i="1"/>
  <c r="AE903" i="1"/>
  <c r="AE902" i="1"/>
  <c r="AE901" i="1"/>
  <c r="AE900" i="1"/>
  <c r="AE899" i="1"/>
  <c r="AE898" i="1"/>
  <c r="AE897" i="1"/>
  <c r="AE896" i="1"/>
  <c r="AE895" i="1"/>
  <c r="AE894" i="1"/>
  <c r="AE893" i="1"/>
  <c r="AE892" i="1"/>
  <c r="AE891" i="1"/>
  <c r="AE890" i="1"/>
  <c r="AE889" i="1"/>
  <c r="AE888" i="1"/>
  <c r="AE887" i="1"/>
  <c r="AE886" i="1"/>
  <c r="AE885" i="1"/>
  <c r="AE884" i="1"/>
  <c r="AE883" i="1"/>
  <c r="AE882" i="1"/>
  <c r="AE881" i="1"/>
  <c r="AE880" i="1"/>
  <c r="AE879" i="1"/>
  <c r="AE878" i="1"/>
  <c r="AE877" i="1"/>
  <c r="AE876" i="1"/>
  <c r="AE875" i="1"/>
  <c r="AE874" i="1"/>
  <c r="AE873" i="1"/>
  <c r="AE872" i="1"/>
  <c r="AE871" i="1"/>
  <c r="AE870" i="1"/>
  <c r="AE869" i="1"/>
  <c r="AE868" i="1"/>
  <c r="AE867" i="1"/>
  <c r="AE866" i="1"/>
  <c r="AE865" i="1"/>
  <c r="AE864" i="1"/>
  <c r="AE863" i="1"/>
  <c r="AE862" i="1"/>
  <c r="AE861" i="1"/>
  <c r="AE860" i="1"/>
  <c r="AE859" i="1"/>
  <c r="AE858" i="1"/>
  <c r="AE857" i="1"/>
  <c r="AE856" i="1"/>
  <c r="AE855" i="1"/>
  <c r="AE854" i="1"/>
  <c r="AE853" i="1"/>
  <c r="AE852" i="1"/>
  <c r="AE851" i="1"/>
  <c r="AE850" i="1"/>
  <c r="AE849" i="1"/>
  <c r="AE848" i="1"/>
  <c r="AE847" i="1"/>
  <c r="AE846" i="1"/>
  <c r="AE845" i="1"/>
  <c r="AE844" i="1"/>
  <c r="AE843" i="1"/>
  <c r="AE842" i="1"/>
  <c r="AE841" i="1"/>
  <c r="AE840" i="1"/>
  <c r="AE839" i="1"/>
  <c r="AE838" i="1"/>
  <c r="AE837" i="1"/>
  <c r="AE836" i="1"/>
  <c r="AE835" i="1"/>
  <c r="AE834" i="1"/>
  <c r="AE833" i="1"/>
  <c r="AE832" i="1"/>
  <c r="AE831" i="1"/>
  <c r="AE830" i="1"/>
  <c r="AE829" i="1"/>
  <c r="AE828" i="1"/>
  <c r="AE827" i="1"/>
  <c r="AE826" i="1"/>
  <c r="AE825" i="1"/>
  <c r="AE824" i="1"/>
  <c r="AE823" i="1"/>
  <c r="AE822" i="1"/>
  <c r="AE821" i="1"/>
  <c r="AE820" i="1"/>
  <c r="AE819" i="1"/>
  <c r="AE818" i="1"/>
  <c r="AE817" i="1"/>
  <c r="AE816" i="1"/>
  <c r="AE815" i="1"/>
  <c r="AE814" i="1"/>
  <c r="AE813" i="1"/>
  <c r="AE812" i="1"/>
  <c r="AE811" i="1"/>
  <c r="AE810" i="1"/>
  <c r="AE809" i="1"/>
  <c r="AE808" i="1"/>
  <c r="AE807" i="1"/>
  <c r="AE806" i="1"/>
  <c r="AE805" i="1"/>
  <c r="AE804" i="1"/>
  <c r="AE803" i="1"/>
  <c r="AE802" i="1"/>
  <c r="AE801" i="1"/>
  <c r="AE800" i="1"/>
  <c r="AE799" i="1"/>
  <c r="AE798" i="1"/>
  <c r="AE797" i="1"/>
  <c r="AE796" i="1"/>
  <c r="AE795" i="1"/>
  <c r="AE794" i="1"/>
  <c r="AE793" i="1"/>
  <c r="AE792" i="1"/>
  <c r="AE791" i="1"/>
  <c r="AE790" i="1"/>
  <c r="AE789" i="1"/>
  <c r="AE788" i="1"/>
  <c r="AE787" i="1"/>
  <c r="AE786" i="1"/>
  <c r="AE785" i="1"/>
  <c r="AE784" i="1"/>
  <c r="AE783" i="1"/>
  <c r="AE782" i="1"/>
  <c r="AE781" i="1"/>
  <c r="AE780" i="1"/>
  <c r="AE779" i="1"/>
  <c r="AE778" i="1"/>
  <c r="AE777" i="1"/>
  <c r="AE776" i="1"/>
  <c r="AE775" i="1"/>
  <c r="AE774" i="1"/>
  <c r="AE773" i="1"/>
  <c r="AE772" i="1"/>
  <c r="AE771" i="1"/>
  <c r="AE770" i="1"/>
  <c r="AE769" i="1"/>
  <c r="AE768" i="1"/>
  <c r="AE767" i="1"/>
  <c r="AE766" i="1"/>
  <c r="AE765" i="1"/>
  <c r="AE764" i="1"/>
  <c r="AE763" i="1"/>
  <c r="AE762" i="1"/>
  <c r="AE761" i="1"/>
  <c r="AE760" i="1"/>
  <c r="AE759" i="1"/>
  <c r="AE758" i="1"/>
  <c r="AE757" i="1"/>
  <c r="AE756" i="1"/>
  <c r="AE755" i="1"/>
  <c r="AE754" i="1"/>
  <c r="AE753" i="1"/>
  <c r="AE752" i="1"/>
  <c r="AE751" i="1"/>
  <c r="AE750" i="1"/>
  <c r="AE749" i="1"/>
  <c r="AE748" i="1"/>
  <c r="AE747" i="1"/>
  <c r="AE746" i="1"/>
  <c r="AE745" i="1"/>
  <c r="AE744" i="1"/>
  <c r="AE743" i="1"/>
  <c r="AE742" i="1"/>
  <c r="AE741" i="1"/>
  <c r="AE740" i="1"/>
  <c r="AE739" i="1"/>
  <c r="AE738" i="1"/>
  <c r="AE737" i="1"/>
  <c r="AE736" i="1"/>
  <c r="AE735" i="1"/>
  <c r="AE734" i="1"/>
  <c r="AE733" i="1"/>
  <c r="AE732" i="1"/>
  <c r="AE731" i="1"/>
  <c r="AE730" i="1"/>
  <c r="AE729" i="1"/>
  <c r="AE728" i="1"/>
  <c r="AE727" i="1"/>
  <c r="AE726" i="1"/>
  <c r="AE725" i="1"/>
  <c r="AE724" i="1"/>
  <c r="AE723" i="1"/>
  <c r="AE722" i="1"/>
  <c r="AE721" i="1"/>
  <c r="AE720" i="1"/>
  <c r="AE719" i="1"/>
  <c r="AE718" i="1"/>
  <c r="AE717" i="1"/>
  <c r="AE716" i="1"/>
  <c r="AE715" i="1"/>
  <c r="AE714" i="1"/>
  <c r="AE713" i="1"/>
  <c r="AE712" i="1"/>
  <c r="AE711" i="1"/>
  <c r="AE710" i="1"/>
  <c r="AE709" i="1"/>
  <c r="AE708" i="1"/>
  <c r="AE707" i="1"/>
  <c r="AE706" i="1"/>
  <c r="AE705" i="1"/>
  <c r="AE704" i="1"/>
  <c r="AE703" i="1"/>
  <c r="AE702" i="1"/>
  <c r="AE701" i="1"/>
  <c r="AE700" i="1"/>
  <c r="AE699" i="1"/>
  <c r="AE698" i="1"/>
  <c r="AE697" i="1"/>
  <c r="AE696" i="1"/>
  <c r="AE695" i="1"/>
  <c r="AE694" i="1"/>
  <c r="AE693" i="1"/>
  <c r="AE692" i="1"/>
  <c r="AE691" i="1"/>
  <c r="AE690" i="1"/>
  <c r="AE689" i="1"/>
  <c r="AE688" i="1"/>
  <c r="AE687" i="1"/>
  <c r="AE686" i="1"/>
  <c r="AE685" i="1"/>
  <c r="AE684" i="1"/>
  <c r="AE683" i="1"/>
  <c r="AE682" i="1"/>
  <c r="AE681" i="1"/>
  <c r="AE680" i="1"/>
  <c r="AE679" i="1"/>
  <c r="AE678" i="1"/>
  <c r="AE677" i="1"/>
  <c r="AE676" i="1"/>
  <c r="AE675" i="1"/>
  <c r="AE674" i="1"/>
  <c r="AE673" i="1"/>
  <c r="AE672" i="1"/>
  <c r="AE671" i="1"/>
  <c r="AE670" i="1"/>
  <c r="AE669" i="1"/>
  <c r="AE668" i="1"/>
  <c r="AE667" i="1"/>
  <c r="AE666" i="1"/>
  <c r="AE665" i="1"/>
  <c r="AE664" i="1"/>
  <c r="AE663" i="1"/>
  <c r="AE662" i="1"/>
  <c r="AE661" i="1"/>
  <c r="AE660" i="1"/>
  <c r="AE659" i="1"/>
  <c r="AE658" i="1"/>
  <c r="AE657" i="1"/>
  <c r="AE656" i="1"/>
  <c r="AE655" i="1"/>
  <c r="AE654" i="1"/>
  <c r="AE653" i="1"/>
  <c r="AE652" i="1"/>
  <c r="AE651" i="1"/>
  <c r="AE650" i="1"/>
  <c r="AE649" i="1"/>
  <c r="AE648" i="1"/>
  <c r="AE647" i="1"/>
  <c r="AE646" i="1"/>
  <c r="AE645" i="1"/>
  <c r="AE644" i="1"/>
  <c r="AE643" i="1"/>
  <c r="AE642" i="1"/>
  <c r="AE641" i="1"/>
  <c r="AE640" i="1"/>
  <c r="AE639" i="1"/>
  <c r="AE638" i="1"/>
  <c r="AE637" i="1"/>
  <c r="AE636" i="1"/>
  <c r="AE635" i="1"/>
  <c r="AE634" i="1"/>
  <c r="AE633" i="1"/>
  <c r="AE632" i="1"/>
  <c r="AE631" i="1"/>
  <c r="AE630" i="1"/>
  <c r="AE629" i="1"/>
  <c r="AE628" i="1"/>
  <c r="AE627" i="1"/>
  <c r="AE626" i="1"/>
  <c r="AE625" i="1"/>
  <c r="AE624" i="1"/>
  <c r="AE623" i="1"/>
  <c r="AE622" i="1"/>
  <c r="AE621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AE607" i="1"/>
  <c r="AE606" i="1"/>
  <c r="AE605" i="1"/>
  <c r="AE604" i="1"/>
  <c r="AE603" i="1"/>
  <c r="AE602" i="1"/>
  <c r="AE601" i="1"/>
  <c r="AE600" i="1"/>
  <c r="AE599" i="1"/>
  <c r="AE598" i="1"/>
  <c r="AE597" i="1"/>
  <c r="AE596" i="1"/>
  <c r="AE595" i="1"/>
  <c r="AE594" i="1"/>
  <c r="AE593" i="1"/>
  <c r="AE592" i="1"/>
  <c r="AE591" i="1"/>
  <c r="AE590" i="1"/>
  <c r="AE589" i="1"/>
  <c r="AE588" i="1"/>
  <c r="AE587" i="1"/>
  <c r="AE586" i="1"/>
  <c r="AE585" i="1"/>
  <c r="AE584" i="1"/>
  <c r="AE583" i="1"/>
  <c r="AE582" i="1"/>
  <c r="AE581" i="1"/>
  <c r="AE580" i="1"/>
  <c r="AE579" i="1"/>
  <c r="AE578" i="1"/>
  <c r="AE577" i="1"/>
  <c r="AE576" i="1"/>
  <c r="AE575" i="1"/>
  <c r="AE574" i="1"/>
  <c r="AE573" i="1"/>
  <c r="AE572" i="1"/>
  <c r="AE571" i="1"/>
  <c r="AE570" i="1"/>
  <c r="AE569" i="1"/>
  <c r="AE568" i="1"/>
  <c r="AE567" i="1"/>
  <c r="AE566" i="1"/>
  <c r="AE565" i="1"/>
  <c r="AE564" i="1"/>
  <c r="AE563" i="1"/>
  <c r="AE562" i="1"/>
  <c r="AE561" i="1"/>
  <c r="AE560" i="1"/>
  <c r="AE559" i="1"/>
  <c r="AE558" i="1"/>
  <c r="AE557" i="1"/>
  <c r="AE556" i="1"/>
  <c r="AE555" i="1"/>
  <c r="AE554" i="1"/>
  <c r="AE553" i="1"/>
  <c r="AE552" i="1"/>
  <c r="AE551" i="1"/>
  <c r="AE550" i="1"/>
  <c r="AE549" i="1"/>
  <c r="AE548" i="1"/>
  <c r="AE547" i="1"/>
  <c r="AE546" i="1"/>
  <c r="AE545" i="1"/>
  <c r="AE544" i="1"/>
  <c r="AE543" i="1"/>
  <c r="AE542" i="1"/>
  <c r="AE541" i="1"/>
  <c r="AE540" i="1"/>
  <c r="AE539" i="1"/>
  <c r="AE538" i="1"/>
  <c r="AE537" i="1"/>
  <c r="AE536" i="1"/>
  <c r="AE535" i="1"/>
  <c r="AE534" i="1"/>
  <c r="AE533" i="1"/>
  <c r="AE532" i="1"/>
  <c r="AE531" i="1"/>
  <c r="AE530" i="1"/>
  <c r="AE529" i="1"/>
  <c r="AE528" i="1"/>
  <c r="AE527" i="1"/>
  <c r="AE526" i="1"/>
  <c r="AE525" i="1"/>
  <c r="AE524" i="1"/>
  <c r="AE523" i="1"/>
  <c r="AE522" i="1"/>
  <c r="AE521" i="1"/>
  <c r="AE520" i="1"/>
  <c r="AE519" i="1"/>
  <c r="AE518" i="1"/>
  <c r="AE517" i="1"/>
  <c r="AE516" i="1"/>
  <c r="AE515" i="1"/>
  <c r="AE514" i="1"/>
  <c r="AE513" i="1"/>
  <c r="AE512" i="1"/>
  <c r="AE511" i="1"/>
  <c r="AE510" i="1"/>
  <c r="AE509" i="1"/>
  <c r="AE508" i="1"/>
  <c r="AE507" i="1"/>
  <c r="AE506" i="1"/>
  <c r="AE505" i="1"/>
  <c r="AE504" i="1"/>
  <c r="AE503" i="1"/>
  <c r="AE502" i="1"/>
  <c r="AE501" i="1"/>
  <c r="AE500" i="1"/>
  <c r="AE499" i="1"/>
  <c r="AE498" i="1"/>
  <c r="AE497" i="1"/>
  <c r="AE496" i="1"/>
  <c r="AE495" i="1"/>
  <c r="AE494" i="1"/>
  <c r="AE493" i="1"/>
  <c r="AE492" i="1"/>
  <c r="AE491" i="1"/>
  <c r="AE490" i="1"/>
  <c r="AE489" i="1"/>
  <c r="AE488" i="1"/>
  <c r="AE487" i="1"/>
  <c r="AE486" i="1"/>
  <c r="AE485" i="1"/>
  <c r="AE484" i="1"/>
  <c r="AE483" i="1"/>
  <c r="AE482" i="1"/>
  <c r="AE481" i="1"/>
  <c r="AE480" i="1"/>
  <c r="AE479" i="1"/>
  <c r="AE478" i="1"/>
  <c r="AE477" i="1"/>
  <c r="AE476" i="1"/>
  <c r="AE475" i="1"/>
  <c r="AE474" i="1"/>
  <c r="AE473" i="1"/>
  <c r="AE472" i="1"/>
  <c r="AE471" i="1"/>
  <c r="AE470" i="1"/>
  <c r="AE469" i="1"/>
  <c r="AE468" i="1"/>
  <c r="AE467" i="1"/>
  <c r="AE466" i="1"/>
  <c r="AE465" i="1"/>
  <c r="AE464" i="1"/>
  <c r="AE463" i="1"/>
  <c r="AE462" i="1"/>
  <c r="AE461" i="1"/>
  <c r="AE460" i="1"/>
  <c r="AE459" i="1"/>
  <c r="AE458" i="1"/>
  <c r="AE457" i="1"/>
  <c r="AE456" i="1"/>
  <c r="AE455" i="1"/>
  <c r="AE454" i="1"/>
  <c r="AE453" i="1"/>
  <c r="AE452" i="1"/>
  <c r="AE451" i="1"/>
  <c r="AE450" i="1"/>
  <c r="AE449" i="1"/>
  <c r="AE448" i="1"/>
  <c r="AE447" i="1"/>
  <c r="AE446" i="1"/>
  <c r="AE445" i="1"/>
  <c r="AE444" i="1"/>
  <c r="AE443" i="1"/>
  <c r="AE442" i="1"/>
  <c r="AE441" i="1"/>
  <c r="AE440" i="1"/>
  <c r="AE439" i="1"/>
  <c r="AE438" i="1"/>
  <c r="AE437" i="1"/>
  <c r="AE436" i="1"/>
  <c r="AE435" i="1"/>
  <c r="AE434" i="1"/>
  <c r="AE433" i="1"/>
  <c r="AE432" i="1"/>
  <c r="AE431" i="1"/>
  <c r="AE430" i="1"/>
  <c r="AE429" i="1"/>
  <c r="AE428" i="1"/>
  <c r="AE427" i="1"/>
  <c r="AE426" i="1"/>
  <c r="AE425" i="1"/>
  <c r="AE424" i="1"/>
  <c r="AE423" i="1"/>
  <c r="AE422" i="1"/>
  <c r="AE421" i="1"/>
  <c r="AE420" i="1"/>
  <c r="AE419" i="1"/>
  <c r="AE418" i="1"/>
  <c r="AE417" i="1"/>
  <c r="AE416" i="1"/>
  <c r="AE415" i="1"/>
  <c r="AE414" i="1"/>
  <c r="AE413" i="1"/>
  <c r="AE412" i="1"/>
  <c r="AE411" i="1"/>
  <c r="AE410" i="1"/>
  <c r="AE409" i="1"/>
  <c r="AE408" i="1"/>
  <c r="AE407" i="1"/>
  <c r="AE406" i="1"/>
  <c r="AE405" i="1"/>
  <c r="AE404" i="1"/>
  <c r="AE403" i="1"/>
  <c r="AE402" i="1"/>
  <c r="AE401" i="1"/>
  <c r="AE400" i="1"/>
  <c r="AE399" i="1"/>
  <c r="AE398" i="1"/>
  <c r="AE397" i="1"/>
  <c r="AE396" i="1"/>
  <c r="AE395" i="1"/>
  <c r="AE394" i="1"/>
  <c r="AE393" i="1"/>
  <c r="AE392" i="1"/>
  <c r="AE391" i="1"/>
  <c r="AE390" i="1"/>
  <c r="AE389" i="1"/>
  <c r="AE388" i="1"/>
  <c r="AE387" i="1"/>
  <c r="AE386" i="1"/>
  <c r="AE385" i="1"/>
  <c r="AE384" i="1"/>
  <c r="AE383" i="1"/>
  <c r="AE382" i="1"/>
  <c r="AE381" i="1"/>
  <c r="AE380" i="1"/>
  <c r="AE379" i="1"/>
  <c r="AE378" i="1"/>
  <c r="AE377" i="1"/>
  <c r="AE376" i="1"/>
  <c r="AE375" i="1"/>
  <c r="AE374" i="1"/>
  <c r="AE373" i="1"/>
  <c r="AE372" i="1"/>
  <c r="AE371" i="1"/>
  <c r="AE370" i="1"/>
  <c r="AE369" i="1"/>
  <c r="AE368" i="1"/>
  <c r="AE367" i="1"/>
  <c r="AE366" i="1"/>
  <c r="AE365" i="1"/>
  <c r="AE364" i="1"/>
  <c r="AE363" i="1"/>
  <c r="AE362" i="1"/>
  <c r="AE361" i="1"/>
  <c r="AE360" i="1"/>
  <c r="AE359" i="1"/>
  <c r="AE358" i="1"/>
  <c r="AE357" i="1"/>
  <c r="AE356" i="1"/>
  <c r="AE355" i="1"/>
  <c r="AE354" i="1"/>
  <c r="AE353" i="1"/>
  <c r="AE352" i="1"/>
  <c r="AE351" i="1"/>
  <c r="AE350" i="1"/>
  <c r="AE349" i="1"/>
  <c r="AE348" i="1"/>
  <c r="AE347" i="1"/>
  <c r="AE346" i="1"/>
  <c r="AE345" i="1"/>
  <c r="AE344" i="1"/>
  <c r="AE343" i="1"/>
  <c r="AE342" i="1"/>
  <c r="AE341" i="1"/>
  <c r="AE340" i="1"/>
  <c r="AE339" i="1"/>
  <c r="AE338" i="1"/>
  <c r="AE337" i="1"/>
  <c r="AE336" i="1"/>
  <c r="AE335" i="1"/>
  <c r="AE334" i="1"/>
  <c r="AE333" i="1"/>
  <c r="AE332" i="1"/>
  <c r="AE331" i="1"/>
  <c r="AE330" i="1"/>
  <c r="AE329" i="1"/>
  <c r="AE328" i="1"/>
  <c r="AE327" i="1"/>
  <c r="AE326" i="1"/>
  <c r="AE325" i="1"/>
  <c r="AE324" i="1"/>
  <c r="AE323" i="1"/>
  <c r="AE322" i="1"/>
  <c r="AE321" i="1"/>
  <c r="AE320" i="1"/>
  <c r="AE319" i="1"/>
  <c r="AE318" i="1"/>
  <c r="AE317" i="1"/>
  <c r="AE316" i="1"/>
  <c r="AE315" i="1"/>
  <c r="AE314" i="1"/>
  <c r="AE313" i="1"/>
  <c r="AE312" i="1"/>
  <c r="AE311" i="1"/>
  <c r="AE310" i="1"/>
  <c r="AE309" i="1"/>
  <c r="AE308" i="1"/>
  <c r="AE307" i="1"/>
  <c r="AE306" i="1"/>
  <c r="AE305" i="1"/>
  <c r="AE304" i="1"/>
  <c r="AE303" i="1"/>
  <c r="AE302" i="1"/>
  <c r="AE301" i="1"/>
  <c r="AE300" i="1"/>
  <c r="AE299" i="1"/>
  <c r="AE298" i="1"/>
  <c r="AE297" i="1"/>
  <c r="AE296" i="1"/>
  <c r="AE295" i="1"/>
  <c r="AE294" i="1"/>
  <c r="AE293" i="1"/>
  <c r="AE292" i="1"/>
  <c r="AE291" i="1"/>
  <c r="AE290" i="1"/>
  <c r="AE289" i="1"/>
  <c r="AE288" i="1"/>
  <c r="AE287" i="1"/>
  <c r="AE286" i="1"/>
  <c r="AE285" i="1"/>
  <c r="AE284" i="1"/>
  <c r="AE283" i="1"/>
  <c r="AE282" i="1"/>
  <c r="AE281" i="1"/>
  <c r="AE280" i="1"/>
  <c r="AE279" i="1"/>
  <c r="AE278" i="1"/>
  <c r="AE277" i="1"/>
  <c r="AE276" i="1"/>
  <c r="AE275" i="1"/>
  <c r="AE274" i="1"/>
  <c r="AE273" i="1"/>
  <c r="AE272" i="1"/>
  <c r="AE271" i="1"/>
  <c r="AE270" i="1"/>
  <c r="AE269" i="1"/>
  <c r="AE268" i="1"/>
  <c r="AE267" i="1"/>
  <c r="AE266" i="1"/>
  <c r="AE265" i="1"/>
  <c r="AE264" i="1"/>
  <c r="AE263" i="1"/>
  <c r="AE262" i="1"/>
  <c r="AE261" i="1"/>
  <c r="AE260" i="1"/>
  <c r="AE259" i="1"/>
  <c r="AE258" i="1"/>
  <c r="AE257" i="1"/>
  <c r="AE256" i="1"/>
  <c r="AE255" i="1"/>
  <c r="AE254" i="1"/>
  <c r="AE253" i="1"/>
  <c r="AE252" i="1"/>
  <c r="AE251" i="1"/>
  <c r="AE250" i="1"/>
  <c r="AE249" i="1"/>
  <c r="AE248" i="1"/>
  <c r="AE247" i="1"/>
  <c r="AE246" i="1"/>
  <c r="AE245" i="1"/>
  <c r="AE244" i="1"/>
  <c r="AE243" i="1"/>
  <c r="AE242" i="1"/>
  <c r="AE241" i="1"/>
  <c r="AE240" i="1"/>
  <c r="AE239" i="1"/>
  <c r="AE238" i="1"/>
  <c r="AE237" i="1"/>
  <c r="AE236" i="1"/>
  <c r="AE235" i="1"/>
  <c r="AE234" i="1"/>
  <c r="AE233" i="1"/>
  <c r="AE232" i="1"/>
  <c r="AE231" i="1"/>
  <c r="AE230" i="1"/>
  <c r="AE229" i="1"/>
  <c r="AE228" i="1"/>
  <c r="AE227" i="1"/>
  <c r="AE226" i="1"/>
  <c r="AE225" i="1"/>
  <c r="AE224" i="1"/>
  <c r="AE223" i="1"/>
  <c r="AE222" i="1"/>
  <c r="AE221" i="1"/>
  <c r="AE220" i="1"/>
  <c r="AE219" i="1"/>
  <c r="AE218" i="1"/>
  <c r="AE217" i="1"/>
  <c r="AE216" i="1"/>
  <c r="AE215" i="1"/>
  <c r="AE214" i="1"/>
  <c r="AE213" i="1"/>
  <c r="AE212" i="1"/>
  <c r="AE211" i="1"/>
  <c r="AE210" i="1"/>
  <c r="AE209" i="1"/>
  <c r="AE208" i="1"/>
  <c r="AE207" i="1"/>
  <c r="AE206" i="1"/>
  <c r="AE205" i="1"/>
  <c r="AE204" i="1"/>
  <c r="AE203" i="1"/>
  <c r="AE202" i="1"/>
  <c r="AE201" i="1"/>
  <c r="AE200" i="1"/>
  <c r="AE199" i="1"/>
  <c r="AE198" i="1"/>
  <c r="AE197" i="1"/>
  <c r="AE196" i="1"/>
  <c r="AE195" i="1"/>
  <c r="AE194" i="1"/>
  <c r="AE193" i="1"/>
  <c r="AE192" i="1"/>
  <c r="AE191" i="1"/>
  <c r="AE190" i="1"/>
  <c r="AE189" i="1"/>
  <c r="AE188" i="1"/>
  <c r="AE187" i="1"/>
  <c r="AE186" i="1"/>
  <c r="AE185" i="1"/>
  <c r="AE184" i="1"/>
  <c r="AE183" i="1"/>
  <c r="AE182" i="1"/>
  <c r="AE181" i="1"/>
  <c r="AE180" i="1"/>
  <c r="AE179" i="1"/>
  <c r="AE178" i="1"/>
  <c r="AE177" i="1"/>
  <c r="AE176" i="1"/>
  <c r="AE175" i="1"/>
  <c r="AE174" i="1"/>
  <c r="AE173" i="1"/>
  <c r="AE172" i="1"/>
  <c r="AE171" i="1"/>
  <c r="AE170" i="1"/>
  <c r="AE169" i="1"/>
  <c r="AE168" i="1"/>
  <c r="AE167" i="1"/>
  <c r="AE166" i="1"/>
  <c r="AE165" i="1"/>
  <c r="AE164" i="1"/>
  <c r="AE163" i="1"/>
  <c r="AE162" i="1"/>
  <c r="AE161" i="1"/>
  <c r="AE160" i="1"/>
  <c r="AE159" i="1"/>
  <c r="AE158" i="1"/>
  <c r="AE157" i="1"/>
  <c r="AE156" i="1"/>
  <c r="AE155" i="1"/>
  <c r="AE154" i="1"/>
  <c r="AE153" i="1"/>
  <c r="AE152" i="1"/>
  <c r="AE151" i="1"/>
  <c r="AE150" i="1"/>
  <c r="AE149" i="1"/>
  <c r="AE148" i="1"/>
  <c r="AE147" i="1"/>
  <c r="AE146" i="1"/>
  <c r="AE145" i="1"/>
  <c r="AE144" i="1"/>
  <c r="AE143" i="1"/>
  <c r="AE142" i="1"/>
  <c r="AE141" i="1"/>
  <c r="AE140" i="1"/>
  <c r="AE139" i="1"/>
  <c r="AE138" i="1"/>
  <c r="AE137" i="1"/>
  <c r="AE136" i="1"/>
  <c r="AE135" i="1"/>
  <c r="AE134" i="1"/>
  <c r="AE133" i="1"/>
  <c r="AE132" i="1"/>
  <c r="AE131" i="1"/>
  <c r="AE130" i="1"/>
  <c r="AE129" i="1"/>
  <c r="AE128" i="1"/>
  <c r="AE127" i="1"/>
  <c r="AE126" i="1"/>
  <c r="AE125" i="1"/>
  <c r="AE124" i="1"/>
  <c r="AE123" i="1"/>
  <c r="AE122" i="1"/>
  <c r="AE121" i="1"/>
  <c r="AE120" i="1"/>
  <c r="AE119" i="1"/>
  <c r="AE118" i="1"/>
  <c r="AE117" i="1"/>
  <c r="AE116" i="1"/>
  <c r="AE115" i="1"/>
  <c r="AE114" i="1"/>
  <c r="AE113" i="1"/>
  <c r="AE112" i="1"/>
  <c r="AE111" i="1"/>
  <c r="AE110" i="1"/>
  <c r="AE109" i="1"/>
  <c r="AE108" i="1"/>
  <c r="AE107" i="1"/>
  <c r="AE106" i="1"/>
  <c r="AE105" i="1"/>
  <c r="AE104" i="1"/>
  <c r="AE103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AE3" i="1"/>
  <c r="AE2" i="1"/>
  <c r="AD1166" i="1"/>
  <c r="AD1165" i="1"/>
  <c r="AD1164" i="1"/>
  <c r="AD1163" i="1"/>
  <c r="AD1162" i="1"/>
  <c r="AD1161" i="1"/>
  <c r="AD1160" i="1"/>
  <c r="AD1159" i="1"/>
  <c r="AD1158" i="1"/>
  <c r="AD1157" i="1"/>
  <c r="AD1156" i="1"/>
  <c r="AD1155" i="1"/>
  <c r="AD1154" i="1"/>
  <c r="AD1153" i="1"/>
  <c r="AD1152" i="1"/>
  <c r="AD1151" i="1"/>
  <c r="AD1150" i="1"/>
  <c r="AD1149" i="1"/>
  <c r="AD1148" i="1"/>
  <c r="AD1147" i="1"/>
  <c r="AD1146" i="1"/>
  <c r="AD1145" i="1"/>
  <c r="AD1144" i="1"/>
  <c r="AD1143" i="1"/>
  <c r="AD1142" i="1"/>
  <c r="AD1141" i="1"/>
  <c r="AD1140" i="1"/>
  <c r="AD1139" i="1"/>
  <c r="AD1138" i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D1099" i="1"/>
  <c r="AD1098" i="1"/>
  <c r="AD1097" i="1"/>
  <c r="AD1096" i="1"/>
  <c r="AD1095" i="1"/>
  <c r="AD1094" i="1"/>
  <c r="AD1093" i="1"/>
  <c r="AD1092" i="1"/>
  <c r="AD1091" i="1"/>
  <c r="AD1090" i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D1073" i="1"/>
  <c r="AD1072" i="1"/>
  <c r="AD1071" i="1"/>
  <c r="AD1070" i="1"/>
  <c r="AD1069" i="1"/>
  <c r="AD1068" i="1"/>
  <c r="AD1067" i="1"/>
  <c r="AD1066" i="1"/>
  <c r="AD1065" i="1"/>
  <c r="AD1064" i="1"/>
  <c r="AD1063" i="1"/>
  <c r="AD1062" i="1"/>
  <c r="AD1061" i="1"/>
  <c r="AD1060" i="1"/>
  <c r="AD1059" i="1"/>
  <c r="AD1058" i="1"/>
  <c r="AD1057" i="1"/>
  <c r="AD1056" i="1"/>
  <c r="AD1055" i="1"/>
  <c r="AD1054" i="1"/>
  <c r="AD1053" i="1"/>
  <c r="AD1052" i="1"/>
  <c r="AD1051" i="1"/>
  <c r="AD1050" i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D1037" i="1"/>
  <c r="AD1036" i="1"/>
  <c r="AD1035" i="1"/>
  <c r="AD1034" i="1"/>
  <c r="AD1033" i="1"/>
  <c r="AD1032" i="1"/>
  <c r="AD1031" i="1"/>
  <c r="AD1030" i="1"/>
  <c r="AD1029" i="1"/>
  <c r="AD1028" i="1"/>
  <c r="AD1027" i="1"/>
  <c r="AD1026" i="1"/>
  <c r="AD1025" i="1"/>
  <c r="AD1024" i="1"/>
  <c r="AD1023" i="1"/>
  <c r="AD1022" i="1"/>
  <c r="AD1021" i="1"/>
  <c r="AD1020" i="1"/>
  <c r="AD1019" i="1"/>
  <c r="AD1018" i="1"/>
  <c r="AD1017" i="1"/>
  <c r="AD1016" i="1"/>
  <c r="AD1015" i="1"/>
  <c r="AD1014" i="1"/>
  <c r="AD1013" i="1"/>
  <c r="AD1012" i="1"/>
  <c r="AD1011" i="1"/>
  <c r="AD1010" i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D993" i="1"/>
  <c r="AD992" i="1"/>
  <c r="AD991" i="1"/>
  <c r="AD990" i="1"/>
  <c r="AD989" i="1"/>
  <c r="AD988" i="1"/>
  <c r="AD987" i="1"/>
  <c r="AD986" i="1"/>
  <c r="AD985" i="1"/>
  <c r="AD984" i="1"/>
  <c r="AD983" i="1"/>
  <c r="AD982" i="1"/>
  <c r="AD981" i="1"/>
  <c r="AD980" i="1"/>
  <c r="AD979" i="1"/>
  <c r="AD978" i="1"/>
  <c r="AD977" i="1"/>
  <c r="AD976" i="1"/>
  <c r="AD975" i="1"/>
  <c r="AD974" i="1"/>
  <c r="AD973" i="1"/>
  <c r="AD972" i="1"/>
  <c r="AD971" i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D937" i="1"/>
  <c r="AD936" i="1"/>
  <c r="AD935" i="1"/>
  <c r="AD934" i="1"/>
  <c r="AD933" i="1"/>
  <c r="AD932" i="1"/>
  <c r="AD931" i="1"/>
  <c r="AD930" i="1"/>
  <c r="AD929" i="1"/>
  <c r="AD928" i="1"/>
  <c r="AD927" i="1"/>
  <c r="AD926" i="1"/>
  <c r="AD925" i="1"/>
  <c r="AD924" i="1"/>
  <c r="AD923" i="1"/>
  <c r="AD922" i="1"/>
  <c r="AD921" i="1"/>
  <c r="AD920" i="1"/>
  <c r="AD919" i="1"/>
  <c r="AD918" i="1"/>
  <c r="AD917" i="1"/>
  <c r="AD916" i="1"/>
  <c r="AD915" i="1"/>
  <c r="AD914" i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D886" i="1"/>
  <c r="AD885" i="1"/>
  <c r="AD884" i="1"/>
  <c r="AD883" i="1"/>
  <c r="AD882" i="1"/>
  <c r="AD881" i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D861" i="1"/>
  <c r="AD860" i="1"/>
  <c r="AD859" i="1"/>
  <c r="AD858" i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D829" i="1"/>
  <c r="AD828" i="1"/>
  <c r="AD827" i="1"/>
  <c r="AD826" i="1"/>
  <c r="AD825" i="1"/>
  <c r="AD824" i="1"/>
  <c r="AD823" i="1"/>
  <c r="AD822" i="1"/>
  <c r="AD821" i="1"/>
  <c r="AD820" i="1"/>
  <c r="AD819" i="1"/>
  <c r="AD818" i="1"/>
  <c r="AD817" i="1"/>
  <c r="AD816" i="1"/>
  <c r="AD815" i="1"/>
  <c r="AD814" i="1"/>
  <c r="AD813" i="1"/>
  <c r="AD812" i="1"/>
  <c r="AD811" i="1"/>
  <c r="AD810" i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D754" i="1"/>
  <c r="AD753" i="1"/>
  <c r="AD752" i="1"/>
  <c r="AD751" i="1"/>
  <c r="AD750" i="1"/>
  <c r="AD749" i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D736" i="1"/>
  <c r="AD735" i="1"/>
  <c r="AD734" i="1"/>
  <c r="AD733" i="1"/>
  <c r="AD732" i="1"/>
  <c r="AD731" i="1"/>
  <c r="AD730" i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D700" i="1"/>
  <c r="AD699" i="1"/>
  <c r="AD698" i="1"/>
  <c r="AD697" i="1"/>
  <c r="AD696" i="1"/>
  <c r="AD695" i="1"/>
  <c r="AD694" i="1"/>
  <c r="AD693" i="1"/>
  <c r="AD692" i="1"/>
  <c r="AD691" i="1"/>
  <c r="AD690" i="1"/>
  <c r="AD689" i="1"/>
  <c r="AD688" i="1"/>
  <c r="AD687" i="1"/>
  <c r="AD686" i="1"/>
  <c r="AD685" i="1"/>
  <c r="AD684" i="1"/>
  <c r="AD683" i="1"/>
  <c r="AD682" i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D665" i="1"/>
  <c r="AD664" i="1"/>
  <c r="AD663" i="1"/>
  <c r="AD662" i="1"/>
  <c r="AD661" i="1"/>
  <c r="AD660" i="1"/>
  <c r="AD659" i="1"/>
  <c r="AD658" i="1"/>
  <c r="AD657" i="1"/>
  <c r="AD656" i="1"/>
  <c r="AD655" i="1"/>
  <c r="AD654" i="1"/>
  <c r="AD653" i="1"/>
  <c r="AD652" i="1"/>
  <c r="AD651" i="1"/>
  <c r="AD650" i="1"/>
  <c r="AD649" i="1"/>
  <c r="AD648" i="1"/>
  <c r="AD647" i="1"/>
  <c r="AD646" i="1"/>
  <c r="AD645" i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D613" i="1"/>
  <c r="AD612" i="1"/>
  <c r="AD611" i="1"/>
  <c r="AD610" i="1"/>
  <c r="AD609" i="1"/>
  <c r="AD608" i="1"/>
  <c r="AD607" i="1"/>
  <c r="AD606" i="1"/>
  <c r="AD605" i="1"/>
  <c r="AD604" i="1"/>
  <c r="AD603" i="1"/>
  <c r="AD602" i="1"/>
  <c r="AD601" i="1"/>
  <c r="AD600" i="1"/>
  <c r="AD599" i="1"/>
  <c r="AD598" i="1"/>
  <c r="AD597" i="1"/>
  <c r="AD596" i="1"/>
  <c r="AD595" i="1"/>
  <c r="AD594" i="1"/>
  <c r="AD593" i="1"/>
  <c r="AD592" i="1"/>
  <c r="AD591" i="1"/>
  <c r="AD590" i="1"/>
  <c r="AD589" i="1"/>
  <c r="AD588" i="1"/>
  <c r="AD587" i="1"/>
  <c r="AD586" i="1"/>
  <c r="AD585" i="1"/>
  <c r="AD584" i="1"/>
  <c r="AD583" i="1"/>
  <c r="AD582" i="1"/>
  <c r="AD581" i="1"/>
  <c r="AD580" i="1"/>
  <c r="AD579" i="1"/>
  <c r="AD578" i="1"/>
  <c r="AD577" i="1"/>
  <c r="AD576" i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D563" i="1"/>
  <c r="AD562" i="1"/>
  <c r="AD561" i="1"/>
  <c r="AD560" i="1"/>
  <c r="AD559" i="1"/>
  <c r="AD558" i="1"/>
  <c r="AD557" i="1"/>
  <c r="AD556" i="1"/>
  <c r="AD555" i="1"/>
  <c r="AD554" i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D509" i="1"/>
  <c r="AD508" i="1"/>
  <c r="AD507" i="1"/>
  <c r="AD506" i="1"/>
  <c r="AD505" i="1"/>
  <c r="AD504" i="1"/>
  <c r="AD503" i="1"/>
  <c r="AD502" i="1"/>
  <c r="AD501" i="1"/>
  <c r="AD500" i="1"/>
  <c r="AD499" i="1"/>
  <c r="AD498" i="1"/>
  <c r="AD497" i="1"/>
  <c r="AD496" i="1"/>
  <c r="AD495" i="1"/>
  <c r="AD494" i="1"/>
  <c r="AD493" i="1"/>
  <c r="AD492" i="1"/>
  <c r="AD491" i="1"/>
  <c r="AD490" i="1"/>
  <c r="AD489" i="1"/>
  <c r="AD488" i="1"/>
  <c r="AD487" i="1"/>
  <c r="AD486" i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D471" i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D431" i="1"/>
  <c r="AD430" i="1"/>
  <c r="AD429" i="1"/>
  <c r="AD428" i="1"/>
  <c r="AD427" i="1"/>
  <c r="AD426" i="1"/>
  <c r="AD425" i="1"/>
  <c r="AD424" i="1"/>
  <c r="AD423" i="1"/>
  <c r="AD422" i="1"/>
  <c r="AD421" i="1"/>
  <c r="AD420" i="1"/>
  <c r="AD419" i="1"/>
  <c r="AD418" i="1"/>
  <c r="AD417" i="1"/>
  <c r="AD416" i="1"/>
  <c r="AD415" i="1"/>
  <c r="AD414" i="1"/>
  <c r="AD413" i="1"/>
  <c r="AD412" i="1"/>
  <c r="AD411" i="1"/>
  <c r="AD410" i="1"/>
  <c r="AD409" i="1"/>
  <c r="AD408" i="1"/>
  <c r="AD407" i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D373" i="1"/>
  <c r="AD372" i="1"/>
  <c r="AD371" i="1"/>
  <c r="AD370" i="1"/>
  <c r="AD369" i="1"/>
  <c r="AD368" i="1"/>
  <c r="AD367" i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D320" i="1"/>
  <c r="AD319" i="1"/>
  <c r="AD318" i="1"/>
  <c r="AD317" i="1"/>
  <c r="AD316" i="1"/>
  <c r="AD315" i="1"/>
  <c r="AD314" i="1"/>
  <c r="AD313" i="1"/>
  <c r="AD312" i="1"/>
  <c r="AD311" i="1"/>
  <c r="AD310" i="1"/>
  <c r="AD309" i="1"/>
  <c r="AD308" i="1"/>
  <c r="AD307" i="1"/>
  <c r="AD306" i="1"/>
  <c r="AD305" i="1"/>
  <c r="AD304" i="1"/>
  <c r="AD303" i="1"/>
  <c r="AD302" i="1"/>
  <c r="AD301" i="1"/>
  <c r="AD300" i="1"/>
  <c r="AD299" i="1"/>
  <c r="AD298" i="1"/>
  <c r="AD297" i="1"/>
  <c r="AD296" i="1"/>
  <c r="AD295" i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2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D237" i="1"/>
  <c r="AD236" i="1"/>
  <c r="AD235" i="1"/>
  <c r="AD234" i="1"/>
  <c r="AD233" i="1"/>
  <c r="AD232" i="1"/>
  <c r="AD231" i="1"/>
  <c r="AD230" i="1"/>
  <c r="AD229" i="1"/>
  <c r="AD228" i="1"/>
  <c r="AD227" i="1"/>
  <c r="AD226" i="1"/>
  <c r="AD225" i="1"/>
  <c r="AD224" i="1"/>
  <c r="AD223" i="1"/>
  <c r="AD222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D173" i="1"/>
  <c r="AD172" i="1"/>
  <c r="AD171" i="1"/>
  <c r="AD170" i="1"/>
  <c r="AD169" i="1"/>
  <c r="AD168" i="1"/>
  <c r="AD167" i="1"/>
  <c r="AD166" i="1"/>
  <c r="AD165" i="1"/>
  <c r="AD164" i="1"/>
  <c r="AD163" i="1"/>
  <c r="AD162" i="1"/>
  <c r="AD161" i="1"/>
  <c r="AD160" i="1"/>
  <c r="AD159" i="1"/>
  <c r="AD158" i="1"/>
  <c r="AD157" i="1"/>
  <c r="AD156" i="1"/>
  <c r="AD155" i="1"/>
  <c r="AD154" i="1"/>
  <c r="AD153" i="1"/>
  <c r="AD152" i="1"/>
  <c r="AD151" i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D91" i="1"/>
  <c r="AD90" i="1"/>
  <c r="AD89" i="1"/>
  <c r="AD88" i="1"/>
  <c r="AD87" i="1"/>
  <c r="AD86" i="1"/>
  <c r="AD85" i="1"/>
  <c r="AD84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D48" i="1"/>
  <c r="AD47" i="1"/>
  <c r="AD46" i="1"/>
  <c r="AD45" i="1"/>
  <c r="AD44" i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AC2" i="1"/>
  <c r="AC1166" i="1"/>
  <c r="AC1165" i="1"/>
  <c r="AC1164" i="1"/>
  <c r="AC1163" i="1"/>
  <c r="AC1162" i="1"/>
  <c r="AC1161" i="1"/>
  <c r="AC1160" i="1"/>
  <c r="AC1159" i="1"/>
  <c r="AC1158" i="1"/>
  <c r="AC1157" i="1"/>
  <c r="AC1156" i="1"/>
  <c r="AC1155" i="1"/>
  <c r="AC1154" i="1"/>
  <c r="AC1153" i="1"/>
  <c r="AC1152" i="1"/>
  <c r="AC1151" i="1"/>
  <c r="AC1150" i="1"/>
  <c r="AC1149" i="1"/>
  <c r="AC1148" i="1"/>
  <c r="AC1147" i="1"/>
  <c r="AC1146" i="1"/>
  <c r="AC1145" i="1"/>
  <c r="AC1144" i="1"/>
  <c r="AC1143" i="1"/>
  <c r="AC1142" i="1"/>
  <c r="AC1141" i="1"/>
  <c r="AC1140" i="1"/>
  <c r="AC1139" i="1"/>
  <c r="AC1138" i="1"/>
  <c r="AC1137" i="1"/>
  <c r="AC1136" i="1"/>
  <c r="AC1135" i="1"/>
  <c r="AC1134" i="1"/>
  <c r="AC1133" i="1"/>
  <c r="AC1132" i="1"/>
  <c r="AC1131" i="1"/>
  <c r="AC1130" i="1"/>
  <c r="AC1129" i="1"/>
  <c r="AC1128" i="1"/>
  <c r="AC1127" i="1"/>
  <c r="AC1126" i="1"/>
  <c r="AC1125" i="1"/>
  <c r="AC1124" i="1"/>
  <c r="AC1123" i="1"/>
  <c r="AC1122" i="1"/>
  <c r="AC1121" i="1"/>
  <c r="AC1120" i="1"/>
  <c r="AC1119" i="1"/>
  <c r="AC1118" i="1"/>
  <c r="AC1117" i="1"/>
  <c r="AC1116" i="1"/>
  <c r="AC1115" i="1"/>
  <c r="AC1114" i="1"/>
  <c r="AC1113" i="1"/>
  <c r="AC1112" i="1"/>
  <c r="AC1111" i="1"/>
  <c r="AC1110" i="1"/>
  <c r="AC1109" i="1"/>
  <c r="AC1108" i="1"/>
  <c r="AC1107" i="1"/>
  <c r="AC1106" i="1"/>
  <c r="AC1105" i="1"/>
  <c r="AC1104" i="1"/>
  <c r="AC1103" i="1"/>
  <c r="AC1102" i="1"/>
  <c r="AC1101" i="1"/>
  <c r="AC1100" i="1"/>
  <c r="AC1099" i="1"/>
  <c r="AC1098" i="1"/>
  <c r="AC1097" i="1"/>
  <c r="AC1096" i="1"/>
  <c r="AC1095" i="1"/>
  <c r="AC1094" i="1"/>
  <c r="AC1093" i="1"/>
  <c r="AC1092" i="1"/>
  <c r="AC1091" i="1"/>
  <c r="AC1090" i="1"/>
  <c r="AC1089" i="1"/>
  <c r="AC1088" i="1"/>
  <c r="AC1087" i="1"/>
  <c r="AC1086" i="1"/>
  <c r="AC1085" i="1"/>
  <c r="AC1084" i="1"/>
  <c r="AC1083" i="1"/>
  <c r="AC1082" i="1"/>
  <c r="AC1081" i="1"/>
  <c r="AC1080" i="1"/>
  <c r="AC1079" i="1"/>
  <c r="AC1078" i="1"/>
  <c r="AC1077" i="1"/>
  <c r="AC1076" i="1"/>
  <c r="AC1075" i="1"/>
  <c r="AC1074" i="1"/>
  <c r="AC1073" i="1"/>
  <c r="AC1072" i="1"/>
  <c r="AC1071" i="1"/>
  <c r="AC1070" i="1"/>
  <c r="AC1069" i="1"/>
  <c r="AC1068" i="1"/>
  <c r="AC1067" i="1"/>
  <c r="AC1066" i="1"/>
  <c r="AC1065" i="1"/>
  <c r="AC1064" i="1"/>
  <c r="AC1063" i="1"/>
  <c r="AC1062" i="1"/>
  <c r="AC1061" i="1"/>
  <c r="AC1060" i="1"/>
  <c r="AC1059" i="1"/>
  <c r="AC1058" i="1"/>
  <c r="AC1057" i="1"/>
  <c r="AC1056" i="1"/>
  <c r="AC1055" i="1"/>
  <c r="AC1054" i="1"/>
  <c r="AC1053" i="1"/>
  <c r="AC1052" i="1"/>
  <c r="AC1051" i="1"/>
  <c r="AC1050" i="1"/>
  <c r="AC1049" i="1"/>
  <c r="AC1048" i="1"/>
  <c r="AC1047" i="1"/>
  <c r="AC1046" i="1"/>
  <c r="AC1045" i="1"/>
  <c r="AC1044" i="1"/>
  <c r="AC1043" i="1"/>
  <c r="AC1042" i="1"/>
  <c r="AC1041" i="1"/>
  <c r="AC1040" i="1"/>
  <c r="AC1039" i="1"/>
  <c r="AC1038" i="1"/>
  <c r="AC1037" i="1"/>
  <c r="AC1036" i="1"/>
  <c r="AC1035" i="1"/>
  <c r="AC1034" i="1"/>
  <c r="AC1033" i="1"/>
  <c r="AC1032" i="1"/>
  <c r="AC1031" i="1"/>
  <c r="AC1030" i="1"/>
  <c r="AC1029" i="1"/>
  <c r="AC1028" i="1"/>
  <c r="AC1027" i="1"/>
  <c r="AC1026" i="1"/>
  <c r="AC1025" i="1"/>
  <c r="AC1024" i="1"/>
  <c r="AC1023" i="1"/>
  <c r="AC1022" i="1"/>
  <c r="AC1021" i="1"/>
  <c r="AC1020" i="1"/>
  <c r="AC1019" i="1"/>
  <c r="AC1018" i="1"/>
  <c r="AC1017" i="1"/>
  <c r="AC1016" i="1"/>
  <c r="AC1015" i="1"/>
  <c r="AC1014" i="1"/>
  <c r="AC1013" i="1"/>
  <c r="AC1012" i="1"/>
  <c r="AC1011" i="1"/>
  <c r="AC1010" i="1"/>
  <c r="AC1009" i="1"/>
  <c r="AC1008" i="1"/>
  <c r="AC1007" i="1"/>
  <c r="AC1006" i="1"/>
  <c r="AC1005" i="1"/>
  <c r="AC1004" i="1"/>
  <c r="AC1003" i="1"/>
  <c r="AC1002" i="1"/>
  <c r="AC1001" i="1"/>
  <c r="AC1000" i="1"/>
  <c r="AC999" i="1"/>
  <c r="AC998" i="1"/>
  <c r="AC997" i="1"/>
  <c r="AC996" i="1"/>
  <c r="AC995" i="1"/>
  <c r="AC994" i="1"/>
  <c r="AC993" i="1"/>
  <c r="AC992" i="1"/>
  <c r="AC991" i="1"/>
  <c r="AC990" i="1"/>
  <c r="AC989" i="1"/>
  <c r="AC988" i="1"/>
  <c r="AC987" i="1"/>
  <c r="AC986" i="1"/>
  <c r="AC985" i="1"/>
  <c r="AC984" i="1"/>
  <c r="AC983" i="1"/>
  <c r="AC982" i="1"/>
  <c r="AC981" i="1"/>
  <c r="AC980" i="1"/>
  <c r="AC979" i="1"/>
  <c r="AC978" i="1"/>
  <c r="AC977" i="1"/>
  <c r="AC976" i="1"/>
  <c r="AC975" i="1"/>
  <c r="AC974" i="1"/>
  <c r="AC973" i="1"/>
  <c r="AC972" i="1"/>
  <c r="AC971" i="1"/>
  <c r="AC970" i="1"/>
  <c r="AC969" i="1"/>
  <c r="AC968" i="1"/>
  <c r="AC967" i="1"/>
  <c r="AC966" i="1"/>
  <c r="AC965" i="1"/>
  <c r="AC964" i="1"/>
  <c r="AC963" i="1"/>
  <c r="AC962" i="1"/>
  <c r="AC961" i="1"/>
  <c r="AC960" i="1"/>
  <c r="AC959" i="1"/>
  <c r="AC958" i="1"/>
  <c r="AC957" i="1"/>
  <c r="AC956" i="1"/>
  <c r="AC955" i="1"/>
  <c r="AC954" i="1"/>
  <c r="AC953" i="1"/>
  <c r="AC952" i="1"/>
  <c r="AC951" i="1"/>
  <c r="AC950" i="1"/>
  <c r="AC949" i="1"/>
  <c r="AC948" i="1"/>
  <c r="AC947" i="1"/>
  <c r="AC946" i="1"/>
  <c r="AC945" i="1"/>
  <c r="AC944" i="1"/>
  <c r="AC943" i="1"/>
  <c r="AC942" i="1"/>
  <c r="AC941" i="1"/>
  <c r="AC940" i="1"/>
  <c r="AC939" i="1"/>
  <c r="AC938" i="1"/>
  <c r="AC937" i="1"/>
  <c r="AC936" i="1"/>
  <c r="AC935" i="1"/>
  <c r="AC934" i="1"/>
  <c r="AC933" i="1"/>
  <c r="AC932" i="1"/>
  <c r="AC931" i="1"/>
  <c r="AC930" i="1"/>
  <c r="AC929" i="1"/>
  <c r="AC928" i="1"/>
  <c r="AC927" i="1"/>
  <c r="AC926" i="1"/>
  <c r="AC925" i="1"/>
  <c r="AC924" i="1"/>
  <c r="AC923" i="1"/>
  <c r="AC922" i="1"/>
  <c r="AC921" i="1"/>
  <c r="AC920" i="1"/>
  <c r="AC919" i="1"/>
  <c r="AC918" i="1"/>
  <c r="AC917" i="1"/>
  <c r="AC916" i="1"/>
  <c r="AC915" i="1"/>
  <c r="AC914" i="1"/>
  <c r="AC913" i="1"/>
  <c r="AC912" i="1"/>
  <c r="AC911" i="1"/>
  <c r="AC910" i="1"/>
  <c r="AC909" i="1"/>
  <c r="AC908" i="1"/>
  <c r="AC907" i="1"/>
  <c r="AC906" i="1"/>
  <c r="AC905" i="1"/>
  <c r="AC904" i="1"/>
  <c r="AC903" i="1"/>
  <c r="AC902" i="1"/>
  <c r="AC901" i="1"/>
  <c r="AC900" i="1"/>
  <c r="AC899" i="1"/>
  <c r="AC898" i="1"/>
  <c r="AC897" i="1"/>
  <c r="AC896" i="1"/>
  <c r="AC895" i="1"/>
  <c r="AC894" i="1"/>
  <c r="AC893" i="1"/>
  <c r="AC892" i="1"/>
  <c r="AC891" i="1"/>
  <c r="AC890" i="1"/>
  <c r="AC889" i="1"/>
  <c r="AC888" i="1"/>
  <c r="AC887" i="1"/>
  <c r="AC886" i="1"/>
  <c r="AC885" i="1"/>
  <c r="AC884" i="1"/>
  <c r="AC883" i="1"/>
  <c r="AC882" i="1"/>
  <c r="AC881" i="1"/>
  <c r="AC880" i="1"/>
  <c r="AC879" i="1"/>
  <c r="AC878" i="1"/>
  <c r="AC877" i="1"/>
  <c r="AC876" i="1"/>
  <c r="AC875" i="1"/>
  <c r="AC874" i="1"/>
  <c r="AC873" i="1"/>
  <c r="AC872" i="1"/>
  <c r="AC871" i="1"/>
  <c r="AC870" i="1"/>
  <c r="AC869" i="1"/>
  <c r="AC868" i="1"/>
  <c r="AC867" i="1"/>
  <c r="AC866" i="1"/>
  <c r="AC865" i="1"/>
  <c r="AC864" i="1"/>
  <c r="AC863" i="1"/>
  <c r="AC862" i="1"/>
  <c r="AC861" i="1"/>
  <c r="AC860" i="1"/>
  <c r="AC859" i="1"/>
  <c r="AC858" i="1"/>
  <c r="AC857" i="1"/>
  <c r="AC856" i="1"/>
  <c r="AC855" i="1"/>
  <c r="AC854" i="1"/>
  <c r="AC853" i="1"/>
  <c r="AC852" i="1"/>
  <c r="AC851" i="1"/>
  <c r="AC850" i="1"/>
  <c r="AC849" i="1"/>
  <c r="AC848" i="1"/>
  <c r="AC847" i="1"/>
  <c r="AC846" i="1"/>
  <c r="AC845" i="1"/>
  <c r="AC844" i="1"/>
  <c r="AC843" i="1"/>
  <c r="AC842" i="1"/>
  <c r="AC841" i="1"/>
  <c r="AC840" i="1"/>
  <c r="AC839" i="1"/>
  <c r="AC838" i="1"/>
  <c r="AC837" i="1"/>
  <c r="AC836" i="1"/>
  <c r="AC835" i="1"/>
  <c r="AC834" i="1"/>
  <c r="AC833" i="1"/>
  <c r="AC832" i="1"/>
  <c r="AC831" i="1"/>
  <c r="AC830" i="1"/>
  <c r="AC829" i="1"/>
  <c r="AC828" i="1"/>
  <c r="AC827" i="1"/>
  <c r="AC826" i="1"/>
  <c r="AC825" i="1"/>
  <c r="AC824" i="1"/>
  <c r="AC823" i="1"/>
  <c r="AC822" i="1"/>
  <c r="AC821" i="1"/>
  <c r="AC820" i="1"/>
  <c r="AC819" i="1"/>
  <c r="AC818" i="1"/>
  <c r="AC817" i="1"/>
  <c r="AC816" i="1"/>
  <c r="AC815" i="1"/>
  <c r="AC814" i="1"/>
  <c r="AC813" i="1"/>
  <c r="AC812" i="1"/>
  <c r="AC811" i="1"/>
  <c r="AC810" i="1"/>
  <c r="AC809" i="1"/>
  <c r="AC808" i="1"/>
  <c r="AC807" i="1"/>
  <c r="AC806" i="1"/>
  <c r="AC805" i="1"/>
  <c r="AC804" i="1"/>
  <c r="AC803" i="1"/>
  <c r="AC802" i="1"/>
  <c r="AC801" i="1"/>
  <c r="AC800" i="1"/>
  <c r="AC799" i="1"/>
  <c r="AC798" i="1"/>
  <c r="AC797" i="1"/>
  <c r="AC796" i="1"/>
  <c r="AC795" i="1"/>
  <c r="AC794" i="1"/>
  <c r="AC793" i="1"/>
  <c r="AC792" i="1"/>
  <c r="AC791" i="1"/>
  <c r="AC790" i="1"/>
  <c r="AC789" i="1"/>
  <c r="AC788" i="1"/>
  <c r="AC787" i="1"/>
  <c r="AC786" i="1"/>
  <c r="AC785" i="1"/>
  <c r="AC784" i="1"/>
  <c r="AC783" i="1"/>
  <c r="AC782" i="1"/>
  <c r="AC781" i="1"/>
  <c r="AC780" i="1"/>
  <c r="AC779" i="1"/>
  <c r="AC778" i="1"/>
  <c r="AC777" i="1"/>
  <c r="AC776" i="1"/>
  <c r="AC775" i="1"/>
  <c r="AC774" i="1"/>
  <c r="AC773" i="1"/>
  <c r="AC772" i="1"/>
  <c r="AC771" i="1"/>
  <c r="AC770" i="1"/>
  <c r="AC769" i="1"/>
  <c r="AC768" i="1"/>
  <c r="AC767" i="1"/>
  <c r="AC766" i="1"/>
  <c r="AC765" i="1"/>
  <c r="AC764" i="1"/>
  <c r="AC763" i="1"/>
  <c r="AC762" i="1"/>
  <c r="AC761" i="1"/>
  <c r="AC760" i="1"/>
  <c r="AC759" i="1"/>
  <c r="AC758" i="1"/>
  <c r="AC757" i="1"/>
  <c r="AC756" i="1"/>
  <c r="AC755" i="1"/>
  <c r="AC754" i="1"/>
  <c r="AC753" i="1"/>
  <c r="AC752" i="1"/>
  <c r="AC751" i="1"/>
  <c r="AC750" i="1"/>
  <c r="AC749" i="1"/>
  <c r="AC748" i="1"/>
  <c r="AC747" i="1"/>
  <c r="AC746" i="1"/>
  <c r="AC745" i="1"/>
  <c r="AC744" i="1"/>
  <c r="AC743" i="1"/>
  <c r="AC742" i="1"/>
  <c r="AC741" i="1"/>
  <c r="AC740" i="1"/>
  <c r="AC739" i="1"/>
  <c r="AC738" i="1"/>
  <c r="AC737" i="1"/>
  <c r="AC736" i="1"/>
  <c r="AC735" i="1"/>
  <c r="AC734" i="1"/>
  <c r="AC733" i="1"/>
  <c r="AC732" i="1"/>
  <c r="AC731" i="1"/>
  <c r="AC730" i="1"/>
  <c r="AC729" i="1"/>
  <c r="AC728" i="1"/>
  <c r="AC727" i="1"/>
  <c r="AC726" i="1"/>
  <c r="AC725" i="1"/>
  <c r="AC724" i="1"/>
  <c r="AC723" i="1"/>
  <c r="AC722" i="1"/>
  <c r="AC721" i="1"/>
  <c r="AC720" i="1"/>
  <c r="AC719" i="1"/>
  <c r="AC718" i="1"/>
  <c r="AC717" i="1"/>
  <c r="AC716" i="1"/>
  <c r="AC715" i="1"/>
  <c r="AC714" i="1"/>
  <c r="AC713" i="1"/>
  <c r="AC712" i="1"/>
  <c r="AC711" i="1"/>
  <c r="AC710" i="1"/>
  <c r="AC709" i="1"/>
  <c r="AC708" i="1"/>
  <c r="AC707" i="1"/>
  <c r="AC706" i="1"/>
  <c r="AC705" i="1"/>
  <c r="AC704" i="1"/>
  <c r="AC703" i="1"/>
  <c r="AC702" i="1"/>
  <c r="AC701" i="1"/>
  <c r="AC700" i="1"/>
  <c r="AC699" i="1"/>
  <c r="AC698" i="1"/>
  <c r="AC697" i="1"/>
  <c r="AC696" i="1"/>
  <c r="AC695" i="1"/>
  <c r="AC694" i="1"/>
  <c r="AC693" i="1"/>
  <c r="AC692" i="1"/>
  <c r="AC691" i="1"/>
  <c r="AC690" i="1"/>
  <c r="AC689" i="1"/>
  <c r="AC688" i="1"/>
  <c r="AC687" i="1"/>
  <c r="AC686" i="1"/>
  <c r="AC685" i="1"/>
  <c r="AC684" i="1"/>
  <c r="AC683" i="1"/>
  <c r="AC682" i="1"/>
  <c r="AC681" i="1"/>
  <c r="AC680" i="1"/>
  <c r="AC679" i="1"/>
  <c r="AC678" i="1"/>
  <c r="AC677" i="1"/>
  <c r="AC676" i="1"/>
  <c r="AC675" i="1"/>
  <c r="AC674" i="1"/>
  <c r="AC673" i="1"/>
  <c r="AC672" i="1"/>
  <c r="AC671" i="1"/>
  <c r="AC670" i="1"/>
  <c r="AC669" i="1"/>
  <c r="AC668" i="1"/>
  <c r="AC667" i="1"/>
  <c r="AC666" i="1"/>
  <c r="AC665" i="1"/>
  <c r="AC664" i="1"/>
  <c r="AC663" i="1"/>
  <c r="AC662" i="1"/>
  <c r="AC661" i="1"/>
  <c r="AC660" i="1"/>
  <c r="AC659" i="1"/>
  <c r="AC658" i="1"/>
  <c r="AC657" i="1"/>
  <c r="AC656" i="1"/>
  <c r="AC655" i="1"/>
  <c r="AC654" i="1"/>
  <c r="AC653" i="1"/>
  <c r="AC652" i="1"/>
  <c r="AC651" i="1"/>
  <c r="AC650" i="1"/>
  <c r="AC649" i="1"/>
  <c r="AC648" i="1"/>
  <c r="AC647" i="1"/>
  <c r="AC646" i="1"/>
  <c r="AC645" i="1"/>
  <c r="AC644" i="1"/>
  <c r="AC643" i="1"/>
  <c r="AC642" i="1"/>
  <c r="AC641" i="1"/>
  <c r="AC640" i="1"/>
  <c r="AC639" i="1"/>
  <c r="AC638" i="1"/>
  <c r="AC637" i="1"/>
  <c r="AC636" i="1"/>
  <c r="AC635" i="1"/>
  <c r="AC634" i="1"/>
  <c r="AC633" i="1"/>
  <c r="AC632" i="1"/>
  <c r="AC631" i="1"/>
  <c r="AC630" i="1"/>
  <c r="AC629" i="1"/>
  <c r="AC628" i="1"/>
  <c r="AC627" i="1"/>
  <c r="AC626" i="1"/>
  <c r="AC625" i="1"/>
  <c r="AC624" i="1"/>
  <c r="AC623" i="1"/>
  <c r="AC622" i="1"/>
  <c r="AC621" i="1"/>
  <c r="AC620" i="1"/>
  <c r="AC619" i="1"/>
  <c r="AC618" i="1"/>
  <c r="AC617" i="1"/>
  <c r="AC616" i="1"/>
  <c r="AC615" i="1"/>
  <c r="AC614" i="1"/>
  <c r="AC613" i="1"/>
  <c r="AC612" i="1"/>
  <c r="AC611" i="1"/>
  <c r="AC610" i="1"/>
  <c r="AC609" i="1"/>
  <c r="AC608" i="1"/>
  <c r="AC607" i="1"/>
  <c r="AC606" i="1"/>
  <c r="AC605" i="1"/>
  <c r="AC604" i="1"/>
  <c r="AC603" i="1"/>
  <c r="AC602" i="1"/>
  <c r="AC601" i="1"/>
  <c r="AC600" i="1"/>
  <c r="AC599" i="1"/>
  <c r="AC598" i="1"/>
  <c r="AC597" i="1"/>
  <c r="AC596" i="1"/>
  <c r="AC595" i="1"/>
  <c r="AC594" i="1"/>
  <c r="AC593" i="1"/>
  <c r="AC592" i="1"/>
  <c r="AC591" i="1"/>
  <c r="AC590" i="1"/>
  <c r="AC589" i="1"/>
  <c r="AC588" i="1"/>
  <c r="AC587" i="1"/>
  <c r="AC586" i="1"/>
  <c r="AC585" i="1"/>
  <c r="AC584" i="1"/>
  <c r="AC583" i="1"/>
  <c r="AC582" i="1"/>
  <c r="AC581" i="1"/>
  <c r="AC580" i="1"/>
  <c r="AC579" i="1"/>
  <c r="AC578" i="1"/>
  <c r="AC577" i="1"/>
  <c r="AC576" i="1"/>
  <c r="AC575" i="1"/>
  <c r="AC574" i="1"/>
  <c r="AC573" i="1"/>
  <c r="AC572" i="1"/>
  <c r="AC571" i="1"/>
  <c r="AC570" i="1"/>
  <c r="AC569" i="1"/>
  <c r="AC568" i="1"/>
  <c r="AC567" i="1"/>
  <c r="AC566" i="1"/>
  <c r="AC565" i="1"/>
  <c r="AC564" i="1"/>
  <c r="AC563" i="1"/>
  <c r="AC562" i="1"/>
  <c r="AC561" i="1"/>
  <c r="AC560" i="1"/>
  <c r="AC559" i="1"/>
  <c r="AC558" i="1"/>
  <c r="AC557" i="1"/>
  <c r="AC556" i="1"/>
  <c r="AC555" i="1"/>
  <c r="AC554" i="1"/>
  <c r="AC553" i="1"/>
  <c r="AC552" i="1"/>
  <c r="AC551" i="1"/>
  <c r="AC550" i="1"/>
  <c r="AC549" i="1"/>
  <c r="AC548" i="1"/>
  <c r="AC547" i="1"/>
  <c r="AC546" i="1"/>
  <c r="AC545" i="1"/>
  <c r="AC544" i="1"/>
  <c r="AC543" i="1"/>
  <c r="AC542" i="1"/>
  <c r="AC541" i="1"/>
  <c r="AC540" i="1"/>
  <c r="AC539" i="1"/>
  <c r="AC538" i="1"/>
  <c r="AC537" i="1"/>
  <c r="AC536" i="1"/>
  <c r="AC535" i="1"/>
  <c r="AC534" i="1"/>
  <c r="AC533" i="1"/>
  <c r="AC532" i="1"/>
  <c r="AC531" i="1"/>
  <c r="AC530" i="1"/>
  <c r="AC529" i="1"/>
  <c r="AC528" i="1"/>
  <c r="AC527" i="1"/>
  <c r="AC526" i="1"/>
  <c r="AC525" i="1"/>
  <c r="AC524" i="1"/>
  <c r="AC523" i="1"/>
  <c r="AC522" i="1"/>
  <c r="AC521" i="1"/>
  <c r="AC520" i="1"/>
  <c r="AC519" i="1"/>
  <c r="AC518" i="1"/>
  <c r="AC517" i="1"/>
  <c r="AC516" i="1"/>
  <c r="AC515" i="1"/>
  <c r="AC514" i="1"/>
  <c r="AC513" i="1"/>
  <c r="AC512" i="1"/>
  <c r="AC511" i="1"/>
  <c r="AC510" i="1"/>
  <c r="AC509" i="1"/>
  <c r="AC508" i="1"/>
  <c r="AC507" i="1"/>
  <c r="AC506" i="1"/>
  <c r="AC505" i="1"/>
  <c r="AC504" i="1"/>
  <c r="AC503" i="1"/>
  <c r="AC502" i="1"/>
  <c r="AC501" i="1"/>
  <c r="AC500" i="1"/>
  <c r="AC499" i="1"/>
  <c r="AC498" i="1"/>
  <c r="AC497" i="1"/>
  <c r="AC496" i="1"/>
  <c r="AC495" i="1"/>
  <c r="AC494" i="1"/>
  <c r="AC493" i="1"/>
  <c r="AC492" i="1"/>
  <c r="AC491" i="1"/>
  <c r="AC490" i="1"/>
  <c r="AC489" i="1"/>
  <c r="AC488" i="1"/>
  <c r="AC487" i="1"/>
  <c r="AC486" i="1"/>
  <c r="AC485" i="1"/>
  <c r="AC484" i="1"/>
  <c r="AC483" i="1"/>
  <c r="AC482" i="1"/>
  <c r="AC481" i="1"/>
  <c r="AC480" i="1"/>
  <c r="AC479" i="1"/>
  <c r="AC478" i="1"/>
  <c r="AC477" i="1"/>
  <c r="AC476" i="1"/>
  <c r="AC475" i="1"/>
  <c r="AC474" i="1"/>
  <c r="AC473" i="1"/>
  <c r="AC472" i="1"/>
  <c r="AC471" i="1"/>
  <c r="AC470" i="1"/>
  <c r="AC469" i="1"/>
  <c r="AC468" i="1"/>
  <c r="AC467" i="1"/>
  <c r="AC466" i="1"/>
  <c r="AC465" i="1"/>
  <c r="AC464" i="1"/>
  <c r="AC463" i="1"/>
  <c r="AC462" i="1"/>
  <c r="AC461" i="1"/>
  <c r="AC460" i="1"/>
  <c r="AC459" i="1"/>
  <c r="AC458" i="1"/>
  <c r="AC457" i="1"/>
  <c r="AC456" i="1"/>
  <c r="AC455" i="1"/>
  <c r="AC454" i="1"/>
  <c r="AC453" i="1"/>
  <c r="AC452" i="1"/>
  <c r="AC451" i="1"/>
  <c r="AC450" i="1"/>
  <c r="AC449" i="1"/>
  <c r="AC448" i="1"/>
  <c r="AC447" i="1"/>
  <c r="AC446" i="1"/>
  <c r="AC445" i="1"/>
  <c r="AC444" i="1"/>
  <c r="AC443" i="1"/>
  <c r="AC442" i="1"/>
  <c r="AC441" i="1"/>
  <c r="AC440" i="1"/>
  <c r="AC439" i="1"/>
  <c r="AC438" i="1"/>
  <c r="AC437" i="1"/>
  <c r="AC436" i="1"/>
  <c r="AC435" i="1"/>
  <c r="AC434" i="1"/>
  <c r="AC433" i="1"/>
  <c r="AC432" i="1"/>
  <c r="AC431" i="1"/>
  <c r="AC430" i="1"/>
  <c r="AC429" i="1"/>
  <c r="AC428" i="1"/>
  <c r="AC427" i="1"/>
  <c r="AC426" i="1"/>
  <c r="AC425" i="1"/>
  <c r="AC424" i="1"/>
  <c r="AC423" i="1"/>
  <c r="AC422" i="1"/>
  <c r="AC421" i="1"/>
  <c r="AC420" i="1"/>
  <c r="AC419" i="1"/>
  <c r="AC418" i="1"/>
  <c r="AC417" i="1"/>
  <c r="AC416" i="1"/>
  <c r="AC415" i="1"/>
  <c r="AC414" i="1"/>
  <c r="AC413" i="1"/>
  <c r="AC412" i="1"/>
  <c r="AC411" i="1"/>
  <c r="AC410" i="1"/>
  <c r="AC409" i="1"/>
  <c r="AC408" i="1"/>
  <c r="AC407" i="1"/>
  <c r="AC406" i="1"/>
  <c r="AC405" i="1"/>
  <c r="AC404" i="1"/>
  <c r="AC403" i="1"/>
  <c r="AC402" i="1"/>
  <c r="AC401" i="1"/>
  <c r="AC400" i="1"/>
  <c r="AC399" i="1"/>
  <c r="AC398" i="1"/>
  <c r="AC397" i="1"/>
  <c r="AC396" i="1"/>
  <c r="AC395" i="1"/>
  <c r="AC394" i="1"/>
  <c r="AC393" i="1"/>
  <c r="AC392" i="1"/>
  <c r="AC391" i="1"/>
  <c r="AC390" i="1"/>
  <c r="AC389" i="1"/>
  <c r="AC388" i="1"/>
  <c r="AC387" i="1"/>
  <c r="AC386" i="1"/>
  <c r="AC385" i="1"/>
  <c r="AC384" i="1"/>
  <c r="AC383" i="1"/>
  <c r="AC382" i="1"/>
  <c r="AC381" i="1"/>
  <c r="AC380" i="1"/>
  <c r="AC379" i="1"/>
  <c r="AC378" i="1"/>
  <c r="AC377" i="1"/>
  <c r="AC376" i="1"/>
  <c r="AC375" i="1"/>
  <c r="AC374" i="1"/>
  <c r="AC373" i="1"/>
  <c r="AC372" i="1"/>
  <c r="AC371" i="1"/>
  <c r="AC370" i="1"/>
  <c r="AC369" i="1"/>
  <c r="AC368" i="1"/>
  <c r="AC367" i="1"/>
  <c r="AC366" i="1"/>
  <c r="AC365" i="1"/>
  <c r="AC364" i="1"/>
  <c r="AC363" i="1"/>
  <c r="AC362" i="1"/>
  <c r="AC361" i="1"/>
  <c r="AC360" i="1"/>
  <c r="AC359" i="1"/>
  <c r="AC358" i="1"/>
  <c r="AC357" i="1"/>
  <c r="AC356" i="1"/>
  <c r="AC355" i="1"/>
  <c r="AC354" i="1"/>
  <c r="AC353" i="1"/>
  <c r="AC352" i="1"/>
  <c r="AC351" i="1"/>
  <c r="AC350" i="1"/>
  <c r="AC349" i="1"/>
  <c r="AC348" i="1"/>
  <c r="AC347" i="1"/>
  <c r="AC346" i="1"/>
  <c r="AC345" i="1"/>
  <c r="AC344" i="1"/>
  <c r="AC343" i="1"/>
  <c r="AC342" i="1"/>
  <c r="AC341" i="1"/>
  <c r="AC340" i="1"/>
  <c r="AC339" i="1"/>
  <c r="AC338" i="1"/>
  <c r="AC337" i="1"/>
  <c r="AC336" i="1"/>
  <c r="AC335" i="1"/>
  <c r="AC334" i="1"/>
  <c r="AC333" i="1"/>
  <c r="AC332" i="1"/>
  <c r="AC331" i="1"/>
  <c r="AC330" i="1"/>
  <c r="AC329" i="1"/>
  <c r="AC328" i="1"/>
  <c r="AC327" i="1"/>
  <c r="AC326" i="1"/>
  <c r="AC325" i="1"/>
  <c r="AC324" i="1"/>
  <c r="AC323" i="1"/>
  <c r="AC322" i="1"/>
  <c r="AC321" i="1"/>
  <c r="AC320" i="1"/>
  <c r="AC319" i="1"/>
  <c r="AC318" i="1"/>
  <c r="AC317" i="1"/>
  <c r="AC316" i="1"/>
  <c r="AC315" i="1"/>
  <c r="AC314" i="1"/>
  <c r="AC313" i="1"/>
  <c r="AC312" i="1"/>
  <c r="AC311" i="1"/>
  <c r="AC310" i="1"/>
  <c r="AC309" i="1"/>
  <c r="AC308" i="1"/>
  <c r="AC307" i="1"/>
  <c r="AC306" i="1"/>
  <c r="AC305" i="1"/>
  <c r="AC304" i="1"/>
  <c r="AC303" i="1"/>
  <c r="AC302" i="1"/>
  <c r="AC301" i="1"/>
  <c r="AC300" i="1"/>
  <c r="AC299" i="1"/>
  <c r="AC298" i="1"/>
  <c r="AC297" i="1"/>
  <c r="AC296" i="1"/>
  <c r="AC295" i="1"/>
  <c r="AC294" i="1"/>
  <c r="AC293" i="1"/>
  <c r="AC292" i="1"/>
  <c r="AC291" i="1"/>
  <c r="AC290" i="1"/>
  <c r="AC289" i="1"/>
  <c r="AC288" i="1"/>
  <c r="AC287" i="1"/>
  <c r="AC286" i="1"/>
  <c r="AC285" i="1"/>
  <c r="AC284" i="1"/>
  <c r="AC283" i="1"/>
  <c r="AC282" i="1"/>
  <c r="AC281" i="1"/>
  <c r="AC280" i="1"/>
  <c r="AC279" i="1"/>
  <c r="AC278" i="1"/>
  <c r="AC277" i="1"/>
  <c r="AC276" i="1"/>
  <c r="AC275" i="1"/>
  <c r="AC274" i="1"/>
  <c r="AC273" i="1"/>
  <c r="AC272" i="1"/>
  <c r="AC271" i="1"/>
  <c r="AC270" i="1"/>
  <c r="AC269" i="1"/>
  <c r="AC268" i="1"/>
  <c r="AC267" i="1"/>
  <c r="AC266" i="1"/>
  <c r="AC265" i="1"/>
  <c r="AC264" i="1"/>
  <c r="AC263" i="1"/>
  <c r="AC262" i="1"/>
  <c r="AC261" i="1"/>
  <c r="AC260" i="1"/>
  <c r="AC259" i="1"/>
  <c r="AC258" i="1"/>
  <c r="AC257" i="1"/>
  <c r="AC256" i="1"/>
  <c r="AC255" i="1"/>
  <c r="AC254" i="1"/>
  <c r="AC253" i="1"/>
  <c r="AC252" i="1"/>
  <c r="AC251" i="1"/>
  <c r="AC250" i="1"/>
  <c r="AC249" i="1"/>
  <c r="AC248" i="1"/>
  <c r="AC247" i="1"/>
  <c r="AC246" i="1"/>
  <c r="AC245" i="1"/>
  <c r="AC244" i="1"/>
  <c r="AC243" i="1"/>
  <c r="AC242" i="1"/>
  <c r="AC241" i="1"/>
  <c r="AC240" i="1"/>
  <c r="AC239" i="1"/>
  <c r="AC238" i="1"/>
  <c r="AC237" i="1"/>
  <c r="AC236" i="1"/>
  <c r="AC235" i="1"/>
  <c r="AC234" i="1"/>
  <c r="AC233" i="1"/>
  <c r="AC232" i="1"/>
  <c r="AC231" i="1"/>
  <c r="AC230" i="1"/>
  <c r="AC229" i="1"/>
  <c r="AC228" i="1"/>
  <c r="AC227" i="1"/>
  <c r="AC226" i="1"/>
  <c r="AC225" i="1"/>
  <c r="AC224" i="1"/>
  <c r="AC223" i="1"/>
  <c r="AC222" i="1"/>
  <c r="AC221" i="1"/>
  <c r="AC220" i="1"/>
  <c r="AC219" i="1"/>
  <c r="AC218" i="1"/>
  <c r="AC217" i="1"/>
  <c r="AC216" i="1"/>
  <c r="AC215" i="1"/>
  <c r="AC214" i="1"/>
  <c r="AC213" i="1"/>
  <c r="AC212" i="1"/>
  <c r="AC211" i="1"/>
  <c r="AC210" i="1"/>
  <c r="AC209" i="1"/>
  <c r="AC208" i="1"/>
  <c r="AC207" i="1"/>
  <c r="AC206" i="1"/>
  <c r="AC205" i="1"/>
  <c r="AC204" i="1"/>
  <c r="AC203" i="1"/>
  <c r="AC202" i="1"/>
  <c r="AC201" i="1"/>
  <c r="AC200" i="1"/>
  <c r="AC199" i="1"/>
  <c r="AC198" i="1"/>
  <c r="AC197" i="1"/>
  <c r="AC196" i="1"/>
  <c r="AC195" i="1"/>
  <c r="AC194" i="1"/>
  <c r="AC193" i="1"/>
  <c r="AC192" i="1"/>
  <c r="AC191" i="1"/>
  <c r="AC190" i="1"/>
  <c r="AC189" i="1"/>
  <c r="AC188" i="1"/>
  <c r="AC187" i="1"/>
  <c r="AC186" i="1"/>
  <c r="AC185" i="1"/>
  <c r="AC184" i="1"/>
  <c r="AC183" i="1"/>
  <c r="AC182" i="1"/>
  <c r="AC181" i="1"/>
  <c r="AC180" i="1"/>
  <c r="AC179" i="1"/>
  <c r="AC178" i="1"/>
  <c r="AC177" i="1"/>
  <c r="AC176" i="1"/>
  <c r="AC175" i="1"/>
  <c r="AC174" i="1"/>
  <c r="AC173" i="1"/>
  <c r="AC172" i="1"/>
  <c r="AC171" i="1"/>
  <c r="AC170" i="1"/>
  <c r="AC169" i="1"/>
  <c r="AC168" i="1"/>
  <c r="AC167" i="1"/>
  <c r="AC166" i="1"/>
  <c r="AC165" i="1"/>
  <c r="AC164" i="1"/>
  <c r="AC163" i="1"/>
  <c r="AC162" i="1"/>
  <c r="AC161" i="1"/>
  <c r="AC160" i="1"/>
  <c r="AC159" i="1"/>
  <c r="AC158" i="1"/>
  <c r="AC157" i="1"/>
  <c r="AC156" i="1"/>
  <c r="AC155" i="1"/>
  <c r="AC154" i="1"/>
  <c r="AC153" i="1"/>
  <c r="AC152" i="1"/>
  <c r="AC151" i="1"/>
  <c r="AC150" i="1"/>
  <c r="AC149" i="1"/>
  <c r="AC148" i="1"/>
  <c r="AC147" i="1"/>
  <c r="AC146" i="1"/>
  <c r="AC145" i="1"/>
  <c r="AC144" i="1"/>
  <c r="AC143" i="1"/>
  <c r="AC142" i="1"/>
  <c r="AC141" i="1"/>
  <c r="AC140" i="1"/>
  <c r="AC139" i="1"/>
  <c r="AC138" i="1"/>
  <c r="AC137" i="1"/>
  <c r="AC136" i="1"/>
  <c r="AC135" i="1"/>
  <c r="AC134" i="1"/>
  <c r="AC133" i="1"/>
  <c r="AC132" i="1"/>
  <c r="AC131" i="1"/>
  <c r="AC130" i="1"/>
  <c r="AC129" i="1"/>
  <c r="AC128" i="1"/>
  <c r="AC127" i="1"/>
  <c r="AC126" i="1"/>
  <c r="AC125" i="1"/>
  <c r="AC124" i="1"/>
  <c r="AC123" i="1"/>
  <c r="AC122" i="1"/>
  <c r="AC121" i="1"/>
  <c r="AC120" i="1"/>
  <c r="AC119" i="1"/>
  <c r="AC118" i="1"/>
  <c r="AC117" i="1"/>
  <c r="AC116" i="1"/>
  <c r="AC115" i="1"/>
  <c r="AC114" i="1"/>
  <c r="AC113" i="1"/>
  <c r="AC112" i="1"/>
  <c r="AC111" i="1"/>
  <c r="AC110" i="1"/>
  <c r="AC109" i="1"/>
  <c r="AC108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B1166" i="1"/>
  <c r="AB1165" i="1"/>
  <c r="AB1164" i="1"/>
  <c r="AB1163" i="1"/>
  <c r="AB1162" i="1"/>
  <c r="AB1161" i="1"/>
  <c r="AB1160" i="1"/>
  <c r="AB1159" i="1"/>
  <c r="AB1158" i="1"/>
  <c r="AB1157" i="1"/>
  <c r="AB1156" i="1"/>
  <c r="AB1155" i="1"/>
  <c r="AB1154" i="1"/>
  <c r="AB1153" i="1"/>
  <c r="AB1152" i="1"/>
  <c r="AB1151" i="1"/>
  <c r="AB1150" i="1"/>
  <c r="AB1149" i="1"/>
  <c r="AB1148" i="1"/>
  <c r="AB1147" i="1"/>
  <c r="AB1146" i="1"/>
  <c r="AB1145" i="1"/>
  <c r="AB1144" i="1"/>
  <c r="AB1143" i="1"/>
  <c r="AB1142" i="1"/>
  <c r="AB1141" i="1"/>
  <c r="AB1140" i="1"/>
  <c r="AB1139" i="1"/>
  <c r="AB1138" i="1"/>
  <c r="AB1137" i="1"/>
  <c r="AB1136" i="1"/>
  <c r="AB1135" i="1"/>
  <c r="AB1134" i="1"/>
  <c r="AB1133" i="1"/>
  <c r="AB1132" i="1"/>
  <c r="AB1131" i="1"/>
  <c r="AB1130" i="1"/>
  <c r="AB1129" i="1"/>
  <c r="AB1128" i="1"/>
  <c r="AB1127" i="1"/>
  <c r="AB1126" i="1"/>
  <c r="AB1125" i="1"/>
  <c r="AB1124" i="1"/>
  <c r="AB1123" i="1"/>
  <c r="AB1122" i="1"/>
  <c r="AB1121" i="1"/>
  <c r="AB1120" i="1"/>
  <c r="AB1119" i="1"/>
  <c r="AB1118" i="1"/>
  <c r="AB1117" i="1"/>
  <c r="AB1116" i="1"/>
  <c r="AB1115" i="1"/>
  <c r="AB1114" i="1"/>
  <c r="AB1113" i="1"/>
  <c r="AB1112" i="1"/>
  <c r="AB1111" i="1"/>
  <c r="AB1110" i="1"/>
  <c r="AB1109" i="1"/>
  <c r="AB1108" i="1"/>
  <c r="AB1107" i="1"/>
  <c r="AB1106" i="1"/>
  <c r="AB1105" i="1"/>
  <c r="AB1104" i="1"/>
  <c r="AB1103" i="1"/>
  <c r="AB1102" i="1"/>
  <c r="AB1101" i="1"/>
  <c r="AB1100" i="1"/>
  <c r="AB1099" i="1"/>
  <c r="AB1098" i="1"/>
  <c r="AB1097" i="1"/>
  <c r="AB1096" i="1"/>
  <c r="AB1095" i="1"/>
  <c r="AB1094" i="1"/>
  <c r="AB1093" i="1"/>
  <c r="AB1092" i="1"/>
  <c r="AB1091" i="1"/>
  <c r="AB1090" i="1"/>
  <c r="AB1089" i="1"/>
  <c r="AB1088" i="1"/>
  <c r="AB1087" i="1"/>
  <c r="AB1086" i="1"/>
  <c r="AB1085" i="1"/>
  <c r="AB1084" i="1"/>
  <c r="AB1083" i="1"/>
  <c r="AB1082" i="1"/>
  <c r="AB1081" i="1"/>
  <c r="AB1080" i="1"/>
  <c r="AB1079" i="1"/>
  <c r="AB1078" i="1"/>
  <c r="AB1077" i="1"/>
  <c r="AB1076" i="1"/>
  <c r="AB1075" i="1"/>
  <c r="AB1074" i="1"/>
  <c r="AB1073" i="1"/>
  <c r="AB1072" i="1"/>
  <c r="AB1071" i="1"/>
  <c r="AB1070" i="1"/>
  <c r="AB1069" i="1"/>
  <c r="AB1068" i="1"/>
  <c r="AB1067" i="1"/>
  <c r="AB1066" i="1"/>
  <c r="AB1065" i="1"/>
  <c r="AB1064" i="1"/>
  <c r="AB1063" i="1"/>
  <c r="AB1062" i="1"/>
  <c r="AB1061" i="1"/>
  <c r="AB1060" i="1"/>
  <c r="AB1059" i="1"/>
  <c r="AB1058" i="1"/>
  <c r="AB1057" i="1"/>
  <c r="AB1056" i="1"/>
  <c r="AB1055" i="1"/>
  <c r="AB1054" i="1"/>
  <c r="AB1053" i="1"/>
  <c r="AB1052" i="1"/>
  <c r="AB1051" i="1"/>
  <c r="AB1050" i="1"/>
  <c r="AB1049" i="1"/>
  <c r="AB1048" i="1"/>
  <c r="AB1047" i="1"/>
  <c r="AB1046" i="1"/>
  <c r="AB1045" i="1"/>
  <c r="AB1044" i="1"/>
  <c r="AB1043" i="1"/>
  <c r="AB1042" i="1"/>
  <c r="AB1041" i="1"/>
  <c r="AB1040" i="1"/>
  <c r="AB1039" i="1"/>
  <c r="AB1038" i="1"/>
  <c r="AB1037" i="1"/>
  <c r="AB1036" i="1"/>
  <c r="AB1035" i="1"/>
  <c r="AB1034" i="1"/>
  <c r="AB1033" i="1"/>
  <c r="AB1032" i="1"/>
  <c r="AB1031" i="1"/>
  <c r="AB1030" i="1"/>
  <c r="AB1029" i="1"/>
  <c r="AB1028" i="1"/>
  <c r="AB1027" i="1"/>
  <c r="AB1026" i="1"/>
  <c r="AB1025" i="1"/>
  <c r="AB1024" i="1"/>
  <c r="AB1023" i="1"/>
  <c r="AB1022" i="1"/>
  <c r="AB1021" i="1"/>
  <c r="AB1020" i="1"/>
  <c r="AB1019" i="1"/>
  <c r="AB1018" i="1"/>
  <c r="AB1017" i="1"/>
  <c r="AB1016" i="1"/>
  <c r="AB1015" i="1"/>
  <c r="AB1014" i="1"/>
  <c r="AB1013" i="1"/>
  <c r="AB1012" i="1"/>
  <c r="AB1011" i="1"/>
  <c r="AB1010" i="1"/>
  <c r="AB1009" i="1"/>
  <c r="AB1008" i="1"/>
  <c r="AB1007" i="1"/>
  <c r="AB1006" i="1"/>
  <c r="AB1005" i="1"/>
  <c r="AB1004" i="1"/>
  <c r="AB1003" i="1"/>
  <c r="AB1002" i="1"/>
  <c r="AB1001" i="1"/>
  <c r="AB1000" i="1"/>
  <c r="AB999" i="1"/>
  <c r="AB998" i="1"/>
  <c r="AB997" i="1"/>
  <c r="AB996" i="1"/>
  <c r="AB995" i="1"/>
  <c r="AB994" i="1"/>
  <c r="AB993" i="1"/>
  <c r="AB992" i="1"/>
  <c r="AB991" i="1"/>
  <c r="AB990" i="1"/>
  <c r="AB989" i="1"/>
  <c r="AB988" i="1"/>
  <c r="AB987" i="1"/>
  <c r="AB986" i="1"/>
  <c r="AB985" i="1"/>
  <c r="AB984" i="1"/>
  <c r="AB983" i="1"/>
  <c r="AB982" i="1"/>
  <c r="AB981" i="1"/>
  <c r="AB980" i="1"/>
  <c r="AB979" i="1"/>
  <c r="AB978" i="1"/>
  <c r="AB977" i="1"/>
  <c r="AB976" i="1"/>
  <c r="AB975" i="1"/>
  <c r="AB974" i="1"/>
  <c r="AB973" i="1"/>
  <c r="AB972" i="1"/>
  <c r="AB971" i="1"/>
  <c r="AB970" i="1"/>
  <c r="AB969" i="1"/>
  <c r="AB968" i="1"/>
  <c r="AB967" i="1"/>
  <c r="AB966" i="1"/>
  <c r="AB965" i="1"/>
  <c r="AB964" i="1"/>
  <c r="AB963" i="1"/>
  <c r="AB962" i="1"/>
  <c r="AB961" i="1"/>
  <c r="AB960" i="1"/>
  <c r="AB959" i="1"/>
  <c r="AB958" i="1"/>
  <c r="AB957" i="1"/>
  <c r="AB956" i="1"/>
  <c r="AB955" i="1"/>
  <c r="AB954" i="1"/>
  <c r="AB953" i="1"/>
  <c r="AB952" i="1"/>
  <c r="AB951" i="1"/>
  <c r="AB950" i="1"/>
  <c r="AB949" i="1"/>
  <c r="AB948" i="1"/>
  <c r="AB947" i="1"/>
  <c r="AB946" i="1"/>
  <c r="AB945" i="1"/>
  <c r="AB944" i="1"/>
  <c r="AB943" i="1"/>
  <c r="AB942" i="1"/>
  <c r="AB941" i="1"/>
  <c r="AB940" i="1"/>
  <c r="AB939" i="1"/>
  <c r="AB938" i="1"/>
  <c r="AB937" i="1"/>
  <c r="AB936" i="1"/>
  <c r="AB935" i="1"/>
  <c r="AB934" i="1"/>
  <c r="AB933" i="1"/>
  <c r="AB932" i="1"/>
  <c r="AB931" i="1"/>
  <c r="AB930" i="1"/>
  <c r="AB929" i="1"/>
  <c r="AB928" i="1"/>
  <c r="AB927" i="1"/>
  <c r="AB926" i="1"/>
  <c r="AB925" i="1"/>
  <c r="AB924" i="1"/>
  <c r="AB923" i="1"/>
  <c r="AB922" i="1"/>
  <c r="AB921" i="1"/>
  <c r="AB920" i="1"/>
  <c r="AB919" i="1"/>
  <c r="AB918" i="1"/>
  <c r="AB917" i="1"/>
  <c r="AB916" i="1"/>
  <c r="AB915" i="1"/>
  <c r="AB914" i="1"/>
  <c r="AB913" i="1"/>
  <c r="AB912" i="1"/>
  <c r="AB911" i="1"/>
  <c r="AB910" i="1"/>
  <c r="AB909" i="1"/>
  <c r="AB908" i="1"/>
  <c r="AB907" i="1"/>
  <c r="AB906" i="1"/>
  <c r="AB905" i="1"/>
  <c r="AB904" i="1"/>
  <c r="AB903" i="1"/>
  <c r="AB902" i="1"/>
  <c r="AB901" i="1"/>
  <c r="AB900" i="1"/>
  <c r="AB899" i="1"/>
  <c r="AB898" i="1"/>
  <c r="AB897" i="1"/>
  <c r="AB896" i="1"/>
  <c r="AB895" i="1"/>
  <c r="AB894" i="1"/>
  <c r="AB893" i="1"/>
  <c r="AB892" i="1"/>
  <c r="AB891" i="1"/>
  <c r="AB890" i="1"/>
  <c r="AB889" i="1"/>
  <c r="AB888" i="1"/>
  <c r="AB887" i="1"/>
  <c r="AB886" i="1"/>
  <c r="AB885" i="1"/>
  <c r="AB884" i="1"/>
  <c r="AB883" i="1"/>
  <c r="AB882" i="1"/>
  <c r="AB881" i="1"/>
  <c r="AB880" i="1"/>
  <c r="AB879" i="1"/>
  <c r="AB878" i="1"/>
  <c r="AB877" i="1"/>
  <c r="AB876" i="1"/>
  <c r="AB875" i="1"/>
  <c r="AB874" i="1"/>
  <c r="AB873" i="1"/>
  <c r="AB872" i="1"/>
  <c r="AB871" i="1"/>
  <c r="AB870" i="1"/>
  <c r="AB869" i="1"/>
  <c r="AB868" i="1"/>
  <c r="AB867" i="1"/>
  <c r="AB866" i="1"/>
  <c r="AB865" i="1"/>
  <c r="AB864" i="1"/>
  <c r="AB863" i="1"/>
  <c r="AB862" i="1"/>
  <c r="AB861" i="1"/>
  <c r="AB860" i="1"/>
  <c r="AB859" i="1"/>
  <c r="AB858" i="1"/>
  <c r="AB857" i="1"/>
  <c r="AB856" i="1"/>
  <c r="AB855" i="1"/>
  <c r="AB854" i="1"/>
  <c r="AB853" i="1"/>
  <c r="AB852" i="1"/>
  <c r="AB851" i="1"/>
  <c r="AB850" i="1"/>
  <c r="AB849" i="1"/>
  <c r="AB848" i="1"/>
  <c r="AB847" i="1"/>
  <c r="AB846" i="1"/>
  <c r="AB845" i="1"/>
  <c r="AB844" i="1"/>
  <c r="AB843" i="1"/>
  <c r="AB842" i="1"/>
  <c r="AB841" i="1"/>
  <c r="AB840" i="1"/>
  <c r="AB839" i="1"/>
  <c r="AB838" i="1"/>
  <c r="AB837" i="1"/>
  <c r="AB836" i="1"/>
  <c r="AB835" i="1"/>
  <c r="AB834" i="1"/>
  <c r="AB833" i="1"/>
  <c r="AB832" i="1"/>
  <c r="AB831" i="1"/>
  <c r="AB830" i="1"/>
  <c r="AB829" i="1"/>
  <c r="AB828" i="1"/>
  <c r="AB827" i="1"/>
  <c r="AB826" i="1"/>
  <c r="AB825" i="1"/>
  <c r="AB824" i="1"/>
  <c r="AB823" i="1"/>
  <c r="AB822" i="1"/>
  <c r="AB821" i="1"/>
  <c r="AB820" i="1"/>
  <c r="AB819" i="1"/>
  <c r="AB818" i="1"/>
  <c r="AB817" i="1"/>
  <c r="AB816" i="1"/>
  <c r="AB815" i="1"/>
  <c r="AB814" i="1"/>
  <c r="AB813" i="1"/>
  <c r="AB812" i="1"/>
  <c r="AB811" i="1"/>
  <c r="AB810" i="1"/>
  <c r="AB809" i="1"/>
  <c r="AB808" i="1"/>
  <c r="AB807" i="1"/>
  <c r="AB806" i="1"/>
  <c r="AB805" i="1"/>
  <c r="AB804" i="1"/>
  <c r="AB803" i="1"/>
  <c r="AB802" i="1"/>
  <c r="AB801" i="1"/>
  <c r="AB800" i="1"/>
  <c r="AB799" i="1"/>
  <c r="AB798" i="1"/>
  <c r="AB797" i="1"/>
  <c r="AB796" i="1"/>
  <c r="AB795" i="1"/>
  <c r="AB794" i="1"/>
  <c r="AB793" i="1"/>
  <c r="AB792" i="1"/>
  <c r="AB791" i="1"/>
  <c r="AB790" i="1"/>
  <c r="AB789" i="1"/>
  <c r="AB788" i="1"/>
  <c r="AB787" i="1"/>
  <c r="AB786" i="1"/>
  <c r="AB785" i="1"/>
  <c r="AB784" i="1"/>
  <c r="AB783" i="1"/>
  <c r="AB782" i="1"/>
  <c r="AB781" i="1"/>
  <c r="AB780" i="1"/>
  <c r="AB779" i="1"/>
  <c r="AB778" i="1"/>
  <c r="AB777" i="1"/>
  <c r="AB776" i="1"/>
  <c r="AB775" i="1"/>
  <c r="AB774" i="1"/>
  <c r="AB773" i="1"/>
  <c r="AB772" i="1"/>
  <c r="AB771" i="1"/>
  <c r="AB770" i="1"/>
  <c r="AB769" i="1"/>
  <c r="AB768" i="1"/>
  <c r="AB767" i="1"/>
  <c r="AB766" i="1"/>
  <c r="AB765" i="1"/>
  <c r="AB764" i="1"/>
  <c r="AB763" i="1"/>
  <c r="AB762" i="1"/>
  <c r="AB761" i="1"/>
  <c r="AB760" i="1"/>
  <c r="AB759" i="1"/>
  <c r="AB758" i="1"/>
  <c r="AB757" i="1"/>
  <c r="AB756" i="1"/>
  <c r="AB755" i="1"/>
  <c r="AB754" i="1"/>
  <c r="AB753" i="1"/>
  <c r="AB752" i="1"/>
  <c r="AB751" i="1"/>
  <c r="AB750" i="1"/>
  <c r="AB749" i="1"/>
  <c r="AB748" i="1"/>
  <c r="AB747" i="1"/>
  <c r="AB746" i="1"/>
  <c r="AB745" i="1"/>
  <c r="AB744" i="1"/>
  <c r="AB743" i="1"/>
  <c r="AB742" i="1"/>
  <c r="AB741" i="1"/>
  <c r="AB740" i="1"/>
  <c r="AB739" i="1"/>
  <c r="AB738" i="1"/>
  <c r="AB737" i="1"/>
  <c r="AB736" i="1"/>
  <c r="AB735" i="1"/>
  <c r="AB734" i="1"/>
  <c r="AB733" i="1"/>
  <c r="AB732" i="1"/>
  <c r="AB731" i="1"/>
  <c r="AB730" i="1"/>
  <c r="AB729" i="1"/>
  <c r="AB728" i="1"/>
  <c r="AB727" i="1"/>
  <c r="AB726" i="1"/>
  <c r="AB725" i="1"/>
  <c r="AB724" i="1"/>
  <c r="AB723" i="1"/>
  <c r="AB722" i="1"/>
  <c r="AB721" i="1"/>
  <c r="AB720" i="1"/>
  <c r="AB719" i="1"/>
  <c r="AB718" i="1"/>
  <c r="AB717" i="1"/>
  <c r="AB716" i="1"/>
  <c r="AB715" i="1"/>
  <c r="AB714" i="1"/>
  <c r="AB713" i="1"/>
  <c r="AB712" i="1"/>
  <c r="AB711" i="1"/>
  <c r="AB710" i="1"/>
  <c r="AB709" i="1"/>
  <c r="AB708" i="1"/>
  <c r="AB707" i="1"/>
  <c r="AB706" i="1"/>
  <c r="AB705" i="1"/>
  <c r="AB704" i="1"/>
  <c r="AB703" i="1"/>
  <c r="AB702" i="1"/>
  <c r="AB701" i="1"/>
  <c r="AB700" i="1"/>
  <c r="AB699" i="1"/>
  <c r="AB698" i="1"/>
  <c r="AB697" i="1"/>
  <c r="AB696" i="1"/>
  <c r="AB695" i="1"/>
  <c r="AB694" i="1"/>
  <c r="AB693" i="1"/>
  <c r="AB692" i="1"/>
  <c r="AB691" i="1"/>
  <c r="AB690" i="1"/>
  <c r="AB689" i="1"/>
  <c r="AB688" i="1"/>
  <c r="AB687" i="1"/>
  <c r="AB686" i="1"/>
  <c r="AB685" i="1"/>
  <c r="AB684" i="1"/>
  <c r="AB683" i="1"/>
  <c r="AB682" i="1"/>
  <c r="AB681" i="1"/>
  <c r="AB680" i="1"/>
  <c r="AB679" i="1"/>
  <c r="AB678" i="1"/>
  <c r="AB677" i="1"/>
  <c r="AB676" i="1"/>
  <c r="AB675" i="1"/>
  <c r="AB674" i="1"/>
  <c r="AB673" i="1"/>
  <c r="AB672" i="1"/>
  <c r="AB671" i="1"/>
  <c r="AB670" i="1"/>
  <c r="AB669" i="1"/>
  <c r="AB668" i="1"/>
  <c r="AB667" i="1"/>
  <c r="AB666" i="1"/>
  <c r="AB665" i="1"/>
  <c r="AB664" i="1"/>
  <c r="AB663" i="1"/>
  <c r="AB662" i="1"/>
  <c r="AB661" i="1"/>
  <c r="AB660" i="1"/>
  <c r="AB659" i="1"/>
  <c r="AB658" i="1"/>
  <c r="AB657" i="1"/>
  <c r="AB656" i="1"/>
  <c r="AB655" i="1"/>
  <c r="AB654" i="1"/>
  <c r="AB653" i="1"/>
  <c r="AB652" i="1"/>
  <c r="AB651" i="1"/>
  <c r="AB650" i="1"/>
  <c r="AB649" i="1"/>
  <c r="AB648" i="1"/>
  <c r="AB647" i="1"/>
  <c r="AB646" i="1"/>
  <c r="AB645" i="1"/>
  <c r="AB644" i="1"/>
  <c r="AB643" i="1"/>
  <c r="AB642" i="1"/>
  <c r="AB641" i="1"/>
  <c r="AB640" i="1"/>
  <c r="AB639" i="1"/>
  <c r="AB638" i="1"/>
  <c r="AB637" i="1"/>
  <c r="AB636" i="1"/>
  <c r="AB635" i="1"/>
  <c r="AB634" i="1"/>
  <c r="AB633" i="1"/>
  <c r="AB632" i="1"/>
  <c r="AB631" i="1"/>
  <c r="AB630" i="1"/>
  <c r="AB629" i="1"/>
  <c r="AB628" i="1"/>
  <c r="AB627" i="1"/>
  <c r="AB626" i="1"/>
  <c r="AB625" i="1"/>
  <c r="AB624" i="1"/>
  <c r="AB623" i="1"/>
  <c r="AB622" i="1"/>
  <c r="AB621" i="1"/>
  <c r="AB620" i="1"/>
  <c r="AB619" i="1"/>
  <c r="AB618" i="1"/>
  <c r="AB617" i="1"/>
  <c r="AB616" i="1"/>
  <c r="AB615" i="1"/>
  <c r="AB614" i="1"/>
  <c r="AB613" i="1"/>
  <c r="AB612" i="1"/>
  <c r="AB611" i="1"/>
  <c r="AB610" i="1"/>
  <c r="AB609" i="1"/>
  <c r="AB608" i="1"/>
  <c r="AB607" i="1"/>
  <c r="AB606" i="1"/>
  <c r="AB605" i="1"/>
  <c r="AB604" i="1"/>
  <c r="AB603" i="1"/>
  <c r="AB602" i="1"/>
  <c r="AB601" i="1"/>
  <c r="AB600" i="1"/>
  <c r="AB599" i="1"/>
  <c r="AB598" i="1"/>
  <c r="AB597" i="1"/>
  <c r="AB596" i="1"/>
  <c r="AB595" i="1"/>
  <c r="AB594" i="1"/>
  <c r="AB593" i="1"/>
  <c r="AB592" i="1"/>
  <c r="AB591" i="1"/>
  <c r="AB590" i="1"/>
  <c r="AB589" i="1"/>
  <c r="AB588" i="1"/>
  <c r="AB587" i="1"/>
  <c r="AB586" i="1"/>
  <c r="AB585" i="1"/>
  <c r="AB584" i="1"/>
  <c r="AB583" i="1"/>
  <c r="AB582" i="1"/>
  <c r="AB581" i="1"/>
  <c r="AB580" i="1"/>
  <c r="AB579" i="1"/>
  <c r="AB578" i="1"/>
  <c r="AB577" i="1"/>
  <c r="AB576" i="1"/>
  <c r="AB575" i="1"/>
  <c r="AB574" i="1"/>
  <c r="AB573" i="1"/>
  <c r="AB572" i="1"/>
  <c r="AB571" i="1"/>
  <c r="AB570" i="1"/>
  <c r="AB569" i="1"/>
  <c r="AB568" i="1"/>
  <c r="AB567" i="1"/>
  <c r="AB566" i="1"/>
  <c r="AB565" i="1"/>
  <c r="AB564" i="1"/>
  <c r="AB563" i="1"/>
  <c r="AB562" i="1"/>
  <c r="AB561" i="1"/>
  <c r="AB560" i="1"/>
  <c r="AB559" i="1"/>
  <c r="AB558" i="1"/>
  <c r="AB557" i="1"/>
  <c r="AB556" i="1"/>
  <c r="AB555" i="1"/>
  <c r="AB554" i="1"/>
  <c r="AB553" i="1"/>
  <c r="AB552" i="1"/>
  <c r="AB551" i="1"/>
  <c r="AB550" i="1"/>
  <c r="AB549" i="1"/>
  <c r="AB548" i="1"/>
  <c r="AB547" i="1"/>
  <c r="AB546" i="1"/>
  <c r="AB545" i="1"/>
  <c r="AB544" i="1"/>
  <c r="AB543" i="1"/>
  <c r="AB542" i="1"/>
  <c r="AB541" i="1"/>
  <c r="AB540" i="1"/>
  <c r="AB539" i="1"/>
  <c r="AB538" i="1"/>
  <c r="AB537" i="1"/>
  <c r="AB536" i="1"/>
  <c r="AB535" i="1"/>
  <c r="AB534" i="1"/>
  <c r="AB533" i="1"/>
  <c r="AB532" i="1"/>
  <c r="AB531" i="1"/>
  <c r="AB530" i="1"/>
  <c r="AB529" i="1"/>
  <c r="AB528" i="1"/>
  <c r="AB527" i="1"/>
  <c r="AB526" i="1"/>
  <c r="AB525" i="1"/>
  <c r="AB524" i="1"/>
  <c r="AB523" i="1"/>
  <c r="AB522" i="1"/>
  <c r="AB521" i="1"/>
  <c r="AB520" i="1"/>
  <c r="AB519" i="1"/>
  <c r="AB518" i="1"/>
  <c r="AB517" i="1"/>
  <c r="AB516" i="1"/>
  <c r="AB515" i="1"/>
  <c r="AB514" i="1"/>
  <c r="AB513" i="1"/>
  <c r="AB512" i="1"/>
  <c r="AB511" i="1"/>
  <c r="AB510" i="1"/>
  <c r="AB509" i="1"/>
  <c r="AB508" i="1"/>
  <c r="AB507" i="1"/>
  <c r="AB506" i="1"/>
  <c r="AB505" i="1"/>
  <c r="AB504" i="1"/>
  <c r="AB503" i="1"/>
  <c r="AB502" i="1"/>
  <c r="AB501" i="1"/>
  <c r="AB500" i="1"/>
  <c r="AB499" i="1"/>
  <c r="AB498" i="1"/>
  <c r="AB497" i="1"/>
  <c r="AB496" i="1"/>
  <c r="AB495" i="1"/>
  <c r="AB494" i="1"/>
  <c r="AB493" i="1"/>
  <c r="AB492" i="1"/>
  <c r="AB491" i="1"/>
  <c r="AB490" i="1"/>
  <c r="AB489" i="1"/>
  <c r="AB488" i="1"/>
  <c r="AB487" i="1"/>
  <c r="AB486" i="1"/>
  <c r="AB485" i="1"/>
  <c r="AB484" i="1"/>
  <c r="AB483" i="1"/>
  <c r="AB482" i="1"/>
  <c r="AB481" i="1"/>
  <c r="AB480" i="1"/>
  <c r="AB479" i="1"/>
  <c r="AB478" i="1"/>
  <c r="AB477" i="1"/>
  <c r="AB476" i="1"/>
  <c r="AB475" i="1"/>
  <c r="AB474" i="1"/>
  <c r="AB473" i="1"/>
  <c r="AB472" i="1"/>
  <c r="AB471" i="1"/>
  <c r="AB470" i="1"/>
  <c r="AB469" i="1"/>
  <c r="AB468" i="1"/>
  <c r="AB467" i="1"/>
  <c r="AB466" i="1"/>
  <c r="AB465" i="1"/>
  <c r="AB464" i="1"/>
  <c r="AB463" i="1"/>
  <c r="AB462" i="1"/>
  <c r="AB461" i="1"/>
  <c r="AB460" i="1"/>
  <c r="AB459" i="1"/>
  <c r="AB458" i="1"/>
  <c r="AB457" i="1"/>
  <c r="AB456" i="1"/>
  <c r="AB455" i="1"/>
  <c r="AB454" i="1"/>
  <c r="AB453" i="1"/>
  <c r="AB452" i="1"/>
  <c r="AB451" i="1"/>
  <c r="AB450" i="1"/>
  <c r="AB449" i="1"/>
  <c r="AB448" i="1"/>
  <c r="AB447" i="1"/>
  <c r="AB446" i="1"/>
  <c r="AB445" i="1"/>
  <c r="AB444" i="1"/>
  <c r="AB443" i="1"/>
  <c r="AB442" i="1"/>
  <c r="AB441" i="1"/>
  <c r="AB440" i="1"/>
  <c r="AB439" i="1"/>
  <c r="AB438" i="1"/>
  <c r="AB437" i="1"/>
  <c r="AB436" i="1"/>
  <c r="AB435" i="1"/>
  <c r="AB434" i="1"/>
  <c r="AB433" i="1"/>
  <c r="AB432" i="1"/>
  <c r="AB431" i="1"/>
  <c r="AB430" i="1"/>
  <c r="AB429" i="1"/>
  <c r="AB428" i="1"/>
  <c r="AB427" i="1"/>
  <c r="AB426" i="1"/>
  <c r="AB425" i="1"/>
  <c r="AB424" i="1"/>
  <c r="AB423" i="1"/>
  <c r="AB422" i="1"/>
  <c r="AB421" i="1"/>
  <c r="AB420" i="1"/>
  <c r="AB419" i="1"/>
  <c r="AB418" i="1"/>
  <c r="AB417" i="1"/>
  <c r="AB416" i="1"/>
  <c r="AB415" i="1"/>
  <c r="AB414" i="1"/>
  <c r="AB413" i="1"/>
  <c r="AB412" i="1"/>
  <c r="AB411" i="1"/>
  <c r="AB410" i="1"/>
  <c r="AB409" i="1"/>
  <c r="AB408" i="1"/>
  <c r="AB407" i="1"/>
  <c r="AB406" i="1"/>
  <c r="AB405" i="1"/>
  <c r="AB404" i="1"/>
  <c r="AB403" i="1"/>
  <c r="AB402" i="1"/>
  <c r="AB401" i="1"/>
  <c r="AB400" i="1"/>
  <c r="AB399" i="1"/>
  <c r="AB398" i="1"/>
  <c r="AB397" i="1"/>
  <c r="AB396" i="1"/>
  <c r="AB395" i="1"/>
  <c r="AB394" i="1"/>
  <c r="AB393" i="1"/>
  <c r="AB392" i="1"/>
  <c r="AB391" i="1"/>
  <c r="AB390" i="1"/>
  <c r="AB389" i="1"/>
  <c r="AB388" i="1"/>
  <c r="AB387" i="1"/>
  <c r="AB386" i="1"/>
  <c r="AB385" i="1"/>
  <c r="AB384" i="1"/>
  <c r="AB383" i="1"/>
  <c r="AB382" i="1"/>
  <c r="AB381" i="1"/>
  <c r="AB380" i="1"/>
  <c r="AB379" i="1"/>
  <c r="AB378" i="1"/>
  <c r="AB377" i="1"/>
  <c r="AB376" i="1"/>
  <c r="AB375" i="1"/>
  <c r="AB374" i="1"/>
  <c r="AB373" i="1"/>
  <c r="AB372" i="1"/>
  <c r="AB371" i="1"/>
  <c r="AB370" i="1"/>
  <c r="AB369" i="1"/>
  <c r="AB368" i="1"/>
  <c r="AB367" i="1"/>
  <c r="AB366" i="1"/>
  <c r="AB365" i="1"/>
  <c r="AB364" i="1"/>
  <c r="AB363" i="1"/>
  <c r="AB362" i="1"/>
  <c r="AB361" i="1"/>
  <c r="AB360" i="1"/>
  <c r="AB359" i="1"/>
  <c r="AB358" i="1"/>
  <c r="AB357" i="1"/>
  <c r="AB356" i="1"/>
  <c r="AB355" i="1"/>
  <c r="AB354" i="1"/>
  <c r="AB353" i="1"/>
  <c r="AB352" i="1"/>
  <c r="AB351" i="1"/>
  <c r="AB350" i="1"/>
  <c r="AB349" i="1"/>
  <c r="AB348" i="1"/>
  <c r="AB347" i="1"/>
  <c r="AB346" i="1"/>
  <c r="AB345" i="1"/>
  <c r="AB344" i="1"/>
  <c r="AB343" i="1"/>
  <c r="AB342" i="1"/>
  <c r="AB341" i="1"/>
  <c r="AB340" i="1"/>
  <c r="AB339" i="1"/>
  <c r="AB338" i="1"/>
  <c r="AB337" i="1"/>
  <c r="AB336" i="1"/>
  <c r="AB335" i="1"/>
  <c r="AB334" i="1"/>
  <c r="AB333" i="1"/>
  <c r="AB332" i="1"/>
  <c r="AB331" i="1"/>
  <c r="AB330" i="1"/>
  <c r="AB329" i="1"/>
  <c r="AB328" i="1"/>
  <c r="AB327" i="1"/>
  <c r="AB326" i="1"/>
  <c r="AB325" i="1"/>
  <c r="AB324" i="1"/>
  <c r="AB323" i="1"/>
  <c r="AB322" i="1"/>
  <c r="AB321" i="1"/>
  <c r="AB320" i="1"/>
  <c r="AB319" i="1"/>
  <c r="AB318" i="1"/>
  <c r="AB317" i="1"/>
  <c r="AB316" i="1"/>
  <c r="AB315" i="1"/>
  <c r="AB314" i="1"/>
  <c r="AB313" i="1"/>
  <c r="AB312" i="1"/>
  <c r="AB311" i="1"/>
  <c r="AB310" i="1"/>
  <c r="AB309" i="1"/>
  <c r="AB308" i="1"/>
  <c r="AB307" i="1"/>
  <c r="AB306" i="1"/>
  <c r="AB305" i="1"/>
  <c r="AB304" i="1"/>
  <c r="AB303" i="1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AB3" i="1"/>
  <c r="AB2" i="1"/>
  <c r="AA1166" i="1"/>
  <c r="AA1165" i="1"/>
  <c r="AA1164" i="1"/>
  <c r="AA1163" i="1"/>
  <c r="AA1162" i="1"/>
  <c r="AA1161" i="1"/>
  <c r="AA1160" i="1"/>
  <c r="AA1159" i="1"/>
  <c r="AA1158" i="1"/>
  <c r="AA1157" i="1"/>
  <c r="AA1156" i="1"/>
  <c r="AA1155" i="1"/>
  <c r="AA1154" i="1"/>
  <c r="AA1153" i="1"/>
  <c r="AA1152" i="1"/>
  <c r="AA1151" i="1"/>
  <c r="AA1150" i="1"/>
  <c r="AA1149" i="1"/>
  <c r="AA1148" i="1"/>
  <c r="AA1147" i="1"/>
  <c r="AA1146" i="1"/>
  <c r="AA1145" i="1"/>
  <c r="AA1144" i="1"/>
  <c r="AA1143" i="1"/>
  <c r="AA1142" i="1"/>
  <c r="AA1141" i="1"/>
  <c r="AA1140" i="1"/>
  <c r="AA1139" i="1"/>
  <c r="AA1138" i="1"/>
  <c r="AA1137" i="1"/>
  <c r="AA1136" i="1"/>
  <c r="AA1135" i="1"/>
  <c r="AA1134" i="1"/>
  <c r="AA1133" i="1"/>
  <c r="AA1132" i="1"/>
  <c r="AA1131" i="1"/>
  <c r="AA1130" i="1"/>
  <c r="AA1129" i="1"/>
  <c r="AA1128" i="1"/>
  <c r="AA1127" i="1"/>
  <c r="AA1126" i="1"/>
  <c r="AA1125" i="1"/>
  <c r="AA1124" i="1"/>
  <c r="AA1123" i="1"/>
  <c r="AA1122" i="1"/>
  <c r="AA1121" i="1"/>
  <c r="AA1120" i="1"/>
  <c r="AA1119" i="1"/>
  <c r="AA1118" i="1"/>
  <c r="AA1117" i="1"/>
  <c r="AA1116" i="1"/>
  <c r="AA1115" i="1"/>
  <c r="AA1114" i="1"/>
  <c r="AA1113" i="1"/>
  <c r="AA1112" i="1"/>
  <c r="AA1111" i="1"/>
  <c r="AA1110" i="1"/>
  <c r="AA1109" i="1"/>
  <c r="AA1108" i="1"/>
  <c r="AA1107" i="1"/>
  <c r="AA1106" i="1"/>
  <c r="AA1105" i="1"/>
  <c r="AA1104" i="1"/>
  <c r="AA1103" i="1"/>
  <c r="AA1102" i="1"/>
  <c r="AA1101" i="1"/>
  <c r="AA1100" i="1"/>
  <c r="AA1099" i="1"/>
  <c r="AA1098" i="1"/>
  <c r="AA1097" i="1"/>
  <c r="AA1096" i="1"/>
  <c r="AA1095" i="1"/>
  <c r="AA1094" i="1"/>
  <c r="AA1093" i="1"/>
  <c r="AA1092" i="1"/>
  <c r="AA1091" i="1"/>
  <c r="AA1090" i="1"/>
  <c r="AA1089" i="1"/>
  <c r="AA1088" i="1"/>
  <c r="AA1087" i="1"/>
  <c r="AA1086" i="1"/>
  <c r="AA1085" i="1"/>
  <c r="AA1084" i="1"/>
  <c r="AA1083" i="1"/>
  <c r="AA1082" i="1"/>
  <c r="AA1081" i="1"/>
  <c r="AA1080" i="1"/>
  <c r="AA1079" i="1"/>
  <c r="AA1078" i="1"/>
  <c r="AA1077" i="1"/>
  <c r="AA1076" i="1"/>
  <c r="AA1075" i="1"/>
  <c r="AA1074" i="1"/>
  <c r="AA1073" i="1"/>
  <c r="AA1072" i="1"/>
  <c r="AA1071" i="1"/>
  <c r="AA1070" i="1"/>
  <c r="AA1069" i="1"/>
  <c r="AA1068" i="1"/>
  <c r="AA1067" i="1"/>
  <c r="AA1066" i="1"/>
  <c r="AA1065" i="1"/>
  <c r="AA1064" i="1"/>
  <c r="AA1063" i="1"/>
  <c r="AA1062" i="1"/>
  <c r="AA1061" i="1"/>
  <c r="AA1060" i="1"/>
  <c r="AA1059" i="1"/>
  <c r="AA1058" i="1"/>
  <c r="AA1057" i="1"/>
  <c r="AA1056" i="1"/>
  <c r="AA1055" i="1"/>
  <c r="AA1054" i="1"/>
  <c r="AA1053" i="1"/>
  <c r="AA1052" i="1"/>
  <c r="AA1051" i="1"/>
  <c r="AA1050" i="1"/>
  <c r="AA1049" i="1"/>
  <c r="AA1048" i="1"/>
  <c r="AA1047" i="1"/>
  <c r="AA1046" i="1"/>
  <c r="AA1045" i="1"/>
  <c r="AA1044" i="1"/>
  <c r="AA1043" i="1"/>
  <c r="AA1042" i="1"/>
  <c r="AA1041" i="1"/>
  <c r="AA1040" i="1"/>
  <c r="AA1039" i="1"/>
  <c r="AA1038" i="1"/>
  <c r="AA1037" i="1"/>
  <c r="AA1036" i="1"/>
  <c r="AA1035" i="1"/>
  <c r="AA1034" i="1"/>
  <c r="AA1033" i="1"/>
  <c r="AA1032" i="1"/>
  <c r="AA1031" i="1"/>
  <c r="AA1030" i="1"/>
  <c r="AA1029" i="1"/>
  <c r="AA1028" i="1"/>
  <c r="AA1027" i="1"/>
  <c r="AA1026" i="1"/>
  <c r="AA1025" i="1"/>
  <c r="AA1024" i="1"/>
  <c r="AA1023" i="1"/>
  <c r="AA1022" i="1"/>
  <c r="AA1021" i="1"/>
  <c r="AA1020" i="1"/>
  <c r="AA1019" i="1"/>
  <c r="AA1018" i="1"/>
  <c r="AA1017" i="1"/>
  <c r="AA1016" i="1"/>
  <c r="AA1015" i="1"/>
  <c r="AA1014" i="1"/>
  <c r="AA1013" i="1"/>
  <c r="AA1012" i="1"/>
  <c r="AA1011" i="1"/>
  <c r="AA1010" i="1"/>
  <c r="AA1009" i="1"/>
  <c r="AA1008" i="1"/>
  <c r="AA1007" i="1"/>
  <c r="AA1006" i="1"/>
  <c r="AA1005" i="1"/>
  <c r="AA1004" i="1"/>
  <c r="AA1003" i="1"/>
  <c r="AA1002" i="1"/>
  <c r="AA1001" i="1"/>
  <c r="AA1000" i="1"/>
  <c r="AA999" i="1"/>
  <c r="AA998" i="1"/>
  <c r="AA997" i="1"/>
  <c r="AA996" i="1"/>
  <c r="AA995" i="1"/>
  <c r="AA994" i="1"/>
  <c r="AA993" i="1"/>
  <c r="AA992" i="1"/>
  <c r="AA991" i="1"/>
  <c r="AA990" i="1"/>
  <c r="AA989" i="1"/>
  <c r="AA988" i="1"/>
  <c r="AA987" i="1"/>
  <c r="AA986" i="1"/>
  <c r="AA985" i="1"/>
  <c r="AA984" i="1"/>
  <c r="AA983" i="1"/>
  <c r="AA982" i="1"/>
  <c r="AA981" i="1"/>
  <c r="AA980" i="1"/>
  <c r="AA979" i="1"/>
  <c r="AA978" i="1"/>
  <c r="AA977" i="1"/>
  <c r="AA976" i="1"/>
  <c r="AA975" i="1"/>
  <c r="AA974" i="1"/>
  <c r="AA973" i="1"/>
  <c r="AA972" i="1"/>
  <c r="AA971" i="1"/>
  <c r="AA970" i="1"/>
  <c r="AA969" i="1"/>
  <c r="AA968" i="1"/>
  <c r="AA967" i="1"/>
  <c r="AA966" i="1"/>
  <c r="AA965" i="1"/>
  <c r="AA964" i="1"/>
  <c r="AA963" i="1"/>
  <c r="AA962" i="1"/>
  <c r="AA961" i="1"/>
  <c r="AA960" i="1"/>
  <c r="AA959" i="1"/>
  <c r="AA958" i="1"/>
  <c r="AA957" i="1"/>
  <c r="AA956" i="1"/>
  <c r="AA955" i="1"/>
  <c r="AA954" i="1"/>
  <c r="AA953" i="1"/>
  <c r="AA952" i="1"/>
  <c r="AA951" i="1"/>
  <c r="AA950" i="1"/>
  <c r="AA949" i="1"/>
  <c r="AA948" i="1"/>
  <c r="AA947" i="1"/>
  <c r="AA946" i="1"/>
  <c r="AA945" i="1"/>
  <c r="AA944" i="1"/>
  <c r="AA943" i="1"/>
  <c r="AA942" i="1"/>
  <c r="AA941" i="1"/>
  <c r="AA940" i="1"/>
  <c r="AA939" i="1"/>
  <c r="AA938" i="1"/>
  <c r="AA937" i="1"/>
  <c r="AA936" i="1"/>
  <c r="AA935" i="1"/>
  <c r="AA934" i="1"/>
  <c r="AA933" i="1"/>
  <c r="AA932" i="1"/>
  <c r="AA931" i="1"/>
  <c r="AA930" i="1"/>
  <c r="AA929" i="1"/>
  <c r="AA928" i="1"/>
  <c r="AA927" i="1"/>
  <c r="AA926" i="1"/>
  <c r="AA925" i="1"/>
  <c r="AA924" i="1"/>
  <c r="AA923" i="1"/>
  <c r="AA922" i="1"/>
  <c r="AA921" i="1"/>
  <c r="AA920" i="1"/>
  <c r="AA919" i="1"/>
  <c r="AA918" i="1"/>
  <c r="AA917" i="1"/>
  <c r="AA916" i="1"/>
  <c r="AA915" i="1"/>
  <c r="AA914" i="1"/>
  <c r="AA913" i="1"/>
  <c r="AA912" i="1"/>
  <c r="AA911" i="1"/>
  <c r="AA910" i="1"/>
  <c r="AA909" i="1"/>
  <c r="AA908" i="1"/>
  <c r="AA907" i="1"/>
  <c r="AA906" i="1"/>
  <c r="AA905" i="1"/>
  <c r="AA904" i="1"/>
  <c r="AA903" i="1"/>
  <c r="AA902" i="1"/>
  <c r="AA901" i="1"/>
  <c r="AA900" i="1"/>
  <c r="AA899" i="1"/>
  <c r="AA898" i="1"/>
  <c r="AA897" i="1"/>
  <c r="AA896" i="1"/>
  <c r="AA895" i="1"/>
  <c r="AA894" i="1"/>
  <c r="AA893" i="1"/>
  <c r="AA892" i="1"/>
  <c r="AA891" i="1"/>
  <c r="AA890" i="1"/>
  <c r="AA889" i="1"/>
  <c r="AA888" i="1"/>
  <c r="AA887" i="1"/>
  <c r="AA886" i="1"/>
  <c r="AA885" i="1"/>
  <c r="AA884" i="1"/>
  <c r="AA883" i="1"/>
  <c r="AA882" i="1"/>
  <c r="AA881" i="1"/>
  <c r="AA880" i="1"/>
  <c r="AA879" i="1"/>
  <c r="AA878" i="1"/>
  <c r="AA877" i="1"/>
  <c r="AA876" i="1"/>
  <c r="AA875" i="1"/>
  <c r="AA874" i="1"/>
  <c r="AA873" i="1"/>
  <c r="AA872" i="1"/>
  <c r="AA871" i="1"/>
  <c r="AA870" i="1"/>
  <c r="AA869" i="1"/>
  <c r="AA868" i="1"/>
  <c r="AA867" i="1"/>
  <c r="AA866" i="1"/>
  <c r="AA865" i="1"/>
  <c r="AA864" i="1"/>
  <c r="AA863" i="1"/>
  <c r="AA862" i="1"/>
  <c r="AA861" i="1"/>
  <c r="AA860" i="1"/>
  <c r="AA859" i="1"/>
  <c r="AA858" i="1"/>
  <c r="AA857" i="1"/>
  <c r="AA856" i="1"/>
  <c r="AA855" i="1"/>
  <c r="AA854" i="1"/>
  <c r="AA853" i="1"/>
  <c r="AA852" i="1"/>
  <c r="AA851" i="1"/>
  <c r="AA850" i="1"/>
  <c r="AA849" i="1"/>
  <c r="AA848" i="1"/>
  <c r="AA847" i="1"/>
  <c r="AA846" i="1"/>
  <c r="AA845" i="1"/>
  <c r="AA844" i="1"/>
  <c r="AA843" i="1"/>
  <c r="AA842" i="1"/>
  <c r="AA841" i="1"/>
  <c r="AA840" i="1"/>
  <c r="AA839" i="1"/>
  <c r="AA838" i="1"/>
  <c r="AA837" i="1"/>
  <c r="AA836" i="1"/>
  <c r="AA835" i="1"/>
  <c r="AA834" i="1"/>
  <c r="AA833" i="1"/>
  <c r="AA832" i="1"/>
  <c r="AA831" i="1"/>
  <c r="AA830" i="1"/>
  <c r="AA829" i="1"/>
  <c r="AA828" i="1"/>
  <c r="AA827" i="1"/>
  <c r="AA826" i="1"/>
  <c r="AA825" i="1"/>
  <c r="AA824" i="1"/>
  <c r="AA823" i="1"/>
  <c r="AA822" i="1"/>
  <c r="AA821" i="1"/>
  <c r="AA820" i="1"/>
  <c r="AA819" i="1"/>
  <c r="AA818" i="1"/>
  <c r="AA817" i="1"/>
  <c r="AA816" i="1"/>
  <c r="AA815" i="1"/>
  <c r="AA814" i="1"/>
  <c r="AA813" i="1"/>
  <c r="AA812" i="1"/>
  <c r="AA811" i="1"/>
  <c r="AA810" i="1"/>
  <c r="AA809" i="1"/>
  <c r="AA808" i="1"/>
  <c r="AA807" i="1"/>
  <c r="AA806" i="1"/>
  <c r="AA805" i="1"/>
  <c r="AA804" i="1"/>
  <c r="AA803" i="1"/>
  <c r="AA802" i="1"/>
  <c r="AA801" i="1"/>
  <c r="AA800" i="1"/>
  <c r="AA799" i="1"/>
  <c r="AA798" i="1"/>
  <c r="AA797" i="1"/>
  <c r="AA796" i="1"/>
  <c r="AA795" i="1"/>
  <c r="AA794" i="1"/>
  <c r="AA793" i="1"/>
  <c r="AA792" i="1"/>
  <c r="AA791" i="1"/>
  <c r="AA790" i="1"/>
  <c r="AA789" i="1"/>
  <c r="AA788" i="1"/>
  <c r="AA787" i="1"/>
  <c r="AA786" i="1"/>
  <c r="AA785" i="1"/>
  <c r="AA784" i="1"/>
  <c r="AA783" i="1"/>
  <c r="AA782" i="1"/>
  <c r="AA781" i="1"/>
  <c r="AA780" i="1"/>
  <c r="AA779" i="1"/>
  <c r="AA778" i="1"/>
  <c r="AA777" i="1"/>
  <c r="AA776" i="1"/>
  <c r="AA775" i="1"/>
  <c r="AA774" i="1"/>
  <c r="AA773" i="1"/>
  <c r="AA772" i="1"/>
  <c r="AA771" i="1"/>
  <c r="AA770" i="1"/>
  <c r="AA769" i="1"/>
  <c r="AA768" i="1"/>
  <c r="AA767" i="1"/>
  <c r="AA766" i="1"/>
  <c r="AA765" i="1"/>
  <c r="AA764" i="1"/>
  <c r="AA763" i="1"/>
  <c r="AA762" i="1"/>
  <c r="AA761" i="1"/>
  <c r="AA760" i="1"/>
  <c r="AA759" i="1"/>
  <c r="AA758" i="1"/>
  <c r="AA757" i="1"/>
  <c r="AA756" i="1"/>
  <c r="AA755" i="1"/>
  <c r="AA754" i="1"/>
  <c r="AA753" i="1"/>
  <c r="AA752" i="1"/>
  <c r="AA751" i="1"/>
  <c r="AA750" i="1"/>
  <c r="AA749" i="1"/>
  <c r="AA748" i="1"/>
  <c r="AA747" i="1"/>
  <c r="AA746" i="1"/>
  <c r="AA745" i="1"/>
  <c r="AA744" i="1"/>
  <c r="AA743" i="1"/>
  <c r="AA742" i="1"/>
  <c r="AA741" i="1"/>
  <c r="AA740" i="1"/>
  <c r="AA739" i="1"/>
  <c r="AA738" i="1"/>
  <c r="AA737" i="1"/>
  <c r="AA736" i="1"/>
  <c r="AA735" i="1"/>
  <c r="AA734" i="1"/>
  <c r="AA733" i="1"/>
  <c r="AA732" i="1"/>
  <c r="AA731" i="1"/>
  <c r="AA730" i="1"/>
  <c r="AA729" i="1"/>
  <c r="AA728" i="1"/>
  <c r="AA727" i="1"/>
  <c r="AA726" i="1"/>
  <c r="AA725" i="1"/>
  <c r="AA724" i="1"/>
  <c r="AA723" i="1"/>
  <c r="AA722" i="1"/>
  <c r="AA721" i="1"/>
  <c r="AA720" i="1"/>
  <c r="AA719" i="1"/>
  <c r="AA718" i="1"/>
  <c r="AA717" i="1"/>
  <c r="AA716" i="1"/>
  <c r="AA715" i="1"/>
  <c r="AA714" i="1"/>
  <c r="AA713" i="1"/>
  <c r="AA712" i="1"/>
  <c r="AA711" i="1"/>
  <c r="AA710" i="1"/>
  <c r="AA709" i="1"/>
  <c r="AA708" i="1"/>
  <c r="AA707" i="1"/>
  <c r="AA706" i="1"/>
  <c r="AA705" i="1"/>
  <c r="AA704" i="1"/>
  <c r="AA703" i="1"/>
  <c r="AA702" i="1"/>
  <c r="AA701" i="1"/>
  <c r="AA700" i="1"/>
  <c r="AA699" i="1"/>
  <c r="AA698" i="1"/>
  <c r="AA697" i="1"/>
  <c r="AA696" i="1"/>
  <c r="AA695" i="1"/>
  <c r="AA694" i="1"/>
  <c r="AA693" i="1"/>
  <c r="AA692" i="1"/>
  <c r="AA691" i="1"/>
  <c r="AA690" i="1"/>
  <c r="AA689" i="1"/>
  <c r="AA688" i="1"/>
  <c r="AA687" i="1"/>
  <c r="AA686" i="1"/>
  <c r="AA685" i="1"/>
  <c r="AA684" i="1"/>
  <c r="AA683" i="1"/>
  <c r="AA682" i="1"/>
  <c r="AA681" i="1"/>
  <c r="AA680" i="1"/>
  <c r="AA679" i="1"/>
  <c r="AA678" i="1"/>
  <c r="AA677" i="1"/>
  <c r="AA676" i="1"/>
  <c r="AA675" i="1"/>
  <c r="AA674" i="1"/>
  <c r="AA673" i="1"/>
  <c r="AA672" i="1"/>
  <c r="AA671" i="1"/>
  <c r="AA670" i="1"/>
  <c r="AA669" i="1"/>
  <c r="AA668" i="1"/>
  <c r="AA667" i="1"/>
  <c r="AA666" i="1"/>
  <c r="AA665" i="1"/>
  <c r="AA664" i="1"/>
  <c r="AA663" i="1"/>
  <c r="AA662" i="1"/>
  <c r="AA661" i="1"/>
  <c r="AA660" i="1"/>
  <c r="AA659" i="1"/>
  <c r="AA658" i="1"/>
  <c r="AA657" i="1"/>
  <c r="AA656" i="1"/>
  <c r="AA655" i="1"/>
  <c r="AA654" i="1"/>
  <c r="AA653" i="1"/>
  <c r="AA652" i="1"/>
  <c r="AA651" i="1"/>
  <c r="AA650" i="1"/>
  <c r="AA649" i="1"/>
  <c r="AA648" i="1"/>
  <c r="AA647" i="1"/>
  <c r="AA646" i="1"/>
  <c r="AA645" i="1"/>
  <c r="AA644" i="1"/>
  <c r="AA643" i="1"/>
  <c r="AA642" i="1"/>
  <c r="AA641" i="1"/>
  <c r="AA640" i="1"/>
  <c r="AA639" i="1"/>
  <c r="AA638" i="1"/>
  <c r="AA637" i="1"/>
  <c r="AA636" i="1"/>
  <c r="AA635" i="1"/>
  <c r="AA634" i="1"/>
  <c r="AA633" i="1"/>
  <c r="AA632" i="1"/>
  <c r="AA631" i="1"/>
  <c r="AA630" i="1"/>
  <c r="AA629" i="1"/>
  <c r="AA628" i="1"/>
  <c r="AA627" i="1"/>
  <c r="AA626" i="1"/>
  <c r="AA625" i="1"/>
  <c r="AA624" i="1"/>
  <c r="AA623" i="1"/>
  <c r="AA622" i="1"/>
  <c r="AA621" i="1"/>
  <c r="AA620" i="1"/>
  <c r="AA619" i="1"/>
  <c r="AA618" i="1"/>
  <c r="AA617" i="1"/>
  <c r="AA616" i="1"/>
  <c r="AA615" i="1"/>
  <c r="AA614" i="1"/>
  <c r="AA613" i="1"/>
  <c r="AA612" i="1"/>
  <c r="AA611" i="1"/>
  <c r="AA610" i="1"/>
  <c r="AA609" i="1"/>
  <c r="AA608" i="1"/>
  <c r="AA607" i="1"/>
  <c r="AA606" i="1"/>
  <c r="AA605" i="1"/>
  <c r="AA604" i="1"/>
  <c r="AA603" i="1"/>
  <c r="AA602" i="1"/>
  <c r="AA601" i="1"/>
  <c r="AA600" i="1"/>
  <c r="AA599" i="1"/>
  <c r="AA598" i="1"/>
  <c r="AA597" i="1"/>
  <c r="AA596" i="1"/>
  <c r="AA595" i="1"/>
  <c r="AA594" i="1"/>
  <c r="AA593" i="1"/>
  <c r="AA592" i="1"/>
  <c r="AA591" i="1"/>
  <c r="AA590" i="1"/>
  <c r="AA589" i="1"/>
  <c r="AA588" i="1"/>
  <c r="AA587" i="1"/>
  <c r="AA586" i="1"/>
  <c r="AA585" i="1"/>
  <c r="AA584" i="1"/>
  <c r="AA583" i="1"/>
  <c r="AA582" i="1"/>
  <c r="AA581" i="1"/>
  <c r="AA580" i="1"/>
  <c r="AA579" i="1"/>
  <c r="AA578" i="1"/>
  <c r="AA577" i="1"/>
  <c r="AA576" i="1"/>
  <c r="AA575" i="1"/>
  <c r="AA574" i="1"/>
  <c r="AA573" i="1"/>
  <c r="AA572" i="1"/>
  <c r="AA571" i="1"/>
  <c r="AA570" i="1"/>
  <c r="AA569" i="1"/>
  <c r="AA568" i="1"/>
  <c r="AA567" i="1"/>
  <c r="AA566" i="1"/>
  <c r="AA565" i="1"/>
  <c r="AA564" i="1"/>
  <c r="AA563" i="1"/>
  <c r="AA562" i="1"/>
  <c r="AA561" i="1"/>
  <c r="AA560" i="1"/>
  <c r="AA559" i="1"/>
  <c r="AA558" i="1"/>
  <c r="AA557" i="1"/>
  <c r="AA556" i="1"/>
  <c r="AA555" i="1"/>
  <c r="AA554" i="1"/>
  <c r="AA553" i="1"/>
  <c r="AA552" i="1"/>
  <c r="AA551" i="1"/>
  <c r="AA550" i="1"/>
  <c r="AA549" i="1"/>
  <c r="AA548" i="1"/>
  <c r="AA547" i="1"/>
  <c r="AA546" i="1"/>
  <c r="AA545" i="1"/>
  <c r="AA544" i="1"/>
  <c r="AA543" i="1"/>
  <c r="AA542" i="1"/>
  <c r="AA541" i="1"/>
  <c r="AA540" i="1"/>
  <c r="AA539" i="1"/>
  <c r="AA538" i="1"/>
  <c r="AA537" i="1"/>
  <c r="AA536" i="1"/>
  <c r="AA535" i="1"/>
  <c r="AA534" i="1"/>
  <c r="AA533" i="1"/>
  <c r="AA532" i="1"/>
  <c r="AA531" i="1"/>
  <c r="AA530" i="1"/>
  <c r="AA529" i="1"/>
  <c r="AA528" i="1"/>
  <c r="AA527" i="1"/>
  <c r="AA526" i="1"/>
  <c r="AA525" i="1"/>
  <c r="AA524" i="1"/>
  <c r="AA523" i="1"/>
  <c r="AA522" i="1"/>
  <c r="AA521" i="1"/>
  <c r="AA520" i="1"/>
  <c r="AA519" i="1"/>
  <c r="AA518" i="1"/>
  <c r="AA517" i="1"/>
  <c r="AA516" i="1"/>
  <c r="AA515" i="1"/>
  <c r="AA514" i="1"/>
  <c r="AA513" i="1"/>
  <c r="AA512" i="1"/>
  <c r="AA511" i="1"/>
  <c r="AA510" i="1"/>
  <c r="AA509" i="1"/>
  <c r="AA508" i="1"/>
  <c r="AA507" i="1"/>
  <c r="AA506" i="1"/>
  <c r="AA505" i="1"/>
  <c r="AA504" i="1"/>
  <c r="AA503" i="1"/>
  <c r="AA502" i="1"/>
  <c r="AA501" i="1"/>
  <c r="AA500" i="1"/>
  <c r="AA499" i="1"/>
  <c r="AA498" i="1"/>
  <c r="AA497" i="1"/>
  <c r="AA496" i="1"/>
  <c r="AA495" i="1"/>
  <c r="AA494" i="1"/>
  <c r="AA493" i="1"/>
  <c r="AA492" i="1"/>
  <c r="AA491" i="1"/>
  <c r="AA490" i="1"/>
  <c r="AA489" i="1"/>
  <c r="AA488" i="1"/>
  <c r="AA487" i="1"/>
  <c r="AA486" i="1"/>
  <c r="AA485" i="1"/>
  <c r="AA484" i="1"/>
  <c r="AA483" i="1"/>
  <c r="AA482" i="1"/>
  <c r="AA481" i="1"/>
  <c r="AA480" i="1"/>
  <c r="AA479" i="1"/>
  <c r="AA478" i="1"/>
  <c r="AA477" i="1"/>
  <c r="AA476" i="1"/>
  <c r="AA475" i="1"/>
  <c r="AA474" i="1"/>
  <c r="AA473" i="1"/>
  <c r="AA472" i="1"/>
  <c r="AA471" i="1"/>
  <c r="AA470" i="1"/>
  <c r="AA469" i="1"/>
  <c r="AA468" i="1"/>
  <c r="AA467" i="1"/>
  <c r="AA466" i="1"/>
  <c r="AA465" i="1"/>
  <c r="AA464" i="1"/>
  <c r="AA463" i="1"/>
  <c r="AA462" i="1"/>
  <c r="AA461" i="1"/>
  <c r="AA460" i="1"/>
  <c r="AA459" i="1"/>
  <c r="AA458" i="1"/>
  <c r="AA457" i="1"/>
  <c r="AA456" i="1"/>
  <c r="AA455" i="1"/>
  <c r="AA454" i="1"/>
  <c r="AA453" i="1"/>
  <c r="AA452" i="1"/>
  <c r="AA451" i="1"/>
  <c r="AA450" i="1"/>
  <c r="AA449" i="1"/>
  <c r="AA448" i="1"/>
  <c r="AA447" i="1"/>
  <c r="AA446" i="1"/>
  <c r="AA445" i="1"/>
  <c r="AA444" i="1"/>
  <c r="AA443" i="1"/>
  <c r="AA442" i="1"/>
  <c r="AA441" i="1"/>
  <c r="AA440" i="1"/>
  <c r="AA439" i="1"/>
  <c r="AA438" i="1"/>
  <c r="AA437" i="1"/>
  <c r="AA436" i="1"/>
  <c r="AA435" i="1"/>
  <c r="AA434" i="1"/>
  <c r="AA433" i="1"/>
  <c r="AA432" i="1"/>
  <c r="AA431" i="1"/>
  <c r="AA430" i="1"/>
  <c r="AA429" i="1"/>
  <c r="AA428" i="1"/>
  <c r="AA427" i="1"/>
  <c r="AA426" i="1"/>
  <c r="AA425" i="1"/>
  <c r="AA424" i="1"/>
  <c r="AA423" i="1"/>
  <c r="AA422" i="1"/>
  <c r="AA421" i="1"/>
  <c r="AA420" i="1"/>
  <c r="AA419" i="1"/>
  <c r="AA418" i="1"/>
  <c r="AA417" i="1"/>
  <c r="AA416" i="1"/>
  <c r="AA415" i="1"/>
  <c r="AA414" i="1"/>
  <c r="AA413" i="1"/>
  <c r="AA412" i="1"/>
  <c r="AA411" i="1"/>
  <c r="AA410" i="1"/>
  <c r="AA409" i="1"/>
  <c r="AA408" i="1"/>
  <c r="AA407" i="1"/>
  <c r="AA406" i="1"/>
  <c r="AA405" i="1"/>
  <c r="AA404" i="1"/>
  <c r="AA403" i="1"/>
  <c r="AA402" i="1"/>
  <c r="AA401" i="1"/>
  <c r="AA400" i="1"/>
  <c r="AA399" i="1"/>
  <c r="AA398" i="1"/>
  <c r="AA397" i="1"/>
  <c r="AA396" i="1"/>
  <c r="AA395" i="1"/>
  <c r="AA394" i="1"/>
  <c r="AA393" i="1"/>
  <c r="AA392" i="1"/>
  <c r="AA391" i="1"/>
  <c r="AA390" i="1"/>
  <c r="AA389" i="1"/>
  <c r="AA388" i="1"/>
  <c r="AA387" i="1"/>
  <c r="AA386" i="1"/>
  <c r="AA385" i="1"/>
  <c r="AA384" i="1"/>
  <c r="AA383" i="1"/>
  <c r="AA382" i="1"/>
  <c r="AA381" i="1"/>
  <c r="AA380" i="1"/>
  <c r="AA379" i="1"/>
  <c r="AA378" i="1"/>
  <c r="AA377" i="1"/>
  <c r="AA376" i="1"/>
  <c r="AA375" i="1"/>
  <c r="AA374" i="1"/>
  <c r="AA373" i="1"/>
  <c r="AA372" i="1"/>
  <c r="AA371" i="1"/>
  <c r="AA370" i="1"/>
  <c r="AA369" i="1"/>
  <c r="AA368" i="1"/>
  <c r="AA367" i="1"/>
  <c r="AA366" i="1"/>
  <c r="AA365" i="1"/>
  <c r="AA364" i="1"/>
  <c r="AA363" i="1"/>
  <c r="AA362" i="1"/>
  <c r="AA361" i="1"/>
  <c r="AA360" i="1"/>
  <c r="AA359" i="1"/>
  <c r="AA358" i="1"/>
  <c r="AA357" i="1"/>
  <c r="AA356" i="1"/>
  <c r="AA355" i="1"/>
  <c r="AA354" i="1"/>
  <c r="AA353" i="1"/>
  <c r="AA352" i="1"/>
  <c r="AA351" i="1"/>
  <c r="AA350" i="1"/>
  <c r="AA349" i="1"/>
  <c r="AA348" i="1"/>
  <c r="AA347" i="1"/>
  <c r="AA346" i="1"/>
  <c r="AA345" i="1"/>
  <c r="AA344" i="1"/>
  <c r="AA343" i="1"/>
  <c r="AA342" i="1"/>
  <c r="AA341" i="1"/>
  <c r="AA340" i="1"/>
  <c r="AA339" i="1"/>
  <c r="AA338" i="1"/>
  <c r="AA337" i="1"/>
  <c r="AA336" i="1"/>
  <c r="AA335" i="1"/>
  <c r="AA334" i="1"/>
  <c r="AA333" i="1"/>
  <c r="AA332" i="1"/>
  <c r="AA331" i="1"/>
  <c r="AA330" i="1"/>
  <c r="AA329" i="1"/>
  <c r="AA328" i="1"/>
  <c r="AA327" i="1"/>
  <c r="AA326" i="1"/>
  <c r="AA325" i="1"/>
  <c r="AA324" i="1"/>
  <c r="AA323" i="1"/>
  <c r="AA322" i="1"/>
  <c r="AA321" i="1"/>
  <c r="AA320" i="1"/>
  <c r="AA319" i="1"/>
  <c r="AA318" i="1"/>
  <c r="AA317" i="1"/>
  <c r="AA316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2" i="1"/>
  <c r="AA271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9" i="1"/>
  <c r="AA178" i="1"/>
  <c r="AA177" i="1"/>
  <c r="AA176" i="1"/>
  <c r="AA175" i="1"/>
  <c r="AA174" i="1"/>
  <c r="AA173" i="1"/>
  <c r="AA172" i="1"/>
  <c r="AA171" i="1"/>
  <c r="AA170" i="1"/>
  <c r="AA169" i="1"/>
  <c r="AA168" i="1"/>
  <c r="AA167" i="1"/>
  <c r="AA166" i="1"/>
  <c r="AA165" i="1"/>
  <c r="AA164" i="1"/>
  <c r="AA163" i="1"/>
  <c r="AA162" i="1"/>
  <c r="AA161" i="1"/>
  <c r="AA160" i="1"/>
  <c r="AA159" i="1"/>
  <c r="AA158" i="1"/>
  <c r="AA157" i="1"/>
  <c r="AA156" i="1"/>
  <c r="AA155" i="1"/>
  <c r="AA154" i="1"/>
  <c r="AA153" i="1"/>
  <c r="AA152" i="1"/>
  <c r="AA151" i="1"/>
  <c r="AA150" i="1"/>
  <c r="AA149" i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AA3" i="1"/>
  <c r="AA2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2" i="1"/>
  <c r="Y1166" i="1"/>
  <c r="Y1165" i="1"/>
  <c r="Y1164" i="1"/>
  <c r="Y1163" i="1"/>
  <c r="Y1162" i="1"/>
  <c r="Y1161" i="1"/>
  <c r="Y1160" i="1"/>
  <c r="Y1159" i="1"/>
  <c r="Y1158" i="1"/>
  <c r="Y1157" i="1"/>
  <c r="Y1156" i="1"/>
  <c r="Y1155" i="1"/>
  <c r="Y1154" i="1"/>
  <c r="Y1153" i="1"/>
  <c r="Y1152" i="1"/>
  <c r="Y1151" i="1"/>
  <c r="Y1150" i="1"/>
  <c r="Y1149" i="1"/>
  <c r="Y1148" i="1"/>
  <c r="Y1147" i="1"/>
  <c r="Y1146" i="1"/>
  <c r="Y1145" i="1"/>
  <c r="Y1144" i="1"/>
  <c r="Y1143" i="1"/>
  <c r="Y1142" i="1"/>
  <c r="Y1141" i="1"/>
  <c r="Y1140" i="1"/>
  <c r="Y1139" i="1"/>
  <c r="Y1138" i="1"/>
  <c r="Y1137" i="1"/>
  <c r="Y1136" i="1"/>
  <c r="Y1135" i="1"/>
  <c r="Y1134" i="1"/>
  <c r="Y1133" i="1"/>
  <c r="Y1132" i="1"/>
  <c r="Y1131" i="1"/>
  <c r="Y1130" i="1"/>
  <c r="Y1129" i="1"/>
  <c r="Y1128" i="1"/>
  <c r="Y1127" i="1"/>
  <c r="Y1126" i="1"/>
  <c r="Y1125" i="1"/>
  <c r="Y1124" i="1"/>
  <c r="Y1123" i="1"/>
  <c r="Y1122" i="1"/>
  <c r="Y1121" i="1"/>
  <c r="Y1120" i="1"/>
  <c r="Y1119" i="1"/>
  <c r="Y1118" i="1"/>
  <c r="Y1117" i="1"/>
  <c r="Y1116" i="1"/>
  <c r="Y1115" i="1"/>
  <c r="Y1114" i="1"/>
  <c r="Y1113" i="1"/>
  <c r="Y1112" i="1"/>
  <c r="Y1111" i="1"/>
  <c r="Y1110" i="1"/>
  <c r="Y1109" i="1"/>
  <c r="Y1108" i="1"/>
  <c r="Y1107" i="1"/>
  <c r="Y1106" i="1"/>
  <c r="Y1105" i="1"/>
  <c r="Y1104" i="1"/>
  <c r="Y1103" i="1"/>
  <c r="Y1102" i="1"/>
  <c r="Y1101" i="1"/>
  <c r="Y1100" i="1"/>
  <c r="Y1099" i="1"/>
  <c r="Y1098" i="1"/>
  <c r="Y1097" i="1"/>
  <c r="Y1096" i="1"/>
  <c r="Y1095" i="1"/>
  <c r="Y1094" i="1"/>
  <c r="Y1093" i="1"/>
  <c r="Y1092" i="1"/>
  <c r="Y1091" i="1"/>
  <c r="Y1090" i="1"/>
  <c r="Y1089" i="1"/>
  <c r="Y1088" i="1"/>
  <c r="Y1087" i="1"/>
  <c r="Y1086" i="1"/>
  <c r="Y1085" i="1"/>
  <c r="Y1084" i="1"/>
  <c r="Y1083" i="1"/>
  <c r="Y1082" i="1"/>
  <c r="Y1081" i="1"/>
  <c r="Y1080" i="1"/>
  <c r="Y1079" i="1"/>
  <c r="Y1078" i="1"/>
  <c r="Y1077" i="1"/>
  <c r="Y1076" i="1"/>
  <c r="Y1075" i="1"/>
  <c r="Y1074" i="1"/>
  <c r="Y1073" i="1"/>
  <c r="Y1072" i="1"/>
  <c r="Y1071" i="1"/>
  <c r="Y1070" i="1"/>
  <c r="Y1069" i="1"/>
  <c r="Y1068" i="1"/>
  <c r="Y1067" i="1"/>
  <c r="Y1066" i="1"/>
  <c r="Y1065" i="1"/>
  <c r="Y1064" i="1"/>
  <c r="Y1063" i="1"/>
  <c r="Y1062" i="1"/>
  <c r="Y1061" i="1"/>
  <c r="Y1060" i="1"/>
  <c r="Y1059" i="1"/>
  <c r="Y1058" i="1"/>
  <c r="Y1057" i="1"/>
  <c r="Y1056" i="1"/>
  <c r="Y1055" i="1"/>
  <c r="Y1054" i="1"/>
  <c r="Y1053" i="1"/>
  <c r="Y1052" i="1"/>
  <c r="Y1051" i="1"/>
  <c r="Y1050" i="1"/>
  <c r="Y1049" i="1"/>
  <c r="Y1048" i="1"/>
  <c r="Y1047" i="1"/>
  <c r="Y1046" i="1"/>
  <c r="Y1045" i="1"/>
  <c r="Y1044" i="1"/>
  <c r="Y1043" i="1"/>
  <c r="Y1042" i="1"/>
  <c r="Y1041" i="1"/>
  <c r="Y1040" i="1"/>
  <c r="Y1039" i="1"/>
  <c r="Y1038" i="1"/>
  <c r="Y1037" i="1"/>
  <c r="Y1036" i="1"/>
  <c r="Y1035" i="1"/>
  <c r="Y1034" i="1"/>
  <c r="Y1033" i="1"/>
  <c r="Y1032" i="1"/>
  <c r="Y1031" i="1"/>
  <c r="Y1030" i="1"/>
  <c r="Y1029" i="1"/>
  <c r="Y1028" i="1"/>
  <c r="Y1027" i="1"/>
  <c r="Y1026" i="1"/>
  <c r="Y1025" i="1"/>
  <c r="Y1024" i="1"/>
  <c r="Y1023" i="1"/>
  <c r="Y1022" i="1"/>
  <c r="Y1021" i="1"/>
  <c r="Y1020" i="1"/>
  <c r="Y1019" i="1"/>
  <c r="Y1018" i="1"/>
  <c r="Y1017" i="1"/>
  <c r="Y1016" i="1"/>
  <c r="Y1015" i="1"/>
  <c r="Y1014" i="1"/>
  <c r="Y1013" i="1"/>
  <c r="Y1012" i="1"/>
  <c r="Y1011" i="1"/>
  <c r="Y1010" i="1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B1176" i="1"/>
  <c r="B1175" i="1"/>
  <c r="B1174" i="1"/>
  <c r="B1173" i="1"/>
  <c r="B1172" i="1"/>
  <c r="B1171" i="1"/>
  <c r="B1170" i="1"/>
  <c r="B116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<sst xmlns="http://schemas.openxmlformats.org/spreadsheetml/2006/main" count="44164" uniqueCount="3381">
  <si>
    <t>Transaction ID</t>
  </si>
  <si>
    <t>MTCN</t>
  </si>
  <si>
    <t>SenderName</t>
  </si>
  <si>
    <t>ReceiverName</t>
  </si>
  <si>
    <t>PEP</t>
  </si>
  <si>
    <t>Sender Currency</t>
  </si>
  <si>
    <t>Receiver Currency2</t>
  </si>
  <si>
    <t>Sender Country2</t>
  </si>
  <si>
    <t>Receiver Country2</t>
  </si>
  <si>
    <t>KYC Status2</t>
  </si>
  <si>
    <t>Transaction Type2</t>
  </si>
  <si>
    <t>Amount</t>
  </si>
  <si>
    <t>Age</t>
  </si>
  <si>
    <t>Channel</t>
  </si>
  <si>
    <t>Risk Rating</t>
  </si>
  <si>
    <t>Timestamp</t>
  </si>
  <si>
    <t>Customer Address</t>
  </si>
  <si>
    <t>TXN1000001</t>
  </si>
  <si>
    <t>Patricia Smith</t>
  </si>
  <si>
    <t xml:space="preserve"> Fatima Rodriguez   </t>
  </si>
  <si>
    <t>No</t>
  </si>
  <si>
    <t>GBP</t>
  </si>
  <si>
    <t>BRL</t>
  </si>
  <si>
    <t>France</t>
  </si>
  <si>
    <t>Brazil</t>
  </si>
  <si>
    <t>KYC</t>
  </si>
  <si>
    <t>Outer-Transaction</t>
  </si>
  <si>
    <t>Agent Network</t>
  </si>
  <si>
    <t>Low</t>
  </si>
  <si>
    <t>5241 Cedar Ln, Dubai</t>
  </si>
  <si>
    <t>TXN1000002</t>
  </si>
  <si>
    <t>Elena Wilson</t>
  </si>
  <si>
    <t>Richard Rodriguez</t>
  </si>
  <si>
    <t>Yes</t>
  </si>
  <si>
    <t>CAD</t>
  </si>
  <si>
    <t>EUR</t>
  </si>
  <si>
    <t>Germany</t>
  </si>
  <si>
    <t>South Africa</t>
  </si>
  <si>
    <t>Pending</t>
  </si>
  <si>
    <t>ATM</t>
  </si>
  <si>
    <t>2808 Main St, Toronto</t>
  </si>
  <si>
    <t>TXN1000003</t>
  </si>
  <si>
    <t>Zayn Davis</t>
  </si>
  <si>
    <t>Zayn Brown</t>
  </si>
  <si>
    <t>SGD</t>
  </si>
  <si>
    <t>ZAR</t>
  </si>
  <si>
    <t>External</t>
  </si>
  <si>
    <t>Web Portal</t>
  </si>
  <si>
    <t>Medium</t>
  </si>
  <si>
    <t>3373 Pine Rd, London</t>
  </si>
  <si>
    <t>TXN1000004</t>
  </si>
  <si>
    <t>Elizabeth Khan</t>
  </si>
  <si>
    <t>Mary Silva</t>
  </si>
  <si>
    <t>AED</t>
  </si>
  <si>
    <t>India</t>
  </si>
  <si>
    <t>UK</t>
  </si>
  <si>
    <t>Unverified</t>
  </si>
  <si>
    <t>Branch Counter</t>
  </si>
  <si>
    <t>8812 Main St, Toronto</t>
  </si>
  <si>
    <t>TXN1000005</t>
  </si>
  <si>
    <t xml:space="preserve">  CHARLES THOMAS </t>
  </si>
  <si>
    <t>Robert Dubois</t>
  </si>
  <si>
    <t>Australia</t>
  </si>
  <si>
    <t>Internal</t>
  </si>
  <si>
    <t>3651 Oak Ave, Dubai</t>
  </si>
  <si>
    <t>TXN1000006</t>
  </si>
  <si>
    <t>Charles Dubois</t>
  </si>
  <si>
    <t>Linda Taylor</t>
  </si>
  <si>
    <t>UAE</t>
  </si>
  <si>
    <t>Inter-Transaction</t>
  </si>
  <si>
    <t>2932 Maple Dr, Sydney</t>
  </si>
  <si>
    <t>TXN1000007</t>
  </si>
  <si>
    <t>Amir Williams</t>
  </si>
  <si>
    <t>Jean-Pierre Moore</t>
  </si>
  <si>
    <t>Non-KYC</t>
  </si>
  <si>
    <t>High</t>
  </si>
  <si>
    <t>252 Pine Rd, Mumbai</t>
  </si>
  <si>
    <t>TXN1000008</t>
  </si>
  <si>
    <t>Elizabeth Jackson</t>
  </si>
  <si>
    <t>Elizabeth Smith</t>
  </si>
  <si>
    <t>USD</t>
  </si>
  <si>
    <t>Critical</t>
  </si>
  <si>
    <t>2900 Main St, Paris</t>
  </si>
  <si>
    <t>TXN1000009</t>
  </si>
  <si>
    <t>Marta Nair</t>
  </si>
  <si>
    <t>Sanjay Brown</t>
  </si>
  <si>
    <t>Mobile App</t>
  </si>
  <si>
    <t>2710 Maple Dr, New York</t>
  </si>
  <si>
    <t>TXN1000010</t>
  </si>
  <si>
    <t>Sarah Miller</t>
  </si>
  <si>
    <t>Zayn Gonzalez</t>
  </si>
  <si>
    <t>gbp</t>
  </si>
  <si>
    <t>AUD</t>
  </si>
  <si>
    <t>USA</t>
  </si>
  <si>
    <t>7461 Broadway, Paris</t>
  </si>
  <si>
    <t>TXN1000011</t>
  </si>
  <si>
    <t>Charles Souza</t>
  </si>
  <si>
    <t>Zayn Taylor</t>
  </si>
  <si>
    <t>JPY</t>
  </si>
  <si>
    <t>eur</t>
  </si>
  <si>
    <t>2014 View Rd, New York</t>
  </si>
  <si>
    <t>TXN1000012</t>
  </si>
  <si>
    <t>Barbara Anderson</t>
  </si>
  <si>
    <t>Verified</t>
  </si>
  <si>
    <t>9298 Broadway, London</t>
  </si>
  <si>
    <t>TXN1000013</t>
  </si>
  <si>
    <t>Amir Moore</t>
  </si>
  <si>
    <t>Barbara Souza</t>
  </si>
  <si>
    <t>266 Cedar Ln, Dubai</t>
  </si>
  <si>
    <t>TXN1000014</t>
  </si>
  <si>
    <t>Fatima Anderson</t>
  </si>
  <si>
    <t>Karen Rostova</t>
  </si>
  <si>
    <t>usd</t>
  </si>
  <si>
    <t>3764 Oak Ave, Toronto</t>
  </si>
  <si>
    <t>TXN1000015</t>
  </si>
  <si>
    <t>Carlos Malik</t>
  </si>
  <si>
    <t>CHF</t>
  </si>
  <si>
    <t>780 Cedar Ln, New York</t>
  </si>
  <si>
    <t>TXN1000016</t>
  </si>
  <si>
    <t xml:space="preserve">  SUSAN MARTINEZ </t>
  </si>
  <si>
    <t>Amir Silva</t>
  </si>
  <si>
    <t>INR</t>
  </si>
  <si>
    <t>5360 View Rd, Dubai</t>
  </si>
  <si>
    <t>TXN1000017</t>
  </si>
  <si>
    <t>Jessica Martin</t>
  </si>
  <si>
    <t>Charles Brown</t>
  </si>
  <si>
    <t>inr</t>
  </si>
  <si>
    <t>Canada</t>
  </si>
  <si>
    <t>1463 Maple Dr, Mumbai</t>
  </si>
  <si>
    <t>TXN1000018</t>
  </si>
  <si>
    <t>Jessica Hernandez</t>
  </si>
  <si>
    <t>Joseph Rostova</t>
  </si>
  <si>
    <t>1638 Main St, Paris</t>
  </si>
  <si>
    <t>TXN1000019</t>
  </si>
  <si>
    <t>Marta Williams</t>
  </si>
  <si>
    <t>Barbara Taylor</t>
  </si>
  <si>
    <t>8852 Maple Dr, Paris</t>
  </si>
  <si>
    <t>TXN1000020</t>
  </si>
  <si>
    <t xml:space="preserve">  CARLOS DUBOIS </t>
  </si>
  <si>
    <t>Zayn Dubois</t>
  </si>
  <si>
    <t>2330 Main St, New York</t>
  </si>
  <si>
    <t>TXN1000021</t>
  </si>
  <si>
    <t>Thomas Rodriguez</t>
  </si>
  <si>
    <t>Jean-Pierre Davis</t>
  </si>
  <si>
    <t>7206 Oak Ave, Paris</t>
  </si>
  <si>
    <t>TXN1000022</t>
  </si>
  <si>
    <t>Fatima Brown</t>
  </si>
  <si>
    <t>Joseph Volkov</t>
  </si>
  <si>
    <t>3271 Maple Dr, London</t>
  </si>
  <si>
    <t>TXN1000023</t>
  </si>
  <si>
    <t>Priya Jones</t>
  </si>
  <si>
    <t>Nancy Moore</t>
  </si>
  <si>
    <t>8660 Pine Rd, Toronto</t>
  </si>
  <si>
    <t>TXN1000024</t>
  </si>
  <si>
    <t xml:space="preserve">  MARY LOPEZ </t>
  </si>
  <si>
    <t>Elizabeth Nair</t>
  </si>
  <si>
    <t>2007 Pine Rd, Dubai</t>
  </si>
  <si>
    <t>TXN1000025</t>
  </si>
  <si>
    <t>Patricia Jackson</t>
  </si>
  <si>
    <t>John Souza</t>
  </si>
  <si>
    <t>aud</t>
  </si>
  <si>
    <t>1393 Oak Ave, Mumbai</t>
  </si>
  <si>
    <t>TXN1000026</t>
  </si>
  <si>
    <t>Jessica Lopez</t>
  </si>
  <si>
    <t>Sanjay Volkov</t>
  </si>
  <si>
    <t>6971 Pine Rd, Mumbai</t>
  </si>
  <si>
    <t>TXN1000027</t>
  </si>
  <si>
    <t>John Thomas</t>
  </si>
  <si>
    <t>Zayn Hernandez</t>
  </si>
  <si>
    <t>4022 View Rd, New York</t>
  </si>
  <si>
    <t>TXN1000028</t>
  </si>
  <si>
    <t>Elizabeth Martinez</t>
  </si>
  <si>
    <t>1092 Main St, Toronto</t>
  </si>
  <si>
    <t>TXN1000029</t>
  </si>
  <si>
    <t>Jean-Pierre Taylor</t>
  </si>
  <si>
    <t>Nancy Martinez</t>
  </si>
  <si>
    <t>aed</t>
  </si>
  <si>
    <t>2340 Cedar Ln, Toronto</t>
  </si>
  <si>
    <t>TXN1000030</t>
  </si>
  <si>
    <t>Joseph Thomas</t>
  </si>
  <si>
    <t>zar</t>
  </si>
  <si>
    <t>489 Cedar Ln, Dubai</t>
  </si>
  <si>
    <t>TXN1000031</t>
  </si>
  <si>
    <t>Jean-Pierre Miller</t>
  </si>
  <si>
    <t>Sanjay Miller</t>
  </si>
  <si>
    <t>8950 Maple Dr, Toronto</t>
  </si>
  <si>
    <t>TXN1000032</t>
  </si>
  <si>
    <t>Karen Davis</t>
  </si>
  <si>
    <t>Sanjay Jones</t>
  </si>
  <si>
    <t>1581 Main St, Sydney</t>
  </si>
  <si>
    <t>TXN1000033</t>
  </si>
  <si>
    <t>Elizabeth Velez</t>
  </si>
  <si>
    <t>Amir Malik</t>
  </si>
  <si>
    <t>7362 Maple Dr, Sydney</t>
  </si>
  <si>
    <t>TXN1000034</t>
  </si>
  <si>
    <t>Marta Gonzalez</t>
  </si>
  <si>
    <t>Amir Dubois</t>
  </si>
  <si>
    <t>9829 View Rd, Toronto</t>
  </si>
  <si>
    <t>TXN1000035</t>
  </si>
  <si>
    <t xml:space="preserve">  THOMAS VOLKOV </t>
  </si>
  <si>
    <t>Elena Thomas</t>
  </si>
  <si>
    <t>4508 Cedar Ln, Paris</t>
  </si>
  <si>
    <t>TXN1000036</t>
  </si>
  <si>
    <t>William Souza</t>
  </si>
  <si>
    <t>Nancy Taylor</t>
  </si>
  <si>
    <t>3377 Broadway, Toronto</t>
  </si>
  <si>
    <t>TXN1000037</t>
  </si>
  <si>
    <t>Christopher Gonzalez</t>
  </si>
  <si>
    <t>Elizabeth Malik</t>
  </si>
  <si>
    <t>8051 Broadway, Toronto</t>
  </si>
  <si>
    <t>TXN1000038</t>
  </si>
  <si>
    <t>Zayn Nair</t>
  </si>
  <si>
    <t>Michael Williams</t>
  </si>
  <si>
    <t>4695 Maple Dr, New York</t>
  </si>
  <si>
    <t>TXN1000039</t>
  </si>
  <si>
    <t>Thomas Garcia</t>
  </si>
  <si>
    <t>Elena Martinez</t>
  </si>
  <si>
    <t>212 Maple Dr, Dubai</t>
  </si>
  <si>
    <t>TXN1000040</t>
  </si>
  <si>
    <t>David Velez</t>
  </si>
  <si>
    <t>John Volkov</t>
  </si>
  <si>
    <t>239 Main St, Dubai</t>
  </si>
  <si>
    <t>TXN1000041</t>
  </si>
  <si>
    <t>Joseph Rodriguez</t>
  </si>
  <si>
    <t>John Jackson</t>
  </si>
  <si>
    <t>3268 Cedar Ln, New York</t>
  </si>
  <si>
    <t>TXN1000042</t>
  </si>
  <si>
    <t>Lucas Anderson</t>
  </si>
  <si>
    <t>Mary Jackson</t>
  </si>
  <si>
    <t>6143 View Rd, Mumbai</t>
  </si>
  <si>
    <t>TXN1000043</t>
  </si>
  <si>
    <t>Zayn Velez</t>
  </si>
  <si>
    <t>Fatima Velez</t>
  </si>
  <si>
    <t>6361 Pine Rd, New York</t>
  </si>
  <si>
    <t>TXN1000044</t>
  </si>
  <si>
    <t>Amir Anderson</t>
  </si>
  <si>
    <t>Priya Rostova</t>
  </si>
  <si>
    <t>149 Main St, Toronto</t>
  </si>
  <si>
    <t>TXN1000045</t>
  </si>
  <si>
    <t>Thomas Davis</t>
  </si>
  <si>
    <t>Zayn Lopez</t>
  </si>
  <si>
    <t>4921 Cedar Ln, Toronto</t>
  </si>
  <si>
    <t>TXN1000046</t>
  </si>
  <si>
    <t>Richard Dubois</t>
  </si>
  <si>
    <t>Michael Silva</t>
  </si>
  <si>
    <t>9765 View Rd, Paris</t>
  </si>
  <si>
    <t>TXN1000047</t>
  </si>
  <si>
    <t>Charles Jackson</t>
  </si>
  <si>
    <t>Patricia Anderson</t>
  </si>
  <si>
    <t>7946 Maple Dr, New York</t>
  </si>
  <si>
    <t>TXN1000048</t>
  </si>
  <si>
    <t>Christopher Moore</t>
  </si>
  <si>
    <t>Elena Hernandez</t>
  </si>
  <si>
    <t>3865 Broadway, Paris</t>
  </si>
  <si>
    <t>TXN1000049</t>
  </si>
  <si>
    <t>David Lopez</t>
  </si>
  <si>
    <t>Michael Velez</t>
  </si>
  <si>
    <t>9841 Broadway, Toronto</t>
  </si>
  <si>
    <t>TXN1000050</t>
  </si>
  <si>
    <t>Susan Brown</t>
  </si>
  <si>
    <t>Christopher Taylor</t>
  </si>
  <si>
    <t>8419 View Rd, Mumbai</t>
  </si>
  <si>
    <t>TXN1000051</t>
  </si>
  <si>
    <t>Joseph Williams</t>
  </si>
  <si>
    <t>Michael Al-Sayed</t>
  </si>
  <si>
    <t>4955 Maple Dr, Mumbai</t>
  </si>
  <si>
    <t>TXN1000052</t>
  </si>
  <si>
    <t>David Miller</t>
  </si>
  <si>
    <t>6011 Oak Ave, Paris</t>
  </si>
  <si>
    <t>TXN1000053</t>
  </si>
  <si>
    <t>Charles Moore</t>
  </si>
  <si>
    <t>Amir Velez</t>
  </si>
  <si>
    <t>2861 Main St, New York</t>
  </si>
  <si>
    <t>TXN1000054</t>
  </si>
  <si>
    <t>Elizabeth Wilson</t>
  </si>
  <si>
    <t>9707 Oak Ave, Dubai</t>
  </si>
  <si>
    <t>TXN1000055</t>
  </si>
  <si>
    <t>Jean-Pierre Dubois</t>
  </si>
  <si>
    <t>Sanjay Williams</t>
  </si>
  <si>
    <t>5888 Oak Ave, New York</t>
  </si>
  <si>
    <t>TXN1000056</t>
  </si>
  <si>
    <t>Thomas Johnson</t>
  </si>
  <si>
    <t>Mary Lopez</t>
  </si>
  <si>
    <t>617 Oak Ave, Mumbai</t>
  </si>
  <si>
    <t>TXN1000057</t>
  </si>
  <si>
    <t>Charles Nair</t>
  </si>
  <si>
    <t>Linda Johnson</t>
  </si>
  <si>
    <t>9633 Main St, Mumbai</t>
  </si>
  <si>
    <t>TXN1000058</t>
  </si>
  <si>
    <t>Robert Jackson</t>
  </si>
  <si>
    <t>Marta Jones</t>
  </si>
  <si>
    <t>3902 Main St, Sydney</t>
  </si>
  <si>
    <t>TXN1000059</t>
  </si>
  <si>
    <t>Barbara Malik</t>
  </si>
  <si>
    <t>jpy</t>
  </si>
  <si>
    <t>7262 Pine Rd, London</t>
  </si>
  <si>
    <t>TXN1000060</t>
  </si>
  <si>
    <t>Elizabeth Moore</t>
  </si>
  <si>
    <t>6341 Main St, Toronto</t>
  </si>
  <si>
    <t>TXN1000061</t>
  </si>
  <si>
    <t>Linda Rodriguez</t>
  </si>
  <si>
    <t>8499 Oak Ave, Sydney</t>
  </si>
  <si>
    <t>TXN1000062</t>
  </si>
  <si>
    <t xml:space="preserve">  MARY MARTINEZ </t>
  </si>
  <si>
    <t>Priya Khan</t>
  </si>
  <si>
    <t>6409 View Rd, London</t>
  </si>
  <si>
    <t>TXN1000063</t>
  </si>
  <si>
    <t>John Nair</t>
  </si>
  <si>
    <t>1618 View Rd, Sydney</t>
  </si>
  <si>
    <t>TXN1000064</t>
  </si>
  <si>
    <t xml:space="preserve">  LUCAS WILLIAMS </t>
  </si>
  <si>
    <t>Susan Davis</t>
  </si>
  <si>
    <t>2700 View Rd, Sydney</t>
  </si>
  <si>
    <t>TXN1000065</t>
  </si>
  <si>
    <t>Priya Martinez</t>
  </si>
  <si>
    <t>Charles Gonzalez</t>
  </si>
  <si>
    <t>3654 Broadway, London</t>
  </si>
  <si>
    <t>TXN1000066</t>
  </si>
  <si>
    <t>David Silva</t>
  </si>
  <si>
    <t>Robert Al-Sayed</t>
  </si>
  <si>
    <t>2949 View Rd, Toronto</t>
  </si>
  <si>
    <t>TXN1000067</t>
  </si>
  <si>
    <t>Robert Velez</t>
  </si>
  <si>
    <t>Sanjay Gonzalez</t>
  </si>
  <si>
    <t>1842 Pine Rd, London</t>
  </si>
  <si>
    <t>TXN1000068</t>
  </si>
  <si>
    <t>Susan Gonzalez</t>
  </si>
  <si>
    <t>Richard Nair</t>
  </si>
  <si>
    <t>7619 View Rd, New York</t>
  </si>
  <si>
    <t>TXN1000069</t>
  </si>
  <si>
    <t>Marta Lopez</t>
  </si>
  <si>
    <t>Elena Williams</t>
  </si>
  <si>
    <t>4295 Pine Rd, Sydney</t>
  </si>
  <si>
    <t>TXN1000070</t>
  </si>
  <si>
    <t>Barbara Gonzalez</t>
  </si>
  <si>
    <t>Elena Al-Sayed</t>
  </si>
  <si>
    <t>2405 Cedar Ln, Sydney</t>
  </si>
  <si>
    <t>TXN1000071</t>
  </si>
  <si>
    <t>Susan Taylor</t>
  </si>
  <si>
    <t>Carlos Martinez</t>
  </si>
  <si>
    <t>9380 Pine Rd, London</t>
  </si>
  <si>
    <t>TXN1000072</t>
  </si>
  <si>
    <t>Sanjay Dubois</t>
  </si>
  <si>
    <t>Christopher Rodriguez</t>
  </si>
  <si>
    <t>6509 Cedar Ln, Paris</t>
  </si>
  <si>
    <t>TXN1000073</t>
  </si>
  <si>
    <t>Fatima Malik</t>
  </si>
  <si>
    <t>4857 Pine Rd, Mumbai</t>
  </si>
  <si>
    <t>TXN1000074</t>
  </si>
  <si>
    <t xml:space="preserve">  CARLOS MARTINEZ </t>
  </si>
  <si>
    <t>Sarah Smith</t>
  </si>
  <si>
    <t>1371 View Rd, Sydney</t>
  </si>
  <si>
    <t>TXN1000075</t>
  </si>
  <si>
    <t>Susan Moore</t>
  </si>
  <si>
    <t>Barbara Williams</t>
  </si>
  <si>
    <t>8901 View Rd, New York</t>
  </si>
  <si>
    <t>TXN1000076</t>
  </si>
  <si>
    <t>Michael Martin</t>
  </si>
  <si>
    <t>Carlos Taylor</t>
  </si>
  <si>
    <t>6224 Maple Dr, New York</t>
  </si>
  <si>
    <t>TXN1000077</t>
  </si>
  <si>
    <t>John Martin</t>
  </si>
  <si>
    <t>Sarah Rodriguez</t>
  </si>
  <si>
    <t>4496 Maple Dr, Paris</t>
  </si>
  <si>
    <t>TXN1000078</t>
  </si>
  <si>
    <t>Zayn Malik</t>
  </si>
  <si>
    <t>Fatima Al-Sayed</t>
  </si>
  <si>
    <t>916 Main St, Sydney</t>
  </si>
  <si>
    <t>TXN1000079</t>
  </si>
  <si>
    <t>Elena Miller</t>
  </si>
  <si>
    <t>Elena Rostova</t>
  </si>
  <si>
    <t>182 Main St, London</t>
  </si>
  <si>
    <t>TXN1000080</t>
  </si>
  <si>
    <t xml:space="preserve">  AMIR MOORE </t>
  </si>
  <si>
    <t>2193 Oak Ave, Dubai</t>
  </si>
  <si>
    <t>TXN1000081</t>
  </si>
  <si>
    <t>Sarah Nair</t>
  </si>
  <si>
    <t>William Dubois</t>
  </si>
  <si>
    <t>8467 View Rd, New York</t>
  </si>
  <si>
    <t>TXN1000082</t>
  </si>
  <si>
    <t>Barbara Jackson</t>
  </si>
  <si>
    <t>5037 Oak Ave, Toronto</t>
  </si>
  <si>
    <t>TXN1000083</t>
  </si>
  <si>
    <t>Linda Martin</t>
  </si>
  <si>
    <t>2201 Oak Ave, Toronto</t>
  </si>
  <si>
    <t>TXN1000084</t>
  </si>
  <si>
    <t>Barbara Garcia</t>
  </si>
  <si>
    <t>Joseph Velez</t>
  </si>
  <si>
    <t>1879 Pine Rd, Mumbai</t>
  </si>
  <si>
    <t>TXN1000085</t>
  </si>
  <si>
    <t>Zayn Silva</t>
  </si>
  <si>
    <t>Robert Taylor</t>
  </si>
  <si>
    <t>brl</t>
  </si>
  <si>
    <t>cad</t>
  </si>
  <si>
    <t>7394 Main St, Sydney</t>
  </si>
  <si>
    <t>TXN1000086</t>
  </si>
  <si>
    <t>Thomas Jackson</t>
  </si>
  <si>
    <t>Mary Moore</t>
  </si>
  <si>
    <t>3776 Pine Rd, New York</t>
  </si>
  <si>
    <t>TXN1000087</t>
  </si>
  <si>
    <t>Carlos Gonzalez</t>
  </si>
  <si>
    <t>Thomas Malik</t>
  </si>
  <si>
    <t>8189 Pine Rd, Sydney</t>
  </si>
  <si>
    <t>TXN1000088</t>
  </si>
  <si>
    <t>Thomas Lopez</t>
  </si>
  <si>
    <t>Michael Rodriguez</t>
  </si>
  <si>
    <t>4238 Main St, New York</t>
  </si>
  <si>
    <t>TXN1000089</t>
  </si>
  <si>
    <t>Michael Taylor</t>
  </si>
  <si>
    <t>Barbara Davis</t>
  </si>
  <si>
    <t>4117 Maple Dr, Mumbai</t>
  </si>
  <si>
    <t>TXN1000090</t>
  </si>
  <si>
    <t>Sanjay Velez</t>
  </si>
  <si>
    <t>Joseph Silva</t>
  </si>
  <si>
    <t>8660 Cedar Ln, Paris</t>
  </si>
  <si>
    <t>TXN1000091</t>
  </si>
  <si>
    <t>Robert Moore</t>
  </si>
  <si>
    <t>1234 Maple Dr, Paris</t>
  </si>
  <si>
    <t>TXN1000092</t>
  </si>
  <si>
    <t>Priya Davis</t>
  </si>
  <si>
    <t>Elena Martin</t>
  </si>
  <si>
    <t>5219 Broadway, New York</t>
  </si>
  <si>
    <t>TXN1000093</t>
  </si>
  <si>
    <t>John Rodriguez</t>
  </si>
  <si>
    <t>Karen Souza</t>
  </si>
  <si>
    <t>6236 View Rd, Mumbai</t>
  </si>
  <si>
    <t>TXN1000094</t>
  </si>
  <si>
    <t xml:space="preserve">  PRIYA VOLKOV </t>
  </si>
  <si>
    <t xml:space="preserve"> karen nair   </t>
  </si>
  <si>
    <t>2446 Oak Ave, Toronto</t>
  </si>
  <si>
    <t>TXN1000095</t>
  </si>
  <si>
    <t>Karen Moore</t>
  </si>
  <si>
    <t>Jessica Smith</t>
  </si>
  <si>
    <t>8352 Oak Ave, Toronto</t>
  </si>
  <si>
    <t>TXN1000096</t>
  </si>
  <si>
    <t>Elizabeth Rostova</t>
  </si>
  <si>
    <t>4001 Oak Ave, New York</t>
  </si>
  <si>
    <t>TXN1000097</t>
  </si>
  <si>
    <t>Elena Volkov</t>
  </si>
  <si>
    <t>4526 Oak Ave, Dubai</t>
  </si>
  <si>
    <t>TXN1000098</t>
  </si>
  <si>
    <t>Lucas Rostova</t>
  </si>
  <si>
    <t>Fatima Williams</t>
  </si>
  <si>
    <t>9619 Broadway, London</t>
  </si>
  <si>
    <t>TXN1000099</t>
  </si>
  <si>
    <t>Barbara Silva</t>
  </si>
  <si>
    <t>1461 View Rd, Paris</t>
  </si>
  <si>
    <t>TXN1000100</t>
  </si>
  <si>
    <t>Robert Martin</t>
  </si>
  <si>
    <t>Nancy Silva</t>
  </si>
  <si>
    <t>4470 Maple Dr, Toronto</t>
  </si>
  <si>
    <t>TXN1000101</t>
  </si>
  <si>
    <t>David Davis</t>
  </si>
  <si>
    <t>Fatima Nair</t>
  </si>
  <si>
    <t>2093 View Rd, New York</t>
  </si>
  <si>
    <t>TXN1000102</t>
  </si>
  <si>
    <t>Sarah Jackson</t>
  </si>
  <si>
    <t>Lucas Davis</t>
  </si>
  <si>
    <t>1114 Pine Rd, Dubai</t>
  </si>
  <si>
    <t>TXN1000103</t>
  </si>
  <si>
    <t>Michael Rostova</t>
  </si>
  <si>
    <t>790 View Rd, London</t>
  </si>
  <si>
    <t>TXN1000104</t>
  </si>
  <si>
    <t>Lucas Wilson</t>
  </si>
  <si>
    <t>6964 Main St, Mumbai</t>
  </si>
  <si>
    <t>TXN1000105</t>
  </si>
  <si>
    <t xml:space="preserve">  RICHARD ANDERSON </t>
  </si>
  <si>
    <t xml:space="preserve"> lucas miller   </t>
  </si>
  <si>
    <t>7886 Main St, Paris</t>
  </si>
  <si>
    <t>TXN1000106</t>
  </si>
  <si>
    <t>Linda Garcia</t>
  </si>
  <si>
    <t>5588 Maple Dr, Sydney</t>
  </si>
  <si>
    <t>TXN1000107</t>
  </si>
  <si>
    <t>Nancy Gonzalez</t>
  </si>
  <si>
    <t>Christopher Brown</t>
  </si>
  <si>
    <t>3012 View Rd, Mumbai</t>
  </si>
  <si>
    <t>TXN1000108</t>
  </si>
  <si>
    <t>Priya Nair</t>
  </si>
  <si>
    <t>4844 Oak Ave, Toronto</t>
  </si>
  <si>
    <t>TXN1000109</t>
  </si>
  <si>
    <t>Barbara Johnson</t>
  </si>
  <si>
    <t>2917 Cedar Ln, London</t>
  </si>
  <si>
    <t>TXN1000110</t>
  </si>
  <si>
    <t>Zayn Khan</t>
  </si>
  <si>
    <t>4558 Pine Rd, Sydney</t>
  </si>
  <si>
    <t>TXN1000111</t>
  </si>
  <si>
    <t>Carlos Velez</t>
  </si>
  <si>
    <t>Amir Brown</t>
  </si>
  <si>
    <t>9033 Oak Ave, Sydney</t>
  </si>
  <si>
    <t>TXN1000112</t>
  </si>
  <si>
    <t>Fatima Rodriguez</t>
  </si>
  <si>
    <t>Elena Souza</t>
  </si>
  <si>
    <t>5838 Cedar Ln, Paris</t>
  </si>
  <si>
    <t>TXN1000113</t>
  </si>
  <si>
    <t>Lucas Hernandez</t>
  </si>
  <si>
    <t>7797 Oak Ave, Paris</t>
  </si>
  <si>
    <t>TXN1000114</t>
  </si>
  <si>
    <t>Joseph Nair</t>
  </si>
  <si>
    <t>7929 Pine Rd, London</t>
  </si>
  <si>
    <t>TXN1000115</t>
  </si>
  <si>
    <t>Patricia Hernandez</t>
  </si>
  <si>
    <t>Susan Volkov</t>
  </si>
  <si>
    <t>7452 Cedar Ln, Sydney</t>
  </si>
  <si>
    <t>TXN1000116</t>
  </si>
  <si>
    <t>Lucas Jones</t>
  </si>
  <si>
    <t>8426 Cedar Ln, Toronto</t>
  </si>
  <si>
    <t>TXN1000117</t>
  </si>
  <si>
    <t>Carlos Smith</t>
  </si>
  <si>
    <t>8103 Maple Dr, Paris</t>
  </si>
  <si>
    <t>TXN1000118</t>
  </si>
  <si>
    <t>Elena Gonzalez</t>
  </si>
  <si>
    <t>Robert Nair</t>
  </si>
  <si>
    <t>7396 Broadway, Toronto</t>
  </si>
  <si>
    <t>TXN1000119</t>
  </si>
  <si>
    <t>Fatima Garcia</t>
  </si>
  <si>
    <t>8412 Main St, Dubai</t>
  </si>
  <si>
    <t>TXN1000120</t>
  </si>
  <si>
    <t>Charles Lopez</t>
  </si>
  <si>
    <t>Mary Thomas</t>
  </si>
  <si>
    <t>5203 Cedar Ln, Mumbai</t>
  </si>
  <si>
    <t>TXN1000121</t>
  </si>
  <si>
    <t>Jessica Davis</t>
  </si>
  <si>
    <t>Richard Davis</t>
  </si>
  <si>
    <t/>
  </si>
  <si>
    <t>2132 Oak Ave, Sydney</t>
  </si>
  <si>
    <t>TXN1000122</t>
  </si>
  <si>
    <t>Lucas Martinez</t>
  </si>
  <si>
    <t>2168 Oak Ave, Paris</t>
  </si>
  <si>
    <t>TXN1000123</t>
  </si>
  <si>
    <t>Patricia Miller</t>
  </si>
  <si>
    <t>Charles Davis</t>
  </si>
  <si>
    <t>2768 Broadway, Sydney</t>
  </si>
  <si>
    <t>TXN1000124</t>
  </si>
  <si>
    <t>Priya Silva</t>
  </si>
  <si>
    <t>902 Maple Dr, Mumbai</t>
  </si>
  <si>
    <t>TXN1000125</t>
  </si>
  <si>
    <t>Linda Silva</t>
  </si>
  <si>
    <t>Marta Martinez</t>
  </si>
  <si>
    <t>295 Maple Dr, Sydney</t>
  </si>
  <si>
    <t>TXN1000126</t>
  </si>
  <si>
    <t>John Johnson</t>
  </si>
  <si>
    <t>2430 Oak Ave, Paris</t>
  </si>
  <si>
    <t>TXN1000127</t>
  </si>
  <si>
    <t>Jessica Khan</t>
  </si>
  <si>
    <t>Fatima Gonzalez</t>
  </si>
  <si>
    <t>8568 Cedar Ln, Paris</t>
  </si>
  <si>
    <t>TXN1000128</t>
  </si>
  <si>
    <t>Lucas Moore</t>
  </si>
  <si>
    <t>4027 Main St, Mumbai</t>
  </si>
  <si>
    <t>TXN1000129</t>
  </si>
  <si>
    <t>Marta Davis</t>
  </si>
  <si>
    <t>David Moore</t>
  </si>
  <si>
    <t>2691 Broadway, Mumbai</t>
  </si>
  <si>
    <t>TXN1000130</t>
  </si>
  <si>
    <t>Karen Martinez</t>
  </si>
  <si>
    <t>Linda Thomas</t>
  </si>
  <si>
    <t>$</t>
  </si>
  <si>
    <t>9863 View Rd, London</t>
  </si>
  <si>
    <t>TXN1000131</t>
  </si>
  <si>
    <t>Joseph Jackson</t>
  </si>
  <si>
    <t>1300 Oak Ave, London</t>
  </si>
  <si>
    <t>TXN1000132</t>
  </si>
  <si>
    <t>Joseph Malik</t>
  </si>
  <si>
    <t>Jean-Pierre Jackson</t>
  </si>
  <si>
    <t>2954 Main St, New York</t>
  </si>
  <si>
    <t>TXN1000133</t>
  </si>
  <si>
    <t>William Davis</t>
  </si>
  <si>
    <t>9528 Cedar Ln, New York</t>
  </si>
  <si>
    <t>TXN1000134</t>
  </si>
  <si>
    <t>Patricia Williams</t>
  </si>
  <si>
    <t>Richard Garcia</t>
  </si>
  <si>
    <t>1129 Pine Rd, Mumbai</t>
  </si>
  <si>
    <t>TXN1000135</t>
  </si>
  <si>
    <t>Barbara Martinez</t>
  </si>
  <si>
    <t>Elizabeth Brown</t>
  </si>
  <si>
    <t>2694 Broadway, Dubai</t>
  </si>
  <si>
    <t>TXN1000136</t>
  </si>
  <si>
    <t>David Williams</t>
  </si>
  <si>
    <t>Sanjay Moore</t>
  </si>
  <si>
    <t>2572 View Rd, Mumbai</t>
  </si>
  <si>
    <t>TXN1000137</t>
  </si>
  <si>
    <t xml:space="preserve">  MARTA MALIK </t>
  </si>
  <si>
    <t>Priya Thomas</t>
  </si>
  <si>
    <t>186 Main St, Sydney</t>
  </si>
  <si>
    <t>TXN1000138</t>
  </si>
  <si>
    <t>William Khan</t>
  </si>
  <si>
    <t>8243 Pine Rd, Dubai</t>
  </si>
  <si>
    <t>TXN1000139</t>
  </si>
  <si>
    <t xml:space="preserve">  LUCAS MARTINEZ </t>
  </si>
  <si>
    <t>Zayn Moore</t>
  </si>
  <si>
    <t>7068 Broadway, Dubai</t>
  </si>
  <si>
    <t>TXN1000140</t>
  </si>
  <si>
    <t>Barbara Rodriguez</t>
  </si>
  <si>
    <t>Amir Thomas</t>
  </si>
  <si>
    <t>1800 Broadway, Mumbai</t>
  </si>
  <si>
    <t>TXN1000141</t>
  </si>
  <si>
    <t>Robert Martinez</t>
  </si>
  <si>
    <t>Elena Taylor</t>
  </si>
  <si>
    <t>6915 View Rd, Sydney</t>
  </si>
  <si>
    <t>TXN1000142</t>
  </si>
  <si>
    <t xml:space="preserve">  CHRISTOPHER MOORE </t>
  </si>
  <si>
    <t>Susan Lopez</t>
  </si>
  <si>
    <t>1747 Broadway, Mumbai</t>
  </si>
  <si>
    <t>TXN1000143</t>
  </si>
  <si>
    <t>Elizabeth Rodriguez</t>
  </si>
  <si>
    <t>5620 Broadway, Mumbai</t>
  </si>
  <si>
    <t>TXN1000144</t>
  </si>
  <si>
    <t>Sarah Williams</t>
  </si>
  <si>
    <t>4645 Cedar Ln, Dubai</t>
  </si>
  <si>
    <t>TXN1000145</t>
  </si>
  <si>
    <t>Christopher Rostova</t>
  </si>
  <si>
    <t>Christopher Khan</t>
  </si>
  <si>
    <t>4857 View Rd, New York</t>
  </si>
  <si>
    <t>TXN1000146</t>
  </si>
  <si>
    <t>Elizabeth Lopez</t>
  </si>
  <si>
    <t>9012 View Rd, Toronto</t>
  </si>
  <si>
    <t>TXN1000147</t>
  </si>
  <si>
    <t>Richard Wilson</t>
  </si>
  <si>
    <t>Christopher Volkov</t>
  </si>
  <si>
    <t>7181 Pine Rd, Dubai</t>
  </si>
  <si>
    <t>TXN1000148</t>
  </si>
  <si>
    <t xml:space="preserve">  SANJAY WILSON </t>
  </si>
  <si>
    <t>Joseph Wilson</t>
  </si>
  <si>
    <t>4829 Oak Ave, Paris</t>
  </si>
  <si>
    <t>TXN1000149</t>
  </si>
  <si>
    <t>8406 Maple Dr, London</t>
  </si>
  <si>
    <t>TXN1000150</t>
  </si>
  <si>
    <t>7278 View Rd, Paris</t>
  </si>
  <si>
    <t>TXN1000151</t>
  </si>
  <si>
    <t>Nancy Rostova</t>
  </si>
  <si>
    <t>Michael Wilson</t>
  </si>
  <si>
    <t>2394 Broadway, Dubai</t>
  </si>
  <si>
    <t>TXN1000152</t>
  </si>
  <si>
    <t>Priya Brown</t>
  </si>
  <si>
    <t>Amir Jackson</t>
  </si>
  <si>
    <t>246 View Rd, Paris</t>
  </si>
  <si>
    <t>TXN1000153</t>
  </si>
  <si>
    <t>John Malik</t>
  </si>
  <si>
    <t>3553 Maple Dr, Toronto</t>
  </si>
  <si>
    <t>TXN1000154</t>
  </si>
  <si>
    <t>Zayn Garcia</t>
  </si>
  <si>
    <t xml:space="preserve"> patricia wilson   </t>
  </si>
  <si>
    <t>5728 Main St, Paris</t>
  </si>
  <si>
    <t>TXN1000155</t>
  </si>
  <si>
    <t>Fatima Jackson</t>
  </si>
  <si>
    <t>3460 View Rd, New York</t>
  </si>
  <si>
    <t>TXN1000156</t>
  </si>
  <si>
    <t>Mary Taylor</t>
  </si>
  <si>
    <t>118 Pine Rd, London</t>
  </si>
  <si>
    <t>TXN1000157</t>
  </si>
  <si>
    <t>6418 Oak Ave, New York</t>
  </si>
  <si>
    <t>TXN1000158</t>
  </si>
  <si>
    <t>Elena Brown</t>
  </si>
  <si>
    <t>Mary Volkov</t>
  </si>
  <si>
    <t>2048 Oak Ave, London</t>
  </si>
  <si>
    <t>TXN1000159</t>
  </si>
  <si>
    <t>Michael Thomas</t>
  </si>
  <si>
    <t>John Taylor</t>
  </si>
  <si>
    <t>5718 Cedar Ln, Dubai</t>
  </si>
  <si>
    <t>TXN1000160</t>
  </si>
  <si>
    <t>David Gonzalez</t>
  </si>
  <si>
    <t>Richard Martinez</t>
  </si>
  <si>
    <t>2020 Oak Ave, Mumbai</t>
  </si>
  <si>
    <t>TXN1000161</t>
  </si>
  <si>
    <t>Elena Nair</t>
  </si>
  <si>
    <t>338 Cedar Ln, New York</t>
  </si>
  <si>
    <t>TXN1000162</t>
  </si>
  <si>
    <t>Michael Khan</t>
  </si>
  <si>
    <t>Mary Rostova</t>
  </si>
  <si>
    <t>5027 Cedar Ln, Mumbai</t>
  </si>
  <si>
    <t>TXN1000163</t>
  </si>
  <si>
    <t>Mary Smith</t>
  </si>
  <si>
    <t>4490 Oak Ave, New York</t>
  </si>
  <si>
    <t>TXN1000164</t>
  </si>
  <si>
    <t>Michael Garcia</t>
  </si>
  <si>
    <t xml:space="preserve"> christopher malik   </t>
  </si>
  <si>
    <t>5488 Cedar Ln, London</t>
  </si>
  <si>
    <t>TXN1000165</t>
  </si>
  <si>
    <t>Karen Gonzalez</t>
  </si>
  <si>
    <t>Robert Lopez</t>
  </si>
  <si>
    <t>5226 Oak Ave, New York</t>
  </si>
  <si>
    <t>TXN1000166</t>
  </si>
  <si>
    <t>Karen Al-Sayed</t>
  </si>
  <si>
    <t>9112 Main St, New York</t>
  </si>
  <si>
    <t>TXN1000167</t>
  </si>
  <si>
    <t>Sanjay Khan</t>
  </si>
  <si>
    <t>sgd</t>
  </si>
  <si>
    <t>3745 Main St, Toronto</t>
  </si>
  <si>
    <t>TXN1000168</t>
  </si>
  <si>
    <t>Jean-Pierre Al-Sayed</t>
  </si>
  <si>
    <t>Christopher Johnson</t>
  </si>
  <si>
    <t>8542 Cedar Ln, Toronto</t>
  </si>
  <si>
    <t>TXN1000169</t>
  </si>
  <si>
    <t>Susan Smith</t>
  </si>
  <si>
    <t>Karen Malik</t>
  </si>
  <si>
    <t>7474 Cedar Ln, Mumbai</t>
  </si>
  <si>
    <t>TXN1000170</t>
  </si>
  <si>
    <t>Zayn Johnson</t>
  </si>
  <si>
    <t>9459 Main St, Dubai</t>
  </si>
  <si>
    <t>TXN1000171</t>
  </si>
  <si>
    <t>Michael Jackson</t>
  </si>
  <si>
    <t>Christopher Lopez</t>
  </si>
  <si>
    <t>6911 Main St, New York</t>
  </si>
  <si>
    <t>TXN1000172</t>
  </si>
  <si>
    <t>Carlos Moore</t>
  </si>
  <si>
    <t>William Rodriguez</t>
  </si>
  <si>
    <t>7360 Main St, Dubai</t>
  </si>
  <si>
    <t>TXN1000173</t>
  </si>
  <si>
    <t>Michael Anderson</t>
  </si>
  <si>
    <t>Charles Taylor</t>
  </si>
  <si>
    <t>9679 Pine Rd, Dubai</t>
  </si>
  <si>
    <t>TXN1000174</t>
  </si>
  <si>
    <t>Priya Anderson</t>
  </si>
  <si>
    <t>3916 Broadway, Dubai</t>
  </si>
  <si>
    <t>TXN1000175</t>
  </si>
  <si>
    <t>Susan Thomas</t>
  </si>
  <si>
    <t>4534 Pine Rd, London</t>
  </si>
  <si>
    <t>TXN1000176</t>
  </si>
  <si>
    <t xml:space="preserve">  JOHN DAVIS </t>
  </si>
  <si>
    <t>Mary Jones</t>
  </si>
  <si>
    <t>4108 Cedar Ln, Paris</t>
  </si>
  <si>
    <t>TXN1000177</t>
  </si>
  <si>
    <t>5094 Pine Rd, Mumbai</t>
  </si>
  <si>
    <t>TXN1000178</t>
  </si>
  <si>
    <t xml:space="preserve">  SARAH VELEZ </t>
  </si>
  <si>
    <t>Michael Volkov</t>
  </si>
  <si>
    <t>4737 Main St, London</t>
  </si>
  <si>
    <t>TXN1000179</t>
  </si>
  <si>
    <t>William Smith</t>
  </si>
  <si>
    <t>8675 Oak Ave, Dubai</t>
  </si>
  <si>
    <t>TXN1000180</t>
  </si>
  <si>
    <t>Sarah Garcia</t>
  </si>
  <si>
    <t>2665 Maple Dr, Paris</t>
  </si>
  <si>
    <t>TXN1000181</t>
  </si>
  <si>
    <t>John Silva</t>
  </si>
  <si>
    <t>Robert Khan</t>
  </si>
  <si>
    <t>6428 Maple Dr, Paris</t>
  </si>
  <si>
    <t>TXN1000182</t>
  </si>
  <si>
    <t>Elena Davis</t>
  </si>
  <si>
    <t>9023 Maple Dr, New York</t>
  </si>
  <si>
    <t>TXN1000183</t>
  </si>
  <si>
    <t>Elizabeth Martin</t>
  </si>
  <si>
    <t>William Anderson</t>
  </si>
  <si>
    <t>4880 Oak Ave, London</t>
  </si>
  <si>
    <t>TXN1000184</t>
  </si>
  <si>
    <t>Sarah Brown</t>
  </si>
  <si>
    <t>6576 Cedar Ln, Dubai</t>
  </si>
  <si>
    <t>TXN1000185</t>
  </si>
  <si>
    <t>Sarah Al-Sayed</t>
  </si>
  <si>
    <t>2482 Maple Dr, Mumbai</t>
  </si>
  <si>
    <t>TXN1000186</t>
  </si>
  <si>
    <t>Elizabeth Dubois</t>
  </si>
  <si>
    <t>734 Oak Ave, Mumbai</t>
  </si>
  <si>
    <t>TXN1000187</t>
  </si>
  <si>
    <t>David Thomas</t>
  </si>
  <si>
    <t>102 View Rd, Dubai</t>
  </si>
  <si>
    <t>TXN1000188</t>
  </si>
  <si>
    <t>Sarah Silva</t>
  </si>
  <si>
    <t>John Garcia</t>
  </si>
  <si>
    <t>6051 Pine Rd, Paris</t>
  </si>
  <si>
    <t>TXN1000189</t>
  </si>
  <si>
    <t>Jessica Brown</t>
  </si>
  <si>
    <t>5726 Maple Dr, Sydney</t>
  </si>
  <si>
    <t>TXN1000190</t>
  </si>
  <si>
    <t>Nancy Jackson</t>
  </si>
  <si>
    <t>2990 Oak Ave, Paris</t>
  </si>
  <si>
    <t>TXN1000191</t>
  </si>
  <si>
    <t>Linda Gonzalez</t>
  </si>
  <si>
    <t>Patricia Brown</t>
  </si>
  <si>
    <t>6339 Pine Rd, Dubai</t>
  </si>
  <si>
    <t>TXN1000192</t>
  </si>
  <si>
    <t>Zayn Thomas</t>
  </si>
  <si>
    <t>3406 Oak Ave, Dubai</t>
  </si>
  <si>
    <t>TXN1000193</t>
  </si>
  <si>
    <t>Charles Khan</t>
  </si>
  <si>
    <t>Jean-Pierre Malik</t>
  </si>
  <si>
    <t>9571 Main St, New York</t>
  </si>
  <si>
    <t>TXN1000194</t>
  </si>
  <si>
    <t>Robert Wilson</t>
  </si>
  <si>
    <t>770 Maple Dr, London</t>
  </si>
  <si>
    <t>TXN1000195</t>
  </si>
  <si>
    <t>6560 Broadway, New York</t>
  </si>
  <si>
    <t>TXN1000196</t>
  </si>
  <si>
    <t>Amir Smith</t>
  </si>
  <si>
    <t>Patricia Dubois</t>
  </si>
  <si>
    <t>5355 Main St, London</t>
  </si>
  <si>
    <t>TXN1000197</t>
  </si>
  <si>
    <t>William Brown</t>
  </si>
  <si>
    <t>6557 Cedar Ln, Mumbai</t>
  </si>
  <si>
    <t>TXN1000198</t>
  </si>
  <si>
    <t>Susan Nair</t>
  </si>
  <si>
    <t>2954 Oak Ave, Sydney</t>
  </si>
  <si>
    <t>TXN1000199</t>
  </si>
  <si>
    <t>Susan Hernandez</t>
  </si>
  <si>
    <t>3892 Pine Rd, Mumbai</t>
  </si>
  <si>
    <t>TXN1000200</t>
  </si>
  <si>
    <t>William Taylor</t>
  </si>
  <si>
    <t>Marta Thomas</t>
  </si>
  <si>
    <t>5430 Maple Dr, Mumbai</t>
  </si>
  <si>
    <t>TXN1000201</t>
  </si>
  <si>
    <t>2718 Broadway, Sydney</t>
  </si>
  <si>
    <t>TXN1000202</t>
  </si>
  <si>
    <t>Fatima Davis</t>
  </si>
  <si>
    <t>9580 Broadway, Sydney</t>
  </si>
  <si>
    <t>TXN1000203</t>
  </si>
  <si>
    <t>Carlos Hernandez</t>
  </si>
  <si>
    <t>2025 Cedar Ln, London</t>
  </si>
  <si>
    <t>TXN1000204</t>
  </si>
  <si>
    <t>William Malik</t>
  </si>
  <si>
    <t>Richard Smith</t>
  </si>
  <si>
    <t>1090 Pine Rd, Mumbai</t>
  </si>
  <si>
    <t>TXN1000205</t>
  </si>
  <si>
    <t>9095 Oak Ave, Mumbai</t>
  </si>
  <si>
    <t>TXN1000206</t>
  </si>
  <si>
    <t>Richard Moore</t>
  </si>
  <si>
    <t>Christopher Jones</t>
  </si>
  <si>
    <t>5976 View Rd, Dubai</t>
  </si>
  <si>
    <t>TXN1000207</t>
  </si>
  <si>
    <t>Jean-Pierre Rostova</t>
  </si>
  <si>
    <t>Michael Dubois</t>
  </si>
  <si>
    <t>7181 Maple Dr, London</t>
  </si>
  <si>
    <t>TXN1000208</t>
  </si>
  <si>
    <t>Susan Martin</t>
  </si>
  <si>
    <t>3616 Cedar Ln, Toronto</t>
  </si>
  <si>
    <t>TXN1000209</t>
  </si>
  <si>
    <t>Karen Taylor</t>
  </si>
  <si>
    <t>Jean-Pierre Rodriguez</t>
  </si>
  <si>
    <t>153 Pine Rd, New York</t>
  </si>
  <si>
    <t>TXN1000210</t>
  </si>
  <si>
    <t>Susan Malik</t>
  </si>
  <si>
    <t>7504 Pine Rd, London</t>
  </si>
  <si>
    <t>TXN1000211</t>
  </si>
  <si>
    <t>Sanjay Martinez</t>
  </si>
  <si>
    <t>Elizabeth Taylor</t>
  </si>
  <si>
    <t>1729 View Rd, Sydney</t>
  </si>
  <si>
    <t>TXN1000212</t>
  </si>
  <si>
    <t>Nancy Hernandez</t>
  </si>
  <si>
    <t>8941 Maple Dr, Toronto</t>
  </si>
  <si>
    <t>TXN1000213</t>
  </si>
  <si>
    <t>Fatima Smith</t>
  </si>
  <si>
    <t>Jean-Pierre Hernandez</t>
  </si>
  <si>
    <t>3378 Main St, London</t>
  </si>
  <si>
    <t>TXN1000214</t>
  </si>
  <si>
    <t>Charles Malik</t>
  </si>
  <si>
    <t xml:space="preserve"> nancy thomas   </t>
  </si>
  <si>
    <t>2661 Oak Ave, Sydney</t>
  </si>
  <si>
    <t>TXN1000215</t>
  </si>
  <si>
    <t>Jessica Gonzalez</t>
  </si>
  <si>
    <t>Jean-Pierre Johnson</t>
  </si>
  <si>
    <t>470 Oak Ave, Paris</t>
  </si>
  <si>
    <t>TXN1000216</t>
  </si>
  <si>
    <t>7585 Main St, Dubai</t>
  </si>
  <si>
    <t>TXN1000217</t>
  </si>
  <si>
    <t>Carlos Anderson</t>
  </si>
  <si>
    <t>Robert Rodriguez</t>
  </si>
  <si>
    <t>4434 Pine Rd, Dubai</t>
  </si>
  <si>
    <t>TXN1000218</t>
  </si>
  <si>
    <t>Linda Dubois</t>
  </si>
  <si>
    <t>Elena Johnson</t>
  </si>
  <si>
    <t>6304 Main St, Dubai</t>
  </si>
  <si>
    <t>TXN1000219</t>
  </si>
  <si>
    <t>Jessica Anderson</t>
  </si>
  <si>
    <t>6211 Maple Dr, Mumbai</t>
  </si>
  <si>
    <t>TXN1000220</t>
  </si>
  <si>
    <t>Christopher Silva</t>
  </si>
  <si>
    <t>Karen Garcia</t>
  </si>
  <si>
    <t>1022 Maple Dr, Paris</t>
  </si>
  <si>
    <t>TXN1000221</t>
  </si>
  <si>
    <t>Christopher Al-Sayed</t>
  </si>
  <si>
    <t>Sanjay Taylor</t>
  </si>
  <si>
    <t>8057 Oak Ave, Paris</t>
  </si>
  <si>
    <t>TXN1000222</t>
  </si>
  <si>
    <t>9266 Broadway, Sydney</t>
  </si>
  <si>
    <t>TXN1000223</t>
  </si>
  <si>
    <t>Nancy Smith</t>
  </si>
  <si>
    <t>Amir Garcia</t>
  </si>
  <si>
    <t>7747 Broadway, Paris</t>
  </si>
  <si>
    <t>TXN1000224</t>
  </si>
  <si>
    <t>Robert Jones</t>
  </si>
  <si>
    <t>David Khan</t>
  </si>
  <si>
    <t>5033 Maple Dr, London</t>
  </si>
  <si>
    <t>TXN1000225</t>
  </si>
  <si>
    <t>Lucas Johnson</t>
  </si>
  <si>
    <t>4040 Maple Dr, Sydney</t>
  </si>
  <si>
    <t>TXN1000226</t>
  </si>
  <si>
    <t>Priya Johnson</t>
  </si>
  <si>
    <t>Marta Malik</t>
  </si>
  <si>
    <t>260 Maple Dr, New York</t>
  </si>
  <si>
    <t>TXN1000227</t>
  </si>
  <si>
    <t>3848 Broadway, Dubai</t>
  </si>
  <si>
    <t>TXN1000228</t>
  </si>
  <si>
    <t>Carlos Jackson</t>
  </si>
  <si>
    <t>1193 Cedar Ln, Mumbai</t>
  </si>
  <si>
    <t>TXN1000229</t>
  </si>
  <si>
    <t xml:space="preserve">  DAVID SOUZA </t>
  </si>
  <si>
    <t>8899 Pine Rd, Paris</t>
  </si>
  <si>
    <t>TXN1000230</t>
  </si>
  <si>
    <t>Karen Anderson</t>
  </si>
  <si>
    <t>9832 Maple Dr, Dubai</t>
  </si>
  <si>
    <t>TXN1000231</t>
  </si>
  <si>
    <t>Karen Brown</t>
  </si>
  <si>
    <t>789 View Rd, New York</t>
  </si>
  <si>
    <t>TXN1000232</t>
  </si>
  <si>
    <t xml:space="preserve">  BARBARA JACKSON </t>
  </si>
  <si>
    <t>Lucas Souza</t>
  </si>
  <si>
    <t>2203 View Rd, Toronto</t>
  </si>
  <si>
    <t>TXN1000233</t>
  </si>
  <si>
    <t>Richard Rostova</t>
  </si>
  <si>
    <t>8192 Broadway, Mumbai</t>
  </si>
  <si>
    <t>TXN1000234</t>
  </si>
  <si>
    <t>Zayn Anderson</t>
  </si>
  <si>
    <t>6133 Oak Ave, Toronto</t>
  </si>
  <si>
    <t>TXN1000235</t>
  </si>
  <si>
    <t>Elena Lopez</t>
  </si>
  <si>
    <t>1305 Cedar Ln, Dubai</t>
  </si>
  <si>
    <t>TXN1000236</t>
  </si>
  <si>
    <t>Karen Dubois</t>
  </si>
  <si>
    <t>2835 Pine Rd, Sydney</t>
  </si>
  <si>
    <t>TXN1000237</t>
  </si>
  <si>
    <t xml:space="preserve">  SARAH WILLIAMS </t>
  </si>
  <si>
    <t>9967 Pine Rd, Mumbai</t>
  </si>
  <si>
    <t>TXN1000238</t>
  </si>
  <si>
    <t>Nancy Souza</t>
  </si>
  <si>
    <t>Amir Jones</t>
  </si>
  <si>
    <t>9406 Cedar Ln, London</t>
  </si>
  <si>
    <t>TXN1000239</t>
  </si>
  <si>
    <t>1574 Cedar Ln, Toronto</t>
  </si>
  <si>
    <t>TXN1000240</t>
  </si>
  <si>
    <t xml:space="preserve">  JEAN-PIERRE MILLER </t>
  </si>
  <si>
    <t>Charles Hernandez</t>
  </si>
  <si>
    <t>6496 Cedar Ln, New York</t>
  </si>
  <si>
    <t>TXN1000241</t>
  </si>
  <si>
    <t>Patricia Rostova</t>
  </si>
  <si>
    <t>2950 Maple Dr, Toronto</t>
  </si>
  <si>
    <t>TXN1000242</t>
  </si>
  <si>
    <t>Joseph Gonzalez</t>
  </si>
  <si>
    <t>Richard Johnson</t>
  </si>
  <si>
    <t>3064 Pine Rd, Dubai</t>
  </si>
  <si>
    <t>TXN1000243</t>
  </si>
  <si>
    <t>Michael Nair</t>
  </si>
  <si>
    <t>Sanjay Smith</t>
  </si>
  <si>
    <t>6744 Pine Rd, Dubai</t>
  </si>
  <si>
    <t>TXN1000244</t>
  </si>
  <si>
    <t>Mary Nair</t>
  </si>
  <si>
    <t>265 Broadway, Dubai</t>
  </si>
  <si>
    <t>TXN1000245</t>
  </si>
  <si>
    <t>Sarah Gonzalez</t>
  </si>
  <si>
    <t xml:space="preserve"> robert silva   </t>
  </si>
  <si>
    <t>1019 Oak Ave, New York</t>
  </si>
  <si>
    <t>TXN1000246</t>
  </si>
  <si>
    <t>Priya Williams</t>
  </si>
  <si>
    <t>Mary Al-Sayed</t>
  </si>
  <si>
    <t>1091 Maple Dr, Paris</t>
  </si>
  <si>
    <t>TXN1000247</t>
  </si>
  <si>
    <t>Lucas Miller</t>
  </si>
  <si>
    <t>3939 Pine Rd, London</t>
  </si>
  <si>
    <t>TXN1000248</t>
  </si>
  <si>
    <t>Patricia Silva</t>
  </si>
  <si>
    <t>8806 Cedar Ln, Mumbai</t>
  </si>
  <si>
    <t>TXN1000249</t>
  </si>
  <si>
    <t>Nancy Williams</t>
  </si>
  <si>
    <t>167 Cedar Ln, Mumbai</t>
  </si>
  <si>
    <t>TXN1000250</t>
  </si>
  <si>
    <t xml:space="preserve"> susan martinez   </t>
  </si>
  <si>
    <t>4578 Pine Rd, Toronto</t>
  </si>
  <si>
    <t>TXN1000251</t>
  </si>
  <si>
    <t>Jean-Pierre Brown</t>
  </si>
  <si>
    <t>3621 Oak Ave, Mumbai</t>
  </si>
  <si>
    <t>TXN1000252</t>
  </si>
  <si>
    <t>Mary Rodriguez</t>
  </si>
  <si>
    <t>Michael Brown</t>
  </si>
  <si>
    <t>7182 Main St, Sydney</t>
  </si>
  <si>
    <t>TXN1000253</t>
  </si>
  <si>
    <t xml:space="preserve"> elizabeth davis   </t>
  </si>
  <si>
    <t>2358 Broadway, Toronto</t>
  </si>
  <si>
    <t>TXN1000254</t>
  </si>
  <si>
    <t>Jessica Miller</t>
  </si>
  <si>
    <t>5841 Oak Ave, Paris</t>
  </si>
  <si>
    <t>TXN1000255</t>
  </si>
  <si>
    <t>Carlos Rostova</t>
  </si>
  <si>
    <t>Richard Taylor</t>
  </si>
  <si>
    <t>2687 Cedar Ln, Paris</t>
  </si>
  <si>
    <t>TXN1000256</t>
  </si>
  <si>
    <t>Michael Hernandez</t>
  </si>
  <si>
    <t>1438 Cedar Ln, Toronto</t>
  </si>
  <si>
    <t>TXN1000257</t>
  </si>
  <si>
    <t>Thomas Martin</t>
  </si>
  <si>
    <t>5880 Maple Dr, London</t>
  </si>
  <si>
    <t>TXN1000258</t>
  </si>
  <si>
    <t xml:space="preserve">  MARTA MOORE </t>
  </si>
  <si>
    <t>5332 Oak Ave, Sydney</t>
  </si>
  <si>
    <t>TXN1000259</t>
  </si>
  <si>
    <t>7945 Main St, Dubai</t>
  </si>
  <si>
    <t>TXN1000260</t>
  </si>
  <si>
    <t>Marta Hernandez</t>
  </si>
  <si>
    <t>Susan Jones</t>
  </si>
  <si>
    <t>4483 Pine Rd, Mumbai</t>
  </si>
  <si>
    <t>TXN1000261</t>
  </si>
  <si>
    <t>Patricia Al-Sayed</t>
  </si>
  <si>
    <t>3061 Pine Rd, Paris</t>
  </si>
  <si>
    <t>TXN1000262</t>
  </si>
  <si>
    <t>Sarah Hernandez</t>
  </si>
  <si>
    <t>Nancy Martin</t>
  </si>
  <si>
    <t>6937 Oak Ave, Paris</t>
  </si>
  <si>
    <t>TXN1000263</t>
  </si>
  <si>
    <t>Fatima Volkov</t>
  </si>
  <si>
    <t>Jessica Jones</t>
  </si>
  <si>
    <t>9390 Cedar Ln, Sydney</t>
  </si>
  <si>
    <t>TXN1000264</t>
  </si>
  <si>
    <t xml:space="preserve">  MARY KHAN </t>
  </si>
  <si>
    <t>Amir Martinez</t>
  </si>
  <si>
    <t>3816 Broadway, New York</t>
  </si>
  <si>
    <t>TXN1000265</t>
  </si>
  <si>
    <t>Christopher Thomas</t>
  </si>
  <si>
    <t>Christopher Wilson</t>
  </si>
  <si>
    <t>670 Broadway, New York</t>
  </si>
  <si>
    <t>TXN1000266</t>
  </si>
  <si>
    <t>2605 View Rd, Toronto</t>
  </si>
  <si>
    <t>TXN1000267</t>
  </si>
  <si>
    <t>7082 Maple Dr, New York</t>
  </si>
  <si>
    <t>TXN1000268</t>
  </si>
  <si>
    <t>Linda Rostova</t>
  </si>
  <si>
    <t>Barbara Smith</t>
  </si>
  <si>
    <t>1778 Maple Dr, Dubai</t>
  </si>
  <si>
    <t>TXN1000269</t>
  </si>
  <si>
    <t>Mary Williams</t>
  </si>
  <si>
    <t>Barbara Velez</t>
  </si>
  <si>
    <t>7186 Main St, Mumbai</t>
  </si>
  <si>
    <t>TXN1000270</t>
  </si>
  <si>
    <t>Charles Miller</t>
  </si>
  <si>
    <t>4849 Oak Ave, Sydney</t>
  </si>
  <si>
    <t>TXN1000271</t>
  </si>
  <si>
    <t>Thomas Brown</t>
  </si>
  <si>
    <t>Charles Jones</t>
  </si>
  <si>
    <t>4629 Main St, Paris</t>
  </si>
  <si>
    <t>TXN1000272</t>
  </si>
  <si>
    <t>Marta Brown</t>
  </si>
  <si>
    <t>7326 Pine Rd, Paris</t>
  </si>
  <si>
    <t>TXN1000273</t>
  </si>
  <si>
    <t>Jean-Pierre Silva</t>
  </si>
  <si>
    <t>4975 View Rd, Sydney</t>
  </si>
  <si>
    <t>TXN1000274</t>
  </si>
  <si>
    <t>Michael Martinez</t>
  </si>
  <si>
    <t>7489 View Rd, Toronto</t>
  </si>
  <si>
    <t>TXN1000275</t>
  </si>
  <si>
    <t>Karen Velez</t>
  </si>
  <si>
    <t>7423 Oak Ave, Dubai</t>
  </si>
  <si>
    <t>TXN1000276</t>
  </si>
  <si>
    <t>4208 Cedar Ln, London</t>
  </si>
  <si>
    <t>TXN1000277</t>
  </si>
  <si>
    <t>Linda Smith</t>
  </si>
  <si>
    <t>Karen Hernandez</t>
  </si>
  <si>
    <t>9096 Main St, Dubai</t>
  </si>
  <si>
    <t>TXN1000278</t>
  </si>
  <si>
    <t>3975 View Rd, London</t>
  </si>
  <si>
    <t>TXN1000279</t>
  </si>
  <si>
    <t>Jessica Velez</t>
  </si>
  <si>
    <t>9902 Maple Dr, Toronto</t>
  </si>
  <si>
    <t>TXN1000280</t>
  </si>
  <si>
    <t>Priya Jackson</t>
  </si>
  <si>
    <t>7275 Cedar Ln, London</t>
  </si>
  <si>
    <t>TXN1000281</t>
  </si>
  <si>
    <t>Elizabeth Silva</t>
  </si>
  <si>
    <t xml:space="preserve"> amir martinez   </t>
  </si>
  <si>
    <t>5121 Main St, Sydney</t>
  </si>
  <si>
    <t>TXN1000282</t>
  </si>
  <si>
    <t>Carlos Williams</t>
  </si>
  <si>
    <t>Joseph Khan</t>
  </si>
  <si>
    <t>6682 View Rd, Dubai</t>
  </si>
  <si>
    <t>TXN1000283</t>
  </si>
  <si>
    <t>David Anderson</t>
  </si>
  <si>
    <t>5966 Broadway, Mumbai</t>
  </si>
  <si>
    <t>TXN1000284</t>
  </si>
  <si>
    <t>Lucas Velez</t>
  </si>
  <si>
    <t>9246 Broadway, Toronto</t>
  </si>
  <si>
    <t>TXN1000285</t>
  </si>
  <si>
    <t>Jessica Silva</t>
  </si>
  <si>
    <t>7482 Broadway, New York</t>
  </si>
  <si>
    <t>TXN1000286</t>
  </si>
  <si>
    <t>Sanjay Anderson</t>
  </si>
  <si>
    <t>Lucas Nair</t>
  </si>
  <si>
    <t>2359 Cedar Ln, London</t>
  </si>
  <si>
    <t>TXN1000287</t>
  </si>
  <si>
    <t>Susan Garcia</t>
  </si>
  <si>
    <t>chf</t>
  </si>
  <si>
    <t>564 Broadway, Paris</t>
  </si>
  <si>
    <t>TXN1000288</t>
  </si>
  <si>
    <t>Jessica Dubois</t>
  </si>
  <si>
    <t>Priya Souza</t>
  </si>
  <si>
    <t>6874 Main St, Paris</t>
  </si>
  <si>
    <t>TXN1000289</t>
  </si>
  <si>
    <t>Nancy Anderson</t>
  </si>
  <si>
    <t>9176 View Rd, Dubai</t>
  </si>
  <si>
    <t>TXN1000290</t>
  </si>
  <si>
    <t>6519 Maple Dr, Paris</t>
  </si>
  <si>
    <t>TXN1000291</t>
  </si>
  <si>
    <t>David Al-Sayed</t>
  </si>
  <si>
    <t>5850 Maple Dr, New York</t>
  </si>
  <si>
    <t>TXN1000292</t>
  </si>
  <si>
    <t>Mary Anderson</t>
  </si>
  <si>
    <t>Susan Rostova</t>
  </si>
  <si>
    <t>3956 Oak Ave, Dubai</t>
  </si>
  <si>
    <t>TXN1000293</t>
  </si>
  <si>
    <t xml:space="preserve">  JOHN MARTINEZ </t>
  </si>
  <si>
    <t>Marta Velez</t>
  </si>
  <si>
    <t>9216 Pine Rd, Dubai</t>
  </si>
  <si>
    <t>TXN1000294</t>
  </si>
  <si>
    <t>1646 Oak Ave, London</t>
  </si>
  <si>
    <t>TXN1000295</t>
  </si>
  <si>
    <t>Nancy Jones</t>
  </si>
  <si>
    <t>1194 Maple Dr, London</t>
  </si>
  <si>
    <t>TXN1000296</t>
  </si>
  <si>
    <t>9054 Maple Dr, London</t>
  </si>
  <si>
    <t>TXN1000297</t>
  </si>
  <si>
    <t xml:space="preserve">  CHRISTOPHER WILLIAMS </t>
  </si>
  <si>
    <t>2875 Oak Ave, Sydney</t>
  </si>
  <si>
    <t>TXN1000298</t>
  </si>
  <si>
    <t>John Smith</t>
  </si>
  <si>
    <t>6728 Maple Dr, Toronto</t>
  </si>
  <si>
    <t>TXN1000299</t>
  </si>
  <si>
    <t xml:space="preserve"> michael nair   </t>
  </si>
  <si>
    <t>8072 View Rd, New York</t>
  </si>
  <si>
    <t>TXN1000300</t>
  </si>
  <si>
    <t xml:space="preserve">  SANJAY MALIK </t>
  </si>
  <si>
    <t>8875 Maple Dr, Paris</t>
  </si>
  <si>
    <t>TXN1000301</t>
  </si>
  <si>
    <t>Nancy Nair</t>
  </si>
  <si>
    <t>Susan Anderson</t>
  </si>
  <si>
    <t>6126 View Rd, Mumbai</t>
  </si>
  <si>
    <t>TXN1000302</t>
  </si>
  <si>
    <t>Nancy Miller</t>
  </si>
  <si>
    <t>Barbara Rostova</t>
  </si>
  <si>
    <t>961 Maple Dr, London</t>
  </si>
  <si>
    <t>TXN1000303</t>
  </si>
  <si>
    <t xml:space="preserve">  JESSICA BROWN </t>
  </si>
  <si>
    <t>Nancy Davis</t>
  </si>
  <si>
    <t>4234 Maple Dr, New York</t>
  </si>
  <si>
    <t>TXN1000304</t>
  </si>
  <si>
    <t>7687 Cedar Ln, Mumbai</t>
  </si>
  <si>
    <t>TXN1000305</t>
  </si>
  <si>
    <t>Charles Garcia</t>
  </si>
  <si>
    <t>4231 Cedar Ln, London</t>
  </si>
  <si>
    <t>TXN1000306</t>
  </si>
  <si>
    <t>Robert Williams</t>
  </si>
  <si>
    <t>Richard Hernandez</t>
  </si>
  <si>
    <t>5557 View Rd, Paris</t>
  </si>
  <si>
    <t>TXN1000307</t>
  </si>
  <si>
    <t>1979 Broadway, Paris</t>
  </si>
  <si>
    <t>TXN1000308</t>
  </si>
  <si>
    <t>7642 Pine Rd, Sydney</t>
  </si>
  <si>
    <t>TXN1000309</t>
  </si>
  <si>
    <t>Thomas Hernandez</t>
  </si>
  <si>
    <t>3473 View Rd, Mumbai</t>
  </si>
  <si>
    <t>TXN1000310</t>
  </si>
  <si>
    <t>Amir Wilson</t>
  </si>
  <si>
    <t>1389 View Rd, Toronto</t>
  </si>
  <si>
    <t>TXN1000311</t>
  </si>
  <si>
    <t>6159 Maple Dr, Dubai</t>
  </si>
  <si>
    <t>TXN1000312</t>
  </si>
  <si>
    <t>Priya Volkov</t>
  </si>
  <si>
    <t>Barbara Volkov</t>
  </si>
  <si>
    <t>5562 Main St, New York</t>
  </si>
  <si>
    <t>TXN1000313</t>
  </si>
  <si>
    <t>Robert Silva</t>
  </si>
  <si>
    <t>Nancy Velez</t>
  </si>
  <si>
    <t>3418 Broadway, Paris</t>
  </si>
  <si>
    <t>TXN1000314</t>
  </si>
  <si>
    <t>Jean-Pierre Thomas</t>
  </si>
  <si>
    <t>7757 Main St, Paris</t>
  </si>
  <si>
    <t>TXN1000315</t>
  </si>
  <si>
    <t>6424 Oak Ave, New York</t>
  </si>
  <si>
    <t>TXN1000316</t>
  </si>
  <si>
    <t xml:space="preserve">  WILLIAM DAVIS </t>
  </si>
  <si>
    <t>Jean-Pierre Martin</t>
  </si>
  <si>
    <t>5308 Oak Ave, Toronto</t>
  </si>
  <si>
    <t>TXN1000317</t>
  </si>
  <si>
    <t>Thomas Williams</t>
  </si>
  <si>
    <t>5167 Main St, Paris</t>
  </si>
  <si>
    <t>TXN1000318</t>
  </si>
  <si>
    <t>William Jackson</t>
  </si>
  <si>
    <t>Amir Taylor</t>
  </si>
  <si>
    <t>2253 Broadway, Paris</t>
  </si>
  <si>
    <t>TXN1000319</t>
  </si>
  <si>
    <t>Richard Miller</t>
  </si>
  <si>
    <t>7074 Broadway, Paris</t>
  </si>
  <si>
    <t>TXN1000320</t>
  </si>
  <si>
    <t xml:space="preserve">  AMIR MARTIN </t>
  </si>
  <si>
    <t>7792 Main St, New York</t>
  </si>
  <si>
    <t>TXN1000321</t>
  </si>
  <si>
    <t>4235 Maple Dr, London</t>
  </si>
  <si>
    <t>TXN1000322</t>
  </si>
  <si>
    <t>Elena Velez</t>
  </si>
  <si>
    <t>Karen Martin</t>
  </si>
  <si>
    <t>7224 Oak Ave, Mumbai</t>
  </si>
  <si>
    <t>TXN1000323</t>
  </si>
  <si>
    <t>546 Maple Dr, Sydney</t>
  </si>
  <si>
    <t>TXN1000324</t>
  </si>
  <si>
    <t>Sarah Davis</t>
  </si>
  <si>
    <t>3209 Pine Rd, Sydney</t>
  </si>
  <si>
    <t>TXN1000325</t>
  </si>
  <si>
    <t>Jessica Williams</t>
  </si>
  <si>
    <t>326 Oak Ave, Paris</t>
  </si>
  <si>
    <t>TXN1000326</t>
  </si>
  <si>
    <t>286 Main St, Dubai</t>
  </si>
  <si>
    <t>TXN1000327</t>
  </si>
  <si>
    <t>Jean-Pierre Jones</t>
  </si>
  <si>
    <t>2635 Cedar Ln, Mumbai</t>
  </si>
  <si>
    <t>TXN1000328</t>
  </si>
  <si>
    <t>Richard Malik</t>
  </si>
  <si>
    <t>9140 Main St, Mumbai</t>
  </si>
  <si>
    <t>TXN1000329</t>
  </si>
  <si>
    <t>5609 Pine Rd, Mumbai</t>
  </si>
  <si>
    <t>TXN1000330</t>
  </si>
  <si>
    <t>John Khan</t>
  </si>
  <si>
    <t>1981 View Rd, Paris</t>
  </si>
  <si>
    <t>TXN1000331</t>
  </si>
  <si>
    <t>Christopher Miller</t>
  </si>
  <si>
    <t>4505 Maple Dr, Sydney</t>
  </si>
  <si>
    <t>TXN1000332</t>
  </si>
  <si>
    <t>Charles Rostova</t>
  </si>
  <si>
    <t>Sarah Rostova</t>
  </si>
  <si>
    <t>1674 Main St, Mumbai</t>
  </si>
  <si>
    <t>TXN1000333</t>
  </si>
  <si>
    <t>Thomas Taylor</t>
  </si>
  <si>
    <t>1795 Pine Rd, Dubai</t>
  </si>
  <si>
    <t>TXN1000334</t>
  </si>
  <si>
    <t>3362 View Rd, Sydney</t>
  </si>
  <si>
    <t>TXN1000335</t>
  </si>
  <si>
    <t>152 View Rd, Toronto</t>
  </si>
  <si>
    <t>TXN1000336</t>
  </si>
  <si>
    <t>Zayn Jones</t>
  </si>
  <si>
    <t>7679 Pine Rd, Mumbai</t>
  </si>
  <si>
    <t>TXN1000337</t>
  </si>
  <si>
    <t>Joseph Miller</t>
  </si>
  <si>
    <t>7001 Oak Ave, Dubai</t>
  </si>
  <si>
    <t>TXN1000338</t>
  </si>
  <si>
    <t xml:space="preserve"> john garcia   </t>
  </si>
  <si>
    <t>6955 Broadway, Dubai</t>
  </si>
  <si>
    <t>TXN1000339</t>
  </si>
  <si>
    <t xml:space="preserve"> amir gonzalez   </t>
  </si>
  <si>
    <t>9521 Pine Rd, London</t>
  </si>
  <si>
    <t>TXN1000340</t>
  </si>
  <si>
    <t>Priya Velez</t>
  </si>
  <si>
    <t>4582 Pine Rd, Sydney</t>
  </si>
  <si>
    <t>TXN1000341</t>
  </si>
  <si>
    <t>9118 Broadway, Mumbai</t>
  </si>
  <si>
    <t>TXN1000342</t>
  </si>
  <si>
    <t>Linda Khan</t>
  </si>
  <si>
    <t>5474 Cedar Ln, Dubai</t>
  </si>
  <si>
    <t>TXN1000343</t>
  </si>
  <si>
    <t>407 Main St, Paris</t>
  </si>
  <si>
    <t>TXN1000344</t>
  </si>
  <si>
    <t>4920 Oak Ave, Sydney</t>
  </si>
  <si>
    <t>TXN1000345</t>
  </si>
  <si>
    <t>Patricia Martin</t>
  </si>
  <si>
    <t>3658 Broadway, Dubai</t>
  </si>
  <si>
    <t>TXN1000346</t>
  </si>
  <si>
    <t xml:space="preserve">  ELIZABETH SMITH </t>
  </si>
  <si>
    <t>Nancy Dubois</t>
  </si>
  <si>
    <t>6631 Cedar Ln, Mumbai</t>
  </si>
  <si>
    <t>TXN1000347</t>
  </si>
  <si>
    <t>Charles Silva</t>
  </si>
  <si>
    <t>Jessica Nair</t>
  </si>
  <si>
    <t>3085 Oak Ave, New York</t>
  </si>
  <si>
    <t>TXN1000348</t>
  </si>
  <si>
    <t>Linda Jackson</t>
  </si>
  <si>
    <t>8567 Maple Dr, Mumbai</t>
  </si>
  <si>
    <t>TXN1000349</t>
  </si>
  <si>
    <t>Jessica Taylor</t>
  </si>
  <si>
    <t>Nancy Al-Sayed</t>
  </si>
  <si>
    <t>436 View Rd, Sydney</t>
  </si>
  <si>
    <t>TXN1000350</t>
  </si>
  <si>
    <t>Priya Miller</t>
  </si>
  <si>
    <t>4068 Broadway, Mumbai</t>
  </si>
  <si>
    <t>TXN1000351</t>
  </si>
  <si>
    <t xml:space="preserve"> sarah nair   </t>
  </si>
  <si>
    <t>3229 Oak Ave, Toronto</t>
  </si>
  <si>
    <t>TXN1000352</t>
  </si>
  <si>
    <t>Jean-Pierre Williams</t>
  </si>
  <si>
    <t>Sanjay Rostova</t>
  </si>
  <si>
    <t>4304 Broadway, Dubai</t>
  </si>
  <si>
    <t>TXN1000353</t>
  </si>
  <si>
    <t>8619 Pine Rd, London</t>
  </si>
  <si>
    <t>TXN1000354</t>
  </si>
  <si>
    <t>Linda Miller</t>
  </si>
  <si>
    <t>1234 Pine Rd, Mumbai</t>
  </si>
  <si>
    <t>TXN1000355</t>
  </si>
  <si>
    <t>Marta Jackson</t>
  </si>
  <si>
    <t>8202 Cedar Ln, New York</t>
  </si>
  <si>
    <t>TXN1000356</t>
  </si>
  <si>
    <t>Zayn Rostova</t>
  </si>
  <si>
    <t>8447 Main St, Mumbai</t>
  </si>
  <si>
    <t>TXN1000357</t>
  </si>
  <si>
    <t>Marta Anderson</t>
  </si>
  <si>
    <t>3443 Broadway, London</t>
  </si>
  <si>
    <t>TXN1000358</t>
  </si>
  <si>
    <t>Barbara Khan</t>
  </si>
  <si>
    <t>Marta Moore</t>
  </si>
  <si>
    <t>821 Broadway, New York</t>
  </si>
  <si>
    <t>TXN1000359</t>
  </si>
  <si>
    <t>Priya Moore</t>
  </si>
  <si>
    <t>3457 Broadway, Mumbai</t>
  </si>
  <si>
    <t>TXN1000360</t>
  </si>
  <si>
    <t>Michael Malik</t>
  </si>
  <si>
    <t>6851 Oak Ave, Mumbai</t>
  </si>
  <si>
    <t>TXN1000361</t>
  </si>
  <si>
    <t>Barbara Jones</t>
  </si>
  <si>
    <t>1217 Oak Ave, Mumbai</t>
  </si>
  <si>
    <t>TXN1000362</t>
  </si>
  <si>
    <t>Mary Souza</t>
  </si>
  <si>
    <t>1747 Broadway, New York</t>
  </si>
  <si>
    <t>TXN1000363</t>
  </si>
  <si>
    <t>6871 Broadway, New York</t>
  </si>
  <si>
    <t>TXN1000364</t>
  </si>
  <si>
    <t>Patricia Lopez</t>
  </si>
  <si>
    <t>2861 Maple Dr, Paris</t>
  </si>
  <si>
    <t>TXN1000365</t>
  </si>
  <si>
    <t>7169 Main St, New York</t>
  </si>
  <si>
    <t>TXN1000366</t>
  </si>
  <si>
    <t>Richard Williams</t>
  </si>
  <si>
    <t>2796 View Rd, Paris</t>
  </si>
  <si>
    <t>TXN1000367</t>
  </si>
  <si>
    <t>William Nair</t>
  </si>
  <si>
    <t>3172 Maple Dr, Toronto</t>
  </si>
  <si>
    <t>TXN1000368</t>
  </si>
  <si>
    <t>3891 Main St, Paris</t>
  </si>
  <si>
    <t>TXN1000369</t>
  </si>
  <si>
    <t>Marta Wilson</t>
  </si>
  <si>
    <t>1604 Cedar Ln, Dubai</t>
  </si>
  <si>
    <t>TXN1000370</t>
  </si>
  <si>
    <t>5148 Pine Rd, Dubai</t>
  </si>
  <si>
    <t>TXN1000371</t>
  </si>
  <si>
    <t>Zayn Martinez</t>
  </si>
  <si>
    <t>Karen Rodriguez</t>
  </si>
  <si>
    <t>9636 Pine Rd, London</t>
  </si>
  <si>
    <t>TXN1000372</t>
  </si>
  <si>
    <t>9174 Pine Rd, Paris</t>
  </si>
  <si>
    <t>TXN1000373</t>
  </si>
  <si>
    <t>7950 Broadway, New York</t>
  </si>
  <si>
    <t>TXN1000374</t>
  </si>
  <si>
    <t>1604 Oak Ave, Mumbai</t>
  </si>
  <si>
    <t>TXN1000375</t>
  </si>
  <si>
    <t>Sarah Martinez</t>
  </si>
  <si>
    <t>4024 Broadway, Dubai</t>
  </si>
  <si>
    <t>TXN1000376</t>
  </si>
  <si>
    <t xml:space="preserve">  JOHN BROWN </t>
  </si>
  <si>
    <t>Jessica Thomas</t>
  </si>
  <si>
    <t>8200 Cedar Ln, Toronto</t>
  </si>
  <si>
    <t>TXN1000377</t>
  </si>
  <si>
    <t>Fatima Wilson</t>
  </si>
  <si>
    <t>John Lopez</t>
  </si>
  <si>
    <t>5017 Main St, New York</t>
  </si>
  <si>
    <t>TXN1000378</t>
  </si>
  <si>
    <t>Fatima Souza</t>
  </si>
  <si>
    <t xml:space="preserve"> fatima khan   </t>
  </si>
  <si>
    <t>4422 Pine Rd, Toronto</t>
  </si>
  <si>
    <t>TXN1000379</t>
  </si>
  <si>
    <t>David Dubois</t>
  </si>
  <si>
    <t>Patricia Malik</t>
  </si>
  <si>
    <t>7099 Main St, Mumbai</t>
  </si>
  <si>
    <t>TXN1000380</t>
  </si>
  <si>
    <t>Charles Martinez</t>
  </si>
  <si>
    <t>7382 Oak Ave, Paris</t>
  </si>
  <si>
    <t>TXN1000381</t>
  </si>
  <si>
    <t>Patricia Wilson</t>
  </si>
  <si>
    <t>1974 Broadway, Sydney</t>
  </si>
  <si>
    <t>TXN1000382</t>
  </si>
  <si>
    <t>8564 View Rd, Toronto</t>
  </si>
  <si>
    <t>TXN1000383</t>
  </si>
  <si>
    <t xml:space="preserve">  THOMAS NAIR </t>
  </si>
  <si>
    <t>1151 Oak Ave, Dubai</t>
  </si>
  <si>
    <t>TXN1000384</t>
  </si>
  <si>
    <t xml:space="preserve">  KAREN DUBOIS </t>
  </si>
  <si>
    <t>7638 Maple Dr, Sydney</t>
  </si>
  <si>
    <t>TXN1000385</t>
  </si>
  <si>
    <t>Carlos Rodriguez</t>
  </si>
  <si>
    <t>6420 Pine Rd, Sydney</t>
  </si>
  <si>
    <t>TXN1000386</t>
  </si>
  <si>
    <t>2205 Cedar Ln, Sydney</t>
  </si>
  <si>
    <t>TXN1000387</t>
  </si>
  <si>
    <t>Carlos Thomas</t>
  </si>
  <si>
    <t>7837 Main St, New York</t>
  </si>
  <si>
    <t>TXN1000388</t>
  </si>
  <si>
    <t>1351 Broadway, Sydney</t>
  </si>
  <si>
    <t>TXN1000389</t>
  </si>
  <si>
    <t xml:space="preserve"> amir garcia   </t>
  </si>
  <si>
    <t>1617 Pine Rd, London</t>
  </si>
  <si>
    <t>TXN1000390</t>
  </si>
  <si>
    <t>Marta Volkov</t>
  </si>
  <si>
    <t>Elena Khan</t>
  </si>
  <si>
    <t>9670 View Rd, Toronto</t>
  </si>
  <si>
    <t>TXN1000391</t>
  </si>
  <si>
    <t xml:space="preserve"> patricia rodriguez   </t>
  </si>
  <si>
    <t>4991 Main St, London</t>
  </si>
  <si>
    <t>TXN1000392</t>
  </si>
  <si>
    <t>Richard Jones</t>
  </si>
  <si>
    <t>2963 Main St, Paris</t>
  </si>
  <si>
    <t>TXN1000393</t>
  </si>
  <si>
    <t xml:space="preserve">  ELENA WILLIAMS </t>
  </si>
  <si>
    <t>6703 Oak Ave, Sydney</t>
  </si>
  <si>
    <t>TXN1000394</t>
  </si>
  <si>
    <t>Susan Johnson</t>
  </si>
  <si>
    <t>4105 Maple Dr, Toronto</t>
  </si>
  <si>
    <t>TXN1000395</t>
  </si>
  <si>
    <t>Elena Smith</t>
  </si>
  <si>
    <t>Barbara Brown</t>
  </si>
  <si>
    <t>283 Maple Dr, Paris</t>
  </si>
  <si>
    <t>TXN1000396</t>
  </si>
  <si>
    <t>Mary Davis</t>
  </si>
  <si>
    <t>Joseph Garcia</t>
  </si>
  <si>
    <t>6715 Broadway, Dubai</t>
  </si>
  <si>
    <t>TXN1000397</t>
  </si>
  <si>
    <t>8828 Broadway, London</t>
  </si>
  <si>
    <t>TXN1000398</t>
  </si>
  <si>
    <t>Fatima Lopez</t>
  </si>
  <si>
    <t xml:space="preserve"> michael rostova   </t>
  </si>
  <si>
    <t>5798 Oak Ave, Dubai</t>
  </si>
  <si>
    <t>TXN1000399</t>
  </si>
  <si>
    <t>Elena Garcia</t>
  </si>
  <si>
    <t>1196 Oak Ave, Sydney</t>
  </si>
  <si>
    <t>TXN1000400</t>
  </si>
  <si>
    <t>John Jones</t>
  </si>
  <si>
    <t>8102 Cedar Ln, Toronto</t>
  </si>
  <si>
    <t>TXN1000401</t>
  </si>
  <si>
    <t>3454 Main St, Paris</t>
  </si>
  <si>
    <t>TXN1000402</t>
  </si>
  <si>
    <t>1286 Maple Dr, New York</t>
  </si>
  <si>
    <t>TXN1000403</t>
  </si>
  <si>
    <t xml:space="preserve"> karen jones   </t>
  </si>
  <si>
    <t>6405 Broadway, Paris</t>
  </si>
  <si>
    <t>TXN1000404</t>
  </si>
  <si>
    <t>7095 Maple Dr, Paris</t>
  </si>
  <si>
    <t>TXN1000405</t>
  </si>
  <si>
    <t>Lucas Volkov</t>
  </si>
  <si>
    <t>7399 Broadway, Paris</t>
  </si>
  <si>
    <t>TXN1000406</t>
  </si>
  <si>
    <t>Sanjay Jackson</t>
  </si>
  <si>
    <t>6611 Main St, Dubai</t>
  </si>
  <si>
    <t>TXN1000407</t>
  </si>
  <si>
    <t>3772 Oak Ave, Dubai</t>
  </si>
  <si>
    <t>TXN1000408</t>
  </si>
  <si>
    <t>Patricia Nair</t>
  </si>
  <si>
    <t>4070 Oak Ave, Mumbai</t>
  </si>
  <si>
    <t>TXN1000409</t>
  </si>
  <si>
    <t xml:space="preserve">  DAVID VOLKOV </t>
  </si>
  <si>
    <t>Marta Rodriguez</t>
  </si>
  <si>
    <t>5652 Maple Dr, Dubai</t>
  </si>
  <si>
    <t>TXN1000410</t>
  </si>
  <si>
    <t>6689 Cedar Ln, New York</t>
  </si>
  <si>
    <t>TXN1000411</t>
  </si>
  <si>
    <t>2441 Cedar Ln, Paris</t>
  </si>
  <si>
    <t>TXN1000412</t>
  </si>
  <si>
    <t>Priya Martin</t>
  </si>
  <si>
    <t>8285 Oak Ave, Dubai</t>
  </si>
  <si>
    <t>TXN1000413</t>
  </si>
  <si>
    <t>Sanjay Martin</t>
  </si>
  <si>
    <t>5143 Broadway, Dubai</t>
  </si>
  <si>
    <t>TXN1000414</t>
  </si>
  <si>
    <t>Fatima Rostova</t>
  </si>
  <si>
    <t>7292 Cedar Ln, New York</t>
  </si>
  <si>
    <t>TXN1000415</t>
  </si>
  <si>
    <t>Fatima Thomas</t>
  </si>
  <si>
    <t>Jessica Volkov</t>
  </si>
  <si>
    <t>2772 Pine Rd, Sydney</t>
  </si>
  <si>
    <t>TXN1000416</t>
  </si>
  <si>
    <t>John Brown</t>
  </si>
  <si>
    <t>9618 Broadway, Sydney</t>
  </si>
  <si>
    <t>TXN1000417</t>
  </si>
  <si>
    <t>David Rostova</t>
  </si>
  <si>
    <t>Nancy Volkov</t>
  </si>
  <si>
    <t>190 Oak Ave, Mumbai</t>
  </si>
  <si>
    <t>TXN1000418</t>
  </si>
  <si>
    <t>Sanjay Silva</t>
  </si>
  <si>
    <t>Zayn Jackson</t>
  </si>
  <si>
    <t>4159 Pine Rd, Dubai</t>
  </si>
  <si>
    <t>TXN1000419</t>
  </si>
  <si>
    <t>Thomas Thomas</t>
  </si>
  <si>
    <t>9978 Pine Rd, London</t>
  </si>
  <si>
    <t>TXN1000420</t>
  </si>
  <si>
    <t>Carlos Silva</t>
  </si>
  <si>
    <t>Mary Brown</t>
  </si>
  <si>
    <t>4540 Maple Dr, New York</t>
  </si>
  <si>
    <t>TXN1000421</t>
  </si>
  <si>
    <t>David Hernandez</t>
  </si>
  <si>
    <t>3883 Broadway, Toronto</t>
  </si>
  <si>
    <t>TXN1000422</t>
  </si>
  <si>
    <t>4768 Cedar Ln, London</t>
  </si>
  <si>
    <t>TXN1000423</t>
  </si>
  <si>
    <t>1816 Broadway, Mumbai</t>
  </si>
  <si>
    <t>TXN1000424</t>
  </si>
  <si>
    <t>Barbara Miller</t>
  </si>
  <si>
    <t>4638 Cedar Ln, Dubai</t>
  </si>
  <si>
    <t>TXN1000425</t>
  </si>
  <si>
    <t>4032 Cedar Ln, New York</t>
  </si>
  <si>
    <t>TXN1000426</t>
  </si>
  <si>
    <t>7716 Maple Dr, Toronto</t>
  </si>
  <si>
    <t>TXN1000427</t>
  </si>
  <si>
    <t>5998 Maple Dr, Sydney</t>
  </si>
  <si>
    <t>TXN1000428</t>
  </si>
  <si>
    <t>Susan Miller</t>
  </si>
  <si>
    <t>5039 Broadway, London</t>
  </si>
  <si>
    <t>TXN1000429</t>
  </si>
  <si>
    <t>990 Broadway, Mumbai</t>
  </si>
  <si>
    <t>TXN1000430</t>
  </si>
  <si>
    <t>John Wilson</t>
  </si>
  <si>
    <t>Susan Velez</t>
  </si>
  <si>
    <t>7136 View Rd, Sydney</t>
  </si>
  <si>
    <t>TXN1000431</t>
  </si>
  <si>
    <t>Carlos Brown</t>
  </si>
  <si>
    <t>4061 View Rd, New York</t>
  </si>
  <si>
    <t>TXN1000432</t>
  </si>
  <si>
    <t>Thomas Rostova</t>
  </si>
  <si>
    <t>8906 Broadway, London</t>
  </si>
  <si>
    <t>TXN1000433</t>
  </si>
  <si>
    <t>Mary Dubois</t>
  </si>
  <si>
    <t>6200 Broadway, London</t>
  </si>
  <si>
    <t>TXN1000434</t>
  </si>
  <si>
    <t>6786 Maple Dr, New York</t>
  </si>
  <si>
    <t>TXN1000435</t>
  </si>
  <si>
    <t>Joseph Johnson</t>
  </si>
  <si>
    <t>9903 Main St, Paris</t>
  </si>
  <si>
    <t>TXN1000436</t>
  </si>
  <si>
    <t>8569 Cedar Ln, Paris</t>
  </si>
  <si>
    <t>TXN1000437</t>
  </si>
  <si>
    <t xml:space="preserve">  DAVID SMITH </t>
  </si>
  <si>
    <t>Linda Lopez</t>
  </si>
  <si>
    <t>2532 Main St, New York</t>
  </si>
  <si>
    <t>TXN1000438</t>
  </si>
  <si>
    <t>6937 Oak Ave, Mumbai</t>
  </si>
  <si>
    <t>TXN1000439</t>
  </si>
  <si>
    <t xml:space="preserve">  PATRICIA VOLKOV </t>
  </si>
  <si>
    <t>Carlos Garcia</t>
  </si>
  <si>
    <t>5554 Main St, Dubai</t>
  </si>
  <si>
    <t>TXN1000440</t>
  </si>
  <si>
    <t>Elizabeth Miller</t>
  </si>
  <si>
    <t xml:space="preserve"> fatima garcia   </t>
  </si>
  <si>
    <t>8969 Pine Rd, Mumbai</t>
  </si>
  <si>
    <t>TXN1000441</t>
  </si>
  <si>
    <t>6945 Broadway, New York</t>
  </si>
  <si>
    <t>TXN1000442</t>
  </si>
  <si>
    <t xml:space="preserve"> linda martinez   </t>
  </si>
  <si>
    <t>4724 View Rd, London</t>
  </si>
  <si>
    <t>TXN1000443</t>
  </si>
  <si>
    <t>8948 View Rd, New York</t>
  </si>
  <si>
    <t>TXN1000444</t>
  </si>
  <si>
    <t xml:space="preserve">  JOHN SOUZA </t>
  </si>
  <si>
    <t>4691 View Rd, Mumbai</t>
  </si>
  <si>
    <t>TXN1000445</t>
  </si>
  <si>
    <t>Elizabeth Williams</t>
  </si>
  <si>
    <t>Christopher Smith</t>
  </si>
  <si>
    <t>2921 Pine Rd, Dubai</t>
  </si>
  <si>
    <t>TXN1000446</t>
  </si>
  <si>
    <t>7793 Broadway, Mumbai</t>
  </si>
  <si>
    <t>TXN1000447</t>
  </si>
  <si>
    <t>3680 Pine Rd, Mumbai</t>
  </si>
  <si>
    <t>TXN1000448</t>
  </si>
  <si>
    <t>2562 Cedar Ln, Toronto</t>
  </si>
  <si>
    <t>TXN1000449</t>
  </si>
  <si>
    <t>Lucas Brown</t>
  </si>
  <si>
    <t>9375 View Rd, Mumbai</t>
  </si>
  <si>
    <t>TXN1000450</t>
  </si>
  <si>
    <t xml:space="preserve">  CHRISTOPHER GONZALEZ </t>
  </si>
  <si>
    <t>Mary Martin</t>
  </si>
  <si>
    <t>8084 Broadway, New York</t>
  </si>
  <si>
    <t>TXN1000451</t>
  </si>
  <si>
    <t>Carlos Martin</t>
  </si>
  <si>
    <t>6149 Oak Ave, Paris</t>
  </si>
  <si>
    <t>TXN1000452</t>
  </si>
  <si>
    <t>Elena Rodriguez</t>
  </si>
  <si>
    <t>1085 Maple Dr, Dubai</t>
  </si>
  <si>
    <t>TXN1000453</t>
  </si>
  <si>
    <t>Barbara Martin</t>
  </si>
  <si>
    <t>9001 Pine Rd, London</t>
  </si>
  <si>
    <t>TXN1000454</t>
  </si>
  <si>
    <t xml:space="preserve">  CHRISTOPHER TAYLOR </t>
  </si>
  <si>
    <t>Christopher Nair</t>
  </si>
  <si>
    <t>6389 Maple Dr, New York</t>
  </si>
  <si>
    <t>TXN1000455</t>
  </si>
  <si>
    <t>Thomas Al-Sayed</t>
  </si>
  <si>
    <t>Carlos Wilson</t>
  </si>
  <si>
    <t>5468 View Rd, Dubai</t>
  </si>
  <si>
    <t>TXN1000456</t>
  </si>
  <si>
    <t>7666 Pine Rd, Paris</t>
  </si>
  <si>
    <t>TXN1000457</t>
  </si>
  <si>
    <t xml:space="preserve">  ELENA MOORE </t>
  </si>
  <si>
    <t>7758 Broadway, Sydney</t>
  </si>
  <si>
    <t>TXN1000458</t>
  </si>
  <si>
    <t>Christopher Jackson</t>
  </si>
  <si>
    <t>7604 Pine Rd, Toronto</t>
  </si>
  <si>
    <t>TXN1000459</t>
  </si>
  <si>
    <t>David Jackson</t>
  </si>
  <si>
    <t>2039 Maple Dr, Toronto</t>
  </si>
  <si>
    <t>TXN1000460</t>
  </si>
  <si>
    <t>Karen Silva</t>
  </si>
  <si>
    <t>8195 Oak Ave, Sydney</t>
  </si>
  <si>
    <t>TXN1000461</t>
  </si>
  <si>
    <t>1995 Cedar Ln, Mumbai</t>
  </si>
  <si>
    <t>TXN1000462</t>
  </si>
  <si>
    <t>Marta Miller</t>
  </si>
  <si>
    <t>1173 Main St, Toronto</t>
  </si>
  <si>
    <t>TXN1000463</t>
  </si>
  <si>
    <t>Charles Velez</t>
  </si>
  <si>
    <t>4995 Maple Dr, Mumbai</t>
  </si>
  <si>
    <t>TXN1000464</t>
  </si>
  <si>
    <t>Elena Jones</t>
  </si>
  <si>
    <t>Jean-Pierre Volkov</t>
  </si>
  <si>
    <t>9443 View Rd, Mumbai</t>
  </si>
  <si>
    <t>TXN1000465</t>
  </si>
  <si>
    <t>Amir Johnson</t>
  </si>
  <si>
    <t>7123 Broadway, Paris</t>
  </si>
  <si>
    <t>TXN1000466</t>
  </si>
  <si>
    <t>4007 Pine Rd, Sydney</t>
  </si>
  <si>
    <t>TXN1000467</t>
  </si>
  <si>
    <t>4624 Oak Ave, Sydney</t>
  </si>
  <si>
    <t>TXN1000468</t>
  </si>
  <si>
    <t>Thomas Miller</t>
  </si>
  <si>
    <t>2384 Oak Ave, Paris</t>
  </si>
  <si>
    <t>TXN1000469</t>
  </si>
  <si>
    <t>Joseph Dubois</t>
  </si>
  <si>
    <t>Elizabeth Anderson</t>
  </si>
  <si>
    <t>857 Broadway, Toronto</t>
  </si>
  <si>
    <t>TXN1000470</t>
  </si>
  <si>
    <t>Jessica Martinez</t>
  </si>
  <si>
    <t>Fatima Hernandez</t>
  </si>
  <si>
    <t>3658 Cedar Ln, London</t>
  </si>
  <si>
    <t>TXN1000471</t>
  </si>
  <si>
    <t xml:space="preserve">  JOSEPH JONES </t>
  </si>
  <si>
    <t>Jean-Pierre Smith</t>
  </si>
  <si>
    <t>3947 Broadway, Sydney</t>
  </si>
  <si>
    <t>TXN1000472</t>
  </si>
  <si>
    <t>2518 Broadway, London</t>
  </si>
  <si>
    <t>TXN1000473</t>
  </si>
  <si>
    <t xml:space="preserve">  ELENA MILLER </t>
  </si>
  <si>
    <t>William Rostova</t>
  </si>
  <si>
    <t>5344 Main St, Toronto</t>
  </si>
  <si>
    <t>TXN1000474</t>
  </si>
  <si>
    <t>2945 Oak Ave, Dubai</t>
  </si>
  <si>
    <t>TXN1000475</t>
  </si>
  <si>
    <t>Zayn Smith</t>
  </si>
  <si>
    <t>8949 Oak Ave, Mumbai</t>
  </si>
  <si>
    <t>TXN1000476</t>
  </si>
  <si>
    <t>Amir Rodriguez</t>
  </si>
  <si>
    <t>522 Maple Dr, London</t>
  </si>
  <si>
    <t>TXN1000477</t>
  </si>
  <si>
    <t xml:space="preserve"> susan taylor   </t>
  </si>
  <si>
    <t>4366 View Rd, Mumbai</t>
  </si>
  <si>
    <t>TXN1000478</t>
  </si>
  <si>
    <t>2810 Cedar Ln, Dubai</t>
  </si>
  <si>
    <t>TXN1000479</t>
  </si>
  <si>
    <t xml:space="preserve"> john hernandez   </t>
  </si>
  <si>
    <t>8169 Oak Ave, Mumbai</t>
  </si>
  <si>
    <t>TXN1000480</t>
  </si>
  <si>
    <t>Sanjay Al-Sayed</t>
  </si>
  <si>
    <t>Amir Khan</t>
  </si>
  <si>
    <t>2641 Maple Dr, Sydney</t>
  </si>
  <si>
    <t>TXN1000481</t>
  </si>
  <si>
    <t>Carlos Al-Sayed</t>
  </si>
  <si>
    <t>3264 Broadway, Dubai</t>
  </si>
  <si>
    <t>TXN1000482</t>
  </si>
  <si>
    <t>Susan Dubois</t>
  </si>
  <si>
    <t>8579 Oak Ave, London</t>
  </si>
  <si>
    <t>TXN1000483</t>
  </si>
  <si>
    <t>Patricia Taylor</t>
  </si>
  <si>
    <t>1547 Oak Ave, New York</t>
  </si>
  <si>
    <t>TXN1000484</t>
  </si>
  <si>
    <t>Thomas Silva</t>
  </si>
  <si>
    <t>1864 Oak Ave, Sydney</t>
  </si>
  <si>
    <t>TXN1000485</t>
  </si>
  <si>
    <t>9321 Pine Rd, Paris</t>
  </si>
  <si>
    <t>TXN1000486</t>
  </si>
  <si>
    <t>Zayn Miller</t>
  </si>
  <si>
    <t>3277 Pine Rd, Toronto</t>
  </si>
  <si>
    <t>TXN1000487</t>
  </si>
  <si>
    <t>7363 Maple Dr, Paris</t>
  </si>
  <si>
    <t>TXN1000488</t>
  </si>
  <si>
    <t>Mary Miller</t>
  </si>
  <si>
    <t>Barbara Wilson</t>
  </si>
  <si>
    <t>9767 Main St, New York</t>
  </si>
  <si>
    <t>TXN1000489</t>
  </si>
  <si>
    <t>9270 Cedar Ln, Dubai</t>
  </si>
  <si>
    <t>TXN1000490</t>
  </si>
  <si>
    <t>7801 Main St, Sydney</t>
  </si>
  <si>
    <t>TXN1000491</t>
  </si>
  <si>
    <t>Susan Al-Sayed</t>
  </si>
  <si>
    <t>2297 Broadway, Toronto</t>
  </si>
  <si>
    <t>TXN1000492</t>
  </si>
  <si>
    <t>Richard Souza</t>
  </si>
  <si>
    <t>1072 Pine Rd, London</t>
  </si>
  <si>
    <t>TXN1000493</t>
  </si>
  <si>
    <t xml:space="preserve"> elena dubois   </t>
  </si>
  <si>
    <t>5734 Main St, Sydney</t>
  </si>
  <si>
    <t>TXN1000494</t>
  </si>
  <si>
    <t>Barbara Al-Sayed</t>
  </si>
  <si>
    <t xml:space="preserve"> elena martin   </t>
  </si>
  <si>
    <t>2223 Broadway, Dubai</t>
  </si>
  <si>
    <t>TXN1000495</t>
  </si>
  <si>
    <t>Sanjay Thomas</t>
  </si>
  <si>
    <t xml:space="preserve"> karen lopez   </t>
  </si>
  <si>
    <t>324 Oak Ave, New York</t>
  </si>
  <si>
    <t>TXN1000496</t>
  </si>
  <si>
    <t>Patricia Gonzalez</t>
  </si>
  <si>
    <t>9132 Broadway, London</t>
  </si>
  <si>
    <t>TXN1000497</t>
  </si>
  <si>
    <t>1206 Cedar Ln, Paris</t>
  </si>
  <si>
    <t>TXN1000498</t>
  </si>
  <si>
    <t>3031 Broadway, Dubai</t>
  </si>
  <si>
    <t>TXN1000499</t>
  </si>
  <si>
    <t>3071 Oak Ave, Mumbai</t>
  </si>
  <si>
    <t>TXN1000500</t>
  </si>
  <si>
    <t xml:space="preserve">  LUCAS WILSON </t>
  </si>
  <si>
    <t>David Volkov</t>
  </si>
  <si>
    <t>7515 Broadway, New York</t>
  </si>
  <si>
    <t>TXN1000501</t>
  </si>
  <si>
    <t>1709 View Rd, London</t>
  </si>
  <si>
    <t>TXN1000502</t>
  </si>
  <si>
    <t>9308 View Rd, London</t>
  </si>
  <si>
    <t>TXN1000503</t>
  </si>
  <si>
    <t>6882 Main St, New York</t>
  </si>
  <si>
    <t>TXN1000504</t>
  </si>
  <si>
    <t xml:space="preserve"> nancy dubois   </t>
  </si>
  <si>
    <t>9649 Pine Rd, Sydney</t>
  </si>
  <si>
    <t>TXN1000505</t>
  </si>
  <si>
    <t>8005 Oak Ave, Toronto</t>
  </si>
  <si>
    <t>TXN1000506</t>
  </si>
  <si>
    <t>5678 Pine Rd, Mumbai</t>
  </si>
  <si>
    <t>TXN1000507</t>
  </si>
  <si>
    <t>6648 View Rd, Mumbai</t>
  </si>
  <si>
    <t>TXN1000508</t>
  </si>
  <si>
    <t>Richard Volkov</t>
  </si>
  <si>
    <t>Charles Thomas</t>
  </si>
  <si>
    <t>3892 View Rd, London</t>
  </si>
  <si>
    <t>TXN1000509</t>
  </si>
  <si>
    <t>9269 View Rd, Toronto</t>
  </si>
  <si>
    <t>TXN1000510</t>
  </si>
  <si>
    <t>5550 Main St, Toronto</t>
  </si>
  <si>
    <t>TXN1000511</t>
  </si>
  <si>
    <t>1653 Pine Rd, Mumbai</t>
  </si>
  <si>
    <t>TXN1000512</t>
  </si>
  <si>
    <t>Sarah Jones</t>
  </si>
  <si>
    <t>8478 Oak Ave, Dubai</t>
  </si>
  <si>
    <t>TXN1000513</t>
  </si>
  <si>
    <t>Carlos Dubois</t>
  </si>
  <si>
    <t>4686 Broadway, Paris</t>
  </si>
  <si>
    <t>TXN1000514</t>
  </si>
  <si>
    <t>Jessica Johnson</t>
  </si>
  <si>
    <t>6547 Oak Ave, Sydney</t>
  </si>
  <si>
    <t>TXN1000515</t>
  </si>
  <si>
    <t>Sanjay Hernandez</t>
  </si>
  <si>
    <t xml:space="preserve"> robert garcia   </t>
  </si>
  <si>
    <t>9648 Maple Dr, Paris</t>
  </si>
  <si>
    <t>TXN1000516</t>
  </si>
  <si>
    <t xml:space="preserve"> amir jackson   </t>
  </si>
  <si>
    <t>5977 Oak Ave, London</t>
  </si>
  <si>
    <t>TXN1000517</t>
  </si>
  <si>
    <t>Jean-Pierre Lopez</t>
  </si>
  <si>
    <t>5022 Pine Rd, Toronto</t>
  </si>
  <si>
    <t>TXN1000518</t>
  </si>
  <si>
    <t>Patricia Thomas</t>
  </si>
  <si>
    <t>Fatima Martin</t>
  </si>
  <si>
    <t>4786 Broadway, Paris</t>
  </si>
  <si>
    <t>TXN1000519</t>
  </si>
  <si>
    <t>Sanjay Nair</t>
  </si>
  <si>
    <t>Lucas Gonzalez</t>
  </si>
  <si>
    <t>2002 Broadway, Dubai</t>
  </si>
  <si>
    <t>TXN1000520</t>
  </si>
  <si>
    <t xml:space="preserve">  LINDA SOUZA </t>
  </si>
  <si>
    <t>4770 Maple Dr, Sydney</t>
  </si>
  <si>
    <t>TXN1000521</t>
  </si>
  <si>
    <t>Fatima Taylor</t>
  </si>
  <si>
    <t>240 View Rd, Toronto</t>
  </si>
  <si>
    <t>TXN1000522</t>
  </si>
  <si>
    <t>Sarah Thomas</t>
  </si>
  <si>
    <t>Fatima Khan</t>
  </si>
  <si>
    <t>116 Broadway, Mumbai</t>
  </si>
  <si>
    <t>TXN1000523</t>
  </si>
  <si>
    <t xml:space="preserve">  CARLOS RODRIGUEZ </t>
  </si>
  <si>
    <t>564 Maple Dr, Mumbai</t>
  </si>
  <si>
    <t>TXN1000524</t>
  </si>
  <si>
    <t>8811 Cedar Ln, London</t>
  </si>
  <si>
    <t>TXN1000525</t>
  </si>
  <si>
    <t>Susan Wilson</t>
  </si>
  <si>
    <t>4915 Maple Dr, Sydney</t>
  </si>
  <si>
    <t>TXN1000526</t>
  </si>
  <si>
    <t>9217 Broadway, Dubai</t>
  </si>
  <si>
    <t>TXN1000527</t>
  </si>
  <si>
    <t>1069 Broadway, Mumbai</t>
  </si>
  <si>
    <t>TXN1000528</t>
  </si>
  <si>
    <t>Sanjay Wilson</t>
  </si>
  <si>
    <t>7447 Maple Dr, Mumbai</t>
  </si>
  <si>
    <t>TXN1000529</t>
  </si>
  <si>
    <t>Patricia Moore</t>
  </si>
  <si>
    <t>7040 Pine Rd, Paris</t>
  </si>
  <si>
    <t>TXN1000530</t>
  </si>
  <si>
    <t>5655 Pine Rd, Mumbai</t>
  </si>
  <si>
    <t>TXN1000531</t>
  </si>
  <si>
    <t>4813 Cedar Ln, Mumbai</t>
  </si>
  <si>
    <t>TXN1000532</t>
  </si>
  <si>
    <t>7578 Maple Dr, Mumbai</t>
  </si>
  <si>
    <t>TXN1000533</t>
  </si>
  <si>
    <t>5033 Broadway, Sydney</t>
  </si>
  <si>
    <t>TXN1000534</t>
  </si>
  <si>
    <t>Patricia Souza</t>
  </si>
  <si>
    <t>4069 View Rd, London</t>
  </si>
  <si>
    <t>TXN1000535</t>
  </si>
  <si>
    <t>7208 View Rd, Sydney</t>
  </si>
  <si>
    <t>TXN1000536</t>
  </si>
  <si>
    <t>144 Pine Rd, Paris</t>
  </si>
  <si>
    <t>TXN1000537</t>
  </si>
  <si>
    <t>Carlos Volkov</t>
  </si>
  <si>
    <t>Joseph Al-Sayed</t>
  </si>
  <si>
    <t>9121 View Rd, Mumbai</t>
  </si>
  <si>
    <t>TXN1000538</t>
  </si>
  <si>
    <t>Karen Khan</t>
  </si>
  <si>
    <t>2681 Maple Dr, Sydney</t>
  </si>
  <si>
    <t>TXN1000539</t>
  </si>
  <si>
    <t>Sarah Wilson</t>
  </si>
  <si>
    <t>1031 Main St, Paris</t>
  </si>
  <si>
    <t>TXN1000540</t>
  </si>
  <si>
    <t>Fatima Miller</t>
  </si>
  <si>
    <t>6482 Broadway, New York</t>
  </si>
  <si>
    <t>TXN1000541</t>
  </si>
  <si>
    <t>Robert Garcia</t>
  </si>
  <si>
    <t>8439 Main St, Sydney</t>
  </si>
  <si>
    <t>TXN1000542</t>
  </si>
  <si>
    <t>3221 Oak Ave, Mumbai</t>
  </si>
  <si>
    <t>TXN1000543</t>
  </si>
  <si>
    <t>9207 Broadway, Dubai</t>
  </si>
  <si>
    <t>TXN1000544</t>
  </si>
  <si>
    <t>3848 View Rd, London</t>
  </si>
  <si>
    <t>TXN1000545</t>
  </si>
  <si>
    <t>1959 Cedar Ln, Sydney</t>
  </si>
  <si>
    <t>TXN1000546</t>
  </si>
  <si>
    <t xml:space="preserve">  AMIR KHAN </t>
  </si>
  <si>
    <t>6029 Main St, London</t>
  </si>
  <si>
    <t>TXN1000547</t>
  </si>
  <si>
    <t xml:space="preserve"> elizabeth velez   </t>
  </si>
  <si>
    <t>4775 Pine Rd, London</t>
  </si>
  <si>
    <t>TXN1000548</t>
  </si>
  <si>
    <t>9474 Pine Rd, New York</t>
  </si>
  <si>
    <t>TXN1000549</t>
  </si>
  <si>
    <t>5408 Broadway, Toronto</t>
  </si>
  <si>
    <t>TXN1000550</t>
  </si>
  <si>
    <t>9922 Cedar Ln, London</t>
  </si>
  <si>
    <t>TXN1000551</t>
  </si>
  <si>
    <t>Richard Velez</t>
  </si>
  <si>
    <t>4382 Maple Dr, London</t>
  </si>
  <si>
    <t>TXN1000552</t>
  </si>
  <si>
    <t xml:space="preserve"> mary khan   </t>
  </si>
  <si>
    <t>229 Oak Ave, Sydney</t>
  </si>
  <si>
    <t>TXN1000553</t>
  </si>
  <si>
    <t>Thomas Moore</t>
  </si>
  <si>
    <t>Carlos Lopez</t>
  </si>
  <si>
    <t>8251 Main St, Dubai</t>
  </si>
  <si>
    <t>TXN1000554</t>
  </si>
  <si>
    <t>344 Broadway, Toronto</t>
  </si>
  <si>
    <t>TXN1000555</t>
  </si>
  <si>
    <t>2276 Pine Rd, Paris</t>
  </si>
  <si>
    <t>TXN1000556</t>
  </si>
  <si>
    <t>Richard Anderson</t>
  </si>
  <si>
    <t>8632 Maple Dr, Paris</t>
  </si>
  <si>
    <t>TXN1000557</t>
  </si>
  <si>
    <t>William Martinez</t>
  </si>
  <si>
    <t>8597 Maple Dr, Paris</t>
  </si>
  <si>
    <t>TXN1000558</t>
  </si>
  <si>
    <t>Patricia Velez</t>
  </si>
  <si>
    <t>Michael Souza</t>
  </si>
  <si>
    <t>7492 Pine Rd, Sydney</t>
  </si>
  <si>
    <t>TXN1000559</t>
  </si>
  <si>
    <t>7235 Main St, Paris</t>
  </si>
  <si>
    <t>TXN1000560</t>
  </si>
  <si>
    <t>5400 Oak Ave, Paris</t>
  </si>
  <si>
    <t>TXN1000561</t>
  </si>
  <si>
    <t>Lucas Taylor</t>
  </si>
  <si>
    <t>5605 Oak Ave, Sydney</t>
  </si>
  <si>
    <t>TXN1000562</t>
  </si>
  <si>
    <t>Zayn Williams</t>
  </si>
  <si>
    <t>9423 Pine Rd, London</t>
  </si>
  <si>
    <t>TXN1000563</t>
  </si>
  <si>
    <t>William Johnson</t>
  </si>
  <si>
    <t>4142 Oak Ave, Toronto</t>
  </si>
  <si>
    <t>TXN1000564</t>
  </si>
  <si>
    <t>Elena Dubois</t>
  </si>
  <si>
    <t>Robert Miller</t>
  </si>
  <si>
    <t>7598 Cedar Ln, Toronto</t>
  </si>
  <si>
    <t>TXN1000565</t>
  </si>
  <si>
    <t>111 Pine Rd, London</t>
  </si>
  <si>
    <t>TXN1000566</t>
  </si>
  <si>
    <t>2942 Main St, Dubai</t>
  </si>
  <si>
    <t>TXN1000567</t>
  </si>
  <si>
    <t>3109 Main St, London</t>
  </si>
  <si>
    <t>TXN1000568</t>
  </si>
  <si>
    <t xml:space="preserve"> richard rostova   </t>
  </si>
  <si>
    <t>2177 Maple Dr, Dubai</t>
  </si>
  <si>
    <t>TXN1000569</t>
  </si>
  <si>
    <t>Robert Smith</t>
  </si>
  <si>
    <t>3967 Main St, Mumbai</t>
  </si>
  <si>
    <t>TXN1000570</t>
  </si>
  <si>
    <t>Sarah Volkov</t>
  </si>
  <si>
    <t>4973 Maple Dr, London</t>
  </si>
  <si>
    <t>TXN1000571</t>
  </si>
  <si>
    <t>Sarah Moore</t>
  </si>
  <si>
    <t>5956 Cedar Ln, New York</t>
  </si>
  <si>
    <t>TXN1000572</t>
  </si>
  <si>
    <t>9689 Oak Ave, Paris</t>
  </si>
  <si>
    <t>TXN1000573</t>
  </si>
  <si>
    <t>Karen Thomas</t>
  </si>
  <si>
    <t>1369 Cedar Ln, Dubai</t>
  </si>
  <si>
    <t>TXN1000574</t>
  </si>
  <si>
    <t>8476 Maple Dr, London</t>
  </si>
  <si>
    <t>TXN1000575</t>
  </si>
  <si>
    <t>Amir Rostova</t>
  </si>
  <si>
    <t>Elizabeth Thomas</t>
  </si>
  <si>
    <t>5772 Oak Ave, London</t>
  </si>
  <si>
    <t>TXN1000576</t>
  </si>
  <si>
    <t>6255 Main St, Sydney</t>
  </si>
  <si>
    <t>TXN1000577</t>
  </si>
  <si>
    <t xml:space="preserve">  BARBARA ANDERSON </t>
  </si>
  <si>
    <t>John Anderson</t>
  </si>
  <si>
    <t>1981 Main St, London</t>
  </si>
  <si>
    <t>TXN1000578</t>
  </si>
  <si>
    <t>3909 Maple Dr, Paris</t>
  </si>
  <si>
    <t>TXN1000579</t>
  </si>
  <si>
    <t>4255 Oak Ave, New York</t>
  </si>
  <si>
    <t>TXN1000580</t>
  </si>
  <si>
    <t>Lucas Smith</t>
  </si>
  <si>
    <t>1509 Broadway, New York</t>
  </si>
  <si>
    <t>TXN1000581</t>
  </si>
  <si>
    <t>5297 Oak Ave, Mumbai</t>
  </si>
  <si>
    <t>TXN1000582</t>
  </si>
  <si>
    <t>8818 Maple Dr, Mumbai</t>
  </si>
  <si>
    <t>TXN1000583</t>
  </si>
  <si>
    <t>2272 Broadway, Mumbai</t>
  </si>
  <si>
    <t>TXN1000584</t>
  </si>
  <si>
    <t>David Souza</t>
  </si>
  <si>
    <t>4077 View Rd, Dubai</t>
  </si>
  <si>
    <t>TXN1000585</t>
  </si>
  <si>
    <t>7925 View Rd, London</t>
  </si>
  <si>
    <t>TXN1000586</t>
  </si>
  <si>
    <t>Joseph Smith</t>
  </si>
  <si>
    <t>5347 Oak Ave, Sydney</t>
  </si>
  <si>
    <t>TXN1000587</t>
  </si>
  <si>
    <t>6235 View Rd, Sydney</t>
  </si>
  <si>
    <t>TXN1000588</t>
  </si>
  <si>
    <t>Nancy Wilson</t>
  </si>
  <si>
    <t>7289 View Rd, Paris</t>
  </si>
  <si>
    <t>TXN1000589</t>
  </si>
  <si>
    <t>4635 Main St, New York</t>
  </si>
  <si>
    <t>TXN1000590</t>
  </si>
  <si>
    <t>7797 View Rd, Toronto</t>
  </si>
  <si>
    <t>TXN1000591</t>
  </si>
  <si>
    <t>Carlos Jones</t>
  </si>
  <si>
    <t>762 Cedar Ln, Toronto</t>
  </si>
  <si>
    <t>TXN1000592</t>
  </si>
  <si>
    <t>9715 Pine Rd, Mumbai</t>
  </si>
  <si>
    <t>TXN1000593</t>
  </si>
  <si>
    <t>Robert Thomas</t>
  </si>
  <si>
    <t>5974 View Rd, Paris</t>
  </si>
  <si>
    <t>TXN1000594</t>
  </si>
  <si>
    <t>Sarah Martin</t>
  </si>
  <si>
    <t>2114 View Rd, Dubai</t>
  </si>
  <si>
    <t>TXN1000595</t>
  </si>
  <si>
    <t>9203 Main St, Mumbai</t>
  </si>
  <si>
    <t>TXN1000596</t>
  </si>
  <si>
    <t>Susan Martinez</t>
  </si>
  <si>
    <t>7866 View Rd, Mumbai</t>
  </si>
  <si>
    <t>TXN1000597</t>
  </si>
  <si>
    <t>Sanjay Davis</t>
  </si>
  <si>
    <t>William Martin</t>
  </si>
  <si>
    <t>3729 Broadway, Sydney</t>
  </si>
  <si>
    <t>TXN1000598</t>
  </si>
  <si>
    <t>Thomas Souza</t>
  </si>
  <si>
    <t>Karen Jackson</t>
  </si>
  <si>
    <t>8972 View Rd, Paris</t>
  </si>
  <si>
    <t>TXN1000599</t>
  </si>
  <si>
    <t>4751 Oak Ave, Mumbai</t>
  </si>
  <si>
    <t>TXN1000600</t>
  </si>
  <si>
    <t>3966 Maple Dr, Paris</t>
  </si>
  <si>
    <t>TXN1000601</t>
  </si>
  <si>
    <t>Christopher Malik</t>
  </si>
  <si>
    <t>Nancy Malik</t>
  </si>
  <si>
    <t>715 Pine Rd, Dubai</t>
  </si>
  <si>
    <t>TXN1000602</t>
  </si>
  <si>
    <t>5042 Pine Rd, New York</t>
  </si>
  <si>
    <t>TXN1000603</t>
  </si>
  <si>
    <t>1368 Broadway, Toronto</t>
  </si>
  <si>
    <t>TXN1000604</t>
  </si>
  <si>
    <t>Priya Rodriguez</t>
  </si>
  <si>
    <t>9076 Maple Dr, Toronto</t>
  </si>
  <si>
    <t>TXN1000605</t>
  </si>
  <si>
    <t>Patricia Rodriguez</t>
  </si>
  <si>
    <t>5329 View Rd, Dubai</t>
  </si>
  <si>
    <t>TXN1000606</t>
  </si>
  <si>
    <t>Nancy Khan</t>
  </si>
  <si>
    <t>4154 Cedar Ln, Toronto</t>
  </si>
  <si>
    <t>TXN1000607</t>
  </si>
  <si>
    <t>Lucas Martin</t>
  </si>
  <si>
    <t>7991 Pine Rd, Mumbai</t>
  </si>
  <si>
    <t>TXN1000608</t>
  </si>
  <si>
    <t>Jean-Pierre Nair</t>
  </si>
  <si>
    <t>425 Broadway, New York</t>
  </si>
  <si>
    <t>TXN1000609</t>
  </si>
  <si>
    <t xml:space="preserve"> thomas souza   </t>
  </si>
  <si>
    <t>7874 View Rd, London</t>
  </si>
  <si>
    <t>TXN1000610</t>
  </si>
  <si>
    <t>Thomas Gonzalez</t>
  </si>
  <si>
    <t>5032 Maple Dr, Toronto</t>
  </si>
  <si>
    <t>TXN1000611</t>
  </si>
  <si>
    <t>Jean-Pierre Souza</t>
  </si>
  <si>
    <t>William Williams</t>
  </si>
  <si>
    <t>9562 Main St, Sydney</t>
  </si>
  <si>
    <t>TXN1000612</t>
  </si>
  <si>
    <t>7854 Broadway, Paris</t>
  </si>
  <si>
    <t>TXN1000613</t>
  </si>
  <si>
    <t>1467 Pine Rd, Mumbai</t>
  </si>
  <si>
    <t>TXN1000614</t>
  </si>
  <si>
    <t>Robert Davis</t>
  </si>
  <si>
    <t>2675 Pine Rd, Sydney</t>
  </si>
  <si>
    <t>TXN1000615</t>
  </si>
  <si>
    <t>1681 Pine Rd, New York</t>
  </si>
  <si>
    <t>TXN1000616</t>
  </si>
  <si>
    <t xml:space="preserve">  MARTA JACKSON </t>
  </si>
  <si>
    <t xml:space="preserve"> robert johnson   </t>
  </si>
  <si>
    <t>4066 Oak Ave, Mumbai</t>
  </si>
  <si>
    <t>TXN1000617</t>
  </si>
  <si>
    <t>Linda Nair</t>
  </si>
  <si>
    <t>8420 Main St, London</t>
  </si>
  <si>
    <t>TXN1000618</t>
  </si>
  <si>
    <t>9143 View Rd, Mumbai</t>
  </si>
  <si>
    <t>TXN1000619</t>
  </si>
  <si>
    <t>Sanjay Johnson</t>
  </si>
  <si>
    <t>5331 Pine Rd, New York</t>
  </si>
  <si>
    <t>TXN1000620</t>
  </si>
  <si>
    <t>Lucas Garcia</t>
  </si>
  <si>
    <t>5694 Maple Dr, Sydney</t>
  </si>
  <si>
    <t>TXN1000621</t>
  </si>
  <si>
    <t>William Miller</t>
  </si>
  <si>
    <t>1744 Maple Dr, New York</t>
  </si>
  <si>
    <t>TXN1000622</t>
  </si>
  <si>
    <t>342 View Rd, Toronto</t>
  </si>
  <si>
    <t>TXN1000623</t>
  </si>
  <si>
    <t>Lucas Silva</t>
  </si>
  <si>
    <t>7369 Pine Rd, Mumbai</t>
  </si>
  <si>
    <t>TXN1000624</t>
  </si>
  <si>
    <t>Robert Hernandez</t>
  </si>
  <si>
    <t>8462 Cedar Ln, Mumbai</t>
  </si>
  <si>
    <t>TXN1000625</t>
  </si>
  <si>
    <t>Zayn Souza</t>
  </si>
  <si>
    <t>John Davis</t>
  </si>
  <si>
    <t>6431 Main St, Dubai</t>
  </si>
  <si>
    <t>TXN1000626</t>
  </si>
  <si>
    <t>1599 Maple Dr, Paris</t>
  </si>
  <si>
    <t>TXN1000627</t>
  </si>
  <si>
    <t xml:space="preserve"> amir velez   </t>
  </si>
  <si>
    <t>5262 Pine Rd, Sydney</t>
  </si>
  <si>
    <t>TXN1000628</t>
  </si>
  <si>
    <t>8077 Oak Ave, Toronto</t>
  </si>
  <si>
    <t>TXN1000629</t>
  </si>
  <si>
    <t xml:space="preserve">  DAVID HERNANDEZ </t>
  </si>
  <si>
    <t>Zayn Wilson</t>
  </si>
  <si>
    <t>9341 Broadway, Toronto</t>
  </si>
  <si>
    <t>TXN1000630</t>
  </si>
  <si>
    <t>Elizabeth Johnson</t>
  </si>
  <si>
    <t>David Martinez</t>
  </si>
  <si>
    <t>7344 Maple Dr, New York</t>
  </si>
  <si>
    <t>TXN1000631</t>
  </si>
  <si>
    <t>4406 Broadway, Toronto</t>
  </si>
  <si>
    <t>TXN1000632</t>
  </si>
  <si>
    <t>John Velez</t>
  </si>
  <si>
    <t>Charles Volkov</t>
  </si>
  <si>
    <t>4975 Broadway, Paris</t>
  </si>
  <si>
    <t>TXN1000633</t>
  </si>
  <si>
    <t>6682 View Rd, Toronto</t>
  </si>
  <si>
    <t>TXN1000634</t>
  </si>
  <si>
    <t>2757 Pine Rd, Toronto</t>
  </si>
  <si>
    <t>TXN1000635</t>
  </si>
  <si>
    <t>David Smith</t>
  </si>
  <si>
    <t>9763 View Rd, Dubai</t>
  </si>
  <si>
    <t>TXN1000636</t>
  </si>
  <si>
    <t>David Garcia</t>
  </si>
  <si>
    <t>2007 View Rd, New York</t>
  </si>
  <si>
    <t>TXN1000637</t>
  </si>
  <si>
    <t>8205 Maple Dr, New York</t>
  </si>
  <si>
    <t>TXN1000638</t>
  </si>
  <si>
    <t>1566 Maple Dr, Dubai</t>
  </si>
  <si>
    <t>TXN1000639</t>
  </si>
  <si>
    <t>Jessica Moore</t>
  </si>
  <si>
    <t>2066 Broadway, Toronto</t>
  </si>
  <si>
    <t>TXN1000640</t>
  </si>
  <si>
    <t>Lucas Rodriguez</t>
  </si>
  <si>
    <t>6602 Cedar Ln, Sydney</t>
  </si>
  <si>
    <t>TXN1000641</t>
  </si>
  <si>
    <t>7933 View Rd, Dubai</t>
  </si>
  <si>
    <t>TXN1000642</t>
  </si>
  <si>
    <t xml:space="preserve"> carlos dubois   </t>
  </si>
  <si>
    <t>8206 Pine Rd, Mumbai</t>
  </si>
  <si>
    <t>TXN1000643</t>
  </si>
  <si>
    <t>5640 View Rd, Mumbai</t>
  </si>
  <si>
    <t>TXN1000644</t>
  </si>
  <si>
    <t>Robert Malik</t>
  </si>
  <si>
    <t>699 Main St, Mumbai</t>
  </si>
  <si>
    <t>TXN1000645</t>
  </si>
  <si>
    <t>Karen Williams</t>
  </si>
  <si>
    <t>8892 Cedar Ln, Dubai</t>
  </si>
  <si>
    <t>TXN1000646</t>
  </si>
  <si>
    <t>3737 Main St, Sydney</t>
  </si>
  <si>
    <t>TXN1000647</t>
  </si>
  <si>
    <t>9390 Main St, Paris</t>
  </si>
  <si>
    <t>TXN1000648</t>
  </si>
  <si>
    <t>Thomas Smith</t>
  </si>
  <si>
    <t>8657 Oak Ave, Toronto</t>
  </si>
  <si>
    <t>TXN1000649</t>
  </si>
  <si>
    <t>Lucas Jackson</t>
  </si>
  <si>
    <t>7482 Cedar Ln, Paris</t>
  </si>
  <si>
    <t>TXN1000650</t>
  </si>
  <si>
    <t>Priya Taylor</t>
  </si>
  <si>
    <t>3669 Maple Dr, Toronto</t>
  </si>
  <si>
    <t>TXN1000651</t>
  </si>
  <si>
    <t>Marta Al-Sayed</t>
  </si>
  <si>
    <t>8604 Oak Ave, New York</t>
  </si>
  <si>
    <t>TXN1000652</t>
  </si>
  <si>
    <t>Jean-Pierre Martinez</t>
  </si>
  <si>
    <t>9369 Cedar Ln, Toronto</t>
  </si>
  <si>
    <t>TXN1000653</t>
  </si>
  <si>
    <t>7108 Maple Dr, Dubai</t>
  </si>
  <si>
    <t>TXN1000654</t>
  </si>
  <si>
    <t>Charles Rodriguez</t>
  </si>
  <si>
    <t>2481 Pine Rd, Dubai</t>
  </si>
  <si>
    <t>TXN1000655</t>
  </si>
  <si>
    <t>4543 Main St, Toronto</t>
  </si>
  <si>
    <t>TXN1000656</t>
  </si>
  <si>
    <t>Amir Martin</t>
  </si>
  <si>
    <t>1873 View Rd, Sydney</t>
  </si>
  <si>
    <t>TXN1000657</t>
  </si>
  <si>
    <t xml:space="preserve">  SANJAY DUBOIS </t>
  </si>
  <si>
    <t>Christopher Martinez</t>
  </si>
  <si>
    <t>3264 Cedar Ln, Paris</t>
  </si>
  <si>
    <t>TXN1000658</t>
  </si>
  <si>
    <t>Karen Wilson</t>
  </si>
  <si>
    <t>1046 View Rd, London</t>
  </si>
  <si>
    <t>TXN1000659</t>
  </si>
  <si>
    <t>606 Broadway, Mumbai</t>
  </si>
  <si>
    <t>TXN1000660</t>
  </si>
  <si>
    <t xml:space="preserve"> nancy miller   </t>
  </si>
  <si>
    <t>6819 View Rd, Sydney</t>
  </si>
  <si>
    <t>TXN1000661</t>
  </si>
  <si>
    <t>Patricia Johnson</t>
  </si>
  <si>
    <t>8797 View Rd, Paris</t>
  </si>
  <si>
    <t>TXN1000662</t>
  </si>
  <si>
    <t>6460 Oak Ave, Paris</t>
  </si>
  <si>
    <t>TXN1000663</t>
  </si>
  <si>
    <t>1292 Oak Ave, London</t>
  </si>
  <si>
    <t>TXN1000664</t>
  </si>
  <si>
    <t>Linda Al-Sayed</t>
  </si>
  <si>
    <t>1564 Broadway, Mumbai</t>
  </si>
  <si>
    <t>TXN1000665</t>
  </si>
  <si>
    <t>6206 Maple Dr, New York</t>
  </si>
  <si>
    <t>TXN1000666</t>
  </si>
  <si>
    <t>2660 Maple Dr, Mumbai</t>
  </si>
  <si>
    <t>TXN1000667</t>
  </si>
  <si>
    <t>1311 Oak Ave, Sydney</t>
  </si>
  <si>
    <t>TXN1000668</t>
  </si>
  <si>
    <t>9204 Maple Dr, Toronto</t>
  </si>
  <si>
    <t>TXN1000669</t>
  </si>
  <si>
    <t xml:space="preserve">  SUSAN SMITH </t>
  </si>
  <si>
    <t>8793 Oak Ave, Sydney</t>
  </si>
  <si>
    <t>TXN1000670</t>
  </si>
  <si>
    <t>Priya Garcia</t>
  </si>
  <si>
    <t>7780 Broadway, Dubai</t>
  </si>
  <si>
    <t>TXN1000671</t>
  </si>
  <si>
    <t>Joseph Brown</t>
  </si>
  <si>
    <t>7445 Main St, Mumbai</t>
  </si>
  <si>
    <t>TXN1000672</t>
  </si>
  <si>
    <t>4486 Cedar Ln, Toronto</t>
  </si>
  <si>
    <t>TXN1000673</t>
  </si>
  <si>
    <t>Jean-Pierre Wilson</t>
  </si>
  <si>
    <t>2439 Oak Ave, Sydney</t>
  </si>
  <si>
    <t>TXN1000674</t>
  </si>
  <si>
    <t xml:space="preserve">  ELENA JOHNSON </t>
  </si>
  <si>
    <t>6030 Pine Rd, Dubai</t>
  </si>
  <si>
    <t>TXN1000675</t>
  </si>
  <si>
    <t>5375 Maple Dr, Mumbai</t>
  </si>
  <si>
    <t>TXN1000676</t>
  </si>
  <si>
    <t>Linda Jones</t>
  </si>
  <si>
    <t>Carlos Souza</t>
  </si>
  <si>
    <t>8850 Pine Rd, Toronto</t>
  </si>
  <si>
    <t>TXN1000677</t>
  </si>
  <si>
    <t>Thomas Nair</t>
  </si>
  <si>
    <t>4616 Main St, Paris</t>
  </si>
  <si>
    <t>TXN1000678</t>
  </si>
  <si>
    <t>4499 View Rd, London</t>
  </si>
  <si>
    <t>TXN1000679</t>
  </si>
  <si>
    <t xml:space="preserve">  MARTA VOLKOV </t>
  </si>
  <si>
    <t>8211 Broadway, New York</t>
  </si>
  <si>
    <t>TXN1000680</t>
  </si>
  <si>
    <t>3815 View Rd, Dubai</t>
  </si>
  <si>
    <t>TXN1000681</t>
  </si>
  <si>
    <t>Linda Souza</t>
  </si>
  <si>
    <t>Richard Gonzalez</t>
  </si>
  <si>
    <t>1401 Pine Rd, London</t>
  </si>
  <si>
    <t>TXN1000682</t>
  </si>
  <si>
    <t>2255 Maple Dr, Dubai</t>
  </si>
  <si>
    <t>TXN1000683</t>
  </si>
  <si>
    <t>William Gonzalez</t>
  </si>
  <si>
    <t>792 Broadway, Paris</t>
  </si>
  <si>
    <t>TXN1000684</t>
  </si>
  <si>
    <t>Barbara Dubois</t>
  </si>
  <si>
    <t>6496 Main St, Paris</t>
  </si>
  <si>
    <t>TXN1000685</t>
  </si>
  <si>
    <t>Priya Hernandez</t>
  </si>
  <si>
    <t>541 Oak Ave, Paris</t>
  </si>
  <si>
    <t>TXN1000686</t>
  </si>
  <si>
    <t>Lucas Malik</t>
  </si>
  <si>
    <t>5309 Cedar Ln, Dubai</t>
  </si>
  <si>
    <t>TXN1000687</t>
  </si>
  <si>
    <t>Elizabeth Jones</t>
  </si>
  <si>
    <t xml:space="preserve"> sanjay volkov   </t>
  </si>
  <si>
    <t>4777 Maple Dr, Dubai</t>
  </si>
  <si>
    <t>TXN1000688</t>
  </si>
  <si>
    <t>Sarah Malik</t>
  </si>
  <si>
    <t>8310 Cedar Ln, London</t>
  </si>
  <si>
    <t>TXN1000689</t>
  </si>
  <si>
    <t>Michael Miller</t>
  </si>
  <si>
    <t>8033 Cedar Ln, Dubai</t>
  </si>
  <si>
    <t>TXN1000690</t>
  </si>
  <si>
    <t>Linda Volkov</t>
  </si>
  <si>
    <t>8028 Oak Ave, New York</t>
  </si>
  <si>
    <t>TXN1000691</t>
  </si>
  <si>
    <t>6189 Cedar Ln, Sydney</t>
  </si>
  <si>
    <t>TXN1000692</t>
  </si>
  <si>
    <t>7897 View Rd, Toronto</t>
  </si>
  <si>
    <t>TXN1000693</t>
  </si>
  <si>
    <t>3594 Main St, Dubai</t>
  </si>
  <si>
    <t>TXN1000694</t>
  </si>
  <si>
    <t>504 Maple Dr, Paris</t>
  </si>
  <si>
    <t>TXN1000695</t>
  </si>
  <si>
    <t>9856 Main St, Toronto</t>
  </si>
  <si>
    <t>TXN1000696</t>
  </si>
  <si>
    <t xml:space="preserve"> barbara davis   </t>
  </si>
  <si>
    <t>1825 Cedar Ln, Paris</t>
  </si>
  <si>
    <t>TXN1000697</t>
  </si>
  <si>
    <t>William Thomas</t>
  </si>
  <si>
    <t>David Nair</t>
  </si>
  <si>
    <t>5911 Broadway, Mumbai</t>
  </si>
  <si>
    <t>TXN1000698</t>
  </si>
  <si>
    <t>Jean-Pierre Velez</t>
  </si>
  <si>
    <t>271 View Rd, London</t>
  </si>
  <si>
    <t>TXN1000699</t>
  </si>
  <si>
    <t>Mary Martinez</t>
  </si>
  <si>
    <t>2406 Broadway, Toronto</t>
  </si>
  <si>
    <t>TXN1000700</t>
  </si>
  <si>
    <t>Michael Jones</t>
  </si>
  <si>
    <t>521 Cedar Ln, London</t>
  </si>
  <si>
    <t>TXN1000701</t>
  </si>
  <si>
    <t>TXN1000702</t>
  </si>
  <si>
    <t>6848 View Rd, London</t>
  </si>
  <si>
    <t>TXN1000703</t>
  </si>
  <si>
    <t>3343 Broadway, Dubai</t>
  </si>
  <si>
    <t>TXN1000704</t>
  </si>
  <si>
    <t>9741 Main St, Paris</t>
  </si>
  <si>
    <t>TXN1000705</t>
  </si>
  <si>
    <t>Zayn Al-Sayed</t>
  </si>
  <si>
    <t>9882 Pine Rd, Paris</t>
  </si>
  <si>
    <t>TXN1000706</t>
  </si>
  <si>
    <t>5898 Maple Dr, Sydney</t>
  </si>
  <si>
    <t>TXN1000707</t>
  </si>
  <si>
    <t xml:space="preserve">  AMIR JONES </t>
  </si>
  <si>
    <t>9946 Main St, New York</t>
  </si>
  <si>
    <t>TXN1000708</t>
  </si>
  <si>
    <t>9245 Cedar Ln, Dubai</t>
  </si>
  <si>
    <t>TXN1000709</t>
  </si>
  <si>
    <t>6659 Cedar Ln, Paris</t>
  </si>
  <si>
    <t>TXN1000710</t>
  </si>
  <si>
    <t>Jessica Garcia</t>
  </si>
  <si>
    <t>William Al-Sayed</t>
  </si>
  <si>
    <t>5773 Cedar Ln, Toronto</t>
  </si>
  <si>
    <t>TXN1000711</t>
  </si>
  <si>
    <t>1453 Pine Rd, Paris</t>
  </si>
  <si>
    <t>TXN1000712</t>
  </si>
  <si>
    <t>Charles Smith</t>
  </si>
  <si>
    <t>9181 Broadway, Paris</t>
  </si>
  <si>
    <t>TXN1000713</t>
  </si>
  <si>
    <t>Sarah Velez</t>
  </si>
  <si>
    <t>1024 Pine Rd, Paris</t>
  </si>
  <si>
    <t>TXN1000714</t>
  </si>
  <si>
    <t>Priya Malik</t>
  </si>
  <si>
    <t>5606 Pine Rd, London</t>
  </si>
  <si>
    <t>TXN1000715</t>
  </si>
  <si>
    <t>2495 Cedar Ln, Paris</t>
  </si>
  <si>
    <t>TXN1000716</t>
  </si>
  <si>
    <t>8326 View Rd, Sydney</t>
  </si>
  <si>
    <t>TXN1000717</t>
  </si>
  <si>
    <t>Charles Anderson</t>
  </si>
  <si>
    <t>2770 View Rd, Mumbai</t>
  </si>
  <si>
    <t>TXN1000718</t>
  </si>
  <si>
    <t>3238 Broadway, London</t>
  </si>
  <si>
    <t>TXN1000719</t>
  </si>
  <si>
    <t>Sarah Dubois</t>
  </si>
  <si>
    <t>8631 Broadway, Sydney</t>
  </si>
  <si>
    <t>TXN1000720</t>
  </si>
  <si>
    <t>Nancy Garcia</t>
  </si>
  <si>
    <t>Priya Gonzalez</t>
  </si>
  <si>
    <t>656 Broadway, Mumbai</t>
  </si>
  <si>
    <t>TXN1000721</t>
  </si>
  <si>
    <t>3667 Main St, Sydney</t>
  </si>
  <si>
    <t>TXN1000722</t>
  </si>
  <si>
    <t>6577 Cedar Ln, Mumbai</t>
  </si>
  <si>
    <t>TXN1000723</t>
  </si>
  <si>
    <t xml:space="preserve"> fatima malik   </t>
  </si>
  <si>
    <t>1116 Broadway, Paris</t>
  </si>
  <si>
    <t>TXN1000724</t>
  </si>
  <si>
    <t>9130 View Rd, London</t>
  </si>
  <si>
    <t>TXN1000725</t>
  </si>
  <si>
    <t>Patricia Garcia</t>
  </si>
  <si>
    <t>3596 View Rd, New York</t>
  </si>
  <si>
    <t>TXN1000726</t>
  </si>
  <si>
    <t>9743 Main St, London</t>
  </si>
  <si>
    <t>TXN1000727</t>
  </si>
  <si>
    <t>9806 View Rd, New York</t>
  </si>
  <si>
    <t>TXN1000728</t>
  </si>
  <si>
    <t xml:space="preserve"> karen rostova   </t>
  </si>
  <si>
    <t>4156 Oak Ave, Sydney</t>
  </si>
  <si>
    <t>TXN1000729</t>
  </si>
  <si>
    <t>1789 View Rd, Dubai</t>
  </si>
  <si>
    <t>TXN1000730</t>
  </si>
  <si>
    <t>7180 Maple Dr, New York</t>
  </si>
  <si>
    <t>TXN1000731</t>
  </si>
  <si>
    <t>Charles Williams</t>
  </si>
  <si>
    <t>3962 Pine Rd, Dubai</t>
  </si>
  <si>
    <t>TXN1000732</t>
  </si>
  <si>
    <t>9742 Main St, London</t>
  </si>
  <si>
    <t>TXN1000733</t>
  </si>
  <si>
    <t>Richard Thomas</t>
  </si>
  <si>
    <t>3361 Cedar Ln, Toronto</t>
  </si>
  <si>
    <t>TXN1000734</t>
  </si>
  <si>
    <t>1919 Oak Ave, Toronto</t>
  </si>
  <si>
    <t>TXN1000735</t>
  </si>
  <si>
    <t>Joseph Anderson</t>
  </si>
  <si>
    <t>1442 Main St, Sydney</t>
  </si>
  <si>
    <t>TXN1000736</t>
  </si>
  <si>
    <t>2326 Pine Rd, Paris</t>
  </si>
  <si>
    <t>TXN1000737</t>
  </si>
  <si>
    <t>6380 Maple Dr, Sydney</t>
  </si>
  <si>
    <t>TXN1000738</t>
  </si>
  <si>
    <t>7335 View Rd, New York</t>
  </si>
  <si>
    <t>TXN1000739</t>
  </si>
  <si>
    <t>5189 Pine Rd, London</t>
  </si>
  <si>
    <t>TXN1000740</t>
  </si>
  <si>
    <t>9195 View Rd, Paris</t>
  </si>
  <si>
    <t>TXN1000741</t>
  </si>
  <si>
    <t>2753 Cedar Ln, Mumbai</t>
  </si>
  <si>
    <t>TXN1000742</t>
  </si>
  <si>
    <t>Christopher Williams</t>
  </si>
  <si>
    <t>7976 Main St, Sydney</t>
  </si>
  <si>
    <t>TXN1000743</t>
  </si>
  <si>
    <t>John Al-Sayed</t>
  </si>
  <si>
    <t>1241 Oak Ave, Paris</t>
  </si>
  <si>
    <t>TXN1000744</t>
  </si>
  <si>
    <t>Sanjay Souza</t>
  </si>
  <si>
    <t>2997 Oak Ave, London</t>
  </si>
  <si>
    <t>TXN1000745</t>
  </si>
  <si>
    <t>Patricia Khan</t>
  </si>
  <si>
    <t>2138 Cedar Ln, London</t>
  </si>
  <si>
    <t>TXN1000746</t>
  </si>
  <si>
    <t>Robert Volkov</t>
  </si>
  <si>
    <t>4370 Broadway, Sydney</t>
  </si>
  <si>
    <t>TXN1000747</t>
  </si>
  <si>
    <t>Lucas Al-Sayed</t>
  </si>
  <si>
    <t>594 Cedar Ln, London</t>
  </si>
  <si>
    <t>TXN1000748</t>
  </si>
  <si>
    <t>1884 Broadway, Toronto</t>
  </si>
  <si>
    <t>TXN1000749</t>
  </si>
  <si>
    <t>Linda Hernandez</t>
  </si>
  <si>
    <t>5366 Pine Rd, Paris</t>
  </si>
  <si>
    <t>TXN1000750</t>
  </si>
  <si>
    <t xml:space="preserve">  MARY MOORE </t>
  </si>
  <si>
    <t>5528 Oak Ave, Dubai</t>
  </si>
  <si>
    <t>TXN1000751</t>
  </si>
  <si>
    <t>Mary Velez</t>
  </si>
  <si>
    <t>9743 Main St, New York</t>
  </si>
  <si>
    <t>TXN1000752</t>
  </si>
  <si>
    <t>4758 Pine Rd, Paris</t>
  </si>
  <si>
    <t>TXN1000753</t>
  </si>
  <si>
    <t>6969 Broadway, Dubai</t>
  </si>
  <si>
    <t>TXN1000754</t>
  </si>
  <si>
    <t>Charles Martin</t>
  </si>
  <si>
    <t>6319 Broadway, Sydney</t>
  </si>
  <si>
    <t>TXN1000755</t>
  </si>
  <si>
    <t>Mary Wilson</t>
  </si>
  <si>
    <t>6079 Maple Dr, Toronto</t>
  </si>
  <si>
    <t>TXN1000756</t>
  </si>
  <si>
    <t xml:space="preserve">  MARTA MILLER </t>
  </si>
  <si>
    <t>1412 Pine Rd, Sydney</t>
  </si>
  <si>
    <t>TXN1000757</t>
  </si>
  <si>
    <t>3038 Maple Dr, Mumbai</t>
  </si>
  <si>
    <t>TXN1000758</t>
  </si>
  <si>
    <t>3297 Main St, Mumbai</t>
  </si>
  <si>
    <t>TXN1000759</t>
  </si>
  <si>
    <t>5830 Oak Ave, Paris</t>
  </si>
  <si>
    <t>TXN1000760</t>
  </si>
  <si>
    <t>Lucas Lopez</t>
  </si>
  <si>
    <t>5702 View Rd, Mumbai</t>
  </si>
  <si>
    <t>TXN1000761</t>
  </si>
  <si>
    <t>Charles Wilson</t>
  </si>
  <si>
    <t>1466 Maple Dr, Dubai</t>
  </si>
  <si>
    <t>TXN1000762</t>
  </si>
  <si>
    <t>Joseph Martin</t>
  </si>
  <si>
    <t>6771 Maple Dr, Toronto</t>
  </si>
  <si>
    <t>TXN1000763</t>
  </si>
  <si>
    <t>Michael Johnson</t>
  </si>
  <si>
    <t>4639 Cedar Ln, Dubai</t>
  </si>
  <si>
    <t>TXN1000764</t>
  </si>
  <si>
    <t>2987 Maple Dr, Paris</t>
  </si>
  <si>
    <t>TXN1000765</t>
  </si>
  <si>
    <t>Elena Silva</t>
  </si>
  <si>
    <t>4186 View Rd, Mumbai</t>
  </si>
  <si>
    <t>TXN1000766</t>
  </si>
  <si>
    <t>2941 Cedar Ln, New York</t>
  </si>
  <si>
    <t>TXN1000767</t>
  </si>
  <si>
    <t>Thomas Dubois</t>
  </si>
  <si>
    <t>3660 Main St, Dubai</t>
  </si>
  <si>
    <t>TXN1000768</t>
  </si>
  <si>
    <t>John Martinez</t>
  </si>
  <si>
    <t>4858 Pine Rd, Paris</t>
  </si>
  <si>
    <t>TXN1000769</t>
  </si>
  <si>
    <t>5114 View Rd, Mumbai</t>
  </si>
  <si>
    <t>TXN1000770</t>
  </si>
  <si>
    <t>590 Oak Ave, Paris</t>
  </si>
  <si>
    <t>TXN1000771</t>
  </si>
  <si>
    <t>3634 Main St, Mumbai</t>
  </si>
  <si>
    <t>TXN1000772</t>
  </si>
  <si>
    <t>5114 Pine Rd, Mumbai</t>
  </si>
  <si>
    <t>TXN1000773</t>
  </si>
  <si>
    <t>Zayn Rodriguez</t>
  </si>
  <si>
    <t>3087 Oak Ave, Toronto</t>
  </si>
  <si>
    <t>TXN1000774</t>
  </si>
  <si>
    <t>Marta Dubois</t>
  </si>
  <si>
    <t>4630 Oak Ave, Paris</t>
  </si>
  <si>
    <t>TXN1000775</t>
  </si>
  <si>
    <t xml:space="preserve"> carlos garcia   </t>
  </si>
  <si>
    <t>1173 Maple Dr, Toronto</t>
  </si>
  <si>
    <t>TXN1000776</t>
  </si>
  <si>
    <t>2793 Pine Rd, New York</t>
  </si>
  <si>
    <t>TXN1000777</t>
  </si>
  <si>
    <t>4440 Cedar Ln, New York</t>
  </si>
  <si>
    <t>TXN1000778</t>
  </si>
  <si>
    <t>8066 Cedar Ln, London</t>
  </si>
  <si>
    <t>TXN1000779</t>
  </si>
  <si>
    <t>2259 Cedar Ln, Mumbai</t>
  </si>
  <si>
    <t>TXN1000780</t>
  </si>
  <si>
    <t>6872 Maple Dr, New York</t>
  </si>
  <si>
    <t>TXN1000781</t>
  </si>
  <si>
    <t>William Hernandez</t>
  </si>
  <si>
    <t>8319 Main St, London</t>
  </si>
  <si>
    <t>TXN1000782</t>
  </si>
  <si>
    <t>9813 Main St, Dubai</t>
  </si>
  <si>
    <t>TXN1000783</t>
  </si>
  <si>
    <t xml:space="preserve">  JOHN THOMAS </t>
  </si>
  <si>
    <t>2396 Cedar Ln, Dubai</t>
  </si>
  <si>
    <t>TXN1000784</t>
  </si>
  <si>
    <t>1001 Cedar Ln, Toronto</t>
  </si>
  <si>
    <t>TXN1000785</t>
  </si>
  <si>
    <t>Susan Silva</t>
  </si>
  <si>
    <t>1777 Oak Ave, Toronto</t>
  </si>
  <si>
    <t>TXN1000786</t>
  </si>
  <si>
    <t>5722 Cedar Ln, Toronto</t>
  </si>
  <si>
    <t>TXN1000787</t>
  </si>
  <si>
    <t>1348 Pine Rd, London</t>
  </si>
  <si>
    <t>TXN1000788</t>
  </si>
  <si>
    <t>6179 Main St, Sydney</t>
  </si>
  <si>
    <t>TXN1000789</t>
  </si>
  <si>
    <t>Jessica Rostova</t>
  </si>
  <si>
    <t xml:space="preserve"> mary rodriguez   </t>
  </si>
  <si>
    <t>7136 Cedar Ln, Toronto</t>
  </si>
  <si>
    <t>TXN1000790</t>
  </si>
  <si>
    <t>2148 Maple Dr, New York</t>
  </si>
  <si>
    <t>TXN1000791</t>
  </si>
  <si>
    <t>Barbara Hernandez</t>
  </si>
  <si>
    <t>2576 Main St, Sydney</t>
  </si>
  <si>
    <t>TXN1000792</t>
  </si>
  <si>
    <t>Marta Khan</t>
  </si>
  <si>
    <t>3653 Main St, London</t>
  </si>
  <si>
    <t>TXN1000793</t>
  </si>
  <si>
    <t>320 Pine Rd, Paris</t>
  </si>
  <si>
    <t>TXN1000794</t>
  </si>
  <si>
    <t>4918 Main St, Dubai</t>
  </si>
  <si>
    <t>TXN1000795</t>
  </si>
  <si>
    <t>5718 Main St, New York</t>
  </si>
  <si>
    <t>TXN1000796</t>
  </si>
  <si>
    <t>Thomas Martinez</t>
  </si>
  <si>
    <t>7309 Pine Rd, New York</t>
  </si>
  <si>
    <t>TXN1000797</t>
  </si>
  <si>
    <t>1971 Maple Dr, Paris</t>
  </si>
  <si>
    <t>TXN1000798</t>
  </si>
  <si>
    <t>5621 Oak Ave, New York</t>
  </si>
  <si>
    <t>TXN1000799</t>
  </si>
  <si>
    <t>8336 View Rd, Mumbai</t>
  </si>
  <si>
    <t>TXN1000800</t>
  </si>
  <si>
    <t>5853 View Rd, New York</t>
  </si>
  <si>
    <t>TXN1000801</t>
  </si>
  <si>
    <t>6291 Pine Rd, Paris</t>
  </si>
  <si>
    <t>TXN1000802</t>
  </si>
  <si>
    <t>1101 Oak Ave, Dubai</t>
  </si>
  <si>
    <t>TXN1000803</t>
  </si>
  <si>
    <t>6999 Oak Ave, Sydney</t>
  </si>
  <si>
    <t>TXN1000804</t>
  </si>
  <si>
    <t>Nancy Rodriguez</t>
  </si>
  <si>
    <t>4576 Main St, Paris</t>
  </si>
  <si>
    <t>TXN1000805</t>
  </si>
  <si>
    <t>615 Broadway, New York</t>
  </si>
  <si>
    <t>TXN1000806</t>
  </si>
  <si>
    <t>6397 Maple Dr, New York</t>
  </si>
  <si>
    <t>TXN1000807</t>
  </si>
  <si>
    <t>Susan Jackson</t>
  </si>
  <si>
    <t>371 Broadway, Toronto</t>
  </si>
  <si>
    <t>TXN1000808</t>
  </si>
  <si>
    <t>Elena Jackson</t>
  </si>
  <si>
    <t>6108 Maple Dr, Mumbai</t>
  </si>
  <si>
    <t>TXN1000809</t>
  </si>
  <si>
    <t>3432 Maple Dr, Paris</t>
  </si>
  <si>
    <t>TXN1000810</t>
  </si>
  <si>
    <t>9973 Broadway, London</t>
  </si>
  <si>
    <t>TXN1000811</t>
  </si>
  <si>
    <t>3776 Cedar Ln, Sydney</t>
  </si>
  <si>
    <t>TXN1000812</t>
  </si>
  <si>
    <t>5133 Cedar Ln, London</t>
  </si>
  <si>
    <t>TXN1000813</t>
  </si>
  <si>
    <t xml:space="preserve"> karen smith   </t>
  </si>
  <si>
    <t>5314 Main St, Toronto</t>
  </si>
  <si>
    <t>TXN1000814</t>
  </si>
  <si>
    <t>Carlos Davis</t>
  </si>
  <si>
    <t>7633 Main St, Dubai</t>
  </si>
  <si>
    <t>TXN1000815</t>
  </si>
  <si>
    <t>1240 Pine Rd, Toronto</t>
  </si>
  <si>
    <t>TXN1000816</t>
  </si>
  <si>
    <t>7565 Cedar Ln, Sydney</t>
  </si>
  <si>
    <t>TXN1000817</t>
  </si>
  <si>
    <t>4571 Cedar Ln, Sydney</t>
  </si>
  <si>
    <t>TXN1000818</t>
  </si>
  <si>
    <t>648 Oak Ave, Sydney</t>
  </si>
  <si>
    <t>TXN1000819</t>
  </si>
  <si>
    <t>8364 Maple Dr, Paris</t>
  </si>
  <si>
    <t>TXN1000820</t>
  </si>
  <si>
    <t>671 Broadway, Paris</t>
  </si>
  <si>
    <t>TXN1000821</t>
  </si>
  <si>
    <t>1274 Cedar Ln, Dubai</t>
  </si>
  <si>
    <t>TXN1000822</t>
  </si>
  <si>
    <t xml:space="preserve"> mary smith   </t>
  </si>
  <si>
    <t>278 Cedar Ln, Paris</t>
  </si>
  <si>
    <t>TXN1000823</t>
  </si>
  <si>
    <t>Karen Lopez</t>
  </si>
  <si>
    <t>Jessica Malik</t>
  </si>
  <si>
    <t>834 Main St, Paris</t>
  </si>
  <si>
    <t>TXN1000824</t>
  </si>
  <si>
    <t>7701 Maple Dr, Sydney</t>
  </si>
  <si>
    <t>TXN1000825</t>
  </si>
  <si>
    <t>4688 Oak Ave, New York</t>
  </si>
  <si>
    <t>TXN1000826</t>
  </si>
  <si>
    <t>Linda Malik</t>
  </si>
  <si>
    <t xml:space="preserve"> linda brown   </t>
  </si>
  <si>
    <t>3184 Oak Ave, Paris</t>
  </si>
  <si>
    <t>TXN1000827</t>
  </si>
  <si>
    <t>831 Oak Ave, Paris</t>
  </si>
  <si>
    <t>TXN1000828</t>
  </si>
  <si>
    <t>1705 Pine Rd, London</t>
  </si>
  <si>
    <t>TXN1000829</t>
  </si>
  <si>
    <t>3033 Maple Dr, Mumbai</t>
  </si>
  <si>
    <t>TXN1000830</t>
  </si>
  <si>
    <t>5174 View Rd, Toronto</t>
  </si>
  <si>
    <t>TXN1000831</t>
  </si>
  <si>
    <t>Linda Wilson</t>
  </si>
  <si>
    <t>7199 Pine Rd, Dubai</t>
  </si>
  <si>
    <t>TXN1000832</t>
  </si>
  <si>
    <t>1490 View Rd, New York</t>
  </si>
  <si>
    <t>TXN1000833</t>
  </si>
  <si>
    <t>Amir Gonzalez</t>
  </si>
  <si>
    <t>2471 Broadway, New York</t>
  </si>
  <si>
    <t>TXN1000834</t>
  </si>
  <si>
    <t>Linda Brown</t>
  </si>
  <si>
    <t>1615 Broadway, Toronto</t>
  </si>
  <si>
    <t>TXN1000835</t>
  </si>
  <si>
    <t>6426 View Rd, New York</t>
  </si>
  <si>
    <t>TXN1000836</t>
  </si>
  <si>
    <t>5686 View Rd, Sydney</t>
  </si>
  <si>
    <t>TXN1000837</t>
  </si>
  <si>
    <t>7786 View Rd, Toronto</t>
  </si>
  <si>
    <t>TXN1000838</t>
  </si>
  <si>
    <t>1267 Broadway, Dubai</t>
  </si>
  <si>
    <t>TXN1000839</t>
  </si>
  <si>
    <t>Sanjay Malik</t>
  </si>
  <si>
    <t>4427 Pine Rd, London</t>
  </si>
  <si>
    <t>TXN1000840</t>
  </si>
  <si>
    <t>6838 Oak Ave, New York</t>
  </si>
  <si>
    <t>TXN1000841</t>
  </si>
  <si>
    <t>2320 Cedar Ln, Paris</t>
  </si>
  <si>
    <t>TXN1000842</t>
  </si>
  <si>
    <t xml:space="preserve">  JOSEPH WILSON </t>
  </si>
  <si>
    <t>John Hernandez</t>
  </si>
  <si>
    <t>6791 Main St, Dubai</t>
  </si>
  <si>
    <t>TXN1000843</t>
  </si>
  <si>
    <t>William Velez</t>
  </si>
  <si>
    <t>1013 Broadway, Dubai</t>
  </si>
  <si>
    <t>TXN1000844</t>
  </si>
  <si>
    <t xml:space="preserve">  LUCAS JOHNSON </t>
  </si>
  <si>
    <t>3297 Main St, Paris</t>
  </si>
  <si>
    <t>TXN1000845</t>
  </si>
  <si>
    <t>7137 Oak Ave, Sydney</t>
  </si>
  <si>
    <t>TXN1000846</t>
  </si>
  <si>
    <t>5094 Pine Rd, Dubai</t>
  </si>
  <si>
    <t>TXN1000847</t>
  </si>
  <si>
    <t>5408 View Rd, Toronto</t>
  </si>
  <si>
    <t>TXN1000848</t>
  </si>
  <si>
    <t>7869 Cedar Ln, Dubai</t>
  </si>
  <si>
    <t>TXN1000849</t>
  </si>
  <si>
    <t>9499 Broadway, Dubai</t>
  </si>
  <si>
    <t>TXN1000850</t>
  </si>
  <si>
    <t>5022 Pine Rd, Sydney</t>
  </si>
  <si>
    <t>TXN1000851</t>
  </si>
  <si>
    <t>3283 View Rd, Toronto</t>
  </si>
  <si>
    <t>TXN1000852</t>
  </si>
  <si>
    <t xml:space="preserve"> lucas brown   </t>
  </si>
  <si>
    <t>9936 Main St, Mumbai</t>
  </si>
  <si>
    <t>TXN1000853</t>
  </si>
  <si>
    <t xml:space="preserve">  RICHARD GARCIA </t>
  </si>
  <si>
    <t>290 View Rd, Sydney</t>
  </si>
  <si>
    <t>TXN1000854</t>
  </si>
  <si>
    <t>478 Pine Rd, Dubai</t>
  </si>
  <si>
    <t>TXN1000855</t>
  </si>
  <si>
    <t>6480 Broadway, Toronto</t>
  </si>
  <si>
    <t>TXN1000856</t>
  </si>
  <si>
    <t xml:space="preserve"> christopher brown   </t>
  </si>
  <si>
    <t>1854 View Rd, Paris</t>
  </si>
  <si>
    <t>TXN1000857</t>
  </si>
  <si>
    <t>4367 Broadway, New York</t>
  </si>
  <si>
    <t>TXN1000858</t>
  </si>
  <si>
    <t xml:space="preserve"> karen taylor   </t>
  </si>
  <si>
    <t>5038 Oak Ave, Mumbai</t>
  </si>
  <si>
    <t>TXN1000859</t>
  </si>
  <si>
    <t>8981 Broadway, Sydney</t>
  </si>
  <si>
    <t>TXN1000860</t>
  </si>
  <si>
    <t>Joseph Davis</t>
  </si>
  <si>
    <t>Mary Johnson</t>
  </si>
  <si>
    <t>2312 Main St, Toronto</t>
  </si>
  <si>
    <t>TXN1000861</t>
  </si>
  <si>
    <t>Michael Smith</t>
  </si>
  <si>
    <t>482 Main St, Toronto</t>
  </si>
  <si>
    <t>TXN1000862</t>
  </si>
  <si>
    <t>1512 Pine Rd, Sydney</t>
  </si>
  <si>
    <t>TXN1000863</t>
  </si>
  <si>
    <t xml:space="preserve"> priya lopez   </t>
  </si>
  <si>
    <t>5906 View Rd, Toronto</t>
  </si>
  <si>
    <t>TXN1000864</t>
  </si>
  <si>
    <t>8407 View Rd, Paris</t>
  </si>
  <si>
    <t>TXN1000865</t>
  </si>
  <si>
    <t>Susan Williams</t>
  </si>
  <si>
    <t>1491 Cedar Ln, Mumbai</t>
  </si>
  <si>
    <t>TXN1000866</t>
  </si>
  <si>
    <t>3039 Maple Dr, Paris</t>
  </si>
  <si>
    <t>TXN1000867</t>
  </si>
  <si>
    <t>6069 Oak Ave, Dubai</t>
  </si>
  <si>
    <t>TXN1000868</t>
  </si>
  <si>
    <t xml:space="preserve">  LUCAS MARTIN </t>
  </si>
  <si>
    <t>Barbara Thomas</t>
  </si>
  <si>
    <t>4913 Oak Ave, Paris</t>
  </si>
  <si>
    <t>TXN1000869</t>
  </si>
  <si>
    <t>Karen Jones</t>
  </si>
  <si>
    <t>Patricia Jones</t>
  </si>
  <si>
    <t>3250 View Rd, Toronto</t>
  </si>
  <si>
    <t>TXN1000870</t>
  </si>
  <si>
    <t>6514 Oak Ave, Sydney</t>
  </si>
  <si>
    <t>TXN1000871</t>
  </si>
  <si>
    <t>8043 Broadway, Toronto</t>
  </si>
  <si>
    <t>TXN1000872</t>
  </si>
  <si>
    <t>4897 Broadway, Mumbai</t>
  </si>
  <si>
    <t>TXN1000873</t>
  </si>
  <si>
    <t xml:space="preserve">  CARLOS NAIR </t>
  </si>
  <si>
    <t>Jean-Pierre Gonzalez</t>
  </si>
  <si>
    <t>5580 Oak Ave, Mumbai</t>
  </si>
  <si>
    <t>TXN1000874</t>
  </si>
  <si>
    <t>Sarah Souza</t>
  </si>
  <si>
    <t xml:space="preserve"> linda moore   </t>
  </si>
  <si>
    <t>9571 View Rd, Sydney</t>
  </si>
  <si>
    <t>TXN1000875</t>
  </si>
  <si>
    <t>7024 Main St, London</t>
  </si>
  <si>
    <t>TXN1000876</t>
  </si>
  <si>
    <t>Sanjay Rodriguez</t>
  </si>
  <si>
    <t>4274 Maple Dr, Dubai</t>
  </si>
  <si>
    <t>TXN1000877</t>
  </si>
  <si>
    <t>9180 Cedar Ln, London</t>
  </si>
  <si>
    <t>TXN1000878</t>
  </si>
  <si>
    <t>Linda Martinez</t>
  </si>
  <si>
    <t>9397 View Rd, Paris</t>
  </si>
  <si>
    <t>TXN1000879</t>
  </si>
  <si>
    <t>Susan Souza</t>
  </si>
  <si>
    <t>Robert Gonzalez</t>
  </si>
  <si>
    <t>5696 Broadway, Paris</t>
  </si>
  <si>
    <t>TXN1000880</t>
  </si>
  <si>
    <t>Sarah Taylor</t>
  </si>
  <si>
    <t>3875 Cedar Ln, New York</t>
  </si>
  <si>
    <t>TXN1000881</t>
  </si>
  <si>
    <t>Michael Gonzalez</t>
  </si>
  <si>
    <t>4745 View Rd, Toronto</t>
  </si>
  <si>
    <t>TXN1000882</t>
  </si>
  <si>
    <t xml:space="preserve"> joseph silva   </t>
  </si>
  <si>
    <t>4535 Cedar Ln, Mumbai</t>
  </si>
  <si>
    <t>TXN1000883</t>
  </si>
  <si>
    <t>1145 Pine Rd, Mumbai</t>
  </si>
  <si>
    <t>TXN1000884</t>
  </si>
  <si>
    <t>Fatima Moore</t>
  </si>
  <si>
    <t>8051 Oak Ave, London</t>
  </si>
  <si>
    <t>TXN1000885</t>
  </si>
  <si>
    <t>3299 Main St, Toronto</t>
  </si>
  <si>
    <t>TXN1000886</t>
  </si>
  <si>
    <t>7540 Oak Ave, Paris</t>
  </si>
  <si>
    <t>TXN1000887</t>
  </si>
  <si>
    <t>4325 Maple Dr, Mumbai</t>
  </si>
  <si>
    <t>TXN1000888</t>
  </si>
  <si>
    <t>6154 Oak Ave, Dubai</t>
  </si>
  <si>
    <t>TXN1000889</t>
  </si>
  <si>
    <t xml:space="preserve">  PRIYA MILLER </t>
  </si>
  <si>
    <t xml:space="preserve"> lucas williams   </t>
  </si>
  <si>
    <t>6568 Cedar Ln, Sydney</t>
  </si>
  <si>
    <t>TXN1000890</t>
  </si>
  <si>
    <t>1651 Pine Rd, New York</t>
  </si>
  <si>
    <t>TXN1000891</t>
  </si>
  <si>
    <t>6952 Oak Ave, New York</t>
  </si>
  <si>
    <t>TXN1000892</t>
  </si>
  <si>
    <t>6053 Main St, Toronto</t>
  </si>
  <si>
    <t>TXN1000893</t>
  </si>
  <si>
    <t>Carlos Khan</t>
  </si>
  <si>
    <t>2759 View Rd, Dubai</t>
  </si>
  <si>
    <t>TXN1000894</t>
  </si>
  <si>
    <t>7545 Oak Ave, Paris</t>
  </si>
  <si>
    <t>TXN1000895</t>
  </si>
  <si>
    <t>9737 Pine Rd, Dubai</t>
  </si>
  <si>
    <t>TXN1000896</t>
  </si>
  <si>
    <t>9924 Oak Ave, Paris</t>
  </si>
  <si>
    <t>TXN1000897</t>
  </si>
  <si>
    <t>7204 Broadway, New York</t>
  </si>
  <si>
    <t>TXN1000898</t>
  </si>
  <si>
    <t>612 Maple Dr, Sydney</t>
  </si>
  <si>
    <t>TXN1000899</t>
  </si>
  <si>
    <t>3253 Pine Rd, Toronto</t>
  </si>
  <si>
    <t>TXN1000900</t>
  </si>
  <si>
    <t>1667 Main St, Sydney</t>
  </si>
  <si>
    <t>TXN1000901</t>
  </si>
  <si>
    <t>1228 Broadway, Sydney</t>
  </si>
  <si>
    <t>TXN1000902</t>
  </si>
  <si>
    <t>7967 View Rd, Dubai</t>
  </si>
  <si>
    <t>TXN1000903</t>
  </si>
  <si>
    <t xml:space="preserve"> elena anderson   </t>
  </si>
  <si>
    <t>5683 Oak Ave, Paris</t>
  </si>
  <si>
    <t>TXN1000904</t>
  </si>
  <si>
    <t>William Moore</t>
  </si>
  <si>
    <t>6101 Oak Ave, New York</t>
  </si>
  <si>
    <t>TXN1000905</t>
  </si>
  <si>
    <t>2841 Cedar Ln, New York</t>
  </si>
  <si>
    <t>TXN1000906</t>
  </si>
  <si>
    <t>328 Pine Rd, Paris</t>
  </si>
  <si>
    <t>TXN1000907</t>
  </si>
  <si>
    <t xml:space="preserve"> william silva   </t>
  </si>
  <si>
    <t>4384 Oak Ave, New York</t>
  </si>
  <si>
    <t>TXN1000908</t>
  </si>
  <si>
    <t>Barbara Moore</t>
  </si>
  <si>
    <t>6901 Broadway, Dubai</t>
  </si>
  <si>
    <t>TXN1000909</t>
  </si>
  <si>
    <t xml:space="preserve">  JESSICA MOORE </t>
  </si>
  <si>
    <t xml:space="preserve"> christopher johnson   </t>
  </si>
  <si>
    <t>598 View Rd, London</t>
  </si>
  <si>
    <t>TXN1000910</t>
  </si>
  <si>
    <t>5061 Oak Ave, Sydney</t>
  </si>
  <si>
    <t>TXN1000911</t>
  </si>
  <si>
    <t>2218 Oak Ave, London</t>
  </si>
  <si>
    <t>TXN1000912</t>
  </si>
  <si>
    <t>8042 View Rd, Dubai</t>
  </si>
  <si>
    <t>TXN1000913</t>
  </si>
  <si>
    <t>292 Maple Dr, Dubai</t>
  </si>
  <si>
    <t>TXN1000914</t>
  </si>
  <si>
    <t>8343 Oak Ave, Toronto</t>
  </si>
  <si>
    <t>TXN1000915</t>
  </si>
  <si>
    <t>1920 Cedar Ln, London</t>
  </si>
  <si>
    <t>TXN1000916</t>
  </si>
  <si>
    <t>2668 Pine Rd, Paris</t>
  </si>
  <si>
    <t>TXN1000917</t>
  </si>
  <si>
    <t>Elizabeth Volkov</t>
  </si>
  <si>
    <t>1967 Oak Ave, Toronto</t>
  </si>
  <si>
    <t>TXN1000918</t>
  </si>
  <si>
    <t>3299 Maple Dr, Toronto</t>
  </si>
  <si>
    <t>TXN1000919</t>
  </si>
  <si>
    <t>340 Main St, Paris</t>
  </si>
  <si>
    <t>TXN1000920</t>
  </si>
  <si>
    <t xml:space="preserve">  CARLOS JOHNSON </t>
  </si>
  <si>
    <t>8374 View Rd, Paris</t>
  </si>
  <si>
    <t>TXN1000921</t>
  </si>
  <si>
    <t>Christopher Garcia</t>
  </si>
  <si>
    <t>3868 Broadway, Sydney</t>
  </si>
  <si>
    <t>TXN1000922</t>
  </si>
  <si>
    <t>8902 View Rd, Dubai</t>
  </si>
  <si>
    <t>TXN1000923</t>
  </si>
  <si>
    <t xml:space="preserve"> william wilson   </t>
  </si>
  <si>
    <t>3705 Pine Rd, Sydney</t>
  </si>
  <si>
    <t>TXN1000924</t>
  </si>
  <si>
    <t>2273 Cedar Ln, Toronto</t>
  </si>
  <si>
    <t>TXN1000925</t>
  </si>
  <si>
    <t>6668 Oak Ave, London</t>
  </si>
  <si>
    <t>TXN1000926</t>
  </si>
  <si>
    <t>6180 Broadway, Dubai</t>
  </si>
  <si>
    <t>TXN1000927</t>
  </si>
  <si>
    <t>2259 Oak Ave, Paris</t>
  </si>
  <si>
    <t>TXN1000928</t>
  </si>
  <si>
    <t>8413 Main St, Dubai</t>
  </si>
  <si>
    <t>TXN1000929</t>
  </si>
  <si>
    <t>4593 Broadway, New York</t>
  </si>
  <si>
    <t>TXN1000930</t>
  </si>
  <si>
    <t>Linda Davis</t>
  </si>
  <si>
    <t>1330 View Rd, Dubai</t>
  </si>
  <si>
    <t>TXN1000931</t>
  </si>
  <si>
    <t>John Williams</t>
  </si>
  <si>
    <t>2010 Pine Rd, New York</t>
  </si>
  <si>
    <t>TXN1000932</t>
  </si>
  <si>
    <t>8207 Oak Ave, Toronto</t>
  </si>
  <si>
    <t>TXN1000933</t>
  </si>
  <si>
    <t>2016 Main St, Sydney</t>
  </si>
  <si>
    <t>TXN1000934</t>
  </si>
  <si>
    <t>7096 Cedar Ln, Dubai</t>
  </si>
  <si>
    <t>TXN1000935</t>
  </si>
  <si>
    <t>6564 Pine Rd, New York</t>
  </si>
  <si>
    <t>TXN1000936</t>
  </si>
  <si>
    <t>6462 Cedar Ln, Mumbai</t>
  </si>
  <si>
    <t>TXN1000937</t>
  </si>
  <si>
    <t>9843 Maple Dr, Toronto</t>
  </si>
  <si>
    <t>TXN1000938</t>
  </si>
  <si>
    <t>160 View Rd, London</t>
  </si>
  <si>
    <t>TXN1000939</t>
  </si>
  <si>
    <t>2995 Maple Dr, New York</t>
  </si>
  <si>
    <t>TXN1000940</t>
  </si>
  <si>
    <t>685 Pine Rd, New York</t>
  </si>
  <si>
    <t>TXN1000941</t>
  </si>
  <si>
    <t>Lucas Thomas</t>
  </si>
  <si>
    <t>634 Broadway, Sydney</t>
  </si>
  <si>
    <t>TXN1000942</t>
  </si>
  <si>
    <t>Mary Hernandez</t>
  </si>
  <si>
    <t>3498 Maple Dr, Paris</t>
  </si>
  <si>
    <t>TXN1000943</t>
  </si>
  <si>
    <t>7429 View Rd, Mumbai</t>
  </si>
  <si>
    <t>TXN1000944</t>
  </si>
  <si>
    <t>5425 View Rd, Paris</t>
  </si>
  <si>
    <t>TXN1000945</t>
  </si>
  <si>
    <t>Sanjay Lopez</t>
  </si>
  <si>
    <t>4803 Pine Rd, London</t>
  </si>
  <si>
    <t>TXN1000946</t>
  </si>
  <si>
    <t>9325 Oak Ave, Mumbai</t>
  </si>
  <si>
    <t>TXN1000947</t>
  </si>
  <si>
    <t>1204 Cedar Ln, Sydney</t>
  </si>
  <si>
    <t>TXN1000948</t>
  </si>
  <si>
    <t>Richard Al-Sayed</t>
  </si>
  <si>
    <t>1961 View Rd, New York</t>
  </si>
  <si>
    <t>TXN1000949</t>
  </si>
  <si>
    <t>Karen Smith</t>
  </si>
  <si>
    <t>8420 View Rd, Paris</t>
  </si>
  <si>
    <t>TXN1000950</t>
  </si>
  <si>
    <t>William Silva</t>
  </si>
  <si>
    <t>3229 View Rd, Toronto</t>
  </si>
  <si>
    <t>TXN1000951</t>
  </si>
  <si>
    <t>Elizabeth Al-Sayed</t>
  </si>
  <si>
    <t>8181 View Rd, Mumbai</t>
  </si>
  <si>
    <t>TXN1000952</t>
  </si>
  <si>
    <t xml:space="preserve"> marta thomas   </t>
  </si>
  <si>
    <t>5498 Broadway, London</t>
  </si>
  <si>
    <t>TXN1000953</t>
  </si>
  <si>
    <t>6704 Broadway, Paris</t>
  </si>
  <si>
    <t>TXN1000954</t>
  </si>
  <si>
    <t>Richard Martin</t>
  </si>
  <si>
    <t>1167 Pine Rd, London</t>
  </si>
  <si>
    <t>TXN1000955</t>
  </si>
  <si>
    <t>Christopher Souza</t>
  </si>
  <si>
    <t>7364 Broadway, Sydney</t>
  </si>
  <si>
    <t>TXN1000956</t>
  </si>
  <si>
    <t>8858 Pine Rd, New York</t>
  </si>
  <si>
    <t>TXN1000957</t>
  </si>
  <si>
    <t>William Jones</t>
  </si>
  <si>
    <t>3240 Cedar Ln, London</t>
  </si>
  <si>
    <t>TXN1000958</t>
  </si>
  <si>
    <t>1690 Oak Ave, New York</t>
  </si>
  <si>
    <t>TXN1000959</t>
  </si>
  <si>
    <t>5043 Broadway, Dubai</t>
  </si>
  <si>
    <t>TXN1000960</t>
  </si>
  <si>
    <t xml:space="preserve">  CHARLES WILSON </t>
  </si>
  <si>
    <t>7898 View Rd, Mumbai</t>
  </si>
  <si>
    <t>TXN1000961</t>
  </si>
  <si>
    <t>Marta Taylor</t>
  </si>
  <si>
    <t>3325 Pine Rd, Paris</t>
  </si>
  <si>
    <t>TXN1000962</t>
  </si>
  <si>
    <t>2560 Oak Ave, New York</t>
  </si>
  <si>
    <t>TXN1000963</t>
  </si>
  <si>
    <t>Amir Hernandez</t>
  </si>
  <si>
    <t>2828 Broadway, Paris</t>
  </si>
  <si>
    <t>TXN1000964</t>
  </si>
  <si>
    <t xml:space="preserve">  JEAN-PIERRE MALIK </t>
  </si>
  <si>
    <t>7581 Broadway, London</t>
  </si>
  <si>
    <t>TXN1000965</t>
  </si>
  <si>
    <t xml:space="preserve">  RICHARD SOUZA </t>
  </si>
  <si>
    <t>3214 Broadway, New York</t>
  </si>
  <si>
    <t>TXN1000966</t>
  </si>
  <si>
    <t>David Rodriguez</t>
  </si>
  <si>
    <t>3744 View Rd, Sydney</t>
  </si>
  <si>
    <t>TXN1000967</t>
  </si>
  <si>
    <t>2665 Broadway, London</t>
  </si>
  <si>
    <t>TXN1000968</t>
  </si>
  <si>
    <t>2730 Oak Ave, London</t>
  </si>
  <si>
    <t>TXN1000969</t>
  </si>
  <si>
    <t>Lucas Dubois</t>
  </si>
  <si>
    <t>8961 Maple Dr, Mumbai</t>
  </si>
  <si>
    <t>TXN1000970</t>
  </si>
  <si>
    <t>6369 Maple Dr, New York</t>
  </si>
  <si>
    <t>TXN1000971</t>
  </si>
  <si>
    <t>4178 Oak Ave, Toronto</t>
  </si>
  <si>
    <t>TXN1000972</t>
  </si>
  <si>
    <t>Thomas Wilson</t>
  </si>
  <si>
    <t>4251 Main St, Paris</t>
  </si>
  <si>
    <t>TXN1000973</t>
  </si>
  <si>
    <t xml:space="preserve">  JOSEPH MALIK </t>
  </si>
  <si>
    <t>766 Maple Dr, New York</t>
  </si>
  <si>
    <t>TXN1000974</t>
  </si>
  <si>
    <t>3665 Pine Rd, London</t>
  </si>
  <si>
    <t>TXN1000975</t>
  </si>
  <si>
    <t xml:space="preserve"> william brown   </t>
  </si>
  <si>
    <t>1565 Oak Ave, Paris</t>
  </si>
  <si>
    <t>TXN1000976</t>
  </si>
  <si>
    <t>6357 Broadway, Mumbai</t>
  </si>
  <si>
    <t>TXN1000977</t>
  </si>
  <si>
    <t>Karen Johnson</t>
  </si>
  <si>
    <t>3772 Broadway, Sydney</t>
  </si>
  <si>
    <t>TXN1000978</t>
  </si>
  <si>
    <t>1092 Pine Rd, London</t>
  </si>
  <si>
    <t>TXN1000979</t>
  </si>
  <si>
    <t>2323 Pine Rd, Mumbai</t>
  </si>
  <si>
    <t>TXN1000980</t>
  </si>
  <si>
    <t>3337 Main St, Mumbai</t>
  </si>
  <si>
    <t>TXN1000981</t>
  </si>
  <si>
    <t>443 View Rd, New York</t>
  </si>
  <si>
    <t>TXN1000982</t>
  </si>
  <si>
    <t>4923 Cedar Ln, New York</t>
  </si>
  <si>
    <t>TXN1000983</t>
  </si>
  <si>
    <t>3301 Main St, Sydney</t>
  </si>
  <si>
    <t>TXN1000984</t>
  </si>
  <si>
    <t>9633 Main St, Sydney</t>
  </si>
  <si>
    <t>TXN1000985</t>
  </si>
  <si>
    <t>4312 Oak Ave, Dubai</t>
  </si>
  <si>
    <t>TXN1000986</t>
  </si>
  <si>
    <t>3101 Pine Rd, Mumbai</t>
  </si>
  <si>
    <t>TXN1000987</t>
  </si>
  <si>
    <t>Susan Rodriguez</t>
  </si>
  <si>
    <t>2808 Oak Ave, Paris</t>
  </si>
  <si>
    <t>TXN1000988</t>
  </si>
  <si>
    <t xml:space="preserve">  THOMAS THOMAS </t>
  </si>
  <si>
    <t>1024 Oak Ave, Mumbai</t>
  </si>
  <si>
    <t>TXN1000989</t>
  </si>
  <si>
    <t>1012 Oak Ave, London</t>
  </si>
  <si>
    <t>TXN1000990</t>
  </si>
  <si>
    <t>595 Maple Dr, Mumbai</t>
  </si>
  <si>
    <t>TXN1000991</t>
  </si>
  <si>
    <t>656 Oak Ave, New York</t>
  </si>
  <si>
    <t>TXN1000992</t>
  </si>
  <si>
    <t>2220 View Rd, New York</t>
  </si>
  <si>
    <t>TXN1000993</t>
  </si>
  <si>
    <t>256 Broadway, Sydney</t>
  </si>
  <si>
    <t>TXN1000994</t>
  </si>
  <si>
    <t>7605 Pine Rd, Sydney</t>
  </si>
  <si>
    <t>TXN1000995</t>
  </si>
  <si>
    <t>7643 Broadway, Toronto</t>
  </si>
  <si>
    <t>TXN1000996</t>
  </si>
  <si>
    <t>7346 Pine Rd, Paris</t>
  </si>
  <si>
    <t>TXN1000997</t>
  </si>
  <si>
    <t>1096 Broadway, Toronto</t>
  </si>
  <si>
    <t>TXN1000998</t>
  </si>
  <si>
    <t>3005 Maple Dr, London</t>
  </si>
  <si>
    <t>TXN1000999</t>
  </si>
  <si>
    <t>Karen Volkov</t>
  </si>
  <si>
    <t>9469 Oak Ave, Dubai</t>
  </si>
  <si>
    <t>TXN1001000</t>
  </si>
  <si>
    <t>6581 Cedar Ln, Toronto</t>
  </si>
  <si>
    <t>TXN1001001</t>
  </si>
  <si>
    <t>886 Main St, Sydney</t>
  </si>
  <si>
    <t>TXN1001002</t>
  </si>
  <si>
    <t>8196 Maple Dr, New York</t>
  </si>
  <si>
    <t>TXN1001003</t>
  </si>
  <si>
    <t xml:space="preserve">  ROBERT BROWN </t>
  </si>
  <si>
    <t>3867 Broadway, Toronto</t>
  </si>
  <si>
    <t>TXN1001004</t>
  </si>
  <si>
    <t>6094 Main St, Paris</t>
  </si>
  <si>
    <t>TXN1001005</t>
  </si>
  <si>
    <t>8957 Pine Rd, Sydney</t>
  </si>
  <si>
    <t>TXN1001006</t>
  </si>
  <si>
    <t>7111 Cedar Ln, Dubai</t>
  </si>
  <si>
    <t>TXN1001007</t>
  </si>
  <si>
    <t>9361 View Rd, Sydney</t>
  </si>
  <si>
    <t>TXN1001008</t>
  </si>
  <si>
    <t>7155 Cedar Ln, Dubai</t>
  </si>
  <si>
    <t>TXN1001009</t>
  </si>
  <si>
    <t>9444 Main St, New York</t>
  </si>
  <si>
    <t>TXN1001010</t>
  </si>
  <si>
    <t>Marta Johnson</t>
  </si>
  <si>
    <t>7533 View Rd, London</t>
  </si>
  <si>
    <t>TXN1001011</t>
  </si>
  <si>
    <t>7467 Cedar Ln, Paris</t>
  </si>
  <si>
    <t>TXN1001012</t>
  </si>
  <si>
    <t>Christopher Martin</t>
  </si>
  <si>
    <t>6131 Maple Dr, Paris</t>
  </si>
  <si>
    <t>TXN1001013</t>
  </si>
  <si>
    <t>9649 Pine Rd, London</t>
  </si>
  <si>
    <t>TXN1001014</t>
  </si>
  <si>
    <t>4285 View Rd, Paris</t>
  </si>
  <si>
    <t>TXN1001015</t>
  </si>
  <si>
    <t>7428 Oak Ave, New York</t>
  </si>
  <si>
    <t>TXN1001016</t>
  </si>
  <si>
    <t>400 Maple Dr, Paris</t>
  </si>
  <si>
    <t>TXN1001017</t>
  </si>
  <si>
    <t>3110 Maple Dr, Sydney</t>
  </si>
  <si>
    <t>TXN1001018</t>
  </si>
  <si>
    <t>Jean-Pierre Khan</t>
  </si>
  <si>
    <t>2606 Oak Ave, Dubai</t>
  </si>
  <si>
    <t>TXN1001019</t>
  </si>
  <si>
    <t>5780 Maple Dr, London</t>
  </si>
  <si>
    <t>TXN1001020</t>
  </si>
  <si>
    <t>8847 Main St, Mumbai</t>
  </si>
  <si>
    <t>TXN1001021</t>
  </si>
  <si>
    <t>3761 View Rd, London</t>
  </si>
  <si>
    <t>TXN1001022</t>
  </si>
  <si>
    <t>7167 Maple Dr, London</t>
  </si>
  <si>
    <t>TXN1001023</t>
  </si>
  <si>
    <t>Charles Al-Sayed</t>
  </si>
  <si>
    <t>1580 Broadway, Paris</t>
  </si>
  <si>
    <t>TXN1001024</t>
  </si>
  <si>
    <t>3376 Broadway, New York</t>
  </si>
  <si>
    <t>TXN1001025</t>
  </si>
  <si>
    <t>6547 Maple Dr, London</t>
  </si>
  <si>
    <t>TXN1001026</t>
  </si>
  <si>
    <t>1399 Pine Rd, Dubai</t>
  </si>
  <si>
    <t>TXN1001027</t>
  </si>
  <si>
    <t>Thomas Khan</t>
  </si>
  <si>
    <t>5094 Broadway, Sydney</t>
  </si>
  <si>
    <t>TXN1001028</t>
  </si>
  <si>
    <t>7589 Maple Dr, Dubai</t>
  </si>
  <si>
    <t>TXN1001029</t>
  </si>
  <si>
    <t>2931 Pine Rd, London</t>
  </si>
  <si>
    <t>TXN1001030</t>
  </si>
  <si>
    <t>1632 View Rd, Dubai</t>
  </si>
  <si>
    <t>TXN1001031</t>
  </si>
  <si>
    <t>Christopher Dubois</t>
  </si>
  <si>
    <t>2096 Maple Dr, Dubai</t>
  </si>
  <si>
    <t>TXN1001032</t>
  </si>
  <si>
    <t xml:space="preserve">  SARAH AL-SAYED </t>
  </si>
  <si>
    <t xml:space="preserve"> christopher anderson   </t>
  </si>
  <si>
    <t>3189 Maple Dr, Sydney</t>
  </si>
  <si>
    <t>TXN1001033</t>
  </si>
  <si>
    <t>5465 View Rd, Mumbai</t>
  </si>
  <si>
    <t>TXN1001034</t>
  </si>
  <si>
    <t>3222 Broadway, Toronto</t>
  </si>
  <si>
    <t>TXN1001035</t>
  </si>
  <si>
    <t xml:space="preserve"> zayn hernandez   </t>
  </si>
  <si>
    <t>1897 Maple Dr, Toronto</t>
  </si>
  <si>
    <t>TXN1001036</t>
  </si>
  <si>
    <t>6600 Broadway, Toronto</t>
  </si>
  <si>
    <t>TXN1001037</t>
  </si>
  <si>
    <t>6766 Broadway, Toronto</t>
  </si>
  <si>
    <t>TXN1001038</t>
  </si>
  <si>
    <t>634 Cedar Ln, Mumbai</t>
  </si>
  <si>
    <t>TXN1001039</t>
  </si>
  <si>
    <t>1132 Broadway, Toronto</t>
  </si>
  <si>
    <t>TXN1001040</t>
  </si>
  <si>
    <t>6185 Main St, London</t>
  </si>
  <si>
    <t>TXN1001041</t>
  </si>
  <si>
    <t>4600 Cedar Ln, New York</t>
  </si>
  <si>
    <t>TXN1001042</t>
  </si>
  <si>
    <t>4617 Oak Ave, Mumbai</t>
  </si>
  <si>
    <t>TXN1001043</t>
  </si>
  <si>
    <t>8838 Broadway, Dubai</t>
  </si>
  <si>
    <t>TXN1001044</t>
  </si>
  <si>
    <t>7770 View Rd, London</t>
  </si>
  <si>
    <t>TXN1001045</t>
  </si>
  <si>
    <t>3823 View Rd, Sydney</t>
  </si>
  <si>
    <t>TXN1001046</t>
  </si>
  <si>
    <t xml:space="preserve"> jessica johnson   </t>
  </si>
  <si>
    <t>3409 Oak Ave, New York</t>
  </si>
  <si>
    <t>TXN1001047</t>
  </si>
  <si>
    <t>6765 Oak Ave, New York</t>
  </si>
  <si>
    <t>TXN1001048</t>
  </si>
  <si>
    <t>9254 View Rd, Paris</t>
  </si>
  <si>
    <t>TXN1001049</t>
  </si>
  <si>
    <t xml:space="preserve">  JOHN JOHNSON </t>
  </si>
  <si>
    <t>982 Main St, Sydney</t>
  </si>
  <si>
    <t>TXN1001050</t>
  </si>
  <si>
    <t>Carlos Nair</t>
  </si>
  <si>
    <t>9162 Maple Dr, London</t>
  </si>
  <si>
    <t>TXN1001051</t>
  </si>
  <si>
    <t>9157 Oak Ave, Mumbai</t>
  </si>
  <si>
    <t>TXN1001052</t>
  </si>
  <si>
    <t>7388 Maple Dr, London</t>
  </si>
  <si>
    <t>TXN1001053</t>
  </si>
  <si>
    <t>2344 Pine Rd, London</t>
  </si>
  <si>
    <t>TXN1001054</t>
  </si>
  <si>
    <t>3183 Main St, London</t>
  </si>
  <si>
    <t>TXN1001055</t>
  </si>
  <si>
    <t>Jessica Wilson</t>
  </si>
  <si>
    <t>965 View Rd, Mumbai</t>
  </si>
  <si>
    <t>TXN1001056</t>
  </si>
  <si>
    <t>Thomas Jones</t>
  </si>
  <si>
    <t>3618 Main St, Paris</t>
  </si>
  <si>
    <t>TXN1001057</t>
  </si>
  <si>
    <t>6895 Main St, London</t>
  </si>
  <si>
    <t>TXN1001058</t>
  </si>
  <si>
    <t>2667 Oak Ave, Toronto</t>
  </si>
  <si>
    <t>TXN1001059</t>
  </si>
  <si>
    <t xml:space="preserve">  LINDA DAVIS </t>
  </si>
  <si>
    <t>839 Oak Ave, Mumbai</t>
  </si>
  <si>
    <t>TXN1001060</t>
  </si>
  <si>
    <t>9427 Maple Dr, Mumbai</t>
  </si>
  <si>
    <t>TXN1001061</t>
  </si>
  <si>
    <t>9165 Maple Dr, Mumbai</t>
  </si>
  <si>
    <t>TXN1001062</t>
  </si>
  <si>
    <t>William Wilson</t>
  </si>
  <si>
    <t>5745 View Rd, London</t>
  </si>
  <si>
    <t>TXN1001063</t>
  </si>
  <si>
    <t>7224 View Rd, Mumbai</t>
  </si>
  <si>
    <t>TXN1001064</t>
  </si>
  <si>
    <t>2383 Oak Ave, Dubai</t>
  </si>
  <si>
    <t>TXN1001065</t>
  </si>
  <si>
    <t>7098 Broadway, New York</t>
  </si>
  <si>
    <t>TXN1001066</t>
  </si>
  <si>
    <t>5513 View Rd, Mumbai</t>
  </si>
  <si>
    <t>TXN1001067</t>
  </si>
  <si>
    <t>2703 Oak Ave, Paris</t>
  </si>
  <si>
    <t>TXN1001068</t>
  </si>
  <si>
    <t>9761 Oak Ave, Dubai</t>
  </si>
  <si>
    <t>TXN1001069</t>
  </si>
  <si>
    <t>1780 Pine Rd, London</t>
  </si>
  <si>
    <t>TXN1001070</t>
  </si>
  <si>
    <t>Marta Silva</t>
  </si>
  <si>
    <t>9211 Pine Rd, London</t>
  </si>
  <si>
    <t>TXN1001071</t>
  </si>
  <si>
    <t>8184 View Rd, Mumbai</t>
  </si>
  <si>
    <t>TXN1001072</t>
  </si>
  <si>
    <t>6300 View Rd, Paris</t>
  </si>
  <si>
    <t>TXN1001073</t>
  </si>
  <si>
    <t>2107 Main St, Toronto</t>
  </si>
  <si>
    <t>TXN1001074</t>
  </si>
  <si>
    <t>8219 Maple Dr, New York</t>
  </si>
  <si>
    <t>TXN1001075</t>
  </si>
  <si>
    <t>855 Maple Dr, London</t>
  </si>
  <si>
    <t>TXN1001076</t>
  </si>
  <si>
    <t>2430 Oak Ave, Dubai</t>
  </si>
  <si>
    <t>TXN1001077</t>
  </si>
  <si>
    <t>1116 Maple Dr, London</t>
  </si>
  <si>
    <t>TXN1001078</t>
  </si>
  <si>
    <t xml:space="preserve">  NANCY SMITH </t>
  </si>
  <si>
    <t>8316 Pine Rd, Paris</t>
  </si>
  <si>
    <t>TXN1001079</t>
  </si>
  <si>
    <t>Richard Brown</t>
  </si>
  <si>
    <t>837 Main St, Sydney</t>
  </si>
  <si>
    <t>TXN1001080</t>
  </si>
  <si>
    <t>331 View Rd, Paris</t>
  </si>
  <si>
    <t>TXN1001081</t>
  </si>
  <si>
    <t>6018 Broadway, New York</t>
  </si>
  <si>
    <t>TXN1001082</t>
  </si>
  <si>
    <t>6501 Oak Ave, Paris</t>
  </si>
  <si>
    <t>TXN1001083</t>
  </si>
  <si>
    <t>Priya Smith</t>
  </si>
  <si>
    <t>7172 Cedar Ln, London</t>
  </si>
  <si>
    <t>TXN1001084</t>
  </si>
  <si>
    <t>Joseph Hernandez</t>
  </si>
  <si>
    <t>8887 Pine Rd, Toronto</t>
  </si>
  <si>
    <t>TXN1001085</t>
  </si>
  <si>
    <t>Mary Malik</t>
  </si>
  <si>
    <t>7264 View Rd, London</t>
  </si>
  <si>
    <t>TXN1001086</t>
  </si>
  <si>
    <t>TXN1001087</t>
  </si>
  <si>
    <t>408 Oak Ave, Paris</t>
  </si>
  <si>
    <t>TXN1001088</t>
  </si>
  <si>
    <t>8727 Main St, Toronto</t>
  </si>
  <si>
    <t>TXN1001089</t>
  </si>
  <si>
    <t>Barbara Lopez</t>
  </si>
  <si>
    <t>293 Oak Ave, London</t>
  </si>
  <si>
    <t>TXN1001090</t>
  </si>
  <si>
    <t>3335 Main St, Paris</t>
  </si>
  <si>
    <t>TXN1001091</t>
  </si>
  <si>
    <t xml:space="preserve">  PATRICIA KHAN </t>
  </si>
  <si>
    <t>4720 Main St, Sydney</t>
  </si>
  <si>
    <t>TXN1001092</t>
  </si>
  <si>
    <t>6453 Cedar Ln, Dubai</t>
  </si>
  <si>
    <t>TXN1001093</t>
  </si>
  <si>
    <t>John Rostova</t>
  </si>
  <si>
    <t>9245 Broadway, Toronto</t>
  </si>
  <si>
    <t>TXN1001094</t>
  </si>
  <si>
    <t>3481 Main St, Sydney</t>
  </si>
  <si>
    <t>TXN1001095</t>
  </si>
  <si>
    <t>Jessica Rodriguez</t>
  </si>
  <si>
    <t xml:space="preserve"> john martin   </t>
  </si>
  <si>
    <t>4987 Oak Ave, Mumbai</t>
  </si>
  <si>
    <t>TXN1001096</t>
  </si>
  <si>
    <t xml:space="preserve">  JOHN NAIR </t>
  </si>
  <si>
    <t>2027 Oak Ave, New York</t>
  </si>
  <si>
    <t>TXN1001097</t>
  </si>
  <si>
    <t>104 Oak Ave, Dubai</t>
  </si>
  <si>
    <t>TXN1001098</t>
  </si>
  <si>
    <t>9654 Cedar Ln, Toronto</t>
  </si>
  <si>
    <t>TXN1001099</t>
  </si>
  <si>
    <t>Richard Khan</t>
  </si>
  <si>
    <t>6333 Pine Rd, London</t>
  </si>
  <si>
    <t>TXN1001100</t>
  </si>
  <si>
    <t>9565 Broadway, Sydney</t>
  </si>
  <si>
    <t>TXN1001101</t>
  </si>
  <si>
    <t>1231 Maple Dr, London</t>
  </si>
  <si>
    <t>TXN1001102</t>
  </si>
  <si>
    <t>5192 Broadway, London</t>
  </si>
  <si>
    <t>TXN1001103</t>
  </si>
  <si>
    <t>Jessica Jackson</t>
  </si>
  <si>
    <t>3259 Maple Dr, Paris</t>
  </si>
  <si>
    <t>TXN1001104</t>
  </si>
  <si>
    <t>Richard Silva</t>
  </si>
  <si>
    <t>8545 Maple Dr, New York</t>
  </si>
  <si>
    <t>TXN1001105</t>
  </si>
  <si>
    <t xml:space="preserve">  JEAN-PIERRE AL-SAYED </t>
  </si>
  <si>
    <t>3144 Cedar Ln, Mumbai</t>
  </si>
  <si>
    <t>TXN1001106</t>
  </si>
  <si>
    <t>Zayn Volkov</t>
  </si>
  <si>
    <t>2992 Main St, Mumbai</t>
  </si>
  <si>
    <t>TXN1001107</t>
  </si>
  <si>
    <t>754 Oak Ave, Paris</t>
  </si>
  <si>
    <t>TXN1001108</t>
  </si>
  <si>
    <t>1898 Maple Dr, Toronto</t>
  </si>
  <si>
    <t>TXN1001109</t>
  </si>
  <si>
    <t xml:space="preserve">  JEAN-PIERRE SILVA </t>
  </si>
  <si>
    <t>8546 Broadway, Sydney</t>
  </si>
  <si>
    <t>TXN1001110</t>
  </si>
  <si>
    <t>1976 View Rd, New York</t>
  </si>
  <si>
    <t>TXN1001111</t>
  </si>
  <si>
    <t>6254 Maple Dr, London</t>
  </si>
  <si>
    <t>TXN1001112</t>
  </si>
  <si>
    <t>4616 Broadway, Mumbai</t>
  </si>
  <si>
    <t>TXN1001113</t>
  </si>
  <si>
    <t>6072 Cedar Ln, Mumbai</t>
  </si>
  <si>
    <t>TXN1001114</t>
  </si>
  <si>
    <t xml:space="preserve">  ZAYN SMITH </t>
  </si>
  <si>
    <t xml:space="preserve"> richard rodriguez   </t>
  </si>
  <si>
    <t>1108 Pine Rd, Paris</t>
  </si>
  <si>
    <t>TXN1001115</t>
  </si>
  <si>
    <t>2608 Broadway, Toronto</t>
  </si>
  <si>
    <t>TXN1001116</t>
  </si>
  <si>
    <t>7411 View Rd, Mumbai</t>
  </si>
  <si>
    <t>TXN1001117</t>
  </si>
  <si>
    <t>8546 Maple Dr, Paris</t>
  </si>
  <si>
    <t>TXN1001118</t>
  </si>
  <si>
    <t>7064 Oak Ave, New York</t>
  </si>
  <si>
    <t>TXN1001119</t>
  </si>
  <si>
    <t>8175 Oak Ave, Mumbai</t>
  </si>
  <si>
    <t>TXN1001120</t>
  </si>
  <si>
    <t>Thomas Anderson</t>
  </si>
  <si>
    <t>8547 Main St, Sydney</t>
  </si>
  <si>
    <t>TXN1001121</t>
  </si>
  <si>
    <t xml:space="preserve">  FATIMA GARCIA </t>
  </si>
  <si>
    <t>7788 Maple Dr, Mumbai</t>
  </si>
  <si>
    <t>TXN1001122</t>
  </si>
  <si>
    <t>Linda Velez</t>
  </si>
  <si>
    <t>2903 View Rd, Sydney</t>
  </si>
  <si>
    <t>TXN1001123</t>
  </si>
  <si>
    <t>198 Cedar Ln, London</t>
  </si>
  <si>
    <t>TXN1001124</t>
  </si>
  <si>
    <t>Nancy Thomas</t>
  </si>
  <si>
    <t>Fatima Jones</t>
  </si>
  <si>
    <t>977 Oak Ave, Mumbai</t>
  </si>
  <si>
    <t>TXN1001125</t>
  </si>
  <si>
    <t>2765 Cedar Ln, London</t>
  </si>
  <si>
    <t>TXN1001126</t>
  </si>
  <si>
    <t>2737 Pine Rd, London</t>
  </si>
  <si>
    <t>TXN1001127</t>
  </si>
  <si>
    <t>8713 Maple Dr, Mumbai</t>
  </si>
  <si>
    <t>TXN1001128</t>
  </si>
  <si>
    <t xml:space="preserve"> elena jackson   </t>
  </si>
  <si>
    <t>644 Broadway, New York</t>
  </si>
  <si>
    <t>TXN1001129</t>
  </si>
  <si>
    <t>1323 Cedar Ln, Toronto</t>
  </si>
  <si>
    <t>TXN1001130</t>
  </si>
  <si>
    <t>6620 Broadway, Dubai</t>
  </si>
  <si>
    <t>TXN1001131</t>
  </si>
  <si>
    <t>Christopher Hernandez</t>
  </si>
  <si>
    <t>2546 Cedar Ln, Mumbai</t>
  </si>
  <si>
    <t>TXN1001132</t>
  </si>
  <si>
    <t>3766 View Rd, Toronto</t>
  </si>
  <si>
    <t>TXN1001133</t>
  </si>
  <si>
    <t>2669 Maple Dr, Dubai</t>
  </si>
  <si>
    <t>TXN1001134</t>
  </si>
  <si>
    <t xml:space="preserve">  DAVID DUBOIS </t>
  </si>
  <si>
    <t>4085 Maple Dr, New York</t>
  </si>
  <si>
    <t>TXN1001135</t>
  </si>
  <si>
    <t>4410 Maple Dr, London</t>
  </si>
  <si>
    <t>TXN1001136</t>
  </si>
  <si>
    <t>9735 Cedar Ln, Toronto</t>
  </si>
  <si>
    <t>TXN1001137</t>
  </si>
  <si>
    <t>672 Cedar Ln, London</t>
  </si>
  <si>
    <t>TXN1001138</t>
  </si>
  <si>
    <t>7182 Pine Rd, Dubai</t>
  </si>
  <si>
    <t>TXN1001139</t>
  </si>
  <si>
    <t>Jessica Souza</t>
  </si>
  <si>
    <t>David Martin</t>
  </si>
  <si>
    <t>8517 Main St, Dubai</t>
  </si>
  <si>
    <t>TXN1001140</t>
  </si>
  <si>
    <t>9063 Cedar Ln, New York</t>
  </si>
  <si>
    <t>TXN1001141</t>
  </si>
  <si>
    <t>7522 Cedar Ln, London</t>
  </si>
  <si>
    <t>TXN1001142</t>
  </si>
  <si>
    <t>3507 Maple Dr, Sydney</t>
  </si>
  <si>
    <t>TXN1001143</t>
  </si>
  <si>
    <t>9157 Oak Ave, New York</t>
  </si>
  <si>
    <t>TXN1001144</t>
  </si>
  <si>
    <t xml:space="preserve"> lucas silva   </t>
  </si>
  <si>
    <t>7434 Oak Ave, New York</t>
  </si>
  <si>
    <t>TXN1001145</t>
  </si>
  <si>
    <t xml:space="preserve"> mary dubois   </t>
  </si>
  <si>
    <t>2515 Pine Rd, Toronto</t>
  </si>
  <si>
    <t>TXN1001146</t>
  </si>
  <si>
    <t>5051 Pine Rd, Dubai</t>
  </si>
  <si>
    <t>TXN1001147</t>
  </si>
  <si>
    <t>5389 View Rd, Paris</t>
  </si>
  <si>
    <t>TXN1001148</t>
  </si>
  <si>
    <t>John Miller</t>
  </si>
  <si>
    <t>7357 Main St, Dubai</t>
  </si>
  <si>
    <t>TXN1001149</t>
  </si>
  <si>
    <t>6537 Broadway, Dubai</t>
  </si>
  <si>
    <t>TXN1001150</t>
  </si>
  <si>
    <t>8724 Pine Rd, New York</t>
  </si>
  <si>
    <t>935 Broadway, Paris</t>
  </si>
  <si>
    <t>9189 Main St, Paris</t>
  </si>
  <si>
    <t>2529 Broadway, Paris</t>
  </si>
  <si>
    <t>9218 Broadway, Toronto</t>
  </si>
  <si>
    <t>6030 Oak Ave, Paris</t>
  </si>
  <si>
    <t>4884 Maple Dr, London</t>
  </si>
  <si>
    <t>3251 Main St, Paris</t>
  </si>
  <si>
    <t>5680 Broadway, Toronto</t>
  </si>
  <si>
    <t>7719 View Rd, Sydney</t>
  </si>
  <si>
    <t>3591 Pine Rd, Dubai</t>
  </si>
  <si>
    <t>7097 Oak Ave, New York</t>
  </si>
  <si>
    <t>9045 Broadway, Sydney</t>
  </si>
  <si>
    <t>7060 Maple Dr, Paris</t>
  </si>
  <si>
    <t>5688 Maple Dr, Paris</t>
  </si>
  <si>
    <t>7311 Broadway, London</t>
  </si>
  <si>
    <t>DAX Calculation Results</t>
  </si>
  <si>
    <t>Total Transactions</t>
  </si>
  <si>
    <t>Total Transaction Amount</t>
  </si>
  <si>
    <t>Average Transaction Amount</t>
  </si>
  <si>
    <t>High Risk Transactions</t>
  </si>
  <si>
    <t>KYC Approved Transactions</t>
  </si>
  <si>
    <t>PEP Related Transactions</t>
  </si>
  <si>
    <t>Average Sender Age</t>
  </si>
  <si>
    <t>Channel Transactions</t>
  </si>
  <si>
    <t>Sender Name</t>
  </si>
  <si>
    <t>Receiver Name</t>
  </si>
  <si>
    <t>Receiver Currency</t>
  </si>
  <si>
    <t>KYC Status</t>
  </si>
  <si>
    <t>Transaction Type</t>
  </si>
  <si>
    <t>Sender Age</t>
  </si>
  <si>
    <t>Sender Country</t>
  </si>
  <si>
    <t>Receiver Country</t>
  </si>
  <si>
    <t>mtcn2</t>
  </si>
  <si>
    <t>Sender Currency2</t>
  </si>
  <si>
    <t>Amount2</t>
  </si>
  <si>
    <t>Age2</t>
  </si>
  <si>
    <t>Year</t>
  </si>
  <si>
    <t>Month</t>
  </si>
  <si>
    <t>TransactionId</t>
  </si>
  <si>
    <t>PEP2</t>
  </si>
  <si>
    <t xml:space="preserve"> fatima rodriguez   </t>
  </si>
  <si>
    <t>Outer-transaction</t>
  </si>
  <si>
    <t>outer-transaction</t>
  </si>
  <si>
    <t>Y</t>
  </si>
  <si>
    <t>EXTERNAL</t>
  </si>
  <si>
    <t>N</t>
  </si>
  <si>
    <t>INTERNAL</t>
  </si>
  <si>
    <t>Inter-transaction</t>
  </si>
  <si>
    <t>inter-transaction</t>
  </si>
  <si>
    <t>PEP Related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</si>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</sst>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DDDDD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18" fillId="33" borderId="0" xfId="0" applyFont="1" applyFill="1" applyBorder="1" applyAlignment="1"/>
    <xf numFmtId="0" fontId="19" fillId="0" borderId="0" xfId="0" applyFont="1" applyFill="1" applyBorder="1" applyAlignment="1"/>
    <xf numFmtId="0" fontId="20" fillId="0" borderId="0" xfId="0" applyFont="1"/>
    <xf numFmtId="0" fontId="14" fillId="34" borderId="0" xfId="0" applyFont="1" applyFill="1"/>
    <xf numFmtId="0" fontId="21" fillId="34" borderId="0" xfId="0" applyFont="1" applyFill="1"/>
    <xf numFmtId="0" fontId="0" fillId="0" borderId="0" xfId="0" applyNumberFormat="1"/>
    <xf numFmtId="0" fontId="0" fillId="0" borderId="0" xfId="0" applyAlignment="1">
      <alignment horizontal="center"/>
    </xf>
    <xf numFmtId="0" fontId="13" fillId="36" borderId="10" xfId="0" applyFont="1" applyFill="1" applyBorder="1"/>
    <xf numFmtId="0" fontId="0" fillId="35" borderId="10" xfId="0" applyFont="1" applyFill="1" applyBorder="1"/>
    <xf numFmtId="0" fontId="0" fillId="0" borderId="10" xfId="0" applyFont="1" applyBorder="1"/>
    <xf numFmtId="164" fontId="13" fillId="36" borderId="10" xfId="0" applyNumberFormat="1" applyFont="1" applyFill="1" applyBorder="1"/>
    <xf numFmtId="164" fontId="0" fillId="35" borderId="10" xfId="0" applyNumberFormat="1" applyFont="1" applyFill="1" applyBorder="1"/>
    <xf numFmtId="164" fontId="0" fillId="0" borderId="10" xfId="0" applyNumberFormat="1" applyFont="1" applyBorder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800]dddd\,\ mmmm\ dd\,\ 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E73527-5B16-4105-861B-6B9AEBF14B4A}" name="Table3" displayName="Table3" ref="A1:Q1166" totalsRowShown="0">
  <autoFilter ref="A1:Q1166" xr:uid="{D1E73527-5B16-4105-861B-6B9AEBF14B4A}"/>
  <tableColumns count="17">
    <tableColumn id="1" xr3:uid="{EF91D247-71F4-4E51-8CA3-B206D0B9DAEE}" name="Transaction ID" dataDxfId="35"/>
    <tableColumn id="2" xr3:uid="{5C0C2D21-8E30-4146-B442-BA2A18866785}" name="MTCN" dataDxfId="34"/>
    <tableColumn id="3" xr3:uid="{3B176C90-25B4-4BF4-87E2-9ADA2B0D07DA}" name="SenderName"/>
    <tableColumn id="4" xr3:uid="{42B802C8-8F09-4BC1-A290-AF50DE0E616C}" name="ReceiverName"/>
    <tableColumn id="5" xr3:uid="{753FA6C9-395E-4709-A93A-4BA5504EA245}" name="PEP"/>
    <tableColumn id="6" xr3:uid="{2DD38C4A-08EB-463C-90C5-9366B1653884}" name="Sender Currency"/>
    <tableColumn id="7" xr3:uid="{E0E34E52-2835-40A9-8ABB-0B2E02065D5A}" name="Receiver Currency2"/>
    <tableColumn id="8" xr3:uid="{94288F5A-1117-4BE2-9198-B966C6A91859}" name="Sender Country2"/>
    <tableColumn id="9" xr3:uid="{FDCBA551-5B7A-4464-9CB5-594F944228B3}" name="Receiver Country2"/>
    <tableColumn id="10" xr3:uid="{55D747C5-CB22-4986-9FA4-9FA7DD42523D}" name="KYC Status2"/>
    <tableColumn id="11" xr3:uid="{18344048-5ACA-4FD4-8E6A-E1B346F3A549}" name="Transaction Type2"/>
    <tableColumn id="12" xr3:uid="{3B12437D-557B-46B4-ADDB-E81ED42008AA}" name="Amount"/>
    <tableColumn id="13" xr3:uid="{C0743C67-FE13-42EA-8AB7-8B359D51E70D}" name="Age"/>
    <tableColumn id="14" xr3:uid="{B39AED53-A0B3-4F57-B42A-BF8EE47D91EA}" name="Channel" dataDxfId="33"/>
    <tableColumn id="15" xr3:uid="{5B1F4936-9733-4898-9516-F3DA8C879FAA}" name="Risk Rating" dataDxfId="32"/>
    <tableColumn id="16" xr3:uid="{3D62E30F-189E-438A-9AF2-BD7C8A10AD6D}" name="Timestamp" dataDxfId="31"/>
    <tableColumn id="17" xr3:uid="{3B521CA6-B756-4CB9-9E76-E79ABA4764A7}" name="Customer Addr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239AF1-CAFA-4D93-85A7-5CFA5034CD65}" name="Table13" displayName="Table13" ref="A1:AF1166" totalsRowShown="0">
  <autoFilter ref="A1:AF1166" xr:uid="{067D07F9-87DE-4C0D-97AF-A914C2954380}"/>
  <tableColumns count="32">
    <tableColumn id="1" xr3:uid="{FCB806CD-0C0C-429A-A963-6F184DD23C6B}" name="Transaction ID"/>
    <tableColumn id="2" xr3:uid="{8B6CD93B-1B3C-49A4-A626-63BE11F241F9}" name="MTCN"/>
    <tableColumn id="3" xr3:uid="{DBA14B95-F6C8-4D3C-9E2A-FDB9C763D3AB}" name="Sender Name"/>
    <tableColumn id="4" xr3:uid="{77F90F60-F812-4B21-95EF-77487D85B6F2}" name="Receiver Name"/>
    <tableColumn id="30" xr3:uid="{878B92A5-4601-4300-927C-4E619EDCCED9}" name="PEP"/>
    <tableColumn id="6" xr3:uid="{EBF44414-4604-48F6-8FEF-DFDE70EC731D}" name="Sender Currency"/>
    <tableColumn id="7" xr3:uid="{CA99EE38-A833-430E-9892-095F90DAA887}" name="Receiver Currency"/>
    <tableColumn id="8" xr3:uid="{FF1E7E8E-6B07-40F6-99E3-80A165BE5D97}" name="KYC Status"/>
    <tableColumn id="9" xr3:uid="{8DA55980-D87A-467D-A352-F9DDFC817CE4}" name="Transaction Type"/>
    <tableColumn id="10" xr3:uid="{36DB15B7-1903-4529-AFAA-14F4AAA560F3}" name="Amount"/>
    <tableColumn id="11" xr3:uid="{EB137262-6FB6-4FAB-8777-90041D82B9E2}" name="Channel"/>
    <tableColumn id="12" xr3:uid="{E6430F1E-3A78-47C0-91DB-7F848361B48B}" name="Risk Rating"/>
    <tableColumn id="13" xr3:uid="{F991A438-B6CB-47BD-ABD1-12E2AD08C850}" name="Timestamp" dataDxfId="30"/>
    <tableColumn id="14" xr3:uid="{A315AD94-0503-4C80-BE59-883B343861CC}" name="Sender Age"/>
    <tableColumn id="15" xr3:uid="{2C561420-DE4F-4CE2-9524-9194A1BAE775}" name="Sender Country"/>
    <tableColumn id="16" xr3:uid="{32E0310D-3626-4EA6-8503-3A7AB73658A6}" name="Receiver Country"/>
    <tableColumn id="17" xr3:uid="{36076D34-19FD-41D9-B675-6750E28FDDB5}" name="Customer Address"/>
    <tableColumn id="32" xr3:uid="{CAD1593E-564D-4BCD-95BD-FAE1BB4A32F6}" name="mtcn2" dataDxfId="29">
      <calculatedColumnFormula>IF(B2="",0,B2)</calculatedColumnFormula>
    </tableColumn>
    <tableColumn id="18" xr3:uid="{2EDC0821-FB00-49F0-9622-E7B0BEDFD944}" name="SenderName" dataDxfId="28">
      <calculatedColumnFormula array="1">IF(C2="",IFERROR(INDEX($C$2:$C$1166,MATCH(MAX(COUNTIF($C$2:$C$1166,$C$2:$C$1166)),COUNTIF($C$2:$C$1166,$C$2:$C$1166),0)),"Unknown"),C2)</calculatedColumnFormula>
    </tableColumn>
    <tableColumn id="19" xr3:uid="{9CB8F12F-1674-4D36-9016-AD1BBFF4E38E}" name="ReceiverName" dataDxfId="27">
      <calculatedColumnFormula array="1">IF(D2="",IFERROR(INDEX($D$2:$D$1000,MATCH(MAX(COUNTIF($D$2:$D$1166,$D$2:$D$1166)),COUNTIF($D$2:$D$1166,$D$2:$D$1166),0)),"Unknown"),D2)</calculatedColumnFormula>
    </tableColumn>
    <tableColumn id="20" xr3:uid="{65A4559B-1EAB-4F75-B03F-4EC305844011}" name="Sender Currency2" dataDxfId="26">
      <calculatedColumnFormula>TRIM(F2)</calculatedColumnFormula>
    </tableColumn>
    <tableColumn id="21" xr3:uid="{64D15E45-3018-4BB9-A016-08A31BACCF15}" name="Receiver Currency2" dataDxfId="25">
      <calculatedColumnFormula>TRIM(G2)</calculatedColumnFormula>
    </tableColumn>
    <tableColumn id="22" xr3:uid="{FD9FF32E-F95C-40F9-BEC0-783F1F7F98B7}" name="Sender Country2" dataDxfId="24">
      <calculatedColumnFormula>TRIM(O2)</calculatedColumnFormula>
    </tableColumn>
    <tableColumn id="23" xr3:uid="{B8DB4E3E-2993-4E65-A3C6-BFBB5E0F0ACE}" name="Receiver Country2" dataDxfId="23">
      <calculatedColumnFormula>TRIM(P2)</calculatedColumnFormula>
    </tableColumn>
    <tableColumn id="33" xr3:uid="{8B1AB01A-FA40-4AD0-B9E0-D48E9980E5B7}" name="KYC Status2" dataDxfId="22">
      <calculatedColumnFormula array="1">IF(H2="",IFERROR(INDEX($H$2:$H$1166,MATCH(MAX(COUNTIF($H$2:$H$1166,$H$2:$H$1166)),COUNTIF($H$2:$H$1166,$H$2:$H$1166),0)),"Unknown"),H2)</calculatedColumnFormula>
    </tableColumn>
    <tableColumn id="24" xr3:uid="{80BA8B9C-BA82-4C75-B046-7F001B879A2B}" name="Transaction Type2" dataDxfId="21">
      <calculatedColumnFormula>PROPER(I2)</calculatedColumnFormula>
    </tableColumn>
    <tableColumn id="25" xr3:uid="{00D02EBE-BE95-4E10-9655-994E00515ED5}" name="Amount2" dataDxfId="20">
      <calculatedColumnFormula>IF(J2="",AVERAGE($J:$J),J2)</calculatedColumnFormula>
    </tableColumn>
    <tableColumn id="26" xr3:uid="{E528627B-BFDE-49A6-9FB7-B8CAB61C25C7}" name="Age2" dataDxfId="19">
      <calculatedColumnFormula>IF(N2="",AVERAGE($N:$N),N2)</calculatedColumnFormula>
    </tableColumn>
    <tableColumn id="27" xr3:uid="{B11F8150-9B1B-4048-B42C-3C650432722E}" name="Year" dataDxfId="18">
      <calculatedColumnFormula>YEAR(M2)</calculatedColumnFormula>
    </tableColumn>
    <tableColumn id="28" xr3:uid="{E38BF792-106D-4374-9A81-31DC749E1889}" name="Month" dataDxfId="17">
      <calculatedColumnFormula>MONTH(M2)</calculatedColumnFormula>
    </tableColumn>
    <tableColumn id="29" xr3:uid="{62034C7F-3B4E-480E-9949-D63409533261}" name="TransactionId" dataDxfId="16">
      <calculatedColumnFormula>COUNTIF(A:A,A2)</calculatedColumnFormula>
    </tableColumn>
    <tableColumn id="31" xr3:uid="{80D14D6D-A075-48BD-92B3-BA6C1BF9B8CB}" name="PEP2" dataDxfId="15">
      <calculatedColumnFormula>IF(E2="","",IF(OR(E2="Yes",E2="Y",E2="TRUE",E2=1),"Yes","No"))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7D07F9-87DE-4C0D-97AF-A914C2954380}" name="Table1" displayName="Table1" ref="A1:AE1166" totalsRowShown="0">
  <autoFilter ref="A1:AE1166" xr:uid="{067D07F9-87DE-4C0D-97AF-A914C2954380}"/>
  <tableColumns count="31">
    <tableColumn id="1" xr3:uid="{A48D1358-5C4B-489A-9E17-5FEE79BAAAB5}" name="Transaction ID"/>
    <tableColumn id="2" xr3:uid="{49983DF9-9357-4D8A-9BF4-142C1D482A5C}" name="MTCN"/>
    <tableColumn id="3" xr3:uid="{1878B756-36EB-41BA-A25B-1972A7DF6429}" name="Sender Name"/>
    <tableColumn id="4" xr3:uid="{A2432FAB-A501-4BBF-9C6D-5D2D11C92BE9}" name="Receiver Name"/>
    <tableColumn id="5" xr3:uid="{2DDDEDD2-9331-4133-8C3F-EE3AF5E4F845}" name="PEP Related"/>
    <tableColumn id="6" xr3:uid="{F3E0DFAE-D736-4C38-BB8D-AF5D544B376D}" name="Sender Currency"/>
    <tableColumn id="7" xr3:uid="{3DABC3E3-3CB4-4C47-9A41-0A6D63432CC4}" name="Receiver Currency"/>
    <tableColumn id="8" xr3:uid="{6D8B8DBD-F17C-4118-AA97-47BDC0B53CE8}" name="KYC Status"/>
    <tableColumn id="9" xr3:uid="{9C89B8BC-EE27-4FAF-8F4A-B50D90220E28}" name="Transaction Type"/>
    <tableColumn id="10" xr3:uid="{7EFF9A23-5D67-43B6-A689-96E689AB4267}" name="Amount"/>
    <tableColumn id="11" xr3:uid="{851334E3-5A91-4FFC-BE9C-437D3CFCE41B}" name="Channel"/>
    <tableColumn id="12" xr3:uid="{D877D927-4FD0-4B66-9268-5E225CC2975E}" name="Risk Rating"/>
    <tableColumn id="13" xr3:uid="{4CF9AA10-57C9-4C49-BC05-E6DB2E3FBAF9}" name="Timestamp" dataDxfId="14"/>
    <tableColumn id="14" xr3:uid="{9BF78D07-B510-4796-A01E-27345DD78037}" name="Sender Age"/>
    <tableColumn id="15" xr3:uid="{3FF0AE73-211E-4242-8AB7-64BC22215D23}" name="Sender Country"/>
    <tableColumn id="16" xr3:uid="{73FC8E0E-6D0D-4001-9619-9482C637A682}" name="Receiver Country"/>
    <tableColumn id="17" xr3:uid="{06F4C69D-9370-49FD-9C9F-0539ACFB1AF1}" name="Customer Address"/>
    <tableColumn id="18" xr3:uid="{6CE907CE-71C8-479D-AD00-7032434376D0}" name="SenderName" dataDxfId="13">
      <calculatedColumnFormula>TRIM(C2)</calculatedColumnFormula>
    </tableColumn>
    <tableColumn id="19" xr3:uid="{68D9D8A9-4500-4692-AFC1-CEADB4770577}" name="ReceiverName" dataDxfId="12">
      <calculatedColumnFormula>PROPER(D2)</calculatedColumnFormula>
    </tableColumn>
    <tableColumn id="20" xr3:uid="{E2F8DF80-F644-4A0D-813A-2309E5CB81D0}" name="Sender Currency2" dataDxfId="11">
      <calculatedColumnFormula>TRIM(F2)</calculatedColumnFormula>
    </tableColumn>
    <tableColumn id="21" xr3:uid="{71CC8235-9B15-4CE9-999E-BFE12B7C499E}" name="Receiver Currency2" dataDxfId="10">
      <calculatedColumnFormula>TRIM(G2)</calculatedColumnFormula>
    </tableColumn>
    <tableColumn id="22" xr3:uid="{1E9FB868-3217-438B-B769-EA1B3C2775CE}" name="Sender Country2" dataDxfId="9">
      <calculatedColumnFormula>TRIM(O2)</calculatedColumnFormula>
    </tableColumn>
    <tableColumn id="23" xr3:uid="{D8DA332D-1FBD-445C-BA8D-474617424432}" name="Receiver Country2" dataDxfId="8">
      <calculatedColumnFormula>TRIM(P2)</calculatedColumnFormula>
    </tableColumn>
    <tableColumn id="24" xr3:uid="{122CE354-8501-45AB-9FC9-7C1E010519A8}" name="Transaction Type2" dataDxfId="7">
      <calculatedColumnFormula>PROPER(I2)</calculatedColumnFormula>
    </tableColumn>
    <tableColumn id="25" xr3:uid="{C59DE141-B939-4D25-BB55-D626184F501B}" name="Amount2" dataDxfId="6">
      <calculatedColumnFormula>IF(J2="",AVERAGE($J:$J),J2)</calculatedColumnFormula>
    </tableColumn>
    <tableColumn id="26" xr3:uid="{74807C60-1E8A-4793-ADF2-6848BF135CB0}" name="Age2" dataDxfId="5">
      <calculatedColumnFormula>IF(N2="",AVERAGE($N:$N),N2)</calculatedColumnFormula>
    </tableColumn>
    <tableColumn id="27" xr3:uid="{6DBEEB96-2BCD-49D4-8F93-BA36D355B704}" name="Year" dataDxfId="4">
      <calculatedColumnFormula>YEAR(M2)</calculatedColumnFormula>
    </tableColumn>
    <tableColumn id="28" xr3:uid="{E2F09974-640F-47A7-A160-BAB09905A2E6}" name="Month" dataDxfId="3">
      <calculatedColumnFormula>MONTH(M2)</calculatedColumnFormula>
    </tableColumn>
    <tableColumn id="29" xr3:uid="{108BCFE8-7B55-4741-BD34-5039BD803210}" name="TransactionId" dataDxfId="2">
      <calculatedColumnFormula>COUNTIF(A:A,A2)</calculatedColumnFormula>
    </tableColumn>
    <tableColumn id="30" xr3:uid="{41CA9A3F-C9BD-4C2F-85D1-B856F6AAE1FA}" name="PEP" dataDxfId="1">
      <calculatedColumnFormula>IF(C2="YES","Yes","No")</calculatedColumnFormula>
    </tableColumn>
    <tableColumn id="31" xr3:uid="{53DA48F3-3572-4398-BB69-1D2F41625808}" name="Risk" dataDxfId="0">
      <calculatedColumnFormula>IF(L2="HIGH","High Risk","Normal")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D5B9F-7D74-441D-8D5A-1DF54DB3AD0D}">
  <dimension ref="A1:Q1176"/>
  <sheetViews>
    <sheetView tabSelected="1" workbookViewId="0">
      <selection sqref="A1:Q1166"/>
    </sheetView>
  </sheetViews>
  <sheetFormatPr defaultRowHeight="15"/>
  <cols>
    <col min="1" max="1" width="17" style="8" customWidth="1"/>
    <col min="2" max="2" width="17.7109375" style="8" customWidth="1"/>
    <col min="3" max="3" width="24.42578125" customWidth="1"/>
    <col min="4" max="4" width="21.42578125" customWidth="1"/>
    <col min="5" max="5" width="20.28515625" customWidth="1"/>
    <col min="6" max="7" width="21.42578125" customWidth="1"/>
    <col min="8" max="8" width="19.85546875" customWidth="1"/>
    <col min="9" max="9" width="19.42578125" bestFit="1" customWidth="1"/>
    <col min="10" max="10" width="13.7109375" bestFit="1" customWidth="1"/>
    <col min="11" max="11" width="19.42578125" bestFit="1" customWidth="1"/>
    <col min="12" max="12" width="10.42578125" bestFit="1" customWidth="1"/>
    <col min="14" max="14" width="14.42578125" bestFit="1" customWidth="1"/>
    <col min="15" max="15" width="13" bestFit="1" customWidth="1"/>
    <col min="16" max="16" width="29.7109375" style="15" bestFit="1" customWidth="1"/>
    <col min="17" max="17" width="23.85546875" bestFit="1" customWidth="1"/>
  </cols>
  <sheetData>
    <row r="1" spans="1:17">
      <c r="A1" s="8" t="s">
        <v>0</v>
      </c>
      <c r="B1" s="8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9" t="s">
        <v>13</v>
      </c>
      <c r="O1" s="9" t="s">
        <v>14</v>
      </c>
      <c r="P1" s="12" t="s">
        <v>15</v>
      </c>
      <c r="Q1" t="s">
        <v>16</v>
      </c>
    </row>
    <row r="2" spans="1:17">
      <c r="A2" s="8" t="s">
        <v>17</v>
      </c>
      <c r="B2" s="8">
        <v>95822412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3497.59</v>
      </c>
      <c r="M2">
        <v>69</v>
      </c>
      <c r="N2" s="10" t="s">
        <v>27</v>
      </c>
      <c r="O2" s="10" t="s">
        <v>28</v>
      </c>
      <c r="P2" s="13">
        <v>44037.936111111114</v>
      </c>
      <c r="Q2" t="s">
        <v>29</v>
      </c>
    </row>
    <row r="3" spans="1:17">
      <c r="A3" s="8" t="s">
        <v>30</v>
      </c>
      <c r="B3" s="8">
        <v>31429110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26</v>
      </c>
      <c r="L3">
        <v>8048.06</v>
      </c>
      <c r="M3">
        <v>32</v>
      </c>
      <c r="N3" s="11" t="s">
        <v>39</v>
      </c>
      <c r="O3" s="11" t="s">
        <v>28</v>
      </c>
      <c r="P3" s="14">
        <v>46029.688194444447</v>
      </c>
      <c r="Q3" t="s">
        <v>40</v>
      </c>
    </row>
    <row r="4" spans="1:17">
      <c r="A4" s="8" t="s">
        <v>41</v>
      </c>
      <c r="B4" s="8">
        <v>20709497</v>
      </c>
      <c r="C4" t="s">
        <v>42</v>
      </c>
      <c r="D4" t="s">
        <v>43</v>
      </c>
      <c r="E4" t="s">
        <v>33</v>
      </c>
      <c r="F4" t="s">
        <v>44</v>
      </c>
      <c r="G4" t="s">
        <v>45</v>
      </c>
      <c r="H4" t="s">
        <v>36</v>
      </c>
      <c r="I4" t="s">
        <v>24</v>
      </c>
      <c r="J4" t="s">
        <v>38</v>
      </c>
      <c r="K4" t="s">
        <v>46</v>
      </c>
      <c r="L4">
        <v>1080.32</v>
      </c>
      <c r="M4">
        <v>78</v>
      </c>
      <c r="N4" s="10" t="s">
        <v>47</v>
      </c>
      <c r="O4" s="10" t="s">
        <v>48</v>
      </c>
      <c r="P4" s="13">
        <v>43995.270138888889</v>
      </c>
      <c r="Q4" t="s">
        <v>49</v>
      </c>
    </row>
    <row r="5" spans="1:17">
      <c r="A5" s="8" t="s">
        <v>50</v>
      </c>
      <c r="B5" s="8">
        <v>17507864</v>
      </c>
      <c r="C5" t="s">
        <v>51</v>
      </c>
      <c r="D5" t="s">
        <v>52</v>
      </c>
      <c r="E5" t="s">
        <v>20</v>
      </c>
      <c r="F5" t="s">
        <v>53</v>
      </c>
      <c r="G5" t="s">
        <v>35</v>
      </c>
      <c r="H5" t="s">
        <v>54</v>
      </c>
      <c r="I5" t="s">
        <v>55</v>
      </c>
      <c r="J5" t="s">
        <v>56</v>
      </c>
      <c r="K5" t="s">
        <v>46</v>
      </c>
      <c r="L5">
        <v>6888.19</v>
      </c>
      <c r="M5">
        <v>38</v>
      </c>
      <c r="N5" s="11" t="s">
        <v>57</v>
      </c>
      <c r="O5" s="11" t="s">
        <v>48</v>
      </c>
      <c r="P5" s="14">
        <v>45829.571527777778</v>
      </c>
      <c r="Q5" t="s">
        <v>58</v>
      </c>
    </row>
    <row r="6" spans="1:17">
      <c r="A6" s="8" t="s">
        <v>59</v>
      </c>
      <c r="B6" s="8">
        <v>28566572</v>
      </c>
      <c r="C6" t="s">
        <v>60</v>
      </c>
      <c r="D6" t="s">
        <v>61</v>
      </c>
      <c r="E6" t="s">
        <v>20</v>
      </c>
      <c r="F6" t="s">
        <v>35</v>
      </c>
      <c r="G6" t="s">
        <v>21</v>
      </c>
      <c r="H6" t="s">
        <v>62</v>
      </c>
      <c r="I6" t="s">
        <v>23</v>
      </c>
      <c r="J6" t="s">
        <v>56</v>
      </c>
      <c r="K6" t="s">
        <v>63</v>
      </c>
      <c r="L6">
        <v>3778.7</v>
      </c>
      <c r="M6">
        <v>41</v>
      </c>
      <c r="N6" s="10" t="s">
        <v>27</v>
      </c>
      <c r="O6" s="10" t="s">
        <v>28</v>
      </c>
      <c r="P6" s="13">
        <v>45915.688194444447</v>
      </c>
      <c r="Q6" t="s">
        <v>64</v>
      </c>
    </row>
    <row r="7" spans="1:17">
      <c r="A7" s="8" t="s">
        <v>65</v>
      </c>
      <c r="B7" s="8">
        <v>45351479</v>
      </c>
      <c r="C7" t="s">
        <v>66</v>
      </c>
      <c r="D7" t="s">
        <v>67</v>
      </c>
      <c r="E7" t="s">
        <v>20</v>
      </c>
      <c r="F7" t="s">
        <v>45</v>
      </c>
      <c r="G7" t="s">
        <v>53</v>
      </c>
      <c r="H7" t="s">
        <v>37</v>
      </c>
      <c r="I7" t="s">
        <v>68</v>
      </c>
      <c r="J7" t="s">
        <v>38</v>
      </c>
      <c r="K7" t="s">
        <v>69</v>
      </c>
      <c r="L7">
        <v>8988.18</v>
      </c>
      <c r="M7">
        <v>20</v>
      </c>
      <c r="N7" s="11" t="s">
        <v>39</v>
      </c>
      <c r="O7" s="11" t="s">
        <v>28</v>
      </c>
      <c r="P7" s="14">
        <v>44163.545138888891</v>
      </c>
      <c r="Q7" t="s">
        <v>70</v>
      </c>
    </row>
    <row r="8" spans="1:17">
      <c r="A8" s="8" t="s">
        <v>71</v>
      </c>
      <c r="B8" s="8">
        <v>75228535</v>
      </c>
      <c r="C8" t="s">
        <v>72</v>
      </c>
      <c r="D8" t="s">
        <v>73</v>
      </c>
      <c r="E8" t="s">
        <v>20</v>
      </c>
      <c r="F8" t="s">
        <v>21</v>
      </c>
      <c r="G8" t="s">
        <v>45</v>
      </c>
      <c r="H8" t="s">
        <v>37</v>
      </c>
      <c r="I8" t="s">
        <v>36</v>
      </c>
      <c r="J8" t="s">
        <v>74</v>
      </c>
      <c r="K8" t="s">
        <v>63</v>
      </c>
      <c r="L8">
        <v>11331.43</v>
      </c>
      <c r="M8">
        <v>39</v>
      </c>
      <c r="N8" s="10" t="s">
        <v>47</v>
      </c>
      <c r="O8" s="10" t="s">
        <v>75</v>
      </c>
      <c r="P8" s="13">
        <v>44233.765972222223</v>
      </c>
      <c r="Q8" t="s">
        <v>76</v>
      </c>
    </row>
    <row r="9" spans="1:17">
      <c r="A9" s="8" t="s">
        <v>77</v>
      </c>
      <c r="B9" s="8">
        <v>84346088</v>
      </c>
      <c r="C9" t="s">
        <v>78</v>
      </c>
      <c r="D9" t="s">
        <v>79</v>
      </c>
      <c r="E9" t="s">
        <v>33</v>
      </c>
      <c r="F9" t="s">
        <v>45</v>
      </c>
      <c r="G9" t="s">
        <v>80</v>
      </c>
      <c r="H9" t="s">
        <v>55</v>
      </c>
      <c r="I9" t="s">
        <v>24</v>
      </c>
      <c r="J9" t="s">
        <v>38</v>
      </c>
      <c r="K9" t="s">
        <v>26</v>
      </c>
      <c r="L9">
        <v>3221.41</v>
      </c>
      <c r="M9">
        <v>70</v>
      </c>
      <c r="N9" s="11" t="s">
        <v>47</v>
      </c>
      <c r="O9" s="11" t="s">
        <v>81</v>
      </c>
      <c r="P9" s="14">
        <v>44244.226388888892</v>
      </c>
      <c r="Q9" t="s">
        <v>82</v>
      </c>
    </row>
    <row r="10" spans="1:17">
      <c r="A10" s="8" t="s">
        <v>83</v>
      </c>
      <c r="B10" s="8">
        <v>17270733</v>
      </c>
      <c r="C10" t="s">
        <v>84</v>
      </c>
      <c r="D10" t="s">
        <v>85</v>
      </c>
      <c r="E10" t="s">
        <v>20</v>
      </c>
      <c r="F10" t="s">
        <v>22</v>
      </c>
      <c r="G10" t="s">
        <v>34</v>
      </c>
      <c r="H10" t="s">
        <v>68</v>
      </c>
      <c r="I10" t="s">
        <v>55</v>
      </c>
      <c r="J10" t="s">
        <v>74</v>
      </c>
      <c r="K10" t="s">
        <v>69</v>
      </c>
      <c r="L10">
        <v>6944.79</v>
      </c>
      <c r="M10">
        <v>19</v>
      </c>
      <c r="N10" s="10" t="s">
        <v>86</v>
      </c>
      <c r="O10" s="10" t="s">
        <v>81</v>
      </c>
      <c r="P10" s="13">
        <v>43875.724305555559</v>
      </c>
      <c r="Q10" t="s">
        <v>87</v>
      </c>
    </row>
    <row r="11" spans="1:17">
      <c r="A11" s="8" t="s">
        <v>88</v>
      </c>
      <c r="B11" s="8">
        <v>75181648</v>
      </c>
      <c r="C11" t="s">
        <v>89</v>
      </c>
      <c r="D11" t="s">
        <v>90</v>
      </c>
      <c r="E11" t="s">
        <v>20</v>
      </c>
      <c r="F11" t="s">
        <v>91</v>
      </c>
      <c r="G11" t="s">
        <v>92</v>
      </c>
      <c r="H11" t="s">
        <v>62</v>
      </c>
      <c r="I11" t="s">
        <v>93</v>
      </c>
      <c r="J11" t="s">
        <v>38</v>
      </c>
      <c r="K11" t="s">
        <v>46</v>
      </c>
      <c r="L11">
        <v>14931.39</v>
      </c>
      <c r="M11">
        <v>47</v>
      </c>
      <c r="N11" s="11" t="s">
        <v>27</v>
      </c>
      <c r="O11" s="11" t="s">
        <v>81</v>
      </c>
      <c r="P11" s="14">
        <v>46084.204861111109</v>
      </c>
      <c r="Q11" t="s">
        <v>94</v>
      </c>
    </row>
    <row r="12" spans="1:17">
      <c r="A12" s="8" t="s">
        <v>95</v>
      </c>
      <c r="B12" s="8">
        <v>73993471</v>
      </c>
      <c r="C12" t="s">
        <v>96</v>
      </c>
      <c r="D12" t="s">
        <v>97</v>
      </c>
      <c r="E12" t="s">
        <v>20</v>
      </c>
      <c r="F12" t="s">
        <v>98</v>
      </c>
      <c r="G12" t="s">
        <v>99</v>
      </c>
      <c r="H12" t="s">
        <v>24</v>
      </c>
      <c r="I12" t="s">
        <v>62</v>
      </c>
      <c r="J12" t="s">
        <v>38</v>
      </c>
      <c r="K12" t="s">
        <v>26</v>
      </c>
      <c r="L12">
        <v>8688</v>
      </c>
      <c r="M12">
        <v>55</v>
      </c>
      <c r="N12" s="10" t="s">
        <v>86</v>
      </c>
      <c r="O12" s="10" t="s">
        <v>28</v>
      </c>
      <c r="P12" s="13">
        <v>43892.984027777777</v>
      </c>
      <c r="Q12" t="s">
        <v>100</v>
      </c>
    </row>
    <row r="13" spans="1:17">
      <c r="A13" s="8" t="s">
        <v>101</v>
      </c>
      <c r="B13" s="8">
        <v>27566185</v>
      </c>
      <c r="C13" t="s">
        <v>84</v>
      </c>
      <c r="D13" t="s">
        <v>102</v>
      </c>
      <c r="E13" t="s">
        <v>20</v>
      </c>
      <c r="F13" t="s">
        <v>35</v>
      </c>
      <c r="G13" t="s">
        <v>80</v>
      </c>
      <c r="H13" t="s">
        <v>24</v>
      </c>
      <c r="I13" t="s">
        <v>54</v>
      </c>
      <c r="J13" t="s">
        <v>103</v>
      </c>
      <c r="K13" t="s">
        <v>26</v>
      </c>
      <c r="L13">
        <v>13999.56</v>
      </c>
      <c r="M13">
        <v>19</v>
      </c>
      <c r="N13" s="11" t="s">
        <v>86</v>
      </c>
      <c r="O13" s="11" t="s">
        <v>48</v>
      </c>
      <c r="P13" s="14">
        <v>46298.068749999999</v>
      </c>
      <c r="Q13" t="s">
        <v>104</v>
      </c>
    </row>
    <row r="14" spans="1:17">
      <c r="A14" s="8" t="s">
        <v>105</v>
      </c>
      <c r="B14" s="8">
        <v>99639081</v>
      </c>
      <c r="C14" t="s">
        <v>106</v>
      </c>
      <c r="D14" t="s">
        <v>107</v>
      </c>
      <c r="E14" t="s">
        <v>20</v>
      </c>
      <c r="F14" t="s">
        <v>21</v>
      </c>
      <c r="G14" t="s">
        <v>53</v>
      </c>
      <c r="H14" t="s">
        <v>37</v>
      </c>
      <c r="I14" t="s">
        <v>55</v>
      </c>
      <c r="J14" t="s">
        <v>38</v>
      </c>
      <c r="K14" t="s">
        <v>69</v>
      </c>
      <c r="L14">
        <v>3061.92</v>
      </c>
      <c r="M14">
        <v>81</v>
      </c>
      <c r="N14" s="10" t="s">
        <v>57</v>
      </c>
      <c r="O14" s="10" t="s">
        <v>81</v>
      </c>
      <c r="P14" s="13">
        <v>44698.593055555553</v>
      </c>
      <c r="Q14" t="s">
        <v>108</v>
      </c>
    </row>
    <row r="15" spans="1:17">
      <c r="A15" s="8" t="s">
        <v>109</v>
      </c>
      <c r="B15" s="8">
        <v>31687165</v>
      </c>
      <c r="C15" t="s">
        <v>110</v>
      </c>
      <c r="D15" t="s">
        <v>111</v>
      </c>
      <c r="E15" t="s">
        <v>33</v>
      </c>
      <c r="F15" t="s">
        <v>112</v>
      </c>
      <c r="G15" t="s">
        <v>35</v>
      </c>
      <c r="H15" t="s">
        <v>24</v>
      </c>
      <c r="I15" t="s">
        <v>37</v>
      </c>
      <c r="J15" t="s">
        <v>38</v>
      </c>
      <c r="K15" t="s">
        <v>63</v>
      </c>
      <c r="L15">
        <v>2229.9299999999998</v>
      </c>
      <c r="M15">
        <v>77</v>
      </c>
      <c r="N15" s="11" t="s">
        <v>47</v>
      </c>
      <c r="O15" s="11" t="s">
        <v>28</v>
      </c>
      <c r="P15" s="14">
        <v>45322.431250000001</v>
      </c>
      <c r="Q15" t="s">
        <v>113</v>
      </c>
    </row>
    <row r="16" spans="1:17">
      <c r="A16" s="8" t="s">
        <v>114</v>
      </c>
      <c r="B16" s="8">
        <v>57469942</v>
      </c>
      <c r="C16" t="s">
        <v>73</v>
      </c>
      <c r="D16" t="s">
        <v>115</v>
      </c>
      <c r="E16" t="s">
        <v>33</v>
      </c>
      <c r="F16" t="s">
        <v>116</v>
      </c>
      <c r="G16" t="s">
        <v>22</v>
      </c>
      <c r="H16" t="s">
        <v>54</v>
      </c>
      <c r="I16" t="s">
        <v>24</v>
      </c>
      <c r="J16" t="s">
        <v>56</v>
      </c>
      <c r="K16" t="s">
        <v>69</v>
      </c>
      <c r="L16">
        <v>2698.62</v>
      </c>
      <c r="M16">
        <v>38</v>
      </c>
      <c r="N16" s="10" t="s">
        <v>57</v>
      </c>
      <c r="O16" s="10" t="s">
        <v>81</v>
      </c>
      <c r="P16" s="13">
        <v>43849.890972222223</v>
      </c>
      <c r="Q16" t="s">
        <v>117</v>
      </c>
    </row>
    <row r="17" spans="1:17">
      <c r="A17" s="8" t="s">
        <v>118</v>
      </c>
      <c r="B17" s="8">
        <v>71780854</v>
      </c>
      <c r="C17" t="s">
        <v>119</v>
      </c>
      <c r="D17" t="s">
        <v>120</v>
      </c>
      <c r="E17" t="s">
        <v>20</v>
      </c>
      <c r="F17" t="s">
        <v>121</v>
      </c>
      <c r="G17" t="s">
        <v>80</v>
      </c>
      <c r="H17" t="s">
        <v>36</v>
      </c>
      <c r="I17" t="s">
        <v>37</v>
      </c>
      <c r="J17" t="s">
        <v>103</v>
      </c>
      <c r="K17" t="s">
        <v>46</v>
      </c>
      <c r="L17">
        <v>7645.99</v>
      </c>
      <c r="M17">
        <v>50</v>
      </c>
      <c r="N17" s="11" t="s">
        <v>27</v>
      </c>
      <c r="O17" s="11" t="s">
        <v>75</v>
      </c>
      <c r="P17" s="14">
        <v>44195.011805555558</v>
      </c>
      <c r="Q17" t="s">
        <v>122</v>
      </c>
    </row>
    <row r="18" spans="1:17">
      <c r="A18" s="8" t="s">
        <v>123</v>
      </c>
      <c r="B18" s="8">
        <v>52101056</v>
      </c>
      <c r="C18" t="s">
        <v>124</v>
      </c>
      <c r="D18" t="s">
        <v>125</v>
      </c>
      <c r="E18" t="s">
        <v>20</v>
      </c>
      <c r="F18" t="s">
        <v>116</v>
      </c>
      <c r="G18" t="s">
        <v>126</v>
      </c>
      <c r="H18" t="s">
        <v>127</v>
      </c>
      <c r="I18" t="s">
        <v>62</v>
      </c>
      <c r="J18" t="s">
        <v>38</v>
      </c>
      <c r="K18" t="s">
        <v>46</v>
      </c>
      <c r="L18">
        <v>11058.2</v>
      </c>
      <c r="M18">
        <v>75</v>
      </c>
      <c r="N18" s="10" t="s">
        <v>47</v>
      </c>
      <c r="O18" s="10" t="s">
        <v>75</v>
      </c>
      <c r="P18" s="13">
        <v>46306.46597222222</v>
      </c>
      <c r="Q18" t="s">
        <v>128</v>
      </c>
    </row>
    <row r="19" spans="1:17">
      <c r="A19" s="8" t="s">
        <v>129</v>
      </c>
      <c r="B19" s="8">
        <v>99508850</v>
      </c>
      <c r="C19" t="s">
        <v>130</v>
      </c>
      <c r="D19" t="s">
        <v>131</v>
      </c>
      <c r="E19" t="s">
        <v>20</v>
      </c>
      <c r="F19" t="s">
        <v>21</v>
      </c>
      <c r="G19" t="s">
        <v>121</v>
      </c>
      <c r="H19" t="s">
        <v>23</v>
      </c>
      <c r="I19" t="s">
        <v>36</v>
      </c>
      <c r="J19" t="s">
        <v>103</v>
      </c>
      <c r="K19" t="s">
        <v>26</v>
      </c>
      <c r="L19">
        <v>8223.58</v>
      </c>
      <c r="M19">
        <v>39</v>
      </c>
      <c r="N19" s="11" t="s">
        <v>86</v>
      </c>
      <c r="O19" s="11" t="s">
        <v>75</v>
      </c>
      <c r="P19" s="14">
        <v>44971.435416666667</v>
      </c>
      <c r="Q19" t="s">
        <v>132</v>
      </c>
    </row>
    <row r="20" spans="1:17">
      <c r="A20" s="8" t="s">
        <v>133</v>
      </c>
      <c r="B20" s="8">
        <v>32775593</v>
      </c>
      <c r="C20" t="s">
        <v>134</v>
      </c>
      <c r="D20" t="s">
        <v>135</v>
      </c>
      <c r="E20" t="s">
        <v>33</v>
      </c>
      <c r="F20" t="s">
        <v>116</v>
      </c>
      <c r="G20" t="s">
        <v>34</v>
      </c>
      <c r="H20" t="s">
        <v>55</v>
      </c>
      <c r="I20" t="s">
        <v>23</v>
      </c>
      <c r="J20" t="s">
        <v>74</v>
      </c>
      <c r="K20" t="s">
        <v>69</v>
      </c>
      <c r="L20">
        <v>702.74</v>
      </c>
      <c r="M20">
        <v>66</v>
      </c>
      <c r="N20" s="10" t="s">
        <v>39</v>
      </c>
      <c r="O20" s="10" t="s">
        <v>28</v>
      </c>
      <c r="P20" s="13">
        <v>44410.332638888889</v>
      </c>
      <c r="Q20" t="s">
        <v>136</v>
      </c>
    </row>
    <row r="21" spans="1:17">
      <c r="A21" s="8" t="s">
        <v>137</v>
      </c>
      <c r="B21" s="8">
        <v>10744212</v>
      </c>
      <c r="C21" t="s">
        <v>138</v>
      </c>
      <c r="D21" t="s">
        <v>139</v>
      </c>
      <c r="E21" t="s">
        <v>20</v>
      </c>
      <c r="F21" t="s">
        <v>92</v>
      </c>
      <c r="G21" t="s">
        <v>121</v>
      </c>
      <c r="H21" t="s">
        <v>68</v>
      </c>
      <c r="I21" t="s">
        <v>23</v>
      </c>
      <c r="J21" t="s">
        <v>25</v>
      </c>
      <c r="K21" t="s">
        <v>26</v>
      </c>
      <c r="L21">
        <v>2008.75</v>
      </c>
      <c r="M21">
        <v>76</v>
      </c>
      <c r="N21" s="11" t="s">
        <v>39</v>
      </c>
      <c r="O21" s="11" t="s">
        <v>75</v>
      </c>
      <c r="P21" s="14">
        <v>44376.265277777777</v>
      </c>
      <c r="Q21" t="s">
        <v>140</v>
      </c>
    </row>
    <row r="22" spans="1:17">
      <c r="A22" s="8" t="s">
        <v>141</v>
      </c>
      <c r="B22" s="8">
        <v>73709724</v>
      </c>
      <c r="C22" t="s">
        <v>142</v>
      </c>
      <c r="D22" t="s">
        <v>143</v>
      </c>
      <c r="E22" t="s">
        <v>20</v>
      </c>
      <c r="F22" t="s">
        <v>53</v>
      </c>
      <c r="G22" t="s">
        <v>98</v>
      </c>
      <c r="H22" t="s">
        <v>23</v>
      </c>
      <c r="I22" t="s">
        <v>37</v>
      </c>
      <c r="J22" t="s">
        <v>103</v>
      </c>
      <c r="K22" t="s">
        <v>69</v>
      </c>
      <c r="L22">
        <v>13396.47</v>
      </c>
      <c r="M22">
        <v>59</v>
      </c>
      <c r="N22" s="10" t="s">
        <v>86</v>
      </c>
      <c r="O22" s="10" t="s">
        <v>48</v>
      </c>
      <c r="P22" s="13">
        <v>45560.856249999997</v>
      </c>
      <c r="Q22" t="s">
        <v>144</v>
      </c>
    </row>
    <row r="23" spans="1:17">
      <c r="A23" s="8" t="s">
        <v>145</v>
      </c>
      <c r="B23" s="8">
        <v>37760841</v>
      </c>
      <c r="C23" t="s">
        <v>146</v>
      </c>
      <c r="D23" t="s">
        <v>147</v>
      </c>
      <c r="E23" t="s">
        <v>20</v>
      </c>
      <c r="F23" t="s">
        <v>22</v>
      </c>
      <c r="G23" t="s">
        <v>80</v>
      </c>
      <c r="H23" t="s">
        <v>68</v>
      </c>
      <c r="I23" t="s">
        <v>68</v>
      </c>
      <c r="J23" t="s">
        <v>56</v>
      </c>
      <c r="K23" t="s">
        <v>26</v>
      </c>
      <c r="L23">
        <v>8077.93</v>
      </c>
      <c r="M23">
        <v>77</v>
      </c>
      <c r="N23" s="11" t="s">
        <v>27</v>
      </c>
      <c r="O23" s="11" t="s">
        <v>48</v>
      </c>
      <c r="P23" s="14">
        <v>46203.431250000001</v>
      </c>
      <c r="Q23" t="s">
        <v>148</v>
      </c>
    </row>
    <row r="24" spans="1:17">
      <c r="A24" s="8" t="s">
        <v>149</v>
      </c>
      <c r="B24" s="8">
        <v>72732043</v>
      </c>
      <c r="C24" t="s">
        <v>150</v>
      </c>
      <c r="D24" t="s">
        <v>151</v>
      </c>
      <c r="E24" t="s">
        <v>20</v>
      </c>
      <c r="F24" t="s">
        <v>92</v>
      </c>
      <c r="G24" t="s">
        <v>116</v>
      </c>
      <c r="H24" t="s">
        <v>93</v>
      </c>
      <c r="I24" t="s">
        <v>36</v>
      </c>
      <c r="J24" t="s">
        <v>25</v>
      </c>
      <c r="K24" t="s">
        <v>69</v>
      </c>
      <c r="L24">
        <v>5692.77</v>
      </c>
      <c r="M24">
        <v>32</v>
      </c>
      <c r="N24" s="10" t="s">
        <v>47</v>
      </c>
      <c r="O24" s="10" t="s">
        <v>81</v>
      </c>
      <c r="P24" s="13">
        <v>43885.398611111108</v>
      </c>
      <c r="Q24" t="s">
        <v>152</v>
      </c>
    </row>
    <row r="25" spans="1:17">
      <c r="A25" s="8" t="s">
        <v>153</v>
      </c>
      <c r="B25" s="8">
        <v>82399599</v>
      </c>
      <c r="C25" t="s">
        <v>154</v>
      </c>
      <c r="D25" t="s">
        <v>155</v>
      </c>
      <c r="E25" t="s">
        <v>20</v>
      </c>
      <c r="F25" t="s">
        <v>45</v>
      </c>
      <c r="G25" t="s">
        <v>80</v>
      </c>
      <c r="H25" t="s">
        <v>23</v>
      </c>
      <c r="I25" t="s">
        <v>23</v>
      </c>
      <c r="J25" t="s">
        <v>74</v>
      </c>
      <c r="K25" t="s">
        <v>26</v>
      </c>
      <c r="L25">
        <v>10045.19</v>
      </c>
      <c r="M25">
        <v>79</v>
      </c>
      <c r="N25" s="11" t="s">
        <v>27</v>
      </c>
      <c r="O25" s="11" t="s">
        <v>48</v>
      </c>
      <c r="P25" s="14">
        <v>44608.811111111114</v>
      </c>
      <c r="Q25" t="s">
        <v>156</v>
      </c>
    </row>
    <row r="26" spans="1:17">
      <c r="A26" s="8" t="s">
        <v>157</v>
      </c>
      <c r="B26" s="8">
        <v>51746937</v>
      </c>
      <c r="C26" t="s">
        <v>158</v>
      </c>
      <c r="D26" t="s">
        <v>159</v>
      </c>
      <c r="E26" t="s">
        <v>20</v>
      </c>
      <c r="F26" t="s">
        <v>45</v>
      </c>
      <c r="G26" t="s">
        <v>160</v>
      </c>
      <c r="H26" t="s">
        <v>127</v>
      </c>
      <c r="I26" t="s">
        <v>36</v>
      </c>
      <c r="J26" t="s">
        <v>25</v>
      </c>
      <c r="K26" t="s">
        <v>46</v>
      </c>
      <c r="L26">
        <v>11589.49</v>
      </c>
      <c r="M26">
        <v>79</v>
      </c>
      <c r="N26" s="10" t="s">
        <v>27</v>
      </c>
      <c r="O26" s="10" t="s">
        <v>28</v>
      </c>
      <c r="P26" s="13">
        <v>43872.393750000003</v>
      </c>
      <c r="Q26" t="s">
        <v>161</v>
      </c>
    </row>
    <row r="27" spans="1:17">
      <c r="A27" s="8" t="s">
        <v>162</v>
      </c>
      <c r="B27" s="8">
        <v>24165187</v>
      </c>
      <c r="C27" t="s">
        <v>163</v>
      </c>
      <c r="D27" t="s">
        <v>164</v>
      </c>
      <c r="E27" t="s">
        <v>20</v>
      </c>
      <c r="F27" t="s">
        <v>22</v>
      </c>
      <c r="G27" t="s">
        <v>21</v>
      </c>
      <c r="H27" t="s">
        <v>37</v>
      </c>
      <c r="I27" t="s">
        <v>55</v>
      </c>
      <c r="J27" t="s">
        <v>38</v>
      </c>
      <c r="K27" t="s">
        <v>26</v>
      </c>
      <c r="L27">
        <v>6978.46</v>
      </c>
      <c r="M27">
        <v>64</v>
      </c>
      <c r="N27" s="11" t="s">
        <v>27</v>
      </c>
      <c r="O27" s="11" t="s">
        <v>75</v>
      </c>
      <c r="P27" s="14">
        <v>45151.717361111114</v>
      </c>
      <c r="Q27" t="s">
        <v>165</v>
      </c>
    </row>
    <row r="28" spans="1:17">
      <c r="A28" s="8" t="s">
        <v>166</v>
      </c>
      <c r="B28" s="8">
        <v>55150390</v>
      </c>
      <c r="C28" t="s">
        <v>167</v>
      </c>
      <c r="D28" t="s">
        <v>168</v>
      </c>
      <c r="E28" t="s">
        <v>20</v>
      </c>
      <c r="F28" t="s">
        <v>121</v>
      </c>
      <c r="G28" t="s">
        <v>34</v>
      </c>
      <c r="H28" t="s">
        <v>54</v>
      </c>
      <c r="I28" t="s">
        <v>36</v>
      </c>
      <c r="J28" t="s">
        <v>25</v>
      </c>
      <c r="K28" t="s">
        <v>63</v>
      </c>
      <c r="L28">
        <v>14221.46</v>
      </c>
      <c r="M28">
        <v>79</v>
      </c>
      <c r="N28" s="10" t="s">
        <v>86</v>
      </c>
      <c r="O28" s="10" t="s">
        <v>48</v>
      </c>
      <c r="P28" s="13">
        <v>44061.727083333331</v>
      </c>
      <c r="Q28" t="s">
        <v>169</v>
      </c>
    </row>
    <row r="29" spans="1:17">
      <c r="A29" s="8" t="s">
        <v>170</v>
      </c>
      <c r="B29" s="8">
        <v>39742165</v>
      </c>
      <c r="C29" t="s">
        <v>131</v>
      </c>
      <c r="D29" t="s">
        <v>171</v>
      </c>
      <c r="E29" t="s">
        <v>33</v>
      </c>
      <c r="F29" t="s">
        <v>34</v>
      </c>
      <c r="G29" t="s">
        <v>44</v>
      </c>
      <c r="H29" t="s">
        <v>36</v>
      </c>
      <c r="I29" t="s">
        <v>127</v>
      </c>
      <c r="J29" t="s">
        <v>56</v>
      </c>
      <c r="K29" t="s">
        <v>69</v>
      </c>
      <c r="L29">
        <v>4606.28</v>
      </c>
      <c r="M29">
        <v>68</v>
      </c>
      <c r="N29" s="11" t="s">
        <v>47</v>
      </c>
      <c r="O29" s="11" t="s">
        <v>28</v>
      </c>
      <c r="P29" s="14">
        <v>44283.963194444441</v>
      </c>
      <c r="Q29" t="s">
        <v>172</v>
      </c>
    </row>
    <row r="30" spans="1:17">
      <c r="A30" s="8" t="s">
        <v>173</v>
      </c>
      <c r="B30" s="8">
        <v>89133014</v>
      </c>
      <c r="C30" t="s">
        <v>174</v>
      </c>
      <c r="D30" t="s">
        <v>175</v>
      </c>
      <c r="E30" t="s">
        <v>20</v>
      </c>
      <c r="F30" t="s">
        <v>121</v>
      </c>
      <c r="G30" t="s">
        <v>176</v>
      </c>
      <c r="H30" t="s">
        <v>36</v>
      </c>
      <c r="I30" t="s">
        <v>62</v>
      </c>
      <c r="J30" t="s">
        <v>25</v>
      </c>
      <c r="K30" t="s">
        <v>63</v>
      </c>
      <c r="L30">
        <v>4389.13</v>
      </c>
      <c r="M30">
        <v>72</v>
      </c>
      <c r="N30" s="10" t="s">
        <v>47</v>
      </c>
      <c r="O30" s="10" t="s">
        <v>81</v>
      </c>
      <c r="P30" s="13">
        <v>46272.411805555559</v>
      </c>
      <c r="Q30" t="s">
        <v>177</v>
      </c>
    </row>
    <row r="31" spans="1:17">
      <c r="A31" s="8" t="s">
        <v>178</v>
      </c>
      <c r="B31" s="8">
        <v>25312516</v>
      </c>
      <c r="C31" t="s">
        <v>72</v>
      </c>
      <c r="D31" t="s">
        <v>179</v>
      </c>
      <c r="E31" t="s">
        <v>20</v>
      </c>
      <c r="F31" t="s">
        <v>180</v>
      </c>
      <c r="G31" t="s">
        <v>45</v>
      </c>
      <c r="H31" t="s">
        <v>54</v>
      </c>
      <c r="I31" t="s">
        <v>23</v>
      </c>
      <c r="J31" t="s">
        <v>25</v>
      </c>
      <c r="K31" t="s">
        <v>63</v>
      </c>
      <c r="L31">
        <v>11469.01</v>
      </c>
      <c r="M31">
        <v>81</v>
      </c>
      <c r="N31" s="11" t="s">
        <v>27</v>
      </c>
      <c r="O31" s="11" t="s">
        <v>48</v>
      </c>
      <c r="P31" s="14">
        <v>45376.536111111112</v>
      </c>
      <c r="Q31" t="s">
        <v>181</v>
      </c>
    </row>
    <row r="32" spans="1:17">
      <c r="A32" s="8" t="s">
        <v>182</v>
      </c>
      <c r="B32" s="8">
        <v>23318904</v>
      </c>
      <c r="C32" t="s">
        <v>183</v>
      </c>
      <c r="D32" t="s">
        <v>184</v>
      </c>
      <c r="E32" t="s">
        <v>20</v>
      </c>
      <c r="F32" t="s">
        <v>35</v>
      </c>
      <c r="G32" t="s">
        <v>21</v>
      </c>
      <c r="H32" t="s">
        <v>62</v>
      </c>
      <c r="I32" t="s">
        <v>36</v>
      </c>
      <c r="J32" t="s">
        <v>56</v>
      </c>
      <c r="K32" t="s">
        <v>69</v>
      </c>
      <c r="L32">
        <v>499.27</v>
      </c>
      <c r="M32">
        <v>20</v>
      </c>
      <c r="N32" s="10" t="s">
        <v>57</v>
      </c>
      <c r="O32" s="10" t="s">
        <v>75</v>
      </c>
      <c r="P32" s="13">
        <v>45212.293749999997</v>
      </c>
      <c r="Q32" t="s">
        <v>185</v>
      </c>
    </row>
    <row r="33" spans="1:17">
      <c r="A33" s="8" t="s">
        <v>186</v>
      </c>
      <c r="B33" s="8">
        <v>25405014</v>
      </c>
      <c r="C33" t="s">
        <v>187</v>
      </c>
      <c r="D33" t="s">
        <v>188</v>
      </c>
      <c r="E33" t="s">
        <v>33</v>
      </c>
      <c r="F33" t="s">
        <v>91</v>
      </c>
      <c r="G33" t="s">
        <v>35</v>
      </c>
      <c r="H33" t="s">
        <v>93</v>
      </c>
      <c r="I33" t="s">
        <v>37</v>
      </c>
      <c r="J33" t="s">
        <v>56</v>
      </c>
      <c r="K33" t="s">
        <v>69</v>
      </c>
      <c r="L33">
        <v>7035.78</v>
      </c>
      <c r="M33">
        <v>68</v>
      </c>
      <c r="N33" s="11" t="s">
        <v>57</v>
      </c>
      <c r="O33" s="11" t="s">
        <v>81</v>
      </c>
      <c r="P33" s="14">
        <v>45298.12777777778</v>
      </c>
      <c r="Q33" t="s">
        <v>189</v>
      </c>
    </row>
    <row r="34" spans="1:17">
      <c r="A34" s="8" t="s">
        <v>190</v>
      </c>
      <c r="B34" s="8">
        <v>22257687</v>
      </c>
      <c r="C34" t="s">
        <v>191</v>
      </c>
      <c r="D34" t="s">
        <v>192</v>
      </c>
      <c r="E34" t="s">
        <v>20</v>
      </c>
      <c r="F34" t="s">
        <v>80</v>
      </c>
      <c r="G34" t="s">
        <v>45</v>
      </c>
      <c r="H34" t="s">
        <v>68</v>
      </c>
      <c r="I34" t="s">
        <v>93</v>
      </c>
      <c r="J34" t="s">
        <v>56</v>
      </c>
      <c r="K34" t="s">
        <v>69</v>
      </c>
      <c r="L34">
        <v>2730.52</v>
      </c>
      <c r="M34">
        <v>24</v>
      </c>
      <c r="N34" s="10" t="s">
        <v>27</v>
      </c>
      <c r="O34" s="10" t="s">
        <v>81</v>
      </c>
      <c r="P34" s="13">
        <v>44982.033333333333</v>
      </c>
      <c r="Q34" t="s">
        <v>193</v>
      </c>
    </row>
    <row r="35" spans="1:17">
      <c r="A35" s="8" t="s">
        <v>194</v>
      </c>
      <c r="B35" s="8">
        <v>48683937</v>
      </c>
      <c r="C35" t="s">
        <v>195</v>
      </c>
      <c r="D35" t="s">
        <v>196</v>
      </c>
      <c r="E35" t="s">
        <v>20</v>
      </c>
      <c r="F35" t="s">
        <v>44</v>
      </c>
      <c r="G35" t="s">
        <v>35</v>
      </c>
      <c r="H35" t="s">
        <v>127</v>
      </c>
      <c r="I35" t="s">
        <v>127</v>
      </c>
      <c r="J35" t="s">
        <v>25</v>
      </c>
      <c r="K35" t="s">
        <v>46</v>
      </c>
      <c r="L35">
        <v>13041.82</v>
      </c>
      <c r="M35">
        <v>38</v>
      </c>
      <c r="N35" s="11" t="s">
        <v>39</v>
      </c>
      <c r="O35" s="11" t="s">
        <v>81</v>
      </c>
      <c r="P35" s="14">
        <v>46270.061805555553</v>
      </c>
      <c r="Q35" t="s">
        <v>197</v>
      </c>
    </row>
    <row r="36" spans="1:17">
      <c r="A36" s="8" t="s">
        <v>198</v>
      </c>
      <c r="B36" s="8">
        <v>48658617</v>
      </c>
      <c r="C36" t="s">
        <v>199</v>
      </c>
      <c r="D36" t="s">
        <v>200</v>
      </c>
      <c r="E36" t="s">
        <v>20</v>
      </c>
      <c r="F36" t="s">
        <v>45</v>
      </c>
      <c r="G36" t="s">
        <v>116</v>
      </c>
      <c r="H36" t="s">
        <v>24</v>
      </c>
      <c r="I36" t="s">
        <v>127</v>
      </c>
      <c r="J36" t="s">
        <v>74</v>
      </c>
      <c r="K36" t="s">
        <v>69</v>
      </c>
      <c r="L36">
        <v>6927.1</v>
      </c>
      <c r="M36">
        <v>56</v>
      </c>
      <c r="N36" s="10" t="s">
        <v>86</v>
      </c>
      <c r="O36" s="10" t="s">
        <v>48</v>
      </c>
      <c r="P36" s="13">
        <v>45047.318055555559</v>
      </c>
      <c r="Q36" t="s">
        <v>201</v>
      </c>
    </row>
    <row r="37" spans="1:17">
      <c r="A37" s="8" t="s">
        <v>202</v>
      </c>
      <c r="B37" s="8">
        <v>61484043</v>
      </c>
      <c r="C37" t="s">
        <v>203</v>
      </c>
      <c r="D37" t="s">
        <v>204</v>
      </c>
      <c r="E37" t="s">
        <v>20</v>
      </c>
      <c r="F37" t="s">
        <v>21</v>
      </c>
      <c r="G37" t="s">
        <v>35</v>
      </c>
      <c r="H37" t="s">
        <v>23</v>
      </c>
      <c r="I37" t="s">
        <v>68</v>
      </c>
      <c r="J37" t="s">
        <v>25</v>
      </c>
      <c r="K37" t="s">
        <v>69</v>
      </c>
      <c r="L37">
        <v>10893.5</v>
      </c>
      <c r="M37">
        <v>35</v>
      </c>
      <c r="N37" s="11" t="s">
        <v>27</v>
      </c>
      <c r="O37" s="11" t="s">
        <v>81</v>
      </c>
      <c r="P37" s="14">
        <v>44711.600694444445</v>
      </c>
      <c r="Q37" t="s">
        <v>205</v>
      </c>
    </row>
    <row r="38" spans="1:17">
      <c r="A38" s="8" t="s">
        <v>206</v>
      </c>
      <c r="B38" s="8">
        <v>42051937</v>
      </c>
      <c r="C38" t="s">
        <v>207</v>
      </c>
      <c r="D38" t="s">
        <v>208</v>
      </c>
      <c r="E38" t="s">
        <v>20</v>
      </c>
      <c r="F38" t="s">
        <v>80</v>
      </c>
      <c r="G38" t="s">
        <v>34</v>
      </c>
      <c r="H38" t="s">
        <v>93</v>
      </c>
      <c r="I38" t="s">
        <v>36</v>
      </c>
      <c r="J38" t="s">
        <v>38</v>
      </c>
      <c r="K38" t="s">
        <v>26</v>
      </c>
      <c r="L38">
        <v>7434.98</v>
      </c>
      <c r="M38">
        <v>21</v>
      </c>
      <c r="N38" s="10" t="s">
        <v>86</v>
      </c>
      <c r="O38" s="10" t="s">
        <v>48</v>
      </c>
      <c r="P38" s="13">
        <v>43915.189583333333</v>
      </c>
      <c r="Q38" t="s">
        <v>209</v>
      </c>
    </row>
    <row r="39" spans="1:17">
      <c r="A39" s="8" t="s">
        <v>210</v>
      </c>
      <c r="B39" s="8">
        <v>65026398</v>
      </c>
      <c r="C39" t="s">
        <v>211</v>
      </c>
      <c r="D39" t="s">
        <v>212</v>
      </c>
      <c r="E39" t="s">
        <v>20</v>
      </c>
      <c r="F39" t="s">
        <v>53</v>
      </c>
      <c r="G39" t="s">
        <v>34</v>
      </c>
      <c r="H39" t="s">
        <v>23</v>
      </c>
      <c r="I39" t="s">
        <v>68</v>
      </c>
      <c r="J39" t="s">
        <v>38</v>
      </c>
      <c r="K39" t="s">
        <v>26</v>
      </c>
      <c r="L39">
        <v>14312.55</v>
      </c>
      <c r="M39">
        <v>77</v>
      </c>
      <c r="N39" s="11" t="s">
        <v>39</v>
      </c>
      <c r="O39" s="11" t="s">
        <v>28</v>
      </c>
      <c r="P39" s="14">
        <v>44884.277083333334</v>
      </c>
      <c r="Q39" t="s">
        <v>213</v>
      </c>
    </row>
    <row r="40" spans="1:17">
      <c r="A40" s="8" t="s">
        <v>214</v>
      </c>
      <c r="B40" s="8">
        <v>23489853</v>
      </c>
      <c r="C40" t="s">
        <v>215</v>
      </c>
      <c r="D40" t="s">
        <v>216</v>
      </c>
      <c r="E40" t="s">
        <v>20</v>
      </c>
      <c r="F40" t="s">
        <v>80</v>
      </c>
      <c r="G40" t="s">
        <v>34</v>
      </c>
      <c r="H40" t="s">
        <v>127</v>
      </c>
      <c r="I40" t="s">
        <v>68</v>
      </c>
      <c r="J40" t="s">
        <v>38</v>
      </c>
      <c r="K40" t="s">
        <v>46</v>
      </c>
      <c r="L40">
        <v>11889.87</v>
      </c>
      <c r="M40">
        <v>31</v>
      </c>
      <c r="N40" s="10" t="s">
        <v>47</v>
      </c>
      <c r="O40" s="10" t="s">
        <v>48</v>
      </c>
      <c r="P40" s="13">
        <v>43879.276388888888</v>
      </c>
      <c r="Q40" t="s">
        <v>217</v>
      </c>
    </row>
    <row r="41" spans="1:17">
      <c r="A41" s="8" t="s">
        <v>218</v>
      </c>
      <c r="B41" s="8">
        <v>71682508</v>
      </c>
      <c r="C41" t="s">
        <v>219</v>
      </c>
      <c r="D41" t="s">
        <v>220</v>
      </c>
      <c r="E41" t="s">
        <v>20</v>
      </c>
      <c r="F41" t="s">
        <v>53</v>
      </c>
      <c r="G41" t="s">
        <v>45</v>
      </c>
      <c r="H41" t="s">
        <v>55</v>
      </c>
      <c r="I41" t="s">
        <v>93</v>
      </c>
      <c r="J41" t="s">
        <v>56</v>
      </c>
      <c r="K41" t="s">
        <v>46</v>
      </c>
      <c r="L41">
        <v>3758.97</v>
      </c>
      <c r="M41">
        <v>26</v>
      </c>
      <c r="N41" s="11" t="s">
        <v>57</v>
      </c>
      <c r="O41" s="11" t="s">
        <v>48</v>
      </c>
      <c r="P41" s="14">
        <v>44999.577777777777</v>
      </c>
      <c r="Q41" t="s">
        <v>221</v>
      </c>
    </row>
    <row r="42" spans="1:17">
      <c r="A42" s="8" t="s">
        <v>222</v>
      </c>
      <c r="B42" s="8">
        <v>98346110</v>
      </c>
      <c r="C42" t="s">
        <v>223</v>
      </c>
      <c r="D42" t="s">
        <v>224</v>
      </c>
      <c r="E42" t="s">
        <v>33</v>
      </c>
      <c r="F42" t="s">
        <v>22</v>
      </c>
      <c r="G42" t="s">
        <v>80</v>
      </c>
      <c r="H42" t="s">
        <v>55</v>
      </c>
      <c r="I42" t="s">
        <v>55</v>
      </c>
      <c r="J42" t="s">
        <v>74</v>
      </c>
      <c r="K42" t="s">
        <v>63</v>
      </c>
      <c r="L42">
        <v>12030.96</v>
      </c>
      <c r="M42">
        <v>70</v>
      </c>
      <c r="N42" s="10" t="s">
        <v>47</v>
      </c>
      <c r="O42" s="10" t="s">
        <v>48</v>
      </c>
      <c r="P42" s="13">
        <v>43899.734027777777</v>
      </c>
      <c r="Q42" t="s">
        <v>225</v>
      </c>
    </row>
    <row r="43" spans="1:17">
      <c r="A43" s="8" t="s">
        <v>226</v>
      </c>
      <c r="B43" s="8">
        <v>51464269</v>
      </c>
      <c r="C43" t="s">
        <v>227</v>
      </c>
      <c r="D43" t="s">
        <v>228</v>
      </c>
      <c r="E43" t="s">
        <v>33</v>
      </c>
      <c r="F43" t="s">
        <v>21</v>
      </c>
      <c r="G43" t="s">
        <v>35</v>
      </c>
      <c r="H43" t="s">
        <v>93</v>
      </c>
      <c r="I43" t="s">
        <v>36</v>
      </c>
      <c r="J43" t="s">
        <v>103</v>
      </c>
      <c r="K43" t="s">
        <v>63</v>
      </c>
      <c r="L43">
        <v>7531.9</v>
      </c>
      <c r="M43">
        <v>19</v>
      </c>
      <c r="N43" s="11" t="s">
        <v>57</v>
      </c>
      <c r="O43" s="11" t="s">
        <v>48</v>
      </c>
      <c r="P43" s="14">
        <v>46357.15347222222</v>
      </c>
      <c r="Q43" t="s">
        <v>229</v>
      </c>
    </row>
    <row r="44" spans="1:17">
      <c r="A44" s="8" t="s">
        <v>230</v>
      </c>
      <c r="B44" s="8">
        <v>40281491</v>
      </c>
      <c r="C44" t="s">
        <v>231</v>
      </c>
      <c r="D44" t="s">
        <v>232</v>
      </c>
      <c r="E44" t="s">
        <v>20</v>
      </c>
      <c r="F44" t="s">
        <v>98</v>
      </c>
      <c r="G44" t="s">
        <v>34</v>
      </c>
      <c r="H44" t="s">
        <v>37</v>
      </c>
      <c r="I44" t="s">
        <v>24</v>
      </c>
      <c r="J44" t="s">
        <v>38</v>
      </c>
      <c r="K44" t="s">
        <v>46</v>
      </c>
      <c r="L44">
        <v>3939.8</v>
      </c>
      <c r="M44">
        <v>77</v>
      </c>
      <c r="N44" s="10" t="s">
        <v>39</v>
      </c>
      <c r="O44" s="10" t="s">
        <v>75</v>
      </c>
      <c r="P44" s="13">
        <v>45532.738194444442</v>
      </c>
      <c r="Q44" t="s">
        <v>233</v>
      </c>
    </row>
    <row r="45" spans="1:17">
      <c r="A45" s="8" t="s">
        <v>234</v>
      </c>
      <c r="B45" s="8">
        <v>95282470</v>
      </c>
      <c r="C45" t="s">
        <v>235</v>
      </c>
      <c r="D45" t="s">
        <v>236</v>
      </c>
      <c r="E45" t="s">
        <v>20</v>
      </c>
      <c r="F45" t="s">
        <v>92</v>
      </c>
      <c r="G45" t="s">
        <v>35</v>
      </c>
      <c r="H45" t="s">
        <v>127</v>
      </c>
      <c r="I45" t="s">
        <v>23</v>
      </c>
      <c r="J45" t="s">
        <v>38</v>
      </c>
      <c r="K45" t="s">
        <v>26</v>
      </c>
      <c r="L45">
        <v>5835.8</v>
      </c>
      <c r="M45">
        <v>61</v>
      </c>
      <c r="N45" s="11" t="s">
        <v>57</v>
      </c>
      <c r="O45" s="11" t="s">
        <v>81</v>
      </c>
      <c r="P45" s="14">
        <v>45429.64166666667</v>
      </c>
      <c r="Q45" t="s">
        <v>237</v>
      </c>
    </row>
    <row r="46" spans="1:17">
      <c r="A46" s="8" t="s">
        <v>238</v>
      </c>
      <c r="B46" s="8">
        <v>69509870</v>
      </c>
      <c r="C46" t="s">
        <v>239</v>
      </c>
      <c r="D46" t="s">
        <v>240</v>
      </c>
      <c r="E46" t="s">
        <v>33</v>
      </c>
      <c r="F46" t="s">
        <v>45</v>
      </c>
      <c r="G46" t="s">
        <v>34</v>
      </c>
      <c r="H46" t="s">
        <v>127</v>
      </c>
      <c r="I46" t="s">
        <v>68</v>
      </c>
      <c r="J46" t="s">
        <v>25</v>
      </c>
      <c r="K46" t="s">
        <v>26</v>
      </c>
      <c r="L46">
        <v>1384.18</v>
      </c>
      <c r="M46">
        <v>25</v>
      </c>
      <c r="N46" s="10" t="s">
        <v>47</v>
      </c>
      <c r="O46" s="10" t="s">
        <v>28</v>
      </c>
      <c r="P46" s="13">
        <v>46025.275694444441</v>
      </c>
      <c r="Q46" t="s">
        <v>241</v>
      </c>
    </row>
    <row r="47" spans="1:17">
      <c r="A47" s="8" t="s">
        <v>242</v>
      </c>
      <c r="B47" s="8">
        <v>41272553</v>
      </c>
      <c r="C47" t="s">
        <v>243</v>
      </c>
      <c r="D47" t="s">
        <v>244</v>
      </c>
      <c r="E47" t="s">
        <v>20</v>
      </c>
      <c r="F47" t="s">
        <v>80</v>
      </c>
      <c r="G47" t="s">
        <v>53</v>
      </c>
      <c r="H47" t="s">
        <v>54</v>
      </c>
      <c r="I47" t="s">
        <v>62</v>
      </c>
      <c r="J47" t="s">
        <v>38</v>
      </c>
      <c r="K47" t="s">
        <v>69</v>
      </c>
      <c r="L47">
        <v>1985.73</v>
      </c>
      <c r="M47">
        <v>64</v>
      </c>
      <c r="N47" s="11" t="s">
        <v>57</v>
      </c>
      <c r="O47" s="11" t="s">
        <v>48</v>
      </c>
      <c r="P47" s="14">
        <v>45700.168055555558</v>
      </c>
      <c r="Q47" t="s">
        <v>245</v>
      </c>
    </row>
    <row r="48" spans="1:17">
      <c r="A48" s="8" t="s">
        <v>246</v>
      </c>
      <c r="B48" s="8">
        <v>58592048</v>
      </c>
      <c r="C48" t="s">
        <v>247</v>
      </c>
      <c r="D48" t="s">
        <v>248</v>
      </c>
      <c r="E48" t="s">
        <v>33</v>
      </c>
      <c r="F48" t="s">
        <v>116</v>
      </c>
      <c r="G48" t="s">
        <v>80</v>
      </c>
      <c r="H48" t="s">
        <v>37</v>
      </c>
      <c r="I48" t="s">
        <v>54</v>
      </c>
      <c r="J48" t="s">
        <v>25</v>
      </c>
      <c r="K48" t="s">
        <v>69</v>
      </c>
      <c r="L48">
        <v>14978.82</v>
      </c>
      <c r="M48">
        <v>52</v>
      </c>
      <c r="N48" s="10" t="s">
        <v>39</v>
      </c>
      <c r="O48" s="10" t="s">
        <v>81</v>
      </c>
      <c r="P48" s="13">
        <v>44846.479166666664</v>
      </c>
      <c r="Q48" t="s">
        <v>249</v>
      </c>
    </row>
    <row r="49" spans="1:17">
      <c r="A49" s="8" t="s">
        <v>250</v>
      </c>
      <c r="B49" s="8">
        <v>94970119</v>
      </c>
      <c r="C49" t="s">
        <v>251</v>
      </c>
      <c r="D49" t="s">
        <v>252</v>
      </c>
      <c r="E49" t="s">
        <v>33</v>
      </c>
      <c r="F49" t="s">
        <v>116</v>
      </c>
      <c r="G49" t="s">
        <v>98</v>
      </c>
      <c r="H49" t="s">
        <v>68</v>
      </c>
      <c r="I49" t="s">
        <v>62</v>
      </c>
      <c r="J49" t="s">
        <v>38</v>
      </c>
      <c r="K49" t="s">
        <v>46</v>
      </c>
      <c r="L49">
        <v>13166.82</v>
      </c>
      <c r="M49">
        <v>53</v>
      </c>
      <c r="N49" s="11" t="s">
        <v>27</v>
      </c>
      <c r="O49" s="11" t="s">
        <v>48</v>
      </c>
      <c r="P49" s="14">
        <v>44276.611805555556</v>
      </c>
      <c r="Q49" t="s">
        <v>253</v>
      </c>
    </row>
    <row r="50" spans="1:17">
      <c r="A50" s="8" t="s">
        <v>254</v>
      </c>
      <c r="B50" s="8">
        <v>99269266</v>
      </c>
      <c r="C50" t="s">
        <v>255</v>
      </c>
      <c r="D50" t="s">
        <v>256</v>
      </c>
      <c r="E50" t="s">
        <v>20</v>
      </c>
      <c r="F50" t="s">
        <v>35</v>
      </c>
      <c r="G50" t="s">
        <v>35</v>
      </c>
      <c r="H50" t="s">
        <v>68</v>
      </c>
      <c r="I50" t="s">
        <v>93</v>
      </c>
      <c r="J50" t="s">
        <v>38</v>
      </c>
      <c r="K50" t="s">
        <v>69</v>
      </c>
      <c r="L50">
        <v>8801.11</v>
      </c>
      <c r="M50">
        <v>67</v>
      </c>
      <c r="N50" s="10" t="s">
        <v>27</v>
      </c>
      <c r="O50" s="10" t="s">
        <v>75</v>
      </c>
      <c r="P50" s="13">
        <v>46099.804166666669</v>
      </c>
      <c r="Q50" t="s">
        <v>257</v>
      </c>
    </row>
    <row r="51" spans="1:17">
      <c r="A51" s="8" t="s">
        <v>258</v>
      </c>
      <c r="B51" s="8">
        <v>51936181</v>
      </c>
      <c r="C51" t="s">
        <v>259</v>
      </c>
      <c r="D51" t="s">
        <v>260</v>
      </c>
      <c r="E51" t="s">
        <v>33</v>
      </c>
      <c r="F51" t="s">
        <v>45</v>
      </c>
      <c r="G51" t="s">
        <v>44</v>
      </c>
      <c r="H51" t="s">
        <v>24</v>
      </c>
      <c r="I51" t="s">
        <v>93</v>
      </c>
      <c r="J51" t="s">
        <v>38</v>
      </c>
      <c r="K51" t="s">
        <v>26</v>
      </c>
      <c r="L51">
        <v>12110.25</v>
      </c>
      <c r="M51">
        <v>21</v>
      </c>
      <c r="N51" s="11" t="s">
        <v>27</v>
      </c>
      <c r="O51" s="11" t="s">
        <v>28</v>
      </c>
      <c r="P51" s="14">
        <v>45232.665972222225</v>
      </c>
      <c r="Q51" t="s">
        <v>261</v>
      </c>
    </row>
    <row r="52" spans="1:17">
      <c r="A52" s="8" t="s">
        <v>262</v>
      </c>
      <c r="B52" s="8">
        <v>98227303</v>
      </c>
      <c r="C52" t="s">
        <v>263</v>
      </c>
      <c r="D52" t="s">
        <v>264</v>
      </c>
      <c r="E52" t="s">
        <v>20</v>
      </c>
      <c r="F52" t="s">
        <v>80</v>
      </c>
      <c r="G52" t="s">
        <v>35</v>
      </c>
      <c r="H52" t="s">
        <v>36</v>
      </c>
      <c r="I52" t="s">
        <v>37</v>
      </c>
      <c r="J52" t="s">
        <v>38</v>
      </c>
      <c r="K52" t="s">
        <v>69</v>
      </c>
      <c r="L52">
        <v>11654.77</v>
      </c>
      <c r="M52">
        <v>19</v>
      </c>
      <c r="N52" s="10" t="s">
        <v>27</v>
      </c>
      <c r="O52" s="10" t="s">
        <v>28</v>
      </c>
      <c r="P52" s="13">
        <v>45973.443749999999</v>
      </c>
      <c r="Q52" t="s">
        <v>265</v>
      </c>
    </row>
    <row r="53" spans="1:17">
      <c r="A53" s="8" t="s">
        <v>266</v>
      </c>
      <c r="B53" s="8">
        <v>65590800</v>
      </c>
      <c r="C53" t="s">
        <v>267</v>
      </c>
      <c r="D53" t="s">
        <v>18</v>
      </c>
      <c r="E53" t="s">
        <v>20</v>
      </c>
      <c r="F53" t="s">
        <v>92</v>
      </c>
      <c r="G53" t="s">
        <v>35</v>
      </c>
      <c r="H53" t="s">
        <v>55</v>
      </c>
      <c r="I53" t="s">
        <v>55</v>
      </c>
      <c r="J53" t="s">
        <v>56</v>
      </c>
      <c r="K53" t="s">
        <v>63</v>
      </c>
      <c r="L53">
        <v>831.18</v>
      </c>
      <c r="M53">
        <v>23</v>
      </c>
      <c r="N53" s="11" t="s">
        <v>47</v>
      </c>
      <c r="O53" s="11" t="s">
        <v>75</v>
      </c>
      <c r="P53" s="14">
        <v>44092.098611111112</v>
      </c>
      <c r="Q53" t="s">
        <v>268</v>
      </c>
    </row>
    <row r="54" spans="1:17">
      <c r="A54" s="8" t="s">
        <v>269</v>
      </c>
      <c r="B54" s="8">
        <v>40884937</v>
      </c>
      <c r="C54" t="s">
        <v>270</v>
      </c>
      <c r="D54" t="s">
        <v>271</v>
      </c>
      <c r="E54" t="s">
        <v>20</v>
      </c>
      <c r="F54" t="s">
        <v>35</v>
      </c>
      <c r="G54" t="s">
        <v>160</v>
      </c>
      <c r="H54" t="s">
        <v>68</v>
      </c>
      <c r="I54" t="s">
        <v>23</v>
      </c>
      <c r="J54" t="s">
        <v>38</v>
      </c>
      <c r="K54" t="s">
        <v>26</v>
      </c>
      <c r="L54">
        <v>8605.26</v>
      </c>
      <c r="M54">
        <v>71</v>
      </c>
      <c r="N54" s="10" t="s">
        <v>39</v>
      </c>
      <c r="O54" s="10" t="s">
        <v>75</v>
      </c>
      <c r="P54" s="13">
        <v>45679.265277777777</v>
      </c>
      <c r="Q54" t="s">
        <v>272</v>
      </c>
    </row>
    <row r="55" spans="1:17">
      <c r="A55" s="8" t="s">
        <v>273</v>
      </c>
      <c r="B55" s="8">
        <v>68614462</v>
      </c>
      <c r="C55" t="s">
        <v>43</v>
      </c>
      <c r="D55" t="s">
        <v>274</v>
      </c>
      <c r="E55" t="s">
        <v>20</v>
      </c>
      <c r="F55" t="s">
        <v>98</v>
      </c>
      <c r="G55" t="s">
        <v>35</v>
      </c>
      <c r="H55" t="s">
        <v>37</v>
      </c>
      <c r="I55" t="s">
        <v>68</v>
      </c>
      <c r="J55" t="s">
        <v>38</v>
      </c>
      <c r="K55" t="s">
        <v>46</v>
      </c>
      <c r="L55">
        <v>1719.26</v>
      </c>
      <c r="M55">
        <v>21</v>
      </c>
      <c r="N55" s="11" t="s">
        <v>27</v>
      </c>
      <c r="O55" s="11" t="s">
        <v>48</v>
      </c>
      <c r="P55" s="14">
        <v>44727.28125</v>
      </c>
      <c r="Q55" t="s">
        <v>275</v>
      </c>
    </row>
    <row r="56" spans="1:17">
      <c r="A56" s="8" t="s">
        <v>276</v>
      </c>
      <c r="B56" s="8">
        <v>30517835</v>
      </c>
      <c r="C56" t="s">
        <v>277</v>
      </c>
      <c r="D56" t="s">
        <v>278</v>
      </c>
      <c r="E56" t="s">
        <v>20</v>
      </c>
      <c r="F56" t="s">
        <v>45</v>
      </c>
      <c r="G56" t="s">
        <v>44</v>
      </c>
      <c r="H56" t="s">
        <v>127</v>
      </c>
      <c r="I56" t="s">
        <v>62</v>
      </c>
      <c r="J56" t="s">
        <v>38</v>
      </c>
      <c r="K56" t="s">
        <v>46</v>
      </c>
      <c r="L56">
        <v>14798.11</v>
      </c>
      <c r="M56">
        <v>71</v>
      </c>
      <c r="N56" s="10" t="s">
        <v>57</v>
      </c>
      <c r="O56" s="10" t="s">
        <v>75</v>
      </c>
      <c r="P56" s="13">
        <v>44925.070138888892</v>
      </c>
      <c r="Q56" t="s">
        <v>279</v>
      </c>
    </row>
    <row r="57" spans="1:17">
      <c r="A57" s="8" t="s">
        <v>280</v>
      </c>
      <c r="B57" s="8">
        <v>71974027</v>
      </c>
      <c r="C57" t="s">
        <v>281</v>
      </c>
      <c r="D57" t="s">
        <v>282</v>
      </c>
      <c r="E57" t="s">
        <v>20</v>
      </c>
      <c r="F57" t="s">
        <v>35</v>
      </c>
      <c r="G57" t="s">
        <v>45</v>
      </c>
      <c r="H57" t="s">
        <v>68</v>
      </c>
      <c r="I57" t="s">
        <v>54</v>
      </c>
      <c r="J57" t="s">
        <v>38</v>
      </c>
      <c r="K57" t="s">
        <v>46</v>
      </c>
      <c r="L57">
        <v>13439.19</v>
      </c>
      <c r="M57">
        <v>80</v>
      </c>
      <c r="N57" s="11" t="s">
        <v>39</v>
      </c>
      <c r="O57" s="11" t="s">
        <v>48</v>
      </c>
      <c r="P57" s="14">
        <v>46097.789583333331</v>
      </c>
      <c r="Q57" t="s">
        <v>283</v>
      </c>
    </row>
    <row r="58" spans="1:17">
      <c r="A58" s="8" t="s">
        <v>284</v>
      </c>
      <c r="B58" s="8">
        <v>21318464</v>
      </c>
      <c r="C58" t="s">
        <v>285</v>
      </c>
      <c r="D58" t="s">
        <v>286</v>
      </c>
      <c r="E58" t="s">
        <v>33</v>
      </c>
      <c r="F58" t="s">
        <v>44</v>
      </c>
      <c r="G58" t="s">
        <v>44</v>
      </c>
      <c r="H58" t="s">
        <v>127</v>
      </c>
      <c r="I58" t="s">
        <v>93</v>
      </c>
      <c r="J58" t="s">
        <v>103</v>
      </c>
      <c r="K58" t="s">
        <v>46</v>
      </c>
      <c r="L58">
        <v>8972.31</v>
      </c>
      <c r="M58">
        <v>35</v>
      </c>
      <c r="N58" s="10" t="s">
        <v>57</v>
      </c>
      <c r="O58" s="10" t="s">
        <v>28</v>
      </c>
      <c r="P58" s="13">
        <v>45387.365972222222</v>
      </c>
      <c r="Q58" t="s">
        <v>287</v>
      </c>
    </row>
    <row r="59" spans="1:17">
      <c r="A59" s="8" t="s">
        <v>288</v>
      </c>
      <c r="B59" s="8">
        <v>0</v>
      </c>
      <c r="C59" t="s">
        <v>289</v>
      </c>
      <c r="D59" t="s">
        <v>290</v>
      </c>
      <c r="E59" t="s">
        <v>20</v>
      </c>
      <c r="F59" t="s">
        <v>53</v>
      </c>
      <c r="G59" t="s">
        <v>45</v>
      </c>
      <c r="H59" t="s">
        <v>68</v>
      </c>
      <c r="I59" t="s">
        <v>93</v>
      </c>
      <c r="J59" t="s">
        <v>56</v>
      </c>
      <c r="K59" t="s">
        <v>46</v>
      </c>
      <c r="L59">
        <v>11877.01</v>
      </c>
      <c r="M59">
        <v>61</v>
      </c>
      <c r="N59" s="11" t="s">
        <v>47</v>
      </c>
      <c r="O59" s="11" t="s">
        <v>28</v>
      </c>
      <c r="P59" s="14">
        <v>43922.761805555558</v>
      </c>
      <c r="Q59" t="s">
        <v>291</v>
      </c>
    </row>
    <row r="60" spans="1:17">
      <c r="A60" s="8" t="s">
        <v>292</v>
      </c>
      <c r="B60" s="8">
        <v>28463709</v>
      </c>
      <c r="C60" t="s">
        <v>212</v>
      </c>
      <c r="D60" t="s">
        <v>293</v>
      </c>
      <c r="E60" t="s">
        <v>20</v>
      </c>
      <c r="F60" t="s">
        <v>98</v>
      </c>
      <c r="G60" t="s">
        <v>294</v>
      </c>
      <c r="H60" t="s">
        <v>55</v>
      </c>
      <c r="I60" t="s">
        <v>55</v>
      </c>
      <c r="J60" t="s">
        <v>74</v>
      </c>
      <c r="K60" t="s">
        <v>63</v>
      </c>
      <c r="L60">
        <v>5657.03</v>
      </c>
      <c r="M60">
        <v>51</v>
      </c>
      <c r="N60" s="10" t="s">
        <v>47</v>
      </c>
      <c r="O60" s="10" t="s">
        <v>48</v>
      </c>
      <c r="P60" s="13">
        <v>43957.365972222222</v>
      </c>
      <c r="Q60" t="s">
        <v>295</v>
      </c>
    </row>
    <row r="61" spans="1:17">
      <c r="A61" s="8" t="s">
        <v>296</v>
      </c>
      <c r="B61" s="8">
        <v>70254091</v>
      </c>
      <c r="C61" t="s">
        <v>297</v>
      </c>
      <c r="D61" t="s">
        <v>171</v>
      </c>
      <c r="E61" t="s">
        <v>33</v>
      </c>
      <c r="F61" t="s">
        <v>44</v>
      </c>
      <c r="G61" t="s">
        <v>121</v>
      </c>
      <c r="H61" t="s">
        <v>23</v>
      </c>
      <c r="I61" t="s">
        <v>54</v>
      </c>
      <c r="J61" t="s">
        <v>56</v>
      </c>
      <c r="K61" t="s">
        <v>63</v>
      </c>
      <c r="L61">
        <v>7916.62</v>
      </c>
      <c r="M61">
        <v>79</v>
      </c>
      <c r="N61" s="11" t="s">
        <v>47</v>
      </c>
      <c r="O61" s="11" t="s">
        <v>48</v>
      </c>
      <c r="P61" s="14">
        <v>43910.52847222222</v>
      </c>
      <c r="Q61" t="s">
        <v>298</v>
      </c>
    </row>
    <row r="62" spans="1:17">
      <c r="A62" s="8" t="s">
        <v>299</v>
      </c>
      <c r="B62" s="8">
        <v>48260510</v>
      </c>
      <c r="C62" t="s">
        <v>146</v>
      </c>
      <c r="D62" t="s">
        <v>300</v>
      </c>
      <c r="E62" t="s">
        <v>20</v>
      </c>
      <c r="F62" t="s">
        <v>98</v>
      </c>
      <c r="G62" t="s">
        <v>21</v>
      </c>
      <c r="H62" t="s">
        <v>68</v>
      </c>
      <c r="I62" t="s">
        <v>54</v>
      </c>
      <c r="J62" t="s">
        <v>25</v>
      </c>
      <c r="K62" t="s">
        <v>26</v>
      </c>
      <c r="L62">
        <v>808.32</v>
      </c>
      <c r="M62">
        <v>31</v>
      </c>
      <c r="N62" s="10" t="s">
        <v>27</v>
      </c>
      <c r="O62" s="10" t="s">
        <v>75</v>
      </c>
      <c r="P62" s="13">
        <v>45678.800694444442</v>
      </c>
      <c r="Q62" t="s">
        <v>301</v>
      </c>
    </row>
    <row r="63" spans="1:17">
      <c r="A63" s="8" t="s">
        <v>302</v>
      </c>
      <c r="B63" s="8">
        <v>28468304</v>
      </c>
      <c r="C63" t="s">
        <v>303</v>
      </c>
      <c r="D63" t="s">
        <v>304</v>
      </c>
      <c r="E63" t="s">
        <v>20</v>
      </c>
      <c r="F63" t="s">
        <v>21</v>
      </c>
      <c r="G63" t="s">
        <v>22</v>
      </c>
      <c r="H63" t="s">
        <v>37</v>
      </c>
      <c r="I63" t="s">
        <v>55</v>
      </c>
      <c r="J63" t="s">
        <v>74</v>
      </c>
      <c r="K63" t="s">
        <v>63</v>
      </c>
      <c r="L63">
        <v>14103.99</v>
      </c>
      <c r="M63">
        <v>65</v>
      </c>
      <c r="N63" s="11" t="s">
        <v>27</v>
      </c>
      <c r="O63" s="11" t="s">
        <v>81</v>
      </c>
      <c r="P63" s="14">
        <v>44813.474999999999</v>
      </c>
      <c r="Q63" t="s">
        <v>305</v>
      </c>
    </row>
    <row r="64" spans="1:17">
      <c r="A64" s="8" t="s">
        <v>306</v>
      </c>
      <c r="B64" s="8">
        <v>0</v>
      </c>
      <c r="C64" t="s">
        <v>151</v>
      </c>
      <c r="D64" t="s">
        <v>307</v>
      </c>
      <c r="E64" t="s">
        <v>20</v>
      </c>
      <c r="F64" t="s">
        <v>121</v>
      </c>
      <c r="G64" t="s">
        <v>22</v>
      </c>
      <c r="H64" t="s">
        <v>68</v>
      </c>
      <c r="I64" t="s">
        <v>93</v>
      </c>
      <c r="J64" t="s">
        <v>38</v>
      </c>
      <c r="K64" t="s">
        <v>46</v>
      </c>
      <c r="L64">
        <v>1293.3499999999999</v>
      </c>
      <c r="M64">
        <v>32</v>
      </c>
      <c r="N64" s="10" t="s">
        <v>57</v>
      </c>
      <c r="O64" s="10" t="s">
        <v>28</v>
      </c>
      <c r="P64" s="13">
        <v>44746.776388888888</v>
      </c>
      <c r="Q64" t="s">
        <v>308</v>
      </c>
    </row>
    <row r="65" spans="1:17">
      <c r="A65" s="8" t="s">
        <v>309</v>
      </c>
      <c r="B65" s="8">
        <v>57928328</v>
      </c>
      <c r="C65" t="s">
        <v>310</v>
      </c>
      <c r="D65" t="s">
        <v>311</v>
      </c>
      <c r="E65" t="s">
        <v>20</v>
      </c>
      <c r="F65" t="s">
        <v>45</v>
      </c>
      <c r="G65" t="s">
        <v>35</v>
      </c>
      <c r="H65" t="s">
        <v>36</v>
      </c>
      <c r="I65" t="s">
        <v>23</v>
      </c>
      <c r="J65" t="s">
        <v>38</v>
      </c>
      <c r="K65" t="s">
        <v>26</v>
      </c>
      <c r="L65">
        <v>12457.45</v>
      </c>
      <c r="M65">
        <v>79</v>
      </c>
      <c r="N65" s="11" t="s">
        <v>39</v>
      </c>
      <c r="O65" s="11" t="s">
        <v>81</v>
      </c>
      <c r="P65" s="14">
        <v>46364.926388888889</v>
      </c>
      <c r="Q65" t="s">
        <v>312</v>
      </c>
    </row>
    <row r="66" spans="1:17">
      <c r="A66" s="8" t="s">
        <v>313</v>
      </c>
      <c r="B66" s="8">
        <v>52358553</v>
      </c>
      <c r="C66" t="s">
        <v>314</v>
      </c>
      <c r="D66" t="s">
        <v>315</v>
      </c>
      <c r="E66" t="s">
        <v>20</v>
      </c>
      <c r="F66" t="s">
        <v>98</v>
      </c>
      <c r="G66" t="s">
        <v>44</v>
      </c>
      <c r="H66" t="s">
        <v>55</v>
      </c>
      <c r="I66" t="s">
        <v>36</v>
      </c>
      <c r="J66" t="s">
        <v>38</v>
      </c>
      <c r="K66" t="s">
        <v>69</v>
      </c>
      <c r="L66">
        <v>4105.5200000000004</v>
      </c>
      <c r="M66">
        <v>57</v>
      </c>
      <c r="N66" s="10" t="s">
        <v>57</v>
      </c>
      <c r="O66" s="10" t="s">
        <v>81</v>
      </c>
      <c r="P66" s="13">
        <v>44524.643055555556</v>
      </c>
      <c r="Q66" t="s">
        <v>316</v>
      </c>
    </row>
    <row r="67" spans="1:17">
      <c r="A67" s="8" t="s">
        <v>317</v>
      </c>
      <c r="B67" s="8">
        <v>79696025</v>
      </c>
      <c r="C67" t="s">
        <v>318</v>
      </c>
      <c r="D67" t="s">
        <v>319</v>
      </c>
      <c r="E67" t="s">
        <v>20</v>
      </c>
      <c r="F67" t="s">
        <v>92</v>
      </c>
      <c r="G67" t="s">
        <v>116</v>
      </c>
      <c r="H67" t="s">
        <v>37</v>
      </c>
      <c r="I67" t="s">
        <v>36</v>
      </c>
      <c r="J67" t="s">
        <v>103</v>
      </c>
      <c r="K67" t="s">
        <v>69</v>
      </c>
      <c r="L67">
        <v>6694.28</v>
      </c>
      <c r="M67">
        <v>70</v>
      </c>
      <c r="N67" s="11" t="s">
        <v>39</v>
      </c>
      <c r="O67" s="11" t="s">
        <v>48</v>
      </c>
      <c r="P67" s="14">
        <v>43855.29791666667</v>
      </c>
      <c r="Q67" t="s">
        <v>320</v>
      </c>
    </row>
    <row r="68" spans="1:17">
      <c r="A68" s="8" t="s">
        <v>321</v>
      </c>
      <c r="B68" s="8">
        <v>17698469</v>
      </c>
      <c r="C68" t="s">
        <v>322</v>
      </c>
      <c r="D68" t="s">
        <v>323</v>
      </c>
      <c r="E68" t="s">
        <v>33</v>
      </c>
      <c r="F68" t="s">
        <v>22</v>
      </c>
      <c r="G68" t="s">
        <v>45</v>
      </c>
      <c r="H68" t="s">
        <v>54</v>
      </c>
      <c r="I68" t="s">
        <v>55</v>
      </c>
      <c r="J68" t="s">
        <v>74</v>
      </c>
      <c r="K68" t="s">
        <v>69</v>
      </c>
      <c r="L68">
        <v>3547.57</v>
      </c>
      <c r="M68">
        <v>41</v>
      </c>
      <c r="N68" s="10" t="s">
        <v>57</v>
      </c>
      <c r="O68" s="10" t="s">
        <v>75</v>
      </c>
      <c r="P68" s="13">
        <v>43986.159722222219</v>
      </c>
      <c r="Q68" t="s">
        <v>324</v>
      </c>
    </row>
    <row r="69" spans="1:17">
      <c r="A69" s="8" t="s">
        <v>325</v>
      </c>
      <c r="B69" s="8">
        <v>81062902</v>
      </c>
      <c r="C69" t="s">
        <v>326</v>
      </c>
      <c r="D69" t="s">
        <v>327</v>
      </c>
      <c r="E69" t="s">
        <v>20</v>
      </c>
      <c r="F69" t="s">
        <v>35</v>
      </c>
      <c r="G69" t="s">
        <v>80</v>
      </c>
      <c r="H69" t="s">
        <v>37</v>
      </c>
      <c r="I69" t="s">
        <v>54</v>
      </c>
      <c r="J69" t="s">
        <v>103</v>
      </c>
      <c r="K69" t="s">
        <v>46</v>
      </c>
      <c r="L69">
        <v>6699.63</v>
      </c>
      <c r="M69">
        <v>43</v>
      </c>
      <c r="N69" s="11" t="s">
        <v>27</v>
      </c>
      <c r="O69" s="11" t="s">
        <v>75</v>
      </c>
      <c r="P69" s="14">
        <v>45643.768750000003</v>
      </c>
      <c r="Q69" t="s">
        <v>328</v>
      </c>
    </row>
    <row r="70" spans="1:17">
      <c r="A70" s="8" t="s">
        <v>329</v>
      </c>
      <c r="B70" s="8">
        <v>52894344</v>
      </c>
      <c r="C70" t="s">
        <v>330</v>
      </c>
      <c r="D70" t="s">
        <v>331</v>
      </c>
      <c r="E70" t="s">
        <v>20</v>
      </c>
      <c r="F70" t="s">
        <v>53</v>
      </c>
      <c r="G70" t="s">
        <v>53</v>
      </c>
      <c r="H70" t="s">
        <v>36</v>
      </c>
      <c r="I70" t="s">
        <v>68</v>
      </c>
      <c r="J70" t="s">
        <v>38</v>
      </c>
      <c r="K70" t="s">
        <v>26</v>
      </c>
      <c r="L70">
        <v>1829.22</v>
      </c>
      <c r="M70">
        <v>77</v>
      </c>
      <c r="N70" s="10" t="s">
        <v>47</v>
      </c>
      <c r="O70" s="10" t="s">
        <v>48</v>
      </c>
      <c r="P70" s="13">
        <v>45384.873611111114</v>
      </c>
      <c r="Q70" t="s">
        <v>332</v>
      </c>
    </row>
    <row r="71" spans="1:17">
      <c r="A71" s="8" t="s">
        <v>333</v>
      </c>
      <c r="B71" s="8">
        <v>18824561</v>
      </c>
      <c r="C71" t="s">
        <v>334</v>
      </c>
      <c r="D71" t="s">
        <v>335</v>
      </c>
      <c r="E71" t="s">
        <v>20</v>
      </c>
      <c r="F71" t="s">
        <v>92</v>
      </c>
      <c r="G71" t="s">
        <v>92</v>
      </c>
      <c r="H71" t="s">
        <v>23</v>
      </c>
      <c r="I71" t="s">
        <v>55</v>
      </c>
      <c r="J71" t="s">
        <v>38</v>
      </c>
      <c r="K71" t="s">
        <v>63</v>
      </c>
      <c r="L71">
        <v>5174.28</v>
      </c>
      <c r="M71">
        <v>58</v>
      </c>
      <c r="N71" s="11" t="s">
        <v>27</v>
      </c>
      <c r="O71" s="11" t="s">
        <v>48</v>
      </c>
      <c r="P71" s="14">
        <v>45797.592361111114</v>
      </c>
      <c r="Q71" t="s">
        <v>336</v>
      </c>
    </row>
    <row r="72" spans="1:17">
      <c r="A72" s="8" t="s">
        <v>337</v>
      </c>
      <c r="B72" s="8">
        <v>40262109</v>
      </c>
      <c r="C72" t="s">
        <v>338</v>
      </c>
      <c r="D72" t="s">
        <v>339</v>
      </c>
      <c r="E72" t="s">
        <v>20</v>
      </c>
      <c r="F72" t="s">
        <v>53</v>
      </c>
      <c r="G72" t="s">
        <v>121</v>
      </c>
      <c r="H72" t="s">
        <v>55</v>
      </c>
      <c r="I72" t="s">
        <v>23</v>
      </c>
      <c r="J72" t="s">
        <v>38</v>
      </c>
      <c r="K72" t="s">
        <v>46</v>
      </c>
      <c r="L72">
        <v>2537.85</v>
      </c>
      <c r="M72">
        <v>46</v>
      </c>
      <c r="N72" s="10" t="s">
        <v>27</v>
      </c>
      <c r="O72" s="10" t="s">
        <v>48</v>
      </c>
      <c r="P72" s="13">
        <v>45564.032638888886</v>
      </c>
      <c r="Q72" t="s">
        <v>340</v>
      </c>
    </row>
    <row r="73" spans="1:17">
      <c r="A73" s="8" t="s">
        <v>341</v>
      </c>
      <c r="B73" s="8">
        <v>16101779</v>
      </c>
      <c r="C73" t="s">
        <v>342</v>
      </c>
      <c r="D73" t="s">
        <v>343</v>
      </c>
      <c r="E73" t="s">
        <v>20</v>
      </c>
      <c r="F73" t="s">
        <v>116</v>
      </c>
      <c r="G73" t="s">
        <v>92</v>
      </c>
      <c r="H73" t="s">
        <v>54</v>
      </c>
      <c r="I73" t="s">
        <v>55</v>
      </c>
      <c r="J73" t="s">
        <v>103</v>
      </c>
      <c r="K73" t="s">
        <v>26</v>
      </c>
      <c r="L73">
        <v>3680.72</v>
      </c>
      <c r="M73">
        <v>32</v>
      </c>
      <c r="N73" s="11" t="s">
        <v>39</v>
      </c>
      <c r="O73" s="11" t="s">
        <v>75</v>
      </c>
      <c r="P73" s="14">
        <v>44911.387499999997</v>
      </c>
      <c r="Q73" t="s">
        <v>344</v>
      </c>
    </row>
    <row r="74" spans="1:17">
      <c r="A74" s="8" t="s">
        <v>345</v>
      </c>
      <c r="B74" s="8">
        <v>52857920</v>
      </c>
      <c r="C74" t="s">
        <v>346</v>
      </c>
      <c r="D74" t="s">
        <v>326</v>
      </c>
      <c r="E74" t="s">
        <v>20</v>
      </c>
      <c r="F74" t="s">
        <v>34</v>
      </c>
      <c r="G74" t="s">
        <v>98</v>
      </c>
      <c r="H74" t="s">
        <v>36</v>
      </c>
      <c r="I74" t="s">
        <v>127</v>
      </c>
      <c r="J74" t="s">
        <v>25</v>
      </c>
      <c r="K74" t="s">
        <v>69</v>
      </c>
      <c r="L74">
        <v>4360.28</v>
      </c>
      <c r="M74">
        <v>62</v>
      </c>
      <c r="N74" s="10" t="s">
        <v>39</v>
      </c>
      <c r="O74" s="10" t="s">
        <v>81</v>
      </c>
      <c r="P74" s="13">
        <v>45459.876388888886</v>
      </c>
      <c r="Q74" t="s">
        <v>347</v>
      </c>
    </row>
    <row r="75" spans="1:17">
      <c r="A75" s="8" t="s">
        <v>348</v>
      </c>
      <c r="B75" s="8">
        <v>76942394</v>
      </c>
      <c r="C75" t="s">
        <v>349</v>
      </c>
      <c r="D75" t="s">
        <v>350</v>
      </c>
      <c r="E75" t="s">
        <v>20</v>
      </c>
      <c r="F75" t="s">
        <v>92</v>
      </c>
      <c r="G75" t="s">
        <v>98</v>
      </c>
      <c r="H75" t="s">
        <v>36</v>
      </c>
      <c r="I75" t="s">
        <v>62</v>
      </c>
      <c r="J75" t="s">
        <v>38</v>
      </c>
      <c r="K75" t="s">
        <v>46</v>
      </c>
      <c r="L75">
        <v>10091.08</v>
      </c>
      <c r="M75">
        <v>82</v>
      </c>
      <c r="N75" s="11" t="s">
        <v>57</v>
      </c>
      <c r="O75" s="11" t="s">
        <v>28</v>
      </c>
      <c r="P75" s="14">
        <v>43849.194444444445</v>
      </c>
      <c r="Q75" t="s">
        <v>351</v>
      </c>
    </row>
    <row r="76" spans="1:17">
      <c r="A76" s="8" t="s">
        <v>352</v>
      </c>
      <c r="B76" s="8">
        <v>36126192</v>
      </c>
      <c r="C76" t="s">
        <v>353</v>
      </c>
      <c r="D76" t="s">
        <v>354</v>
      </c>
      <c r="E76" t="s">
        <v>20</v>
      </c>
      <c r="F76" t="s">
        <v>44</v>
      </c>
      <c r="G76" t="s">
        <v>98</v>
      </c>
      <c r="H76" t="s">
        <v>93</v>
      </c>
      <c r="I76" t="s">
        <v>54</v>
      </c>
      <c r="J76" t="s">
        <v>56</v>
      </c>
      <c r="K76" t="s">
        <v>69</v>
      </c>
      <c r="L76">
        <v>11925.51</v>
      </c>
      <c r="M76">
        <v>26</v>
      </c>
      <c r="N76" s="10" t="s">
        <v>57</v>
      </c>
      <c r="O76" s="10" t="s">
        <v>75</v>
      </c>
      <c r="P76" s="13">
        <v>45238.715277777781</v>
      </c>
      <c r="Q76" t="s">
        <v>355</v>
      </c>
    </row>
    <row r="77" spans="1:17">
      <c r="A77" s="8" t="s">
        <v>356</v>
      </c>
      <c r="B77" s="8">
        <v>71335966</v>
      </c>
      <c r="C77" t="s">
        <v>357</v>
      </c>
      <c r="D77" t="s">
        <v>358</v>
      </c>
      <c r="E77" t="s">
        <v>20</v>
      </c>
      <c r="F77" t="s">
        <v>116</v>
      </c>
      <c r="G77" t="s">
        <v>34</v>
      </c>
      <c r="H77" t="s">
        <v>55</v>
      </c>
      <c r="I77" t="s">
        <v>37</v>
      </c>
      <c r="J77" t="s">
        <v>38</v>
      </c>
      <c r="K77" t="s">
        <v>63</v>
      </c>
      <c r="L77">
        <v>7352.8</v>
      </c>
      <c r="M77">
        <v>18</v>
      </c>
      <c r="N77" s="11" t="s">
        <v>27</v>
      </c>
      <c r="O77" s="11" t="s">
        <v>75</v>
      </c>
      <c r="P77" s="14">
        <v>45047.625694444447</v>
      </c>
      <c r="Q77" t="s">
        <v>359</v>
      </c>
    </row>
    <row r="78" spans="1:17">
      <c r="A78" s="8" t="s">
        <v>360</v>
      </c>
      <c r="B78" s="8">
        <v>94457912</v>
      </c>
      <c r="C78" t="s">
        <v>361</v>
      </c>
      <c r="D78" t="s">
        <v>362</v>
      </c>
      <c r="E78" t="s">
        <v>20</v>
      </c>
      <c r="F78" t="s">
        <v>116</v>
      </c>
      <c r="G78" t="s">
        <v>116</v>
      </c>
      <c r="H78" t="s">
        <v>37</v>
      </c>
      <c r="I78" t="s">
        <v>37</v>
      </c>
      <c r="J78" t="s">
        <v>56</v>
      </c>
      <c r="K78" t="s">
        <v>26</v>
      </c>
      <c r="L78">
        <v>12326.7</v>
      </c>
      <c r="M78">
        <v>25</v>
      </c>
      <c r="N78" s="10" t="s">
        <v>47</v>
      </c>
      <c r="O78" s="10" t="s">
        <v>28</v>
      </c>
      <c r="P78" s="13">
        <v>46115.495138888888</v>
      </c>
      <c r="Q78" t="s">
        <v>363</v>
      </c>
    </row>
    <row r="79" spans="1:17">
      <c r="A79" s="8" t="s">
        <v>364</v>
      </c>
      <c r="B79" s="8">
        <v>73297813</v>
      </c>
      <c r="C79" t="s">
        <v>365</v>
      </c>
      <c r="D79" t="s">
        <v>366</v>
      </c>
      <c r="E79" t="s">
        <v>20</v>
      </c>
      <c r="F79" t="s">
        <v>21</v>
      </c>
      <c r="G79" t="s">
        <v>98</v>
      </c>
      <c r="H79" t="s">
        <v>127</v>
      </c>
      <c r="I79" t="s">
        <v>54</v>
      </c>
      <c r="J79" t="s">
        <v>74</v>
      </c>
      <c r="K79" t="s">
        <v>26</v>
      </c>
      <c r="L79">
        <v>13682.74</v>
      </c>
      <c r="M79">
        <v>80</v>
      </c>
      <c r="N79" s="11" t="s">
        <v>57</v>
      </c>
      <c r="O79" s="11" t="s">
        <v>75</v>
      </c>
      <c r="P79" s="14">
        <v>45241.237500000003</v>
      </c>
      <c r="Q79" t="s">
        <v>367</v>
      </c>
    </row>
    <row r="80" spans="1:17">
      <c r="A80" s="8" t="s">
        <v>368</v>
      </c>
      <c r="B80" s="8">
        <v>48789478</v>
      </c>
      <c r="C80" t="s">
        <v>369</v>
      </c>
      <c r="D80" t="s">
        <v>370</v>
      </c>
      <c r="E80" t="s">
        <v>33</v>
      </c>
      <c r="F80" t="s">
        <v>44</v>
      </c>
      <c r="G80" t="s">
        <v>34</v>
      </c>
      <c r="H80" t="s">
        <v>23</v>
      </c>
      <c r="I80" t="s">
        <v>23</v>
      </c>
      <c r="J80" t="s">
        <v>38</v>
      </c>
      <c r="K80" t="s">
        <v>26</v>
      </c>
      <c r="L80">
        <v>13437.45</v>
      </c>
      <c r="M80">
        <v>28</v>
      </c>
      <c r="N80" s="10" t="s">
        <v>39</v>
      </c>
      <c r="O80" s="10" t="s">
        <v>75</v>
      </c>
      <c r="P80" s="13">
        <v>44107.321527777778</v>
      </c>
      <c r="Q80" t="s">
        <v>371</v>
      </c>
    </row>
    <row r="81" spans="1:17">
      <c r="A81" s="8" t="s">
        <v>372</v>
      </c>
      <c r="B81" s="8">
        <v>37121108</v>
      </c>
      <c r="C81" t="s">
        <v>373</v>
      </c>
      <c r="D81" t="s">
        <v>18</v>
      </c>
      <c r="E81" t="s">
        <v>20</v>
      </c>
      <c r="F81" t="s">
        <v>53</v>
      </c>
      <c r="G81" t="s">
        <v>21</v>
      </c>
      <c r="H81" t="s">
        <v>127</v>
      </c>
      <c r="I81" t="s">
        <v>127</v>
      </c>
      <c r="J81" t="s">
        <v>74</v>
      </c>
      <c r="K81" t="s">
        <v>46</v>
      </c>
      <c r="L81">
        <v>3500.22</v>
      </c>
      <c r="M81">
        <v>25</v>
      </c>
      <c r="N81" s="11" t="s">
        <v>86</v>
      </c>
      <c r="O81" s="11" t="s">
        <v>81</v>
      </c>
      <c r="P81" s="14">
        <v>44575.047222222223</v>
      </c>
      <c r="Q81" t="s">
        <v>374</v>
      </c>
    </row>
    <row r="82" spans="1:17">
      <c r="A82" s="8" t="s">
        <v>375</v>
      </c>
      <c r="B82" s="8">
        <v>73847325</v>
      </c>
      <c r="C82" t="s">
        <v>376</v>
      </c>
      <c r="D82" t="s">
        <v>377</v>
      </c>
      <c r="E82" t="s">
        <v>20</v>
      </c>
      <c r="F82" t="s">
        <v>34</v>
      </c>
      <c r="G82" t="s">
        <v>53</v>
      </c>
      <c r="H82" t="s">
        <v>37</v>
      </c>
      <c r="I82" t="s">
        <v>127</v>
      </c>
      <c r="J82" t="s">
        <v>38</v>
      </c>
      <c r="K82" t="s">
        <v>69</v>
      </c>
      <c r="L82">
        <v>13699.31</v>
      </c>
      <c r="M82">
        <v>52</v>
      </c>
      <c r="N82" s="10" t="s">
        <v>47</v>
      </c>
      <c r="O82" s="10" t="s">
        <v>81</v>
      </c>
      <c r="P82" s="13">
        <v>44382.584027777775</v>
      </c>
      <c r="Q82" t="s">
        <v>378</v>
      </c>
    </row>
    <row r="83" spans="1:17">
      <c r="A83" s="8" t="s">
        <v>379</v>
      </c>
      <c r="B83" s="8">
        <v>11243818</v>
      </c>
      <c r="C83" t="s">
        <v>380</v>
      </c>
      <c r="D83" t="s">
        <v>18</v>
      </c>
      <c r="E83" t="s">
        <v>33</v>
      </c>
      <c r="F83" t="s">
        <v>34</v>
      </c>
      <c r="G83" t="s">
        <v>53</v>
      </c>
      <c r="H83" t="s">
        <v>37</v>
      </c>
      <c r="I83" t="s">
        <v>93</v>
      </c>
      <c r="J83" t="s">
        <v>38</v>
      </c>
      <c r="K83" t="s">
        <v>26</v>
      </c>
      <c r="L83">
        <v>4099.83</v>
      </c>
      <c r="M83">
        <v>52</v>
      </c>
      <c r="N83" s="11" t="s">
        <v>86</v>
      </c>
      <c r="O83" s="11" t="s">
        <v>75</v>
      </c>
      <c r="P83" s="14">
        <v>45007.006249999999</v>
      </c>
      <c r="Q83" t="s">
        <v>381</v>
      </c>
    </row>
    <row r="84" spans="1:17">
      <c r="A84" s="8" t="s">
        <v>382</v>
      </c>
      <c r="B84" s="8">
        <v>35925669</v>
      </c>
      <c r="C84" t="s">
        <v>383</v>
      </c>
      <c r="D84" t="s">
        <v>211</v>
      </c>
      <c r="E84" t="s">
        <v>20</v>
      </c>
      <c r="F84" t="s">
        <v>92</v>
      </c>
      <c r="G84" t="s">
        <v>98</v>
      </c>
      <c r="H84" t="s">
        <v>55</v>
      </c>
      <c r="I84" t="s">
        <v>62</v>
      </c>
      <c r="J84" t="s">
        <v>74</v>
      </c>
      <c r="K84" t="s">
        <v>69</v>
      </c>
      <c r="L84">
        <v>3919.17</v>
      </c>
      <c r="M84">
        <v>50</v>
      </c>
      <c r="N84" s="10" t="s">
        <v>47</v>
      </c>
      <c r="O84" s="10" t="s">
        <v>81</v>
      </c>
      <c r="P84" s="13">
        <v>44469.071527777778</v>
      </c>
      <c r="Q84" t="s">
        <v>384</v>
      </c>
    </row>
    <row r="85" spans="1:17">
      <c r="A85" s="8" t="s">
        <v>385</v>
      </c>
      <c r="B85" s="8">
        <v>72464258</v>
      </c>
      <c r="C85" t="s">
        <v>386</v>
      </c>
      <c r="D85" t="s">
        <v>387</v>
      </c>
      <c r="E85" t="s">
        <v>20</v>
      </c>
      <c r="F85" t="s">
        <v>22</v>
      </c>
      <c r="G85" t="s">
        <v>53</v>
      </c>
      <c r="H85" t="s">
        <v>37</v>
      </c>
      <c r="I85" t="s">
        <v>36</v>
      </c>
      <c r="J85" t="s">
        <v>74</v>
      </c>
      <c r="K85" t="s">
        <v>26</v>
      </c>
      <c r="L85">
        <v>2306.25</v>
      </c>
      <c r="M85">
        <v>22</v>
      </c>
      <c r="N85" s="11" t="s">
        <v>27</v>
      </c>
      <c r="O85" s="11" t="s">
        <v>75</v>
      </c>
      <c r="P85" s="14">
        <v>44067.921527777777</v>
      </c>
      <c r="Q85" t="s">
        <v>388</v>
      </c>
    </row>
    <row r="86" spans="1:17">
      <c r="A86" s="8" t="s">
        <v>389</v>
      </c>
      <c r="B86" s="8">
        <v>89968863</v>
      </c>
      <c r="C86" t="s">
        <v>390</v>
      </c>
      <c r="D86" t="s">
        <v>391</v>
      </c>
      <c r="E86" t="s">
        <v>20</v>
      </c>
      <c r="F86" t="s">
        <v>392</v>
      </c>
      <c r="G86" t="s">
        <v>393</v>
      </c>
      <c r="H86" t="s">
        <v>93</v>
      </c>
      <c r="I86" t="s">
        <v>24</v>
      </c>
      <c r="J86" t="s">
        <v>38</v>
      </c>
      <c r="K86" t="s">
        <v>63</v>
      </c>
      <c r="L86">
        <v>2256.29</v>
      </c>
      <c r="M86">
        <v>58</v>
      </c>
      <c r="N86" s="10" t="s">
        <v>57</v>
      </c>
      <c r="O86" s="10" t="s">
        <v>81</v>
      </c>
      <c r="P86" s="13">
        <v>44828.203472222223</v>
      </c>
      <c r="Q86" t="s">
        <v>394</v>
      </c>
    </row>
    <row r="87" spans="1:17">
      <c r="A87" s="8" t="s">
        <v>395</v>
      </c>
      <c r="B87" s="8">
        <v>65757342</v>
      </c>
      <c r="C87" t="s">
        <v>396</v>
      </c>
      <c r="D87" t="s">
        <v>397</v>
      </c>
      <c r="E87" t="s">
        <v>20</v>
      </c>
      <c r="F87" t="s">
        <v>176</v>
      </c>
      <c r="G87" t="s">
        <v>392</v>
      </c>
      <c r="H87" t="s">
        <v>54</v>
      </c>
      <c r="I87" t="s">
        <v>23</v>
      </c>
      <c r="J87" t="s">
        <v>56</v>
      </c>
      <c r="K87" t="s">
        <v>69</v>
      </c>
      <c r="L87">
        <v>10508.77</v>
      </c>
      <c r="M87">
        <v>45</v>
      </c>
      <c r="N87" s="11" t="s">
        <v>27</v>
      </c>
      <c r="O87" s="11" t="s">
        <v>28</v>
      </c>
      <c r="P87" s="14">
        <v>45933.031944444447</v>
      </c>
      <c r="Q87" t="s">
        <v>398</v>
      </c>
    </row>
    <row r="88" spans="1:17">
      <c r="A88" s="8" t="s">
        <v>399</v>
      </c>
      <c r="B88" s="8">
        <v>0</v>
      </c>
      <c r="C88" t="s">
        <v>400</v>
      </c>
      <c r="D88" t="s">
        <v>401</v>
      </c>
      <c r="E88" t="s">
        <v>20</v>
      </c>
      <c r="F88" t="s">
        <v>92</v>
      </c>
      <c r="G88" t="s">
        <v>92</v>
      </c>
      <c r="H88" t="s">
        <v>37</v>
      </c>
      <c r="I88" t="s">
        <v>24</v>
      </c>
      <c r="J88" t="s">
        <v>25</v>
      </c>
      <c r="K88" t="s">
        <v>26</v>
      </c>
      <c r="L88">
        <v>14892.77</v>
      </c>
      <c r="M88">
        <v>24</v>
      </c>
      <c r="N88" s="10" t="s">
        <v>39</v>
      </c>
      <c r="O88" s="10" t="s">
        <v>48</v>
      </c>
      <c r="P88" s="13">
        <v>45834.238194444442</v>
      </c>
      <c r="Q88" t="s">
        <v>402</v>
      </c>
    </row>
    <row r="89" spans="1:17">
      <c r="A89" s="8" t="s">
        <v>403</v>
      </c>
      <c r="B89" s="8">
        <v>43220503</v>
      </c>
      <c r="C89" t="s">
        <v>404</v>
      </c>
      <c r="D89" t="s">
        <v>405</v>
      </c>
      <c r="E89" t="s">
        <v>20</v>
      </c>
      <c r="F89" t="s">
        <v>392</v>
      </c>
      <c r="G89" t="s">
        <v>35</v>
      </c>
      <c r="H89" t="s">
        <v>127</v>
      </c>
      <c r="I89" t="s">
        <v>24</v>
      </c>
      <c r="J89" t="s">
        <v>74</v>
      </c>
      <c r="K89" t="s">
        <v>26</v>
      </c>
      <c r="L89">
        <v>1018.69</v>
      </c>
      <c r="M89">
        <v>29</v>
      </c>
      <c r="N89" s="11" t="s">
        <v>27</v>
      </c>
      <c r="O89" s="11" t="s">
        <v>28</v>
      </c>
      <c r="P89" s="14">
        <v>45290.322222222225</v>
      </c>
      <c r="Q89" t="s">
        <v>406</v>
      </c>
    </row>
    <row r="90" spans="1:17">
      <c r="A90" s="8" t="s">
        <v>407</v>
      </c>
      <c r="B90" s="8">
        <v>17575790</v>
      </c>
      <c r="C90" t="s">
        <v>408</v>
      </c>
      <c r="D90" t="s">
        <v>409</v>
      </c>
      <c r="E90" t="s">
        <v>20</v>
      </c>
      <c r="F90" t="s">
        <v>22</v>
      </c>
      <c r="G90" t="s">
        <v>116</v>
      </c>
      <c r="H90" t="s">
        <v>37</v>
      </c>
      <c r="I90" t="s">
        <v>54</v>
      </c>
      <c r="J90" t="s">
        <v>74</v>
      </c>
      <c r="K90" t="s">
        <v>46</v>
      </c>
      <c r="L90">
        <v>7823.55</v>
      </c>
      <c r="M90">
        <v>51</v>
      </c>
      <c r="N90" s="10" t="s">
        <v>39</v>
      </c>
      <c r="O90" s="10" t="s">
        <v>75</v>
      </c>
      <c r="P90" s="13">
        <v>45987.771527777775</v>
      </c>
      <c r="Q90" t="s">
        <v>410</v>
      </c>
    </row>
    <row r="91" spans="1:17">
      <c r="A91" s="8" t="s">
        <v>411</v>
      </c>
      <c r="B91" s="8">
        <v>56226575</v>
      </c>
      <c r="C91" t="s">
        <v>412</v>
      </c>
      <c r="D91" t="s">
        <v>413</v>
      </c>
      <c r="E91" t="s">
        <v>20</v>
      </c>
      <c r="F91" t="s">
        <v>22</v>
      </c>
      <c r="G91" t="s">
        <v>92</v>
      </c>
      <c r="H91" t="s">
        <v>93</v>
      </c>
      <c r="I91" t="s">
        <v>37</v>
      </c>
      <c r="J91" t="s">
        <v>74</v>
      </c>
      <c r="K91" t="s">
        <v>69</v>
      </c>
      <c r="L91">
        <v>12864.54</v>
      </c>
      <c r="M91">
        <v>50</v>
      </c>
      <c r="N91" s="11" t="s">
        <v>47</v>
      </c>
      <c r="O91" s="11" t="s">
        <v>81</v>
      </c>
      <c r="P91" s="14">
        <v>45038.029166666667</v>
      </c>
      <c r="Q91" t="s">
        <v>414</v>
      </c>
    </row>
    <row r="92" spans="1:17">
      <c r="A92" s="8" t="s">
        <v>415</v>
      </c>
      <c r="B92" s="8">
        <v>70369365</v>
      </c>
      <c r="C92" t="s">
        <v>146</v>
      </c>
      <c r="D92" t="s">
        <v>416</v>
      </c>
      <c r="E92" t="s">
        <v>20</v>
      </c>
      <c r="F92" t="s">
        <v>121</v>
      </c>
      <c r="G92" t="s">
        <v>80</v>
      </c>
      <c r="H92" t="s">
        <v>68</v>
      </c>
      <c r="I92" t="s">
        <v>37</v>
      </c>
      <c r="J92" t="s">
        <v>38</v>
      </c>
      <c r="K92" t="s">
        <v>46</v>
      </c>
      <c r="L92">
        <v>10075.040000000001</v>
      </c>
      <c r="M92">
        <v>65</v>
      </c>
      <c r="N92" s="10" t="s">
        <v>47</v>
      </c>
      <c r="O92" s="10" t="s">
        <v>81</v>
      </c>
      <c r="P92" s="13">
        <v>45222.813888888886</v>
      </c>
      <c r="Q92" t="s">
        <v>417</v>
      </c>
    </row>
    <row r="93" spans="1:17">
      <c r="A93" s="8" t="s">
        <v>418</v>
      </c>
      <c r="B93" s="8">
        <v>74279671</v>
      </c>
      <c r="C93" t="s">
        <v>419</v>
      </c>
      <c r="D93" t="s">
        <v>420</v>
      </c>
      <c r="E93" t="s">
        <v>20</v>
      </c>
      <c r="F93" t="s">
        <v>92</v>
      </c>
      <c r="G93" t="s">
        <v>121</v>
      </c>
      <c r="H93" t="s">
        <v>68</v>
      </c>
      <c r="I93" t="s">
        <v>36</v>
      </c>
      <c r="J93" t="s">
        <v>103</v>
      </c>
      <c r="K93" t="s">
        <v>69</v>
      </c>
      <c r="L93">
        <v>7697.12</v>
      </c>
      <c r="M93">
        <v>40</v>
      </c>
      <c r="N93" s="11" t="s">
        <v>39</v>
      </c>
      <c r="O93" s="11" t="s">
        <v>81</v>
      </c>
      <c r="P93" s="14">
        <v>45837.313194444447</v>
      </c>
      <c r="Q93" t="s">
        <v>421</v>
      </c>
    </row>
    <row r="94" spans="1:17">
      <c r="A94" s="8" t="s">
        <v>422</v>
      </c>
      <c r="B94" s="8">
        <v>29585415</v>
      </c>
      <c r="C94" t="s">
        <v>423</v>
      </c>
      <c r="D94" t="s">
        <v>424</v>
      </c>
      <c r="E94" t="s">
        <v>20</v>
      </c>
      <c r="F94" t="s">
        <v>22</v>
      </c>
      <c r="G94" t="s">
        <v>92</v>
      </c>
      <c r="H94" t="s">
        <v>36</v>
      </c>
      <c r="I94" t="s">
        <v>54</v>
      </c>
      <c r="J94" t="s">
        <v>38</v>
      </c>
      <c r="K94" t="s">
        <v>46</v>
      </c>
      <c r="L94">
        <v>14152.53</v>
      </c>
      <c r="M94">
        <v>79</v>
      </c>
      <c r="N94" s="10" t="s">
        <v>57</v>
      </c>
      <c r="O94" s="10" t="s">
        <v>75</v>
      </c>
      <c r="P94" s="13">
        <v>45052.177777777775</v>
      </c>
      <c r="Q94" t="s">
        <v>425</v>
      </c>
    </row>
    <row r="95" spans="1:17">
      <c r="A95" s="8" t="s">
        <v>426</v>
      </c>
      <c r="B95" s="8">
        <v>34702473</v>
      </c>
      <c r="C95" t="s">
        <v>427</v>
      </c>
      <c r="D95" t="s">
        <v>428</v>
      </c>
      <c r="E95" t="s">
        <v>20</v>
      </c>
      <c r="F95" t="s">
        <v>98</v>
      </c>
      <c r="G95" t="s">
        <v>80</v>
      </c>
      <c r="H95" t="s">
        <v>23</v>
      </c>
      <c r="I95" t="s">
        <v>24</v>
      </c>
      <c r="J95" t="s">
        <v>74</v>
      </c>
      <c r="K95" t="s">
        <v>46</v>
      </c>
      <c r="L95">
        <v>3479.19</v>
      </c>
      <c r="M95">
        <v>54</v>
      </c>
      <c r="N95" s="11" t="s">
        <v>47</v>
      </c>
      <c r="O95" s="11" t="s">
        <v>28</v>
      </c>
      <c r="P95" s="14">
        <v>45225.330555555556</v>
      </c>
      <c r="Q95" t="s">
        <v>429</v>
      </c>
    </row>
    <row r="96" spans="1:17">
      <c r="A96" s="8" t="s">
        <v>430</v>
      </c>
      <c r="B96" s="8">
        <v>10887495</v>
      </c>
      <c r="C96" t="s">
        <v>431</v>
      </c>
      <c r="D96" t="s">
        <v>432</v>
      </c>
      <c r="E96" t="s">
        <v>33</v>
      </c>
      <c r="F96" t="s">
        <v>22</v>
      </c>
      <c r="G96" t="s">
        <v>53</v>
      </c>
      <c r="H96" t="s">
        <v>24</v>
      </c>
      <c r="I96" t="s">
        <v>68</v>
      </c>
      <c r="J96" t="s">
        <v>74</v>
      </c>
      <c r="K96" t="s">
        <v>69</v>
      </c>
      <c r="L96">
        <v>13771.55</v>
      </c>
      <c r="M96">
        <v>61</v>
      </c>
      <c r="N96" s="10" t="s">
        <v>27</v>
      </c>
      <c r="O96" s="10" t="s">
        <v>48</v>
      </c>
      <c r="P96" s="13">
        <v>44203.397916666669</v>
      </c>
      <c r="Q96" t="s">
        <v>433</v>
      </c>
    </row>
    <row r="97" spans="1:17">
      <c r="A97" s="8" t="s">
        <v>434</v>
      </c>
      <c r="B97" s="8">
        <v>85833309</v>
      </c>
      <c r="C97" t="s">
        <v>435</v>
      </c>
      <c r="D97" t="s">
        <v>171</v>
      </c>
      <c r="E97" t="s">
        <v>20</v>
      </c>
      <c r="F97" t="s">
        <v>35</v>
      </c>
      <c r="G97" t="s">
        <v>180</v>
      </c>
      <c r="H97" t="s">
        <v>54</v>
      </c>
      <c r="I97" t="s">
        <v>37</v>
      </c>
      <c r="J97" t="s">
        <v>56</v>
      </c>
      <c r="K97" t="s">
        <v>69</v>
      </c>
      <c r="L97">
        <v>9554.85</v>
      </c>
      <c r="M97">
        <v>52</v>
      </c>
      <c r="N97" s="11" t="s">
        <v>47</v>
      </c>
      <c r="O97" s="11" t="s">
        <v>28</v>
      </c>
      <c r="P97" s="14">
        <v>45351.371527777781</v>
      </c>
      <c r="Q97" t="s">
        <v>436</v>
      </c>
    </row>
    <row r="98" spans="1:17">
      <c r="A98" s="8" t="s">
        <v>437</v>
      </c>
      <c r="B98" s="8">
        <v>38375916</v>
      </c>
      <c r="C98" t="s">
        <v>115</v>
      </c>
      <c r="D98" t="s">
        <v>438</v>
      </c>
      <c r="E98" t="s">
        <v>20</v>
      </c>
      <c r="F98" t="s">
        <v>53</v>
      </c>
      <c r="G98" t="s">
        <v>80</v>
      </c>
      <c r="H98" t="s">
        <v>62</v>
      </c>
      <c r="I98" t="s">
        <v>23</v>
      </c>
      <c r="J98" t="s">
        <v>74</v>
      </c>
      <c r="K98" t="s">
        <v>69</v>
      </c>
      <c r="L98">
        <v>244.71</v>
      </c>
      <c r="M98">
        <v>82</v>
      </c>
      <c r="N98" s="10" t="s">
        <v>47</v>
      </c>
      <c r="O98" s="10" t="s">
        <v>48</v>
      </c>
      <c r="P98" s="13">
        <v>46079.94027777778</v>
      </c>
      <c r="Q98" t="s">
        <v>439</v>
      </c>
    </row>
    <row r="99" spans="1:17">
      <c r="A99" s="8" t="s">
        <v>440</v>
      </c>
      <c r="B99" s="8">
        <v>28783850</v>
      </c>
      <c r="C99" t="s">
        <v>441</v>
      </c>
      <c r="D99" t="s">
        <v>442</v>
      </c>
      <c r="E99" t="s">
        <v>20</v>
      </c>
      <c r="F99" t="s">
        <v>34</v>
      </c>
      <c r="G99" t="s">
        <v>112</v>
      </c>
      <c r="H99" t="s">
        <v>36</v>
      </c>
      <c r="I99" t="s">
        <v>23</v>
      </c>
      <c r="J99" t="s">
        <v>38</v>
      </c>
      <c r="K99" t="s">
        <v>26</v>
      </c>
      <c r="L99">
        <v>14534.12</v>
      </c>
      <c r="M99">
        <v>64</v>
      </c>
      <c r="N99" s="11" t="s">
        <v>57</v>
      </c>
      <c r="O99" s="11" t="s">
        <v>28</v>
      </c>
      <c r="P99" s="14">
        <v>44679.712500000001</v>
      </c>
      <c r="Q99" t="s">
        <v>443</v>
      </c>
    </row>
    <row r="100" spans="1:17">
      <c r="A100" s="8" t="s">
        <v>444</v>
      </c>
      <c r="B100" s="8">
        <v>93029219</v>
      </c>
      <c r="C100" t="s">
        <v>445</v>
      </c>
      <c r="D100" t="s">
        <v>435</v>
      </c>
      <c r="E100" t="s">
        <v>20</v>
      </c>
      <c r="F100" t="s">
        <v>53</v>
      </c>
      <c r="G100" t="s">
        <v>21</v>
      </c>
      <c r="H100" t="s">
        <v>23</v>
      </c>
      <c r="I100" t="s">
        <v>93</v>
      </c>
      <c r="J100" t="s">
        <v>25</v>
      </c>
      <c r="K100" t="s">
        <v>69</v>
      </c>
      <c r="L100">
        <v>14144.97</v>
      </c>
      <c r="M100">
        <v>20</v>
      </c>
      <c r="N100" s="10" t="s">
        <v>39</v>
      </c>
      <c r="O100" s="10" t="s">
        <v>75</v>
      </c>
      <c r="P100" s="13">
        <v>45176.619444444441</v>
      </c>
      <c r="Q100" t="s">
        <v>446</v>
      </c>
    </row>
    <row r="101" spans="1:17">
      <c r="A101" s="8" t="s">
        <v>447</v>
      </c>
      <c r="B101" s="8">
        <v>84386123</v>
      </c>
      <c r="C101" t="s">
        <v>448</v>
      </c>
      <c r="D101" t="s">
        <v>449</v>
      </c>
      <c r="E101" t="s">
        <v>20</v>
      </c>
      <c r="F101" t="s">
        <v>92</v>
      </c>
      <c r="G101" t="s">
        <v>80</v>
      </c>
      <c r="H101" t="s">
        <v>68</v>
      </c>
      <c r="I101" t="s">
        <v>55</v>
      </c>
      <c r="J101" t="s">
        <v>74</v>
      </c>
      <c r="K101" t="s">
        <v>63</v>
      </c>
      <c r="L101">
        <v>7821.36</v>
      </c>
      <c r="M101">
        <v>18</v>
      </c>
      <c r="N101" s="11" t="s">
        <v>39</v>
      </c>
      <c r="O101" s="11" t="s">
        <v>48</v>
      </c>
      <c r="P101" s="14">
        <v>46153.888194444444</v>
      </c>
      <c r="Q101" t="s">
        <v>450</v>
      </c>
    </row>
    <row r="102" spans="1:17">
      <c r="A102" s="8" t="s">
        <v>451</v>
      </c>
      <c r="B102" s="8">
        <v>58469365</v>
      </c>
      <c r="C102" t="s">
        <v>452</v>
      </c>
      <c r="D102" t="s">
        <v>453</v>
      </c>
      <c r="E102" t="s">
        <v>20</v>
      </c>
      <c r="F102" t="s">
        <v>116</v>
      </c>
      <c r="G102" t="s">
        <v>126</v>
      </c>
      <c r="H102" t="s">
        <v>127</v>
      </c>
      <c r="I102" t="s">
        <v>68</v>
      </c>
      <c r="J102" t="s">
        <v>56</v>
      </c>
      <c r="K102" t="s">
        <v>69</v>
      </c>
      <c r="L102">
        <v>6608.94</v>
      </c>
      <c r="M102">
        <v>22</v>
      </c>
      <c r="N102" s="10" t="s">
        <v>39</v>
      </c>
      <c r="O102" s="10" t="s">
        <v>48</v>
      </c>
      <c r="P102" s="13">
        <v>46089.724999999999</v>
      </c>
      <c r="Q102" t="s">
        <v>454</v>
      </c>
    </row>
    <row r="103" spans="1:17">
      <c r="A103" s="8" t="s">
        <v>455</v>
      </c>
      <c r="B103" s="8">
        <v>94946730</v>
      </c>
      <c r="C103" t="s">
        <v>456</v>
      </c>
      <c r="D103" t="s">
        <v>457</v>
      </c>
      <c r="E103" t="s">
        <v>20</v>
      </c>
      <c r="F103" t="s">
        <v>53</v>
      </c>
      <c r="G103" t="s">
        <v>92</v>
      </c>
      <c r="H103" t="s">
        <v>62</v>
      </c>
      <c r="I103" t="s">
        <v>37</v>
      </c>
      <c r="J103" t="s">
        <v>38</v>
      </c>
      <c r="K103" t="s">
        <v>69</v>
      </c>
      <c r="L103">
        <v>14295.54</v>
      </c>
      <c r="M103">
        <v>31</v>
      </c>
      <c r="N103" s="11" t="s">
        <v>39</v>
      </c>
      <c r="O103" s="11" t="s">
        <v>48</v>
      </c>
      <c r="P103" s="14">
        <v>44334.124305555553</v>
      </c>
      <c r="Q103" t="s">
        <v>458</v>
      </c>
    </row>
    <row r="104" spans="1:17">
      <c r="A104" s="8" t="s">
        <v>459</v>
      </c>
      <c r="B104" s="8">
        <v>42483531</v>
      </c>
      <c r="C104" t="s">
        <v>219</v>
      </c>
      <c r="D104" t="s">
        <v>460</v>
      </c>
      <c r="E104" t="s">
        <v>20</v>
      </c>
      <c r="F104" t="s">
        <v>92</v>
      </c>
      <c r="G104" t="s">
        <v>35</v>
      </c>
      <c r="H104" t="s">
        <v>23</v>
      </c>
      <c r="I104" t="s">
        <v>127</v>
      </c>
      <c r="J104" t="s">
        <v>38</v>
      </c>
      <c r="K104" t="s">
        <v>26</v>
      </c>
      <c r="L104">
        <v>8159.24</v>
      </c>
      <c r="M104">
        <v>44</v>
      </c>
      <c r="N104" s="10" t="s">
        <v>57</v>
      </c>
      <c r="O104" s="10" t="s">
        <v>28</v>
      </c>
      <c r="P104" s="13">
        <v>44533.947916666664</v>
      </c>
      <c r="Q104" t="s">
        <v>461</v>
      </c>
    </row>
    <row r="105" spans="1:17">
      <c r="A105" s="8" t="s">
        <v>462</v>
      </c>
      <c r="B105" s="8">
        <v>54506155</v>
      </c>
      <c r="C105" t="s">
        <v>463</v>
      </c>
      <c r="D105" t="s">
        <v>18</v>
      </c>
      <c r="E105" t="s">
        <v>20</v>
      </c>
      <c r="F105" t="s">
        <v>121</v>
      </c>
      <c r="G105" t="s">
        <v>98</v>
      </c>
      <c r="H105" t="s">
        <v>23</v>
      </c>
      <c r="I105" t="s">
        <v>37</v>
      </c>
      <c r="J105" t="s">
        <v>56</v>
      </c>
      <c r="K105" t="s">
        <v>46</v>
      </c>
      <c r="L105">
        <v>8832.9599999999991</v>
      </c>
      <c r="M105">
        <v>26</v>
      </c>
      <c r="N105" s="11" t="s">
        <v>27</v>
      </c>
      <c r="O105" s="11" t="s">
        <v>48</v>
      </c>
      <c r="P105" s="14">
        <v>45920.981249999997</v>
      </c>
      <c r="Q105" t="s">
        <v>464</v>
      </c>
    </row>
    <row r="106" spans="1:17">
      <c r="A106" s="8" t="s">
        <v>465</v>
      </c>
      <c r="B106" s="8">
        <v>51861213</v>
      </c>
      <c r="C106" t="s">
        <v>466</v>
      </c>
      <c r="D106" t="s">
        <v>467</v>
      </c>
      <c r="E106" t="s">
        <v>20</v>
      </c>
      <c r="F106" t="s">
        <v>34</v>
      </c>
      <c r="G106" t="s">
        <v>44</v>
      </c>
      <c r="H106" t="s">
        <v>36</v>
      </c>
      <c r="I106" t="s">
        <v>93</v>
      </c>
      <c r="J106" t="s">
        <v>38</v>
      </c>
      <c r="K106" t="s">
        <v>69</v>
      </c>
      <c r="L106">
        <v>348.55</v>
      </c>
      <c r="M106">
        <v>32</v>
      </c>
      <c r="N106" s="10" t="s">
        <v>57</v>
      </c>
      <c r="O106" s="10" t="s">
        <v>28</v>
      </c>
      <c r="P106" s="13">
        <v>44145.556250000001</v>
      </c>
      <c r="Q106" t="s">
        <v>468</v>
      </c>
    </row>
    <row r="107" spans="1:17">
      <c r="A107" s="8" t="s">
        <v>469</v>
      </c>
      <c r="B107" s="8">
        <v>94524999</v>
      </c>
      <c r="C107" t="s">
        <v>470</v>
      </c>
      <c r="D107" t="s">
        <v>412</v>
      </c>
      <c r="E107" t="s">
        <v>20</v>
      </c>
      <c r="F107" t="s">
        <v>80</v>
      </c>
      <c r="G107" t="s">
        <v>22</v>
      </c>
      <c r="H107" t="s">
        <v>62</v>
      </c>
      <c r="I107" t="s">
        <v>23</v>
      </c>
      <c r="J107" t="s">
        <v>74</v>
      </c>
      <c r="K107" t="s">
        <v>69</v>
      </c>
      <c r="L107">
        <v>11287.36</v>
      </c>
      <c r="M107">
        <v>59</v>
      </c>
      <c r="N107" s="11" t="s">
        <v>86</v>
      </c>
      <c r="O107" s="11" t="s">
        <v>28</v>
      </c>
      <c r="P107" s="14">
        <v>46207.449305555558</v>
      </c>
      <c r="Q107" t="s">
        <v>471</v>
      </c>
    </row>
    <row r="108" spans="1:17">
      <c r="A108" s="8" t="s">
        <v>472</v>
      </c>
      <c r="B108" s="8">
        <v>62162278</v>
      </c>
      <c r="C108" t="s">
        <v>473</v>
      </c>
      <c r="D108" t="s">
        <v>474</v>
      </c>
      <c r="E108" t="s">
        <v>20</v>
      </c>
      <c r="F108" t="s">
        <v>44</v>
      </c>
      <c r="G108" t="s">
        <v>116</v>
      </c>
      <c r="H108" t="s">
        <v>55</v>
      </c>
      <c r="I108" t="s">
        <v>24</v>
      </c>
      <c r="J108" t="s">
        <v>38</v>
      </c>
      <c r="K108" t="s">
        <v>26</v>
      </c>
      <c r="L108">
        <v>4704.6499999999996</v>
      </c>
      <c r="M108">
        <v>68</v>
      </c>
      <c r="N108" s="10" t="s">
        <v>47</v>
      </c>
      <c r="O108" s="10" t="s">
        <v>75</v>
      </c>
      <c r="P108" s="13">
        <v>44871.318055555559</v>
      </c>
      <c r="Q108" t="s">
        <v>475</v>
      </c>
    </row>
    <row r="109" spans="1:17">
      <c r="A109" s="8" t="s">
        <v>476</v>
      </c>
      <c r="B109" s="8">
        <v>95295586</v>
      </c>
      <c r="C109" t="s">
        <v>111</v>
      </c>
      <c r="D109" t="s">
        <v>477</v>
      </c>
      <c r="E109" t="s">
        <v>33</v>
      </c>
      <c r="F109" t="s">
        <v>21</v>
      </c>
      <c r="G109" t="s">
        <v>98</v>
      </c>
      <c r="H109" t="s">
        <v>24</v>
      </c>
      <c r="I109" t="s">
        <v>127</v>
      </c>
      <c r="J109" t="s">
        <v>103</v>
      </c>
      <c r="K109" t="s">
        <v>69</v>
      </c>
      <c r="L109">
        <v>7274.29</v>
      </c>
      <c r="M109">
        <v>80</v>
      </c>
      <c r="N109" s="11" t="s">
        <v>47</v>
      </c>
      <c r="O109" s="11" t="s">
        <v>81</v>
      </c>
      <c r="P109" s="14">
        <v>44113.44027777778</v>
      </c>
      <c r="Q109" t="s">
        <v>478</v>
      </c>
    </row>
    <row r="110" spans="1:17">
      <c r="A110" s="8" t="s">
        <v>479</v>
      </c>
      <c r="B110" s="8">
        <v>39598969</v>
      </c>
      <c r="C110" t="s">
        <v>480</v>
      </c>
      <c r="D110" t="s">
        <v>452</v>
      </c>
      <c r="E110" t="s">
        <v>20</v>
      </c>
      <c r="F110" t="s">
        <v>21</v>
      </c>
      <c r="G110" t="s">
        <v>44</v>
      </c>
      <c r="H110" t="s">
        <v>55</v>
      </c>
      <c r="I110" t="s">
        <v>54</v>
      </c>
      <c r="J110" t="s">
        <v>103</v>
      </c>
      <c r="K110" t="s">
        <v>63</v>
      </c>
      <c r="L110">
        <v>12351.01</v>
      </c>
      <c r="M110">
        <v>69</v>
      </c>
      <c r="N110" s="10" t="s">
        <v>57</v>
      </c>
      <c r="O110" s="10" t="s">
        <v>28</v>
      </c>
      <c r="P110" s="13">
        <v>44088.697916666664</v>
      </c>
      <c r="Q110" t="s">
        <v>481</v>
      </c>
    </row>
    <row r="111" spans="1:17">
      <c r="A111" s="8" t="s">
        <v>482</v>
      </c>
      <c r="B111" s="8">
        <v>70362053</v>
      </c>
      <c r="C111" t="s">
        <v>255</v>
      </c>
      <c r="D111" t="s">
        <v>483</v>
      </c>
      <c r="E111" t="s">
        <v>20</v>
      </c>
      <c r="F111" t="s">
        <v>35</v>
      </c>
      <c r="G111" t="s">
        <v>121</v>
      </c>
      <c r="H111" t="s">
        <v>62</v>
      </c>
      <c r="I111" t="s">
        <v>62</v>
      </c>
      <c r="J111" t="s">
        <v>56</v>
      </c>
      <c r="K111" t="s">
        <v>26</v>
      </c>
      <c r="L111">
        <v>9246.11</v>
      </c>
      <c r="M111">
        <v>21</v>
      </c>
      <c r="N111" s="11" t="s">
        <v>47</v>
      </c>
      <c r="O111" s="11" t="s">
        <v>48</v>
      </c>
      <c r="P111" s="14">
        <v>44405.213194444441</v>
      </c>
      <c r="Q111" t="s">
        <v>484</v>
      </c>
    </row>
    <row r="112" spans="1:17">
      <c r="A112" s="8" t="s">
        <v>485</v>
      </c>
      <c r="B112" s="8">
        <v>79043610</v>
      </c>
      <c r="C112" t="s">
        <v>486</v>
      </c>
      <c r="D112" t="s">
        <v>487</v>
      </c>
      <c r="E112" t="s">
        <v>20</v>
      </c>
      <c r="F112" t="s">
        <v>92</v>
      </c>
      <c r="G112" t="s">
        <v>80</v>
      </c>
      <c r="H112" t="s">
        <v>55</v>
      </c>
      <c r="I112" t="s">
        <v>24</v>
      </c>
      <c r="J112" t="s">
        <v>38</v>
      </c>
      <c r="K112" t="s">
        <v>69</v>
      </c>
      <c r="L112">
        <v>12428.94</v>
      </c>
      <c r="M112">
        <v>40</v>
      </c>
      <c r="N112" s="10" t="s">
        <v>39</v>
      </c>
      <c r="O112" s="10" t="s">
        <v>81</v>
      </c>
      <c r="P112" s="13">
        <v>44404.9</v>
      </c>
      <c r="Q112" t="s">
        <v>488</v>
      </c>
    </row>
    <row r="113" spans="1:17">
      <c r="A113" s="8" t="s">
        <v>489</v>
      </c>
      <c r="B113" s="8">
        <v>79204468</v>
      </c>
      <c r="C113" t="s">
        <v>490</v>
      </c>
      <c r="D113" t="s">
        <v>491</v>
      </c>
      <c r="E113" t="s">
        <v>33</v>
      </c>
      <c r="F113" t="s">
        <v>44</v>
      </c>
      <c r="G113" t="s">
        <v>44</v>
      </c>
      <c r="H113" t="s">
        <v>93</v>
      </c>
      <c r="I113" t="s">
        <v>62</v>
      </c>
      <c r="J113" t="s">
        <v>56</v>
      </c>
      <c r="K113" t="s">
        <v>46</v>
      </c>
      <c r="L113">
        <v>9965.52</v>
      </c>
      <c r="M113">
        <v>32</v>
      </c>
      <c r="N113" s="11" t="s">
        <v>57</v>
      </c>
      <c r="O113" s="11" t="s">
        <v>28</v>
      </c>
      <c r="P113" s="14">
        <v>44873.314583333333</v>
      </c>
      <c r="Q113" t="s">
        <v>492</v>
      </c>
    </row>
    <row r="114" spans="1:17">
      <c r="A114" s="8" t="s">
        <v>493</v>
      </c>
      <c r="B114" s="8">
        <v>75140950</v>
      </c>
      <c r="C114" t="s">
        <v>494</v>
      </c>
      <c r="D114" t="s">
        <v>486</v>
      </c>
      <c r="E114" t="s">
        <v>33</v>
      </c>
      <c r="F114" t="s">
        <v>80</v>
      </c>
      <c r="G114" t="s">
        <v>99</v>
      </c>
      <c r="H114" t="s">
        <v>68</v>
      </c>
      <c r="I114" t="s">
        <v>68</v>
      </c>
      <c r="J114" t="s">
        <v>56</v>
      </c>
      <c r="K114" t="s">
        <v>69</v>
      </c>
      <c r="L114">
        <v>14877.66</v>
      </c>
      <c r="M114">
        <v>60</v>
      </c>
      <c r="N114" s="10" t="s">
        <v>39</v>
      </c>
      <c r="O114" s="10" t="s">
        <v>48</v>
      </c>
      <c r="P114" s="13">
        <v>45383.613194444442</v>
      </c>
      <c r="Q114" t="s">
        <v>495</v>
      </c>
    </row>
    <row r="115" spans="1:17">
      <c r="A115" s="8" t="s">
        <v>496</v>
      </c>
      <c r="B115" s="8">
        <v>97095388</v>
      </c>
      <c r="C115" t="s">
        <v>286</v>
      </c>
      <c r="D115" t="s">
        <v>497</v>
      </c>
      <c r="E115" t="s">
        <v>20</v>
      </c>
      <c r="F115" t="s">
        <v>22</v>
      </c>
      <c r="G115" t="s">
        <v>121</v>
      </c>
      <c r="H115" t="s">
        <v>93</v>
      </c>
      <c r="I115" t="s">
        <v>55</v>
      </c>
      <c r="J115" t="s">
        <v>38</v>
      </c>
      <c r="K115" t="s">
        <v>26</v>
      </c>
      <c r="L115">
        <v>7796.47</v>
      </c>
      <c r="M115">
        <v>46</v>
      </c>
      <c r="N115" s="11" t="s">
        <v>39</v>
      </c>
      <c r="O115" s="11" t="s">
        <v>28</v>
      </c>
      <c r="P115" s="14">
        <v>44253.688888888886</v>
      </c>
      <c r="Q115" t="s">
        <v>498</v>
      </c>
    </row>
    <row r="116" spans="1:17">
      <c r="A116" s="8" t="s">
        <v>499</v>
      </c>
      <c r="B116" s="8">
        <v>23747542</v>
      </c>
      <c r="C116" t="s">
        <v>500</v>
      </c>
      <c r="D116" t="s">
        <v>501</v>
      </c>
      <c r="E116" t="s">
        <v>20</v>
      </c>
      <c r="F116" t="s">
        <v>92</v>
      </c>
      <c r="G116" t="s">
        <v>91</v>
      </c>
      <c r="H116" t="s">
        <v>37</v>
      </c>
      <c r="I116" t="s">
        <v>127</v>
      </c>
      <c r="J116" t="s">
        <v>74</v>
      </c>
      <c r="K116" t="s">
        <v>26</v>
      </c>
      <c r="L116">
        <v>5274.3</v>
      </c>
      <c r="M116">
        <v>53</v>
      </c>
      <c r="N116" s="10" t="s">
        <v>47</v>
      </c>
      <c r="O116" s="10" t="s">
        <v>48</v>
      </c>
      <c r="P116" s="13">
        <v>45320.614583333336</v>
      </c>
      <c r="Q116" t="s">
        <v>502</v>
      </c>
    </row>
    <row r="117" spans="1:17">
      <c r="A117" s="8" t="s">
        <v>503</v>
      </c>
      <c r="B117" s="8">
        <v>57182314</v>
      </c>
      <c r="C117" t="s">
        <v>130</v>
      </c>
      <c r="D117" t="s">
        <v>504</v>
      </c>
      <c r="E117" t="s">
        <v>20</v>
      </c>
      <c r="F117" t="s">
        <v>45</v>
      </c>
      <c r="G117" t="s">
        <v>35</v>
      </c>
      <c r="H117" t="s">
        <v>55</v>
      </c>
      <c r="I117" t="s">
        <v>36</v>
      </c>
      <c r="J117" t="s">
        <v>25</v>
      </c>
      <c r="K117" t="s">
        <v>46</v>
      </c>
      <c r="L117">
        <v>13138.65</v>
      </c>
      <c r="M117">
        <v>30</v>
      </c>
      <c r="N117" s="11" t="s">
        <v>47</v>
      </c>
      <c r="O117" s="11" t="s">
        <v>48</v>
      </c>
      <c r="P117" s="14">
        <v>45227.828472222223</v>
      </c>
      <c r="Q117" t="s">
        <v>505</v>
      </c>
    </row>
    <row r="118" spans="1:17">
      <c r="A118" s="8" t="s">
        <v>506</v>
      </c>
      <c r="B118" s="8">
        <v>89715904</v>
      </c>
      <c r="C118" t="s">
        <v>391</v>
      </c>
      <c r="D118" t="s">
        <v>507</v>
      </c>
      <c r="E118" t="s">
        <v>33</v>
      </c>
      <c r="F118" t="s">
        <v>34</v>
      </c>
      <c r="G118" t="s">
        <v>21</v>
      </c>
      <c r="H118" t="s">
        <v>37</v>
      </c>
      <c r="I118" t="s">
        <v>127</v>
      </c>
      <c r="J118" t="s">
        <v>56</v>
      </c>
      <c r="K118" t="s">
        <v>69</v>
      </c>
      <c r="L118">
        <v>260.17</v>
      </c>
      <c r="M118">
        <v>49</v>
      </c>
      <c r="N118" s="10" t="s">
        <v>86</v>
      </c>
      <c r="O118" s="10" t="s">
        <v>28</v>
      </c>
      <c r="P118" s="13">
        <v>44588.644444444442</v>
      </c>
      <c r="Q118" t="s">
        <v>508</v>
      </c>
    </row>
    <row r="119" spans="1:17">
      <c r="A119" s="8" t="s">
        <v>509</v>
      </c>
      <c r="B119" s="8">
        <v>66851305</v>
      </c>
      <c r="C119" t="s">
        <v>510</v>
      </c>
      <c r="D119" t="s">
        <v>511</v>
      </c>
      <c r="E119" t="s">
        <v>20</v>
      </c>
      <c r="F119" t="s">
        <v>116</v>
      </c>
      <c r="G119" t="s">
        <v>21</v>
      </c>
      <c r="H119" t="s">
        <v>127</v>
      </c>
      <c r="I119" t="s">
        <v>37</v>
      </c>
      <c r="J119" t="s">
        <v>38</v>
      </c>
      <c r="K119" t="s">
        <v>69</v>
      </c>
      <c r="L119">
        <v>5867.07</v>
      </c>
      <c r="M119">
        <v>76</v>
      </c>
      <c r="N119" s="11" t="s">
        <v>86</v>
      </c>
      <c r="O119" s="11" t="s">
        <v>75</v>
      </c>
      <c r="P119" s="14">
        <v>44935.355555555558</v>
      </c>
      <c r="Q119" t="s">
        <v>512</v>
      </c>
    </row>
    <row r="120" spans="1:17">
      <c r="A120" s="8" t="s">
        <v>513</v>
      </c>
      <c r="B120" s="8">
        <v>99399687</v>
      </c>
      <c r="C120" t="s">
        <v>232</v>
      </c>
      <c r="D120" t="s">
        <v>514</v>
      </c>
      <c r="E120" t="s">
        <v>20</v>
      </c>
      <c r="F120" t="s">
        <v>22</v>
      </c>
      <c r="G120" t="s">
        <v>21</v>
      </c>
      <c r="H120" t="s">
        <v>54</v>
      </c>
      <c r="I120" t="s">
        <v>23</v>
      </c>
      <c r="J120" t="s">
        <v>38</v>
      </c>
      <c r="K120" t="s">
        <v>69</v>
      </c>
      <c r="L120">
        <v>2512.77</v>
      </c>
      <c r="M120">
        <v>45</v>
      </c>
      <c r="N120" s="10" t="s">
        <v>47</v>
      </c>
      <c r="O120" s="10" t="s">
        <v>75</v>
      </c>
      <c r="P120" s="13">
        <v>45405.686111111114</v>
      </c>
      <c r="Q120" t="s">
        <v>515</v>
      </c>
    </row>
    <row r="121" spans="1:17">
      <c r="A121" s="8" t="s">
        <v>516</v>
      </c>
      <c r="B121" s="8">
        <v>71095611</v>
      </c>
      <c r="C121" t="s">
        <v>517</v>
      </c>
      <c r="D121" t="s">
        <v>518</v>
      </c>
      <c r="E121" t="s">
        <v>20</v>
      </c>
      <c r="F121" t="s">
        <v>21</v>
      </c>
      <c r="G121" t="s">
        <v>34</v>
      </c>
      <c r="H121" t="s">
        <v>127</v>
      </c>
      <c r="I121" t="s">
        <v>37</v>
      </c>
      <c r="J121" t="s">
        <v>38</v>
      </c>
      <c r="K121" t="s">
        <v>63</v>
      </c>
      <c r="L121">
        <v>48.5</v>
      </c>
      <c r="M121">
        <v>83</v>
      </c>
      <c r="N121" s="11" t="s">
        <v>86</v>
      </c>
      <c r="O121" s="11" t="s">
        <v>48</v>
      </c>
      <c r="P121" s="14">
        <v>46302.513888888891</v>
      </c>
      <c r="Q121" t="s">
        <v>519</v>
      </c>
    </row>
    <row r="122" spans="1:17">
      <c r="A122" s="8" t="s">
        <v>520</v>
      </c>
      <c r="B122" s="8">
        <v>98007006</v>
      </c>
      <c r="C122" t="s">
        <v>521</v>
      </c>
      <c r="D122" t="s">
        <v>522</v>
      </c>
      <c r="E122" t="s">
        <v>20</v>
      </c>
      <c r="F122" t="s">
        <v>523</v>
      </c>
      <c r="G122" t="s">
        <v>34</v>
      </c>
      <c r="H122" t="s">
        <v>62</v>
      </c>
      <c r="I122" t="s">
        <v>37</v>
      </c>
      <c r="J122" t="s">
        <v>74</v>
      </c>
      <c r="K122" t="s">
        <v>26</v>
      </c>
      <c r="L122">
        <v>12067.03</v>
      </c>
      <c r="M122">
        <v>59</v>
      </c>
      <c r="N122" s="10" t="s">
        <v>86</v>
      </c>
      <c r="O122" s="10" t="s">
        <v>81</v>
      </c>
      <c r="P122" s="13">
        <v>44259.836111111108</v>
      </c>
      <c r="Q122" t="s">
        <v>524</v>
      </c>
    </row>
    <row r="123" spans="1:17">
      <c r="A123" s="8" t="s">
        <v>525</v>
      </c>
      <c r="B123" s="8">
        <v>85672859</v>
      </c>
      <c r="C123" t="s">
        <v>526</v>
      </c>
      <c r="D123" t="s">
        <v>18</v>
      </c>
      <c r="E123" t="s">
        <v>33</v>
      </c>
      <c r="F123" t="s">
        <v>34</v>
      </c>
      <c r="G123" t="s">
        <v>116</v>
      </c>
      <c r="H123" t="s">
        <v>23</v>
      </c>
      <c r="I123" t="s">
        <v>68</v>
      </c>
      <c r="J123" t="s">
        <v>74</v>
      </c>
      <c r="K123" t="s">
        <v>26</v>
      </c>
      <c r="L123">
        <v>105.6</v>
      </c>
      <c r="M123">
        <v>62</v>
      </c>
      <c r="N123" s="11" t="s">
        <v>39</v>
      </c>
      <c r="O123" s="11" t="s">
        <v>28</v>
      </c>
      <c r="P123" s="14">
        <v>45852.378472222219</v>
      </c>
      <c r="Q123" t="s">
        <v>527</v>
      </c>
    </row>
    <row r="124" spans="1:17">
      <c r="A124" s="8" t="s">
        <v>528</v>
      </c>
      <c r="B124" s="8">
        <v>51273379</v>
      </c>
      <c r="C124" t="s">
        <v>529</v>
      </c>
      <c r="D124" t="s">
        <v>530</v>
      </c>
      <c r="E124" t="s">
        <v>20</v>
      </c>
      <c r="F124" t="s">
        <v>80</v>
      </c>
      <c r="G124" t="s">
        <v>21</v>
      </c>
      <c r="H124" t="s">
        <v>68</v>
      </c>
      <c r="I124" t="s">
        <v>24</v>
      </c>
      <c r="J124" t="s">
        <v>38</v>
      </c>
      <c r="K124" t="s">
        <v>69</v>
      </c>
      <c r="L124">
        <v>6882.29</v>
      </c>
      <c r="M124">
        <v>79</v>
      </c>
      <c r="N124" s="10" t="s">
        <v>86</v>
      </c>
      <c r="O124" s="10" t="s">
        <v>28</v>
      </c>
      <c r="P124" s="13">
        <v>44034.993055555555</v>
      </c>
      <c r="Q124" t="s">
        <v>531</v>
      </c>
    </row>
    <row r="125" spans="1:17">
      <c r="A125" s="8" t="s">
        <v>532</v>
      </c>
      <c r="B125" s="8">
        <v>45029610</v>
      </c>
      <c r="C125" t="s">
        <v>168</v>
      </c>
      <c r="D125" t="s">
        <v>533</v>
      </c>
      <c r="E125" t="s">
        <v>20</v>
      </c>
      <c r="F125" t="s">
        <v>22</v>
      </c>
      <c r="G125" t="s">
        <v>393</v>
      </c>
      <c r="H125" t="s">
        <v>55</v>
      </c>
      <c r="I125" t="s">
        <v>36</v>
      </c>
      <c r="J125" t="s">
        <v>38</v>
      </c>
      <c r="K125" t="s">
        <v>69</v>
      </c>
      <c r="L125">
        <v>2339.6</v>
      </c>
      <c r="M125">
        <v>74</v>
      </c>
      <c r="N125" s="11" t="s">
        <v>47</v>
      </c>
      <c r="O125" s="11" t="s">
        <v>81</v>
      </c>
      <c r="P125" s="14">
        <v>46074.5</v>
      </c>
      <c r="Q125" t="s">
        <v>534</v>
      </c>
    </row>
    <row r="126" spans="1:17">
      <c r="A126" s="8" t="s">
        <v>535</v>
      </c>
      <c r="B126" s="8">
        <v>22136086</v>
      </c>
      <c r="C126" t="s">
        <v>536</v>
      </c>
      <c r="D126" t="s">
        <v>537</v>
      </c>
      <c r="E126" t="s">
        <v>20</v>
      </c>
      <c r="F126" t="s">
        <v>392</v>
      </c>
      <c r="G126" t="s">
        <v>116</v>
      </c>
      <c r="H126" t="s">
        <v>36</v>
      </c>
      <c r="I126" t="s">
        <v>36</v>
      </c>
      <c r="J126" t="s">
        <v>103</v>
      </c>
      <c r="K126" t="s">
        <v>26</v>
      </c>
      <c r="L126">
        <v>7706.76</v>
      </c>
      <c r="M126">
        <v>23</v>
      </c>
      <c r="N126" s="10" t="s">
        <v>57</v>
      </c>
      <c r="O126" s="10" t="s">
        <v>75</v>
      </c>
      <c r="P126" s="13">
        <v>46163.830555555556</v>
      </c>
      <c r="Q126" t="s">
        <v>538</v>
      </c>
    </row>
    <row r="127" spans="1:17">
      <c r="A127" s="8" t="s">
        <v>539</v>
      </c>
      <c r="B127" s="8">
        <v>26301180</v>
      </c>
      <c r="C127" t="s">
        <v>540</v>
      </c>
      <c r="D127" t="s">
        <v>196</v>
      </c>
      <c r="E127" t="s">
        <v>20</v>
      </c>
      <c r="F127" t="s">
        <v>21</v>
      </c>
      <c r="G127" t="s">
        <v>121</v>
      </c>
      <c r="H127" t="s">
        <v>54</v>
      </c>
      <c r="I127" t="s">
        <v>37</v>
      </c>
      <c r="J127" t="s">
        <v>103</v>
      </c>
      <c r="K127" t="s">
        <v>69</v>
      </c>
      <c r="L127">
        <v>336.78</v>
      </c>
      <c r="M127">
        <v>45</v>
      </c>
      <c r="N127" s="11" t="s">
        <v>86</v>
      </c>
      <c r="O127" s="11" t="s">
        <v>48</v>
      </c>
      <c r="P127" s="14">
        <v>45823.614583333336</v>
      </c>
      <c r="Q127" t="s">
        <v>541</v>
      </c>
    </row>
    <row r="128" spans="1:17">
      <c r="A128" s="8" t="s">
        <v>542</v>
      </c>
      <c r="B128" s="8">
        <v>87025433</v>
      </c>
      <c r="C128" t="s">
        <v>543</v>
      </c>
      <c r="D128" t="s">
        <v>544</v>
      </c>
      <c r="E128" t="s">
        <v>33</v>
      </c>
      <c r="F128" t="s">
        <v>92</v>
      </c>
      <c r="G128" t="s">
        <v>45</v>
      </c>
      <c r="H128" t="s">
        <v>24</v>
      </c>
      <c r="I128" t="s">
        <v>62</v>
      </c>
      <c r="J128" t="s">
        <v>74</v>
      </c>
      <c r="K128" t="s">
        <v>69</v>
      </c>
      <c r="L128">
        <v>9215.4599999999991</v>
      </c>
      <c r="M128">
        <v>45</v>
      </c>
      <c r="N128" s="10" t="s">
        <v>27</v>
      </c>
      <c r="O128" s="10" t="s">
        <v>48</v>
      </c>
      <c r="P128" s="13">
        <v>46074.29791666667</v>
      </c>
      <c r="Q128" t="s">
        <v>545</v>
      </c>
    </row>
    <row r="129" spans="1:17">
      <c r="A129" s="8" t="s">
        <v>546</v>
      </c>
      <c r="B129" s="8">
        <v>80573568</v>
      </c>
      <c r="C129" t="s">
        <v>155</v>
      </c>
      <c r="D129" t="s">
        <v>547</v>
      </c>
      <c r="E129" t="s">
        <v>33</v>
      </c>
      <c r="F129" t="s">
        <v>92</v>
      </c>
      <c r="G129" t="s">
        <v>22</v>
      </c>
      <c r="H129" t="s">
        <v>24</v>
      </c>
      <c r="I129" t="s">
        <v>68</v>
      </c>
      <c r="J129" t="s">
        <v>56</v>
      </c>
      <c r="K129" t="s">
        <v>69</v>
      </c>
      <c r="L129">
        <v>2705.44</v>
      </c>
      <c r="M129">
        <v>61</v>
      </c>
      <c r="N129" s="11" t="s">
        <v>57</v>
      </c>
      <c r="O129" s="11" t="s">
        <v>48</v>
      </c>
      <c r="P129" s="14">
        <v>44137.366666666669</v>
      </c>
      <c r="Q129" t="s">
        <v>548</v>
      </c>
    </row>
    <row r="130" spans="1:17">
      <c r="A130" s="8" t="s">
        <v>549</v>
      </c>
      <c r="B130" s="8">
        <v>43266810</v>
      </c>
      <c r="C130" t="s">
        <v>550</v>
      </c>
      <c r="D130" t="s">
        <v>551</v>
      </c>
      <c r="E130" t="s">
        <v>20</v>
      </c>
      <c r="F130" t="s">
        <v>22</v>
      </c>
      <c r="G130" t="s">
        <v>80</v>
      </c>
      <c r="H130" t="s">
        <v>24</v>
      </c>
      <c r="I130" t="s">
        <v>37</v>
      </c>
      <c r="J130" t="s">
        <v>74</v>
      </c>
      <c r="K130" t="s">
        <v>26</v>
      </c>
      <c r="L130">
        <v>3555.9</v>
      </c>
      <c r="M130">
        <v>47</v>
      </c>
      <c r="N130" s="10" t="s">
        <v>57</v>
      </c>
      <c r="O130" s="10" t="s">
        <v>75</v>
      </c>
      <c r="P130" s="13">
        <v>45518.334722222222</v>
      </c>
      <c r="Q130" t="s">
        <v>552</v>
      </c>
    </row>
    <row r="131" spans="1:17">
      <c r="A131" s="8" t="s">
        <v>553</v>
      </c>
      <c r="B131" s="8">
        <v>76065552</v>
      </c>
      <c r="C131" t="s">
        <v>554</v>
      </c>
      <c r="D131" t="s">
        <v>555</v>
      </c>
      <c r="E131" t="s">
        <v>33</v>
      </c>
      <c r="F131" t="s">
        <v>556</v>
      </c>
      <c r="G131" t="s">
        <v>121</v>
      </c>
      <c r="H131" t="s">
        <v>55</v>
      </c>
      <c r="I131" t="s">
        <v>55</v>
      </c>
      <c r="J131" t="s">
        <v>74</v>
      </c>
      <c r="K131" t="s">
        <v>69</v>
      </c>
      <c r="L131">
        <v>10756.9</v>
      </c>
      <c r="M131">
        <v>79</v>
      </c>
      <c r="N131" s="11" t="s">
        <v>57</v>
      </c>
      <c r="O131" s="11" t="s">
        <v>28</v>
      </c>
      <c r="P131" s="14">
        <v>43844.424305555556</v>
      </c>
      <c r="Q131" t="s">
        <v>557</v>
      </c>
    </row>
    <row r="132" spans="1:17">
      <c r="A132" s="8" t="s">
        <v>558</v>
      </c>
      <c r="B132" s="8">
        <v>98870866</v>
      </c>
      <c r="C132" t="s">
        <v>559</v>
      </c>
      <c r="D132" t="s">
        <v>500</v>
      </c>
      <c r="E132" t="s">
        <v>20</v>
      </c>
      <c r="F132" t="s">
        <v>21</v>
      </c>
      <c r="G132" t="s">
        <v>523</v>
      </c>
      <c r="H132" t="s">
        <v>24</v>
      </c>
      <c r="I132" t="s">
        <v>23</v>
      </c>
      <c r="J132" t="s">
        <v>38</v>
      </c>
      <c r="K132" t="s">
        <v>63</v>
      </c>
      <c r="L132">
        <v>10406.469999999999</v>
      </c>
      <c r="M132">
        <v>79</v>
      </c>
      <c r="N132" s="10" t="s">
        <v>27</v>
      </c>
      <c r="O132" s="10" t="s">
        <v>75</v>
      </c>
      <c r="P132" s="13">
        <v>45691.39166666667</v>
      </c>
      <c r="Q132" t="s">
        <v>560</v>
      </c>
    </row>
    <row r="133" spans="1:17">
      <c r="A133" s="8" t="s">
        <v>561</v>
      </c>
      <c r="B133" s="8">
        <v>86884584</v>
      </c>
      <c r="C133" t="s">
        <v>562</v>
      </c>
      <c r="D133" t="s">
        <v>563</v>
      </c>
      <c r="E133" t="s">
        <v>20</v>
      </c>
      <c r="F133" t="s">
        <v>116</v>
      </c>
      <c r="G133" t="s">
        <v>34</v>
      </c>
      <c r="H133" t="s">
        <v>93</v>
      </c>
      <c r="I133" t="s">
        <v>24</v>
      </c>
      <c r="J133" t="s">
        <v>74</v>
      </c>
      <c r="K133" t="s">
        <v>69</v>
      </c>
      <c r="L133">
        <v>11182.7</v>
      </c>
      <c r="M133">
        <v>18</v>
      </c>
      <c r="N133" s="11" t="s">
        <v>47</v>
      </c>
      <c r="O133" s="11" t="s">
        <v>75</v>
      </c>
      <c r="P133" s="14">
        <v>45792.7</v>
      </c>
      <c r="Q133" t="s">
        <v>564</v>
      </c>
    </row>
    <row r="134" spans="1:17">
      <c r="A134" s="8" t="s">
        <v>565</v>
      </c>
      <c r="B134" s="8">
        <v>45596211</v>
      </c>
      <c r="C134" t="s">
        <v>566</v>
      </c>
      <c r="D134" t="s">
        <v>331</v>
      </c>
      <c r="E134" t="s">
        <v>20</v>
      </c>
      <c r="F134" t="s">
        <v>99</v>
      </c>
      <c r="G134" t="s">
        <v>22</v>
      </c>
      <c r="H134" t="s">
        <v>54</v>
      </c>
      <c r="I134" t="s">
        <v>54</v>
      </c>
      <c r="J134" t="s">
        <v>56</v>
      </c>
      <c r="K134" t="s">
        <v>26</v>
      </c>
      <c r="L134">
        <v>5274.96</v>
      </c>
      <c r="M134">
        <v>44</v>
      </c>
      <c r="N134" s="10" t="s">
        <v>39</v>
      </c>
      <c r="O134" s="10" t="s">
        <v>28</v>
      </c>
      <c r="P134" s="13">
        <v>44911.453472222223</v>
      </c>
      <c r="Q134" t="s">
        <v>567</v>
      </c>
    </row>
    <row r="135" spans="1:17">
      <c r="A135" s="8" t="s">
        <v>568</v>
      </c>
      <c r="B135" s="8">
        <v>45047967</v>
      </c>
      <c r="C135" t="s">
        <v>569</v>
      </c>
      <c r="D135" t="s">
        <v>570</v>
      </c>
      <c r="E135" t="s">
        <v>20</v>
      </c>
      <c r="F135" t="s">
        <v>91</v>
      </c>
      <c r="G135" t="s">
        <v>22</v>
      </c>
      <c r="H135" t="s">
        <v>93</v>
      </c>
      <c r="I135" t="s">
        <v>55</v>
      </c>
      <c r="J135" t="s">
        <v>56</v>
      </c>
      <c r="K135" t="s">
        <v>46</v>
      </c>
      <c r="L135">
        <v>474.59</v>
      </c>
      <c r="M135">
        <v>79</v>
      </c>
      <c r="N135" s="11" t="s">
        <v>47</v>
      </c>
      <c r="O135" s="11" t="s">
        <v>81</v>
      </c>
      <c r="P135" s="14">
        <v>44553.151388888888</v>
      </c>
      <c r="Q135" t="s">
        <v>571</v>
      </c>
    </row>
    <row r="136" spans="1:17">
      <c r="A136" s="8" t="s">
        <v>572</v>
      </c>
      <c r="B136" s="8">
        <v>98663948</v>
      </c>
      <c r="C136" t="s">
        <v>573</v>
      </c>
      <c r="D136" t="s">
        <v>574</v>
      </c>
      <c r="E136" t="s">
        <v>20</v>
      </c>
      <c r="F136" t="s">
        <v>116</v>
      </c>
      <c r="G136" t="s">
        <v>98</v>
      </c>
      <c r="H136" t="s">
        <v>23</v>
      </c>
      <c r="I136" t="s">
        <v>62</v>
      </c>
      <c r="J136" t="s">
        <v>38</v>
      </c>
      <c r="K136" t="s">
        <v>46</v>
      </c>
      <c r="L136">
        <v>9007.23</v>
      </c>
      <c r="M136">
        <v>20</v>
      </c>
      <c r="N136" s="10" t="s">
        <v>47</v>
      </c>
      <c r="O136" s="10" t="s">
        <v>28</v>
      </c>
      <c r="P136" s="13">
        <v>44610.850694444445</v>
      </c>
      <c r="Q136" t="s">
        <v>575</v>
      </c>
    </row>
    <row r="137" spans="1:17">
      <c r="A137" s="8" t="s">
        <v>576</v>
      </c>
      <c r="B137" s="8">
        <v>98723294</v>
      </c>
      <c r="C137" t="s">
        <v>577</v>
      </c>
      <c r="D137" t="s">
        <v>578</v>
      </c>
      <c r="E137" t="s">
        <v>20</v>
      </c>
      <c r="F137" t="s">
        <v>34</v>
      </c>
      <c r="G137" t="s">
        <v>92</v>
      </c>
      <c r="H137" t="s">
        <v>54</v>
      </c>
      <c r="I137" t="s">
        <v>127</v>
      </c>
      <c r="J137" t="s">
        <v>103</v>
      </c>
      <c r="K137" t="s">
        <v>63</v>
      </c>
      <c r="L137">
        <v>933.97</v>
      </c>
      <c r="M137">
        <v>44</v>
      </c>
      <c r="N137" s="11" t="s">
        <v>86</v>
      </c>
      <c r="O137" s="11" t="s">
        <v>28</v>
      </c>
      <c r="P137" s="14">
        <v>45064.568055555559</v>
      </c>
      <c r="Q137" t="s">
        <v>579</v>
      </c>
    </row>
    <row r="138" spans="1:17">
      <c r="A138" s="8" t="s">
        <v>580</v>
      </c>
      <c r="B138" s="8">
        <v>81875527</v>
      </c>
      <c r="C138" t="s">
        <v>581</v>
      </c>
      <c r="D138" t="s">
        <v>582</v>
      </c>
      <c r="E138" t="s">
        <v>20</v>
      </c>
      <c r="F138" t="s">
        <v>121</v>
      </c>
      <c r="G138" t="s">
        <v>44</v>
      </c>
      <c r="H138" t="s">
        <v>93</v>
      </c>
      <c r="I138" t="s">
        <v>127</v>
      </c>
      <c r="J138" t="s">
        <v>38</v>
      </c>
      <c r="K138" t="s">
        <v>63</v>
      </c>
      <c r="L138">
        <v>10166.25</v>
      </c>
      <c r="M138">
        <v>26</v>
      </c>
      <c r="N138" s="10" t="s">
        <v>27</v>
      </c>
      <c r="O138" s="10" t="s">
        <v>48</v>
      </c>
      <c r="P138" s="13">
        <v>44359.98541666667</v>
      </c>
      <c r="Q138" t="s">
        <v>583</v>
      </c>
    </row>
    <row r="139" spans="1:17">
      <c r="A139" s="8" t="s">
        <v>584</v>
      </c>
      <c r="B139" s="8">
        <v>68437492</v>
      </c>
      <c r="C139" t="s">
        <v>585</v>
      </c>
      <c r="D139" t="s">
        <v>188</v>
      </c>
      <c r="E139" t="s">
        <v>20</v>
      </c>
      <c r="F139" t="s">
        <v>53</v>
      </c>
      <c r="G139" t="s">
        <v>393</v>
      </c>
      <c r="H139" t="s">
        <v>54</v>
      </c>
      <c r="I139" t="s">
        <v>55</v>
      </c>
      <c r="J139" t="s">
        <v>103</v>
      </c>
      <c r="K139" t="s">
        <v>69</v>
      </c>
      <c r="L139">
        <v>7800.13</v>
      </c>
      <c r="M139">
        <v>79</v>
      </c>
      <c r="N139" s="11" t="s">
        <v>86</v>
      </c>
      <c r="O139" s="11" t="s">
        <v>81</v>
      </c>
      <c r="P139" s="14">
        <v>44628.038194444445</v>
      </c>
      <c r="Q139" t="s">
        <v>586</v>
      </c>
    </row>
    <row r="140" spans="1:17">
      <c r="A140" s="8" t="s">
        <v>587</v>
      </c>
      <c r="B140" s="8">
        <v>23554707</v>
      </c>
      <c r="C140" t="s">
        <v>588</v>
      </c>
      <c r="D140" t="s">
        <v>589</v>
      </c>
      <c r="E140" t="s">
        <v>20</v>
      </c>
      <c r="F140" t="s">
        <v>92</v>
      </c>
      <c r="G140" t="s">
        <v>53</v>
      </c>
      <c r="H140" t="s">
        <v>23</v>
      </c>
      <c r="I140" t="s">
        <v>37</v>
      </c>
      <c r="J140" t="s">
        <v>74</v>
      </c>
      <c r="K140" t="s">
        <v>63</v>
      </c>
      <c r="L140">
        <v>9133.74</v>
      </c>
      <c r="M140">
        <v>54</v>
      </c>
      <c r="N140" s="10" t="s">
        <v>39</v>
      </c>
      <c r="O140" s="10" t="s">
        <v>28</v>
      </c>
      <c r="P140" s="13">
        <v>44174.877083333333</v>
      </c>
      <c r="Q140" t="s">
        <v>590</v>
      </c>
    </row>
    <row r="141" spans="1:17">
      <c r="A141" s="8" t="s">
        <v>591</v>
      </c>
      <c r="B141" s="8">
        <v>50675347</v>
      </c>
      <c r="C141" t="s">
        <v>592</v>
      </c>
      <c r="D141" t="s">
        <v>593</v>
      </c>
      <c r="E141" t="s">
        <v>20</v>
      </c>
      <c r="F141" t="s">
        <v>45</v>
      </c>
      <c r="G141" t="s">
        <v>35</v>
      </c>
      <c r="H141" t="s">
        <v>37</v>
      </c>
      <c r="I141" t="s">
        <v>54</v>
      </c>
      <c r="J141" t="s">
        <v>103</v>
      </c>
      <c r="K141" t="s">
        <v>69</v>
      </c>
      <c r="L141">
        <v>10934.7</v>
      </c>
      <c r="M141">
        <v>68</v>
      </c>
      <c r="N141" s="11" t="s">
        <v>27</v>
      </c>
      <c r="O141" s="11" t="s">
        <v>28</v>
      </c>
      <c r="P141" s="14">
        <v>45133.496527777781</v>
      </c>
      <c r="Q141" t="s">
        <v>594</v>
      </c>
    </row>
    <row r="142" spans="1:17">
      <c r="A142" s="8" t="s">
        <v>595</v>
      </c>
      <c r="B142" s="8">
        <v>31336920</v>
      </c>
      <c r="C142" t="s">
        <v>596</v>
      </c>
      <c r="D142" t="s">
        <v>597</v>
      </c>
      <c r="E142" t="s">
        <v>20</v>
      </c>
      <c r="F142" t="s">
        <v>294</v>
      </c>
      <c r="G142" t="s">
        <v>116</v>
      </c>
      <c r="H142" t="s">
        <v>55</v>
      </c>
      <c r="I142" t="s">
        <v>93</v>
      </c>
      <c r="J142" t="s">
        <v>56</v>
      </c>
      <c r="K142" t="s">
        <v>69</v>
      </c>
      <c r="L142">
        <v>13771.29</v>
      </c>
      <c r="M142">
        <v>61</v>
      </c>
      <c r="N142" s="10" t="s">
        <v>47</v>
      </c>
      <c r="O142" s="10" t="s">
        <v>75</v>
      </c>
      <c r="P142" s="13">
        <v>44039.091666666667</v>
      </c>
      <c r="Q142" t="s">
        <v>598</v>
      </c>
    </row>
    <row r="143" spans="1:17">
      <c r="A143" s="8" t="s">
        <v>599</v>
      </c>
      <c r="B143" s="8">
        <v>73697356</v>
      </c>
      <c r="C143" t="s">
        <v>600</v>
      </c>
      <c r="D143" t="s">
        <v>601</v>
      </c>
      <c r="E143" t="s">
        <v>20</v>
      </c>
      <c r="F143" t="s">
        <v>53</v>
      </c>
      <c r="G143" t="s">
        <v>392</v>
      </c>
      <c r="H143" t="s">
        <v>55</v>
      </c>
      <c r="I143" t="s">
        <v>93</v>
      </c>
      <c r="J143" t="s">
        <v>74</v>
      </c>
      <c r="K143" t="s">
        <v>26</v>
      </c>
      <c r="L143">
        <v>9714.2199999999993</v>
      </c>
      <c r="M143">
        <v>41</v>
      </c>
      <c r="N143" s="11" t="s">
        <v>47</v>
      </c>
      <c r="O143" s="11" t="s">
        <v>75</v>
      </c>
      <c r="P143" s="14">
        <v>44471.8125</v>
      </c>
      <c r="Q143" t="s">
        <v>602</v>
      </c>
    </row>
    <row r="144" spans="1:17">
      <c r="A144" s="8" t="s">
        <v>603</v>
      </c>
      <c r="B144" s="8">
        <v>11135982</v>
      </c>
      <c r="C144" t="s">
        <v>604</v>
      </c>
      <c r="D144" t="s">
        <v>449</v>
      </c>
      <c r="E144" t="s">
        <v>20</v>
      </c>
      <c r="F144" t="s">
        <v>22</v>
      </c>
      <c r="G144" t="s">
        <v>22</v>
      </c>
      <c r="H144" t="s">
        <v>24</v>
      </c>
      <c r="I144" t="s">
        <v>62</v>
      </c>
      <c r="J144" t="s">
        <v>56</v>
      </c>
      <c r="K144" t="s">
        <v>69</v>
      </c>
      <c r="L144">
        <v>10161.17</v>
      </c>
      <c r="M144">
        <v>76</v>
      </c>
      <c r="N144" s="10" t="s">
        <v>27</v>
      </c>
      <c r="O144" s="10" t="s">
        <v>81</v>
      </c>
      <c r="P144" s="13">
        <v>45142.237500000003</v>
      </c>
      <c r="Q144" t="s">
        <v>605</v>
      </c>
    </row>
    <row r="145" spans="1:17">
      <c r="A145" s="8" t="s">
        <v>606</v>
      </c>
      <c r="B145" s="8">
        <v>24509544</v>
      </c>
      <c r="C145" t="s">
        <v>607</v>
      </c>
      <c r="D145" t="s">
        <v>32</v>
      </c>
      <c r="E145" t="s">
        <v>20</v>
      </c>
      <c r="F145" t="s">
        <v>53</v>
      </c>
      <c r="G145" t="s">
        <v>53</v>
      </c>
      <c r="H145" t="s">
        <v>127</v>
      </c>
      <c r="I145" t="s">
        <v>37</v>
      </c>
      <c r="J145" t="s">
        <v>74</v>
      </c>
      <c r="K145" t="s">
        <v>69</v>
      </c>
      <c r="L145">
        <v>12083.39</v>
      </c>
      <c r="M145">
        <v>49</v>
      </c>
      <c r="N145" s="11" t="s">
        <v>27</v>
      </c>
      <c r="O145" s="11" t="s">
        <v>81</v>
      </c>
      <c r="P145" s="14">
        <v>46130.918749999997</v>
      </c>
      <c r="Q145" t="s">
        <v>608</v>
      </c>
    </row>
    <row r="146" spans="1:17">
      <c r="A146" s="8" t="s">
        <v>609</v>
      </c>
      <c r="B146" s="8">
        <v>14740436</v>
      </c>
      <c r="C146" t="s">
        <v>610</v>
      </c>
      <c r="D146" t="s">
        <v>611</v>
      </c>
      <c r="E146" t="s">
        <v>20</v>
      </c>
      <c r="F146" t="s">
        <v>22</v>
      </c>
      <c r="G146" t="s">
        <v>22</v>
      </c>
      <c r="H146" t="s">
        <v>24</v>
      </c>
      <c r="I146" t="s">
        <v>36</v>
      </c>
      <c r="J146" t="s">
        <v>38</v>
      </c>
      <c r="K146" t="s">
        <v>69</v>
      </c>
      <c r="L146">
        <v>12682.83</v>
      </c>
      <c r="M146">
        <v>69</v>
      </c>
      <c r="N146" s="10" t="s">
        <v>27</v>
      </c>
      <c r="O146" s="10" t="s">
        <v>48</v>
      </c>
      <c r="P146" s="13">
        <v>46149.802083333336</v>
      </c>
      <c r="Q146" t="s">
        <v>612</v>
      </c>
    </row>
    <row r="147" spans="1:17">
      <c r="A147" s="8" t="s">
        <v>613</v>
      </c>
      <c r="B147" s="8">
        <v>55047826</v>
      </c>
      <c r="C147" t="s">
        <v>278</v>
      </c>
      <c r="D147" t="s">
        <v>614</v>
      </c>
      <c r="E147" t="s">
        <v>20</v>
      </c>
      <c r="F147" t="s">
        <v>53</v>
      </c>
      <c r="G147" t="s">
        <v>92</v>
      </c>
      <c r="H147" t="s">
        <v>62</v>
      </c>
      <c r="I147" t="s">
        <v>36</v>
      </c>
      <c r="J147" t="s">
        <v>56</v>
      </c>
      <c r="K147" t="s">
        <v>69</v>
      </c>
      <c r="L147">
        <v>12997.24</v>
      </c>
      <c r="M147">
        <v>79</v>
      </c>
      <c r="N147" s="11" t="s">
        <v>27</v>
      </c>
      <c r="O147" s="11" t="s">
        <v>28</v>
      </c>
      <c r="P147" s="14">
        <v>45778.26458333333</v>
      </c>
      <c r="Q147" t="s">
        <v>615</v>
      </c>
    </row>
    <row r="148" spans="1:17">
      <c r="A148" s="8" t="s">
        <v>616</v>
      </c>
      <c r="B148" s="8">
        <v>36883353</v>
      </c>
      <c r="C148" t="s">
        <v>617</v>
      </c>
      <c r="D148" t="s">
        <v>618</v>
      </c>
      <c r="E148" t="s">
        <v>20</v>
      </c>
      <c r="F148" t="s">
        <v>44</v>
      </c>
      <c r="G148" t="s">
        <v>21</v>
      </c>
      <c r="H148" t="s">
        <v>93</v>
      </c>
      <c r="I148" t="s">
        <v>24</v>
      </c>
      <c r="J148" t="s">
        <v>74</v>
      </c>
      <c r="K148" t="s">
        <v>69</v>
      </c>
      <c r="L148">
        <v>9521.14</v>
      </c>
      <c r="M148">
        <v>75</v>
      </c>
      <c r="N148" s="10" t="s">
        <v>86</v>
      </c>
      <c r="O148" s="10" t="s">
        <v>81</v>
      </c>
      <c r="P148" s="13">
        <v>44750.454861111109</v>
      </c>
      <c r="Q148" t="s">
        <v>619</v>
      </c>
    </row>
    <row r="149" spans="1:17">
      <c r="A149" s="8" t="s">
        <v>620</v>
      </c>
      <c r="B149" s="8">
        <v>68211760</v>
      </c>
      <c r="C149" t="s">
        <v>621</v>
      </c>
      <c r="D149" t="s">
        <v>622</v>
      </c>
      <c r="E149" t="s">
        <v>33</v>
      </c>
      <c r="F149" t="s">
        <v>160</v>
      </c>
      <c r="G149" t="s">
        <v>80</v>
      </c>
      <c r="H149" t="s">
        <v>54</v>
      </c>
      <c r="I149" t="s">
        <v>54</v>
      </c>
      <c r="J149" t="s">
        <v>38</v>
      </c>
      <c r="K149" t="s">
        <v>26</v>
      </c>
      <c r="L149">
        <v>278.56</v>
      </c>
      <c r="M149">
        <v>69</v>
      </c>
      <c r="N149" s="11" t="s">
        <v>86</v>
      </c>
      <c r="O149" s="11" t="s">
        <v>48</v>
      </c>
      <c r="P149" s="14">
        <v>45554.039583333331</v>
      </c>
      <c r="Q149" t="s">
        <v>623</v>
      </c>
    </row>
    <row r="150" spans="1:17">
      <c r="A150" s="8" t="s">
        <v>624</v>
      </c>
      <c r="B150" s="8">
        <v>50024028</v>
      </c>
      <c r="C150" t="s">
        <v>102</v>
      </c>
      <c r="D150" t="s">
        <v>18</v>
      </c>
      <c r="E150" t="s">
        <v>20</v>
      </c>
      <c r="F150" t="s">
        <v>34</v>
      </c>
      <c r="G150" t="s">
        <v>92</v>
      </c>
      <c r="H150" t="s">
        <v>127</v>
      </c>
      <c r="I150" t="s">
        <v>54</v>
      </c>
      <c r="J150" t="s">
        <v>74</v>
      </c>
      <c r="K150" t="s">
        <v>26</v>
      </c>
      <c r="L150">
        <v>14221.78</v>
      </c>
      <c r="M150">
        <v>29</v>
      </c>
      <c r="N150" s="10" t="s">
        <v>39</v>
      </c>
      <c r="O150" s="10" t="s">
        <v>28</v>
      </c>
      <c r="P150" s="13">
        <v>45875.257638888892</v>
      </c>
      <c r="Q150" t="s">
        <v>625</v>
      </c>
    </row>
    <row r="151" spans="1:17">
      <c r="A151" s="8" t="s">
        <v>626</v>
      </c>
      <c r="B151" s="8">
        <v>15014834</v>
      </c>
      <c r="C151" t="s">
        <v>147</v>
      </c>
      <c r="D151" t="s">
        <v>18</v>
      </c>
      <c r="E151" t="s">
        <v>20</v>
      </c>
      <c r="F151" t="s">
        <v>116</v>
      </c>
      <c r="G151" t="s">
        <v>80</v>
      </c>
      <c r="H151" t="s">
        <v>23</v>
      </c>
      <c r="I151" t="s">
        <v>127</v>
      </c>
      <c r="J151" t="s">
        <v>25</v>
      </c>
      <c r="K151" t="s">
        <v>26</v>
      </c>
      <c r="L151">
        <v>6670.27</v>
      </c>
      <c r="M151">
        <v>56</v>
      </c>
      <c r="N151" s="11" t="s">
        <v>86</v>
      </c>
      <c r="O151" s="11" t="s">
        <v>75</v>
      </c>
      <c r="P151" s="14">
        <v>44249.290277777778</v>
      </c>
      <c r="Q151" t="s">
        <v>627</v>
      </c>
    </row>
    <row r="152" spans="1:17">
      <c r="A152" s="8" t="s">
        <v>628</v>
      </c>
      <c r="B152" s="8">
        <v>0</v>
      </c>
      <c r="C152" t="s">
        <v>629</v>
      </c>
      <c r="D152" t="s">
        <v>630</v>
      </c>
      <c r="E152" t="s">
        <v>20</v>
      </c>
      <c r="F152" t="s">
        <v>35</v>
      </c>
      <c r="G152" t="s">
        <v>523</v>
      </c>
      <c r="H152" t="s">
        <v>62</v>
      </c>
      <c r="I152" t="s">
        <v>68</v>
      </c>
      <c r="J152" t="s">
        <v>74</v>
      </c>
      <c r="K152" t="s">
        <v>69</v>
      </c>
      <c r="L152">
        <v>12474.17</v>
      </c>
      <c r="M152">
        <v>19</v>
      </c>
      <c r="N152" s="10" t="s">
        <v>47</v>
      </c>
      <c r="O152" s="10" t="s">
        <v>75</v>
      </c>
      <c r="P152" s="13">
        <v>45580.943055555559</v>
      </c>
      <c r="Q152" t="s">
        <v>631</v>
      </c>
    </row>
    <row r="153" spans="1:17">
      <c r="A153" s="8" t="s">
        <v>632</v>
      </c>
      <c r="B153" s="8">
        <v>21945758</v>
      </c>
      <c r="C153" t="s">
        <v>633</v>
      </c>
      <c r="D153" t="s">
        <v>634</v>
      </c>
      <c r="E153" t="s">
        <v>33</v>
      </c>
      <c r="F153" t="s">
        <v>21</v>
      </c>
      <c r="G153" t="s">
        <v>35</v>
      </c>
      <c r="H153" t="s">
        <v>23</v>
      </c>
      <c r="I153" t="s">
        <v>62</v>
      </c>
      <c r="J153" t="s">
        <v>56</v>
      </c>
      <c r="K153" t="s">
        <v>69</v>
      </c>
      <c r="L153">
        <v>3969.23</v>
      </c>
      <c r="M153">
        <v>20</v>
      </c>
      <c r="N153" s="11" t="s">
        <v>86</v>
      </c>
      <c r="O153" s="11" t="s">
        <v>28</v>
      </c>
      <c r="P153" s="14">
        <v>45219.407638888886</v>
      </c>
      <c r="Q153" t="s">
        <v>635</v>
      </c>
    </row>
    <row r="154" spans="1:17">
      <c r="A154" s="8" t="s">
        <v>636</v>
      </c>
      <c r="B154" s="8">
        <v>16159129</v>
      </c>
      <c r="C154" t="s">
        <v>637</v>
      </c>
      <c r="D154" t="s">
        <v>256</v>
      </c>
      <c r="E154" t="s">
        <v>20</v>
      </c>
      <c r="F154" t="s">
        <v>34</v>
      </c>
      <c r="G154" t="s">
        <v>34</v>
      </c>
      <c r="H154" t="s">
        <v>55</v>
      </c>
      <c r="I154" t="s">
        <v>93</v>
      </c>
      <c r="J154" t="s">
        <v>103</v>
      </c>
      <c r="K154" t="s">
        <v>26</v>
      </c>
      <c r="L154">
        <v>1716.34</v>
      </c>
      <c r="M154">
        <v>73</v>
      </c>
      <c r="N154" s="10" t="s">
        <v>39</v>
      </c>
      <c r="O154" s="10" t="s">
        <v>81</v>
      </c>
      <c r="P154" s="13">
        <v>44930.297222222223</v>
      </c>
      <c r="Q154" t="s">
        <v>638</v>
      </c>
    </row>
    <row r="155" spans="1:17">
      <c r="A155" s="8" t="s">
        <v>639</v>
      </c>
      <c r="B155" s="8">
        <v>17871385</v>
      </c>
      <c r="C155" t="s">
        <v>640</v>
      </c>
      <c r="D155" t="s">
        <v>641</v>
      </c>
      <c r="E155" t="s">
        <v>20</v>
      </c>
      <c r="F155" t="s">
        <v>44</v>
      </c>
      <c r="G155" t="s">
        <v>116</v>
      </c>
      <c r="H155" t="s">
        <v>55</v>
      </c>
      <c r="I155" t="s">
        <v>62</v>
      </c>
      <c r="J155" t="s">
        <v>38</v>
      </c>
      <c r="K155" t="s">
        <v>46</v>
      </c>
      <c r="L155">
        <v>14601.93</v>
      </c>
      <c r="M155">
        <v>76</v>
      </c>
      <c r="N155" s="11" t="s">
        <v>47</v>
      </c>
      <c r="O155" s="11" t="s">
        <v>81</v>
      </c>
      <c r="P155" s="14">
        <v>46311.356249999997</v>
      </c>
      <c r="Q155" t="s">
        <v>642</v>
      </c>
    </row>
    <row r="156" spans="1:17">
      <c r="A156" s="8" t="s">
        <v>643</v>
      </c>
      <c r="B156" s="8">
        <v>87396519</v>
      </c>
      <c r="C156" t="s">
        <v>644</v>
      </c>
      <c r="D156" t="s">
        <v>191</v>
      </c>
      <c r="E156" t="s">
        <v>20</v>
      </c>
      <c r="F156" t="s">
        <v>98</v>
      </c>
      <c r="G156" t="s">
        <v>98</v>
      </c>
      <c r="H156" t="s">
        <v>24</v>
      </c>
      <c r="I156" t="s">
        <v>36</v>
      </c>
      <c r="J156" t="s">
        <v>38</v>
      </c>
      <c r="K156" t="s">
        <v>46</v>
      </c>
      <c r="L156">
        <v>9624.65</v>
      </c>
      <c r="M156">
        <v>19</v>
      </c>
      <c r="N156" s="10" t="s">
        <v>47</v>
      </c>
      <c r="O156" s="10" t="s">
        <v>28</v>
      </c>
      <c r="P156" s="13">
        <v>45987.508333333331</v>
      </c>
      <c r="Q156" t="s">
        <v>645</v>
      </c>
    </row>
    <row r="157" spans="1:17">
      <c r="A157" s="8" t="s">
        <v>646</v>
      </c>
      <c r="B157" s="8">
        <v>0</v>
      </c>
      <c r="C157" t="s">
        <v>32</v>
      </c>
      <c r="D157" t="s">
        <v>647</v>
      </c>
      <c r="E157" t="s">
        <v>20</v>
      </c>
      <c r="F157" t="s">
        <v>45</v>
      </c>
      <c r="G157" t="s">
        <v>92</v>
      </c>
      <c r="H157" t="s">
        <v>93</v>
      </c>
      <c r="I157" t="s">
        <v>36</v>
      </c>
      <c r="J157" t="s">
        <v>56</v>
      </c>
      <c r="K157" t="s">
        <v>26</v>
      </c>
      <c r="L157">
        <v>4747.76</v>
      </c>
      <c r="M157">
        <v>19</v>
      </c>
      <c r="N157" s="11" t="s">
        <v>39</v>
      </c>
      <c r="O157" s="11" t="s">
        <v>28</v>
      </c>
      <c r="P157" s="14">
        <v>45376.95416666667</v>
      </c>
      <c r="Q157" t="s">
        <v>648</v>
      </c>
    </row>
    <row r="158" spans="1:17">
      <c r="A158" s="8" t="s">
        <v>649</v>
      </c>
      <c r="B158" s="8">
        <v>78227936</v>
      </c>
      <c r="C158" t="s">
        <v>146</v>
      </c>
      <c r="D158" t="s">
        <v>412</v>
      </c>
      <c r="E158" t="s">
        <v>20</v>
      </c>
      <c r="F158" t="s">
        <v>34</v>
      </c>
      <c r="G158" t="s">
        <v>34</v>
      </c>
      <c r="H158" t="s">
        <v>127</v>
      </c>
      <c r="I158" t="s">
        <v>55</v>
      </c>
      <c r="J158" t="s">
        <v>38</v>
      </c>
      <c r="K158" t="s">
        <v>26</v>
      </c>
      <c r="L158">
        <v>10752.7</v>
      </c>
      <c r="M158">
        <v>71</v>
      </c>
      <c r="N158" s="10" t="s">
        <v>57</v>
      </c>
      <c r="O158" s="10" t="s">
        <v>81</v>
      </c>
      <c r="P158" s="13">
        <v>44901.14166666667</v>
      </c>
      <c r="Q158" t="s">
        <v>650</v>
      </c>
    </row>
    <row r="159" spans="1:17">
      <c r="A159" s="8" t="s">
        <v>651</v>
      </c>
      <c r="B159" s="8">
        <v>60182714</v>
      </c>
      <c r="C159" t="s">
        <v>652</v>
      </c>
      <c r="D159" t="s">
        <v>653</v>
      </c>
      <c r="E159" t="s">
        <v>20</v>
      </c>
      <c r="F159" t="s">
        <v>21</v>
      </c>
      <c r="G159" t="s">
        <v>22</v>
      </c>
      <c r="H159" t="s">
        <v>68</v>
      </c>
      <c r="I159" t="s">
        <v>24</v>
      </c>
      <c r="J159" t="s">
        <v>56</v>
      </c>
      <c r="K159" t="s">
        <v>26</v>
      </c>
      <c r="L159">
        <v>6861.12</v>
      </c>
      <c r="M159">
        <v>18</v>
      </c>
      <c r="N159" s="11" t="s">
        <v>47</v>
      </c>
      <c r="O159" s="11" t="s">
        <v>75</v>
      </c>
      <c r="P159" s="14">
        <v>46257.988194444442</v>
      </c>
      <c r="Q159" t="s">
        <v>654</v>
      </c>
    </row>
    <row r="160" spans="1:17">
      <c r="A160" s="8" t="s">
        <v>655</v>
      </c>
      <c r="B160" s="8">
        <v>77672253</v>
      </c>
      <c r="C160" t="s">
        <v>656</v>
      </c>
      <c r="D160" t="s">
        <v>657</v>
      </c>
      <c r="E160" t="s">
        <v>20</v>
      </c>
      <c r="F160" t="s">
        <v>98</v>
      </c>
      <c r="G160" t="s">
        <v>92</v>
      </c>
      <c r="H160" t="s">
        <v>62</v>
      </c>
      <c r="I160" t="s">
        <v>54</v>
      </c>
      <c r="J160" t="s">
        <v>38</v>
      </c>
      <c r="K160" t="s">
        <v>26</v>
      </c>
      <c r="L160">
        <v>10960.11</v>
      </c>
      <c r="M160">
        <v>36</v>
      </c>
      <c r="N160" s="10" t="s">
        <v>47</v>
      </c>
      <c r="O160" s="10" t="s">
        <v>28</v>
      </c>
      <c r="P160" s="13">
        <v>45681.667361111111</v>
      </c>
      <c r="Q160" t="s">
        <v>658</v>
      </c>
    </row>
    <row r="161" spans="1:17">
      <c r="A161" s="8" t="s">
        <v>659</v>
      </c>
      <c r="B161" s="8">
        <v>43318046</v>
      </c>
      <c r="C161" t="s">
        <v>660</v>
      </c>
      <c r="D161" t="s">
        <v>661</v>
      </c>
      <c r="E161" t="s">
        <v>20</v>
      </c>
      <c r="F161" t="s">
        <v>21</v>
      </c>
      <c r="G161" t="s">
        <v>21</v>
      </c>
      <c r="H161" t="s">
        <v>62</v>
      </c>
      <c r="I161" t="s">
        <v>23</v>
      </c>
      <c r="J161" t="s">
        <v>103</v>
      </c>
      <c r="K161" t="s">
        <v>46</v>
      </c>
      <c r="L161">
        <v>11054.91</v>
      </c>
      <c r="M161">
        <v>19</v>
      </c>
      <c r="N161" s="11" t="s">
        <v>27</v>
      </c>
      <c r="O161" s="11" t="s">
        <v>48</v>
      </c>
      <c r="P161" s="14">
        <v>44950.520833333336</v>
      </c>
      <c r="Q161" t="s">
        <v>662</v>
      </c>
    </row>
    <row r="162" spans="1:17">
      <c r="A162" s="8" t="s">
        <v>663</v>
      </c>
      <c r="B162" s="8">
        <v>33865616</v>
      </c>
      <c r="C162" t="s">
        <v>270</v>
      </c>
      <c r="D162" t="s">
        <v>664</v>
      </c>
      <c r="E162" t="s">
        <v>20</v>
      </c>
      <c r="F162" t="s">
        <v>35</v>
      </c>
      <c r="G162" t="s">
        <v>34</v>
      </c>
      <c r="H162" t="s">
        <v>24</v>
      </c>
      <c r="I162" t="s">
        <v>62</v>
      </c>
      <c r="J162" t="s">
        <v>38</v>
      </c>
      <c r="K162" t="s">
        <v>69</v>
      </c>
      <c r="L162">
        <v>13163.38</v>
      </c>
      <c r="M162">
        <v>70</v>
      </c>
      <c r="N162" s="10" t="s">
        <v>39</v>
      </c>
      <c r="O162" s="10" t="s">
        <v>28</v>
      </c>
      <c r="P162" s="13">
        <v>44788.727083333331</v>
      </c>
      <c r="Q162" t="s">
        <v>665</v>
      </c>
    </row>
    <row r="163" spans="1:17">
      <c r="A163" s="8" t="s">
        <v>666</v>
      </c>
      <c r="B163" s="8">
        <v>43629729</v>
      </c>
      <c r="C163" t="s">
        <v>667</v>
      </c>
      <c r="D163" t="s">
        <v>668</v>
      </c>
      <c r="E163" t="s">
        <v>20</v>
      </c>
      <c r="F163" t="s">
        <v>126</v>
      </c>
      <c r="G163" t="s">
        <v>98</v>
      </c>
      <c r="H163" t="s">
        <v>55</v>
      </c>
      <c r="I163" t="s">
        <v>36</v>
      </c>
      <c r="J163" t="s">
        <v>74</v>
      </c>
      <c r="K163" t="s">
        <v>46</v>
      </c>
      <c r="L163">
        <v>9710.32</v>
      </c>
      <c r="M163">
        <v>61</v>
      </c>
      <c r="N163" s="11" t="s">
        <v>39</v>
      </c>
      <c r="O163" s="11" t="s">
        <v>48</v>
      </c>
      <c r="P163" s="14">
        <v>43933.604166666664</v>
      </c>
      <c r="Q163" t="s">
        <v>669</v>
      </c>
    </row>
    <row r="164" spans="1:17">
      <c r="A164" s="8" t="s">
        <v>670</v>
      </c>
      <c r="B164" s="8">
        <v>84104909</v>
      </c>
      <c r="C164" t="s">
        <v>671</v>
      </c>
      <c r="D164" t="s">
        <v>490</v>
      </c>
      <c r="E164" t="s">
        <v>20</v>
      </c>
      <c r="F164" t="s">
        <v>44</v>
      </c>
      <c r="G164" t="s">
        <v>121</v>
      </c>
      <c r="H164" t="s">
        <v>24</v>
      </c>
      <c r="I164" t="s">
        <v>68</v>
      </c>
      <c r="J164" t="s">
        <v>38</v>
      </c>
      <c r="K164" t="s">
        <v>26</v>
      </c>
      <c r="L164">
        <v>11644.44</v>
      </c>
      <c r="M164">
        <v>49</v>
      </c>
      <c r="N164" s="10" t="s">
        <v>47</v>
      </c>
      <c r="O164" s="10" t="s">
        <v>75</v>
      </c>
      <c r="P164" s="13">
        <v>45000.301388888889</v>
      </c>
      <c r="Q164" t="s">
        <v>672</v>
      </c>
    </row>
    <row r="165" spans="1:17">
      <c r="A165" s="8" t="s">
        <v>673</v>
      </c>
      <c r="B165" s="8">
        <v>45465638</v>
      </c>
      <c r="C165" t="s">
        <v>674</v>
      </c>
      <c r="D165" t="s">
        <v>675</v>
      </c>
      <c r="E165" t="s">
        <v>20</v>
      </c>
      <c r="F165" t="s">
        <v>34</v>
      </c>
      <c r="G165" t="s">
        <v>44</v>
      </c>
      <c r="H165" t="s">
        <v>54</v>
      </c>
      <c r="I165" t="s">
        <v>127</v>
      </c>
      <c r="J165" t="s">
        <v>38</v>
      </c>
      <c r="K165" t="s">
        <v>63</v>
      </c>
      <c r="L165">
        <v>12648.67</v>
      </c>
      <c r="M165">
        <v>49</v>
      </c>
      <c r="N165" s="11" t="s">
        <v>57</v>
      </c>
      <c r="O165" s="11" t="s">
        <v>81</v>
      </c>
      <c r="P165" s="14">
        <v>45734.013194444444</v>
      </c>
      <c r="Q165" t="s">
        <v>676</v>
      </c>
    </row>
    <row r="166" spans="1:17">
      <c r="A166" s="8" t="s">
        <v>677</v>
      </c>
      <c r="B166" s="8">
        <v>82890984</v>
      </c>
      <c r="C166" t="s">
        <v>678</v>
      </c>
      <c r="D166" t="s">
        <v>679</v>
      </c>
      <c r="E166" t="s">
        <v>20</v>
      </c>
      <c r="F166" t="s">
        <v>121</v>
      </c>
      <c r="G166" t="s">
        <v>45</v>
      </c>
      <c r="H166" t="s">
        <v>127</v>
      </c>
      <c r="I166" t="s">
        <v>93</v>
      </c>
      <c r="J166" t="s">
        <v>38</v>
      </c>
      <c r="K166" t="s">
        <v>46</v>
      </c>
      <c r="L166">
        <v>141.97</v>
      </c>
      <c r="M166">
        <v>85</v>
      </c>
      <c r="N166" s="10" t="s">
        <v>57</v>
      </c>
      <c r="O166" s="10" t="s">
        <v>81</v>
      </c>
      <c r="P166" s="13">
        <v>45586.382638888892</v>
      </c>
      <c r="Q166" t="s">
        <v>680</v>
      </c>
    </row>
    <row r="167" spans="1:17">
      <c r="A167" s="8" t="s">
        <v>681</v>
      </c>
      <c r="B167" s="8">
        <v>25216804</v>
      </c>
      <c r="C167" t="s">
        <v>223</v>
      </c>
      <c r="D167" t="s">
        <v>682</v>
      </c>
      <c r="E167" t="s">
        <v>20</v>
      </c>
      <c r="F167" t="s">
        <v>98</v>
      </c>
      <c r="G167" t="s">
        <v>34</v>
      </c>
      <c r="H167" t="s">
        <v>93</v>
      </c>
      <c r="I167" t="s">
        <v>24</v>
      </c>
      <c r="J167" t="s">
        <v>103</v>
      </c>
      <c r="K167" t="s">
        <v>63</v>
      </c>
      <c r="L167">
        <v>1244.3599999999999</v>
      </c>
      <c r="M167">
        <v>72</v>
      </c>
      <c r="N167" s="11" t="s">
        <v>86</v>
      </c>
      <c r="O167" s="11" t="s">
        <v>48</v>
      </c>
      <c r="P167" s="14">
        <v>44509.172222222223</v>
      </c>
      <c r="Q167" t="s">
        <v>683</v>
      </c>
    </row>
    <row r="168" spans="1:17">
      <c r="A168" s="8" t="s">
        <v>684</v>
      </c>
      <c r="B168" s="8">
        <v>68416623</v>
      </c>
      <c r="C168" t="s">
        <v>685</v>
      </c>
      <c r="D168" t="s">
        <v>319</v>
      </c>
      <c r="E168" t="s">
        <v>20</v>
      </c>
      <c r="F168" t="s">
        <v>523</v>
      </c>
      <c r="G168" t="s">
        <v>686</v>
      </c>
      <c r="H168" t="s">
        <v>37</v>
      </c>
      <c r="I168" t="s">
        <v>68</v>
      </c>
      <c r="J168" t="s">
        <v>25</v>
      </c>
      <c r="K168" t="s">
        <v>63</v>
      </c>
      <c r="L168">
        <v>12326.07</v>
      </c>
      <c r="M168">
        <v>73</v>
      </c>
      <c r="N168" s="10" t="s">
        <v>57</v>
      </c>
      <c r="O168" s="10" t="s">
        <v>81</v>
      </c>
      <c r="P168" s="13">
        <v>45799.921527777777</v>
      </c>
      <c r="Q168" t="s">
        <v>687</v>
      </c>
    </row>
    <row r="169" spans="1:17">
      <c r="A169" s="8" t="s">
        <v>688</v>
      </c>
      <c r="B169" s="8">
        <v>18487605</v>
      </c>
      <c r="C169" t="s">
        <v>689</v>
      </c>
      <c r="D169" t="s">
        <v>690</v>
      </c>
      <c r="E169" t="s">
        <v>20</v>
      </c>
      <c r="F169" t="s">
        <v>35</v>
      </c>
      <c r="G169" t="s">
        <v>34</v>
      </c>
      <c r="H169" t="s">
        <v>36</v>
      </c>
      <c r="I169" t="s">
        <v>24</v>
      </c>
      <c r="J169" t="s">
        <v>56</v>
      </c>
      <c r="K169" t="s">
        <v>26</v>
      </c>
      <c r="L169">
        <v>5932.75</v>
      </c>
      <c r="M169">
        <v>34</v>
      </c>
      <c r="N169" s="11" t="s">
        <v>86</v>
      </c>
      <c r="O169" s="11" t="s">
        <v>81</v>
      </c>
      <c r="P169" s="14">
        <v>44819.634027777778</v>
      </c>
      <c r="Q169" t="s">
        <v>691</v>
      </c>
    </row>
    <row r="170" spans="1:17">
      <c r="A170" s="8" t="s">
        <v>692</v>
      </c>
      <c r="B170" s="8">
        <v>96965116</v>
      </c>
      <c r="C170" t="s">
        <v>693</v>
      </c>
      <c r="D170" t="s">
        <v>694</v>
      </c>
      <c r="E170" t="s">
        <v>33</v>
      </c>
      <c r="F170" t="s">
        <v>99</v>
      </c>
      <c r="G170" t="s">
        <v>80</v>
      </c>
      <c r="H170" t="s">
        <v>36</v>
      </c>
      <c r="I170" t="s">
        <v>55</v>
      </c>
      <c r="J170" t="s">
        <v>38</v>
      </c>
      <c r="K170" t="s">
        <v>46</v>
      </c>
      <c r="L170">
        <v>13554.16</v>
      </c>
      <c r="M170">
        <v>55</v>
      </c>
      <c r="N170" s="10" t="s">
        <v>57</v>
      </c>
      <c r="O170" s="10" t="s">
        <v>48</v>
      </c>
      <c r="P170" s="13">
        <v>44936.537499999999</v>
      </c>
      <c r="Q170" t="s">
        <v>695</v>
      </c>
    </row>
    <row r="171" spans="1:17">
      <c r="A171" s="8" t="s">
        <v>696</v>
      </c>
      <c r="B171" s="8">
        <v>86140729</v>
      </c>
      <c r="C171" t="s">
        <v>697</v>
      </c>
      <c r="D171" t="s">
        <v>139</v>
      </c>
      <c r="E171" t="s">
        <v>20</v>
      </c>
      <c r="F171" t="s">
        <v>98</v>
      </c>
      <c r="G171" t="s">
        <v>44</v>
      </c>
      <c r="H171" t="s">
        <v>24</v>
      </c>
      <c r="I171" t="s">
        <v>23</v>
      </c>
      <c r="J171" t="s">
        <v>38</v>
      </c>
      <c r="K171" t="s">
        <v>26</v>
      </c>
      <c r="L171">
        <v>14273.58</v>
      </c>
      <c r="M171">
        <v>41</v>
      </c>
      <c r="N171" s="11" t="s">
        <v>57</v>
      </c>
      <c r="O171" s="11" t="s">
        <v>48</v>
      </c>
      <c r="P171" s="14">
        <v>46306.863888888889</v>
      </c>
      <c r="Q171" t="s">
        <v>698</v>
      </c>
    </row>
    <row r="172" spans="1:17">
      <c r="A172" s="8" t="s">
        <v>699</v>
      </c>
      <c r="B172" s="8">
        <v>88405961</v>
      </c>
      <c r="C172" t="s">
        <v>700</v>
      </c>
      <c r="D172" t="s">
        <v>701</v>
      </c>
      <c r="E172" t="s">
        <v>20</v>
      </c>
      <c r="F172" t="s">
        <v>160</v>
      </c>
      <c r="G172" t="s">
        <v>21</v>
      </c>
      <c r="H172" t="s">
        <v>54</v>
      </c>
      <c r="I172" t="s">
        <v>36</v>
      </c>
      <c r="J172" t="s">
        <v>103</v>
      </c>
      <c r="K172" t="s">
        <v>26</v>
      </c>
      <c r="L172">
        <v>10196.91</v>
      </c>
      <c r="M172">
        <v>28</v>
      </c>
      <c r="N172" s="10" t="s">
        <v>57</v>
      </c>
      <c r="O172" s="10" t="s">
        <v>81</v>
      </c>
      <c r="P172" s="13">
        <v>45438.199305555558</v>
      </c>
      <c r="Q172" t="s">
        <v>702</v>
      </c>
    </row>
    <row r="173" spans="1:17">
      <c r="A173" s="8" t="s">
        <v>703</v>
      </c>
      <c r="B173" s="8">
        <v>28790705</v>
      </c>
      <c r="C173" t="s">
        <v>704</v>
      </c>
      <c r="D173" t="s">
        <v>705</v>
      </c>
      <c r="E173" t="s">
        <v>20</v>
      </c>
      <c r="F173" t="s">
        <v>45</v>
      </c>
      <c r="G173" t="s">
        <v>35</v>
      </c>
      <c r="H173" t="s">
        <v>127</v>
      </c>
      <c r="I173" t="s">
        <v>127</v>
      </c>
      <c r="J173" t="s">
        <v>38</v>
      </c>
      <c r="K173" t="s">
        <v>26</v>
      </c>
      <c r="L173">
        <v>11540.31</v>
      </c>
      <c r="M173">
        <v>33</v>
      </c>
      <c r="N173" s="11" t="s">
        <v>47</v>
      </c>
      <c r="O173" s="11" t="s">
        <v>28</v>
      </c>
      <c r="P173" s="14">
        <v>45333.453472222223</v>
      </c>
      <c r="Q173" t="s">
        <v>706</v>
      </c>
    </row>
    <row r="174" spans="1:17">
      <c r="A174" s="8" t="s">
        <v>707</v>
      </c>
      <c r="B174" s="8">
        <v>49057246</v>
      </c>
      <c r="C174" t="s">
        <v>708</v>
      </c>
      <c r="D174" t="s">
        <v>709</v>
      </c>
      <c r="E174" t="s">
        <v>20</v>
      </c>
      <c r="F174" t="s">
        <v>393</v>
      </c>
      <c r="G174" t="s">
        <v>98</v>
      </c>
      <c r="H174" t="s">
        <v>68</v>
      </c>
      <c r="I174" t="s">
        <v>68</v>
      </c>
      <c r="J174" t="s">
        <v>38</v>
      </c>
      <c r="K174" t="s">
        <v>26</v>
      </c>
      <c r="L174">
        <v>6698.84</v>
      </c>
      <c r="M174">
        <v>76</v>
      </c>
      <c r="N174" s="10" t="s">
        <v>47</v>
      </c>
      <c r="O174" s="10" t="s">
        <v>48</v>
      </c>
      <c r="P174" s="13">
        <v>45620.175000000003</v>
      </c>
      <c r="Q174" t="s">
        <v>710</v>
      </c>
    </row>
    <row r="175" spans="1:17">
      <c r="A175" s="8" t="s">
        <v>711</v>
      </c>
      <c r="B175" s="8">
        <v>58486337</v>
      </c>
      <c r="C175" t="s">
        <v>179</v>
      </c>
      <c r="D175" t="s">
        <v>712</v>
      </c>
      <c r="E175" t="s">
        <v>20</v>
      </c>
      <c r="F175" t="s">
        <v>80</v>
      </c>
      <c r="G175" t="s">
        <v>45</v>
      </c>
      <c r="H175" t="s">
        <v>36</v>
      </c>
      <c r="I175" t="s">
        <v>24</v>
      </c>
      <c r="J175" t="s">
        <v>103</v>
      </c>
      <c r="K175" t="s">
        <v>63</v>
      </c>
      <c r="L175">
        <v>8169.81</v>
      </c>
      <c r="M175">
        <v>20</v>
      </c>
      <c r="N175" s="11" t="s">
        <v>47</v>
      </c>
      <c r="O175" s="11" t="s">
        <v>81</v>
      </c>
      <c r="P175" s="14">
        <v>45016.433333333334</v>
      </c>
      <c r="Q175" t="s">
        <v>713</v>
      </c>
    </row>
    <row r="176" spans="1:17">
      <c r="A176" s="8" t="s">
        <v>714</v>
      </c>
      <c r="B176" s="8">
        <v>57365168</v>
      </c>
      <c r="C176" t="s">
        <v>192</v>
      </c>
      <c r="D176" t="s">
        <v>715</v>
      </c>
      <c r="E176" t="s">
        <v>20</v>
      </c>
      <c r="F176" t="s">
        <v>116</v>
      </c>
      <c r="G176" t="s">
        <v>80</v>
      </c>
      <c r="H176" t="s">
        <v>127</v>
      </c>
      <c r="I176" t="s">
        <v>54</v>
      </c>
      <c r="J176" t="s">
        <v>74</v>
      </c>
      <c r="K176" t="s">
        <v>26</v>
      </c>
      <c r="L176">
        <v>2811.72</v>
      </c>
      <c r="M176">
        <v>37</v>
      </c>
      <c r="N176" s="10" t="s">
        <v>57</v>
      </c>
      <c r="O176" s="10" t="s">
        <v>28</v>
      </c>
      <c r="P176" s="13">
        <v>44762.773611111108</v>
      </c>
      <c r="Q176" t="s">
        <v>716</v>
      </c>
    </row>
    <row r="177" spans="1:17">
      <c r="A177" s="8" t="s">
        <v>717</v>
      </c>
      <c r="B177" s="8">
        <v>65149958</v>
      </c>
      <c r="C177" t="s">
        <v>718</v>
      </c>
      <c r="D177" t="s">
        <v>719</v>
      </c>
      <c r="E177" t="s">
        <v>20</v>
      </c>
      <c r="F177" t="s">
        <v>21</v>
      </c>
      <c r="G177" t="s">
        <v>21</v>
      </c>
      <c r="H177" t="s">
        <v>93</v>
      </c>
      <c r="I177" t="s">
        <v>55</v>
      </c>
      <c r="J177" t="s">
        <v>74</v>
      </c>
      <c r="K177" t="s">
        <v>63</v>
      </c>
      <c r="L177">
        <v>14373.99</v>
      </c>
      <c r="M177">
        <v>76</v>
      </c>
      <c r="N177" s="11" t="s">
        <v>27</v>
      </c>
      <c r="O177" s="11" t="s">
        <v>28</v>
      </c>
      <c r="P177" s="14">
        <v>45256.609722222223</v>
      </c>
      <c r="Q177" t="s">
        <v>720</v>
      </c>
    </row>
    <row r="178" spans="1:17">
      <c r="A178" s="8" t="s">
        <v>721</v>
      </c>
      <c r="B178" s="8">
        <v>88201440</v>
      </c>
      <c r="C178" t="s">
        <v>196</v>
      </c>
      <c r="D178" t="s">
        <v>383</v>
      </c>
      <c r="E178" t="s">
        <v>20</v>
      </c>
      <c r="F178" t="s">
        <v>53</v>
      </c>
      <c r="G178" t="s">
        <v>21</v>
      </c>
      <c r="H178" t="s">
        <v>23</v>
      </c>
      <c r="I178" t="s">
        <v>54</v>
      </c>
      <c r="J178" t="s">
        <v>56</v>
      </c>
      <c r="K178" t="s">
        <v>26</v>
      </c>
      <c r="L178">
        <v>1637.47</v>
      </c>
      <c r="M178">
        <v>53</v>
      </c>
      <c r="N178" s="10" t="s">
        <v>47</v>
      </c>
      <c r="O178" s="10" t="s">
        <v>81</v>
      </c>
      <c r="P178" s="13">
        <v>44892.275694444441</v>
      </c>
      <c r="Q178" t="s">
        <v>722</v>
      </c>
    </row>
    <row r="179" spans="1:17">
      <c r="A179" s="8" t="s">
        <v>723</v>
      </c>
      <c r="B179" s="8">
        <v>22507745</v>
      </c>
      <c r="C179" t="s">
        <v>724</v>
      </c>
      <c r="D179" t="s">
        <v>725</v>
      </c>
      <c r="E179" t="s">
        <v>20</v>
      </c>
      <c r="F179" t="s">
        <v>80</v>
      </c>
      <c r="G179" t="s">
        <v>45</v>
      </c>
      <c r="H179" t="s">
        <v>54</v>
      </c>
      <c r="I179" t="s">
        <v>127</v>
      </c>
      <c r="J179" t="s">
        <v>74</v>
      </c>
      <c r="K179" t="s">
        <v>26</v>
      </c>
      <c r="L179">
        <v>11845.44</v>
      </c>
      <c r="M179">
        <v>36</v>
      </c>
      <c r="N179" s="11" t="s">
        <v>39</v>
      </c>
      <c r="O179" s="11" t="s">
        <v>75</v>
      </c>
      <c r="P179" s="14">
        <v>45809.113888888889</v>
      </c>
      <c r="Q179" t="s">
        <v>726</v>
      </c>
    </row>
    <row r="180" spans="1:17">
      <c r="A180" s="8" t="s">
        <v>727</v>
      </c>
      <c r="B180" s="8">
        <v>44601998</v>
      </c>
      <c r="C180" t="s">
        <v>728</v>
      </c>
      <c r="D180" t="s">
        <v>335</v>
      </c>
      <c r="E180" t="s">
        <v>20</v>
      </c>
      <c r="F180" t="s">
        <v>116</v>
      </c>
      <c r="G180" t="s">
        <v>98</v>
      </c>
      <c r="H180" t="s">
        <v>55</v>
      </c>
      <c r="I180" t="s">
        <v>68</v>
      </c>
      <c r="J180" t="s">
        <v>103</v>
      </c>
      <c r="K180" t="s">
        <v>69</v>
      </c>
      <c r="L180">
        <v>2330.13</v>
      </c>
      <c r="M180">
        <v>84</v>
      </c>
      <c r="N180" s="10" t="s">
        <v>27</v>
      </c>
      <c r="O180" s="10" t="s">
        <v>75</v>
      </c>
      <c r="P180" s="13">
        <v>46271.275000000001</v>
      </c>
      <c r="Q180" t="s">
        <v>729</v>
      </c>
    </row>
    <row r="181" spans="1:17">
      <c r="A181" s="8" t="s">
        <v>730</v>
      </c>
      <c r="B181" s="8">
        <v>84834795</v>
      </c>
      <c r="C181" t="s">
        <v>731</v>
      </c>
      <c r="D181" t="s">
        <v>353</v>
      </c>
      <c r="E181" t="s">
        <v>20</v>
      </c>
      <c r="F181" t="s">
        <v>53</v>
      </c>
      <c r="G181" t="s">
        <v>53</v>
      </c>
      <c r="H181" t="s">
        <v>127</v>
      </c>
      <c r="I181" t="s">
        <v>55</v>
      </c>
      <c r="J181" t="s">
        <v>25</v>
      </c>
      <c r="K181" t="s">
        <v>46</v>
      </c>
      <c r="L181">
        <v>3454.27</v>
      </c>
      <c r="M181">
        <v>36</v>
      </c>
      <c r="N181" s="11" t="s">
        <v>47</v>
      </c>
      <c r="O181" s="11" t="s">
        <v>28</v>
      </c>
      <c r="P181" s="14">
        <v>45873.950694444444</v>
      </c>
      <c r="Q181" t="s">
        <v>732</v>
      </c>
    </row>
    <row r="182" spans="1:17">
      <c r="A182" s="8" t="s">
        <v>733</v>
      </c>
      <c r="B182" s="8">
        <v>95345915</v>
      </c>
      <c r="C182" t="s">
        <v>734</v>
      </c>
      <c r="D182" t="s">
        <v>735</v>
      </c>
      <c r="E182" t="s">
        <v>20</v>
      </c>
      <c r="F182" t="s">
        <v>116</v>
      </c>
      <c r="G182" t="s">
        <v>92</v>
      </c>
      <c r="H182" t="s">
        <v>93</v>
      </c>
      <c r="I182" t="s">
        <v>68</v>
      </c>
      <c r="J182" t="s">
        <v>56</v>
      </c>
      <c r="K182" t="s">
        <v>63</v>
      </c>
      <c r="L182">
        <v>9846.07</v>
      </c>
      <c r="M182">
        <v>37</v>
      </c>
      <c r="N182" s="10" t="s">
        <v>57</v>
      </c>
      <c r="O182" s="10" t="s">
        <v>28</v>
      </c>
      <c r="P182" s="13">
        <v>46372.879861111112</v>
      </c>
      <c r="Q182" t="s">
        <v>736</v>
      </c>
    </row>
    <row r="183" spans="1:17">
      <c r="A183" s="8" t="s">
        <v>737</v>
      </c>
      <c r="B183" s="8">
        <v>90465529</v>
      </c>
      <c r="C183" t="s">
        <v>709</v>
      </c>
      <c r="D183" t="s">
        <v>738</v>
      </c>
      <c r="E183" t="s">
        <v>20</v>
      </c>
      <c r="F183" t="s">
        <v>45</v>
      </c>
      <c r="G183" t="s">
        <v>80</v>
      </c>
      <c r="H183" t="s">
        <v>68</v>
      </c>
      <c r="I183" t="s">
        <v>36</v>
      </c>
      <c r="J183" t="s">
        <v>56</v>
      </c>
      <c r="K183" t="s">
        <v>69</v>
      </c>
      <c r="L183">
        <v>10048.23</v>
      </c>
      <c r="M183">
        <v>69</v>
      </c>
      <c r="N183" s="11" t="s">
        <v>39</v>
      </c>
      <c r="O183" s="11" t="s">
        <v>48</v>
      </c>
      <c r="P183" s="14">
        <v>45109.70208333333</v>
      </c>
      <c r="Q183" t="s">
        <v>739</v>
      </c>
    </row>
    <row r="184" spans="1:17">
      <c r="A184" s="8" t="s">
        <v>740</v>
      </c>
      <c r="B184" s="8">
        <v>47112255</v>
      </c>
      <c r="C184" t="s">
        <v>741</v>
      </c>
      <c r="D184" t="s">
        <v>742</v>
      </c>
      <c r="E184" t="s">
        <v>33</v>
      </c>
      <c r="F184" t="s">
        <v>116</v>
      </c>
      <c r="G184" t="s">
        <v>80</v>
      </c>
      <c r="H184" t="s">
        <v>37</v>
      </c>
      <c r="I184" t="s">
        <v>37</v>
      </c>
      <c r="J184" t="s">
        <v>25</v>
      </c>
      <c r="K184" t="s">
        <v>63</v>
      </c>
      <c r="L184">
        <v>14351.07</v>
      </c>
      <c r="M184">
        <v>50</v>
      </c>
      <c r="N184" s="10" t="s">
        <v>27</v>
      </c>
      <c r="O184" s="10" t="s">
        <v>75</v>
      </c>
      <c r="P184" s="13">
        <v>45033.03125</v>
      </c>
      <c r="Q184" t="s">
        <v>743</v>
      </c>
    </row>
    <row r="185" spans="1:17">
      <c r="A185" s="8" t="s">
        <v>744</v>
      </c>
      <c r="B185" s="8">
        <v>13670948</v>
      </c>
      <c r="C185" t="s">
        <v>745</v>
      </c>
      <c r="D185" t="s">
        <v>577</v>
      </c>
      <c r="E185" t="s">
        <v>20</v>
      </c>
      <c r="F185" t="s">
        <v>121</v>
      </c>
      <c r="G185" t="s">
        <v>45</v>
      </c>
      <c r="H185" t="s">
        <v>55</v>
      </c>
      <c r="I185" t="s">
        <v>55</v>
      </c>
      <c r="J185" t="s">
        <v>38</v>
      </c>
      <c r="K185" t="s">
        <v>69</v>
      </c>
      <c r="L185">
        <v>3731.38</v>
      </c>
      <c r="M185">
        <v>57</v>
      </c>
      <c r="N185" s="11" t="s">
        <v>86</v>
      </c>
      <c r="O185" s="11" t="s">
        <v>81</v>
      </c>
      <c r="P185" s="14">
        <v>44424.695138888892</v>
      </c>
      <c r="Q185" t="s">
        <v>746</v>
      </c>
    </row>
    <row r="186" spans="1:17">
      <c r="A186" s="8" t="s">
        <v>747</v>
      </c>
      <c r="B186" s="8">
        <v>35523849</v>
      </c>
      <c r="C186" t="s">
        <v>748</v>
      </c>
      <c r="D186" t="s">
        <v>566</v>
      </c>
      <c r="E186" t="s">
        <v>20</v>
      </c>
      <c r="F186" t="s">
        <v>53</v>
      </c>
      <c r="G186" t="s">
        <v>121</v>
      </c>
      <c r="H186" t="s">
        <v>37</v>
      </c>
      <c r="I186" t="s">
        <v>54</v>
      </c>
      <c r="J186" t="s">
        <v>25</v>
      </c>
      <c r="K186" t="s">
        <v>69</v>
      </c>
      <c r="L186">
        <v>10140.42</v>
      </c>
      <c r="M186">
        <v>56</v>
      </c>
      <c r="N186" s="10" t="s">
        <v>39</v>
      </c>
      <c r="O186" s="10" t="s">
        <v>28</v>
      </c>
      <c r="P186" s="13">
        <v>46267.490972222222</v>
      </c>
      <c r="Q186" t="s">
        <v>749</v>
      </c>
    </row>
    <row r="187" spans="1:17">
      <c r="A187" s="8" t="s">
        <v>750</v>
      </c>
      <c r="B187" s="8">
        <v>0</v>
      </c>
      <c r="C187" t="s">
        <v>660</v>
      </c>
      <c r="D187" t="s">
        <v>751</v>
      </c>
      <c r="E187" t="s">
        <v>33</v>
      </c>
      <c r="F187" t="s">
        <v>80</v>
      </c>
      <c r="G187" t="s">
        <v>98</v>
      </c>
      <c r="H187" t="s">
        <v>68</v>
      </c>
      <c r="I187" t="s">
        <v>127</v>
      </c>
      <c r="J187" t="s">
        <v>38</v>
      </c>
      <c r="K187" t="s">
        <v>26</v>
      </c>
      <c r="L187">
        <v>6863.37</v>
      </c>
      <c r="M187">
        <v>18</v>
      </c>
      <c r="N187" s="11" t="s">
        <v>86</v>
      </c>
      <c r="O187" s="11" t="s">
        <v>81</v>
      </c>
      <c r="P187" s="14">
        <v>45252.55972222222</v>
      </c>
      <c r="Q187" t="s">
        <v>752</v>
      </c>
    </row>
    <row r="188" spans="1:17">
      <c r="A188" s="8" t="s">
        <v>753</v>
      </c>
      <c r="B188" s="8">
        <v>83626933</v>
      </c>
      <c r="C188" t="s">
        <v>452</v>
      </c>
      <c r="D188" t="s">
        <v>754</v>
      </c>
      <c r="E188" t="s">
        <v>20</v>
      </c>
      <c r="F188" t="s">
        <v>34</v>
      </c>
      <c r="G188" t="s">
        <v>34</v>
      </c>
      <c r="H188" t="s">
        <v>93</v>
      </c>
      <c r="I188" t="s">
        <v>23</v>
      </c>
      <c r="J188" t="s">
        <v>56</v>
      </c>
      <c r="K188" t="s">
        <v>69</v>
      </c>
      <c r="L188">
        <v>6766.43</v>
      </c>
      <c r="M188">
        <v>28</v>
      </c>
      <c r="N188" s="10" t="s">
        <v>27</v>
      </c>
      <c r="O188" s="10" t="s">
        <v>48</v>
      </c>
      <c r="P188" s="13">
        <v>46036.629861111112</v>
      </c>
      <c r="Q188" t="s">
        <v>755</v>
      </c>
    </row>
    <row r="189" spans="1:17">
      <c r="A189" s="8" t="s">
        <v>756</v>
      </c>
      <c r="B189" s="8">
        <v>30072000</v>
      </c>
      <c r="C189" t="s">
        <v>757</v>
      </c>
      <c r="D189" t="s">
        <v>758</v>
      </c>
      <c r="E189" t="s">
        <v>20</v>
      </c>
      <c r="F189" t="s">
        <v>21</v>
      </c>
      <c r="G189" t="s">
        <v>45</v>
      </c>
      <c r="H189" t="s">
        <v>36</v>
      </c>
      <c r="I189" t="s">
        <v>36</v>
      </c>
      <c r="J189" t="s">
        <v>38</v>
      </c>
      <c r="K189" t="s">
        <v>69</v>
      </c>
      <c r="L189">
        <v>5982.04</v>
      </c>
      <c r="M189">
        <v>74</v>
      </c>
      <c r="N189" s="11" t="s">
        <v>47</v>
      </c>
      <c r="O189" s="11" t="s">
        <v>28</v>
      </c>
      <c r="P189" s="14">
        <v>44858.957638888889</v>
      </c>
      <c r="Q189" t="s">
        <v>759</v>
      </c>
    </row>
    <row r="190" spans="1:17">
      <c r="A190" s="8" t="s">
        <v>760</v>
      </c>
      <c r="B190" s="8">
        <v>44589898</v>
      </c>
      <c r="C190" t="s">
        <v>693</v>
      </c>
      <c r="D190" t="s">
        <v>761</v>
      </c>
      <c r="E190" t="s">
        <v>20</v>
      </c>
      <c r="F190" t="s">
        <v>45</v>
      </c>
      <c r="G190" t="s">
        <v>116</v>
      </c>
      <c r="H190" t="s">
        <v>37</v>
      </c>
      <c r="I190" t="s">
        <v>37</v>
      </c>
      <c r="J190" t="s">
        <v>103</v>
      </c>
      <c r="K190" t="s">
        <v>69</v>
      </c>
      <c r="L190">
        <v>10101.16</v>
      </c>
      <c r="M190">
        <v>67</v>
      </c>
      <c r="N190" s="10" t="s">
        <v>39</v>
      </c>
      <c r="O190" s="10" t="s">
        <v>81</v>
      </c>
      <c r="P190" s="13">
        <v>46045.408333333333</v>
      </c>
      <c r="Q190" t="s">
        <v>762</v>
      </c>
    </row>
    <row r="191" spans="1:17">
      <c r="A191" s="8" t="s">
        <v>763</v>
      </c>
      <c r="B191" s="8">
        <v>94728082</v>
      </c>
      <c r="C191" t="s">
        <v>764</v>
      </c>
      <c r="D191" t="s">
        <v>562</v>
      </c>
      <c r="E191" t="s">
        <v>20</v>
      </c>
      <c r="F191" t="s">
        <v>35</v>
      </c>
      <c r="G191" t="s">
        <v>21</v>
      </c>
      <c r="H191" t="s">
        <v>55</v>
      </c>
      <c r="I191" t="s">
        <v>23</v>
      </c>
      <c r="J191" t="s">
        <v>56</v>
      </c>
      <c r="K191" t="s">
        <v>69</v>
      </c>
      <c r="L191">
        <v>13316.5</v>
      </c>
      <c r="M191">
        <v>40</v>
      </c>
      <c r="N191" s="11" t="s">
        <v>57</v>
      </c>
      <c r="O191" s="11" t="s">
        <v>81</v>
      </c>
      <c r="P191" s="14">
        <v>44790.72152777778</v>
      </c>
      <c r="Q191" t="s">
        <v>765</v>
      </c>
    </row>
    <row r="192" spans="1:17">
      <c r="A192" s="8" t="s">
        <v>766</v>
      </c>
      <c r="B192" s="8">
        <v>38262427</v>
      </c>
      <c r="C192" t="s">
        <v>767</v>
      </c>
      <c r="D192" t="s">
        <v>768</v>
      </c>
      <c r="E192" t="s">
        <v>20</v>
      </c>
      <c r="F192" t="s">
        <v>686</v>
      </c>
      <c r="G192" t="s">
        <v>98</v>
      </c>
      <c r="H192" t="s">
        <v>24</v>
      </c>
      <c r="I192" t="s">
        <v>93</v>
      </c>
      <c r="J192" t="s">
        <v>38</v>
      </c>
      <c r="K192" t="s">
        <v>26</v>
      </c>
      <c r="L192">
        <v>1273.83</v>
      </c>
      <c r="M192">
        <v>48</v>
      </c>
      <c r="N192" s="10" t="s">
        <v>39</v>
      </c>
      <c r="O192" s="10" t="s">
        <v>75</v>
      </c>
      <c r="P192" s="13">
        <v>46287.636111111111</v>
      </c>
      <c r="Q192" t="s">
        <v>769</v>
      </c>
    </row>
    <row r="193" spans="1:17">
      <c r="A193" s="8" t="s">
        <v>770</v>
      </c>
      <c r="B193" s="8">
        <v>53647781</v>
      </c>
      <c r="C193" t="s">
        <v>771</v>
      </c>
      <c r="D193" t="s">
        <v>401</v>
      </c>
      <c r="E193" t="s">
        <v>20</v>
      </c>
      <c r="F193" t="s">
        <v>53</v>
      </c>
      <c r="G193" t="s">
        <v>98</v>
      </c>
      <c r="H193" t="s">
        <v>62</v>
      </c>
      <c r="I193" t="s">
        <v>36</v>
      </c>
      <c r="J193" t="s">
        <v>38</v>
      </c>
      <c r="K193" t="s">
        <v>46</v>
      </c>
      <c r="L193">
        <v>9541.41</v>
      </c>
      <c r="M193">
        <v>59</v>
      </c>
      <c r="N193" s="11" t="s">
        <v>27</v>
      </c>
      <c r="O193" s="11" t="s">
        <v>81</v>
      </c>
      <c r="P193" s="14">
        <v>46072.637499999997</v>
      </c>
      <c r="Q193" t="s">
        <v>772</v>
      </c>
    </row>
    <row r="194" spans="1:17">
      <c r="A194" s="8" t="s">
        <v>773</v>
      </c>
      <c r="B194" s="8">
        <v>10012394</v>
      </c>
      <c r="C194" t="s">
        <v>774</v>
      </c>
      <c r="D194" t="s">
        <v>775</v>
      </c>
      <c r="E194" t="s">
        <v>20</v>
      </c>
      <c r="F194" t="s">
        <v>53</v>
      </c>
      <c r="G194" t="s">
        <v>44</v>
      </c>
      <c r="H194" t="s">
        <v>127</v>
      </c>
      <c r="I194" t="s">
        <v>127</v>
      </c>
      <c r="J194" t="s">
        <v>56</v>
      </c>
      <c r="K194" t="s">
        <v>69</v>
      </c>
      <c r="L194">
        <v>8959.09</v>
      </c>
      <c r="M194">
        <v>24</v>
      </c>
      <c r="N194" s="10" t="s">
        <v>86</v>
      </c>
      <c r="O194" s="10" t="s">
        <v>75</v>
      </c>
      <c r="P194" s="13">
        <v>46113.996527777781</v>
      </c>
      <c r="Q194" t="s">
        <v>776</v>
      </c>
    </row>
    <row r="195" spans="1:17">
      <c r="A195" s="8" t="s">
        <v>777</v>
      </c>
      <c r="B195" s="8">
        <v>45296615</v>
      </c>
      <c r="C195" t="s">
        <v>778</v>
      </c>
      <c r="D195" t="s">
        <v>18</v>
      </c>
      <c r="E195" t="s">
        <v>20</v>
      </c>
      <c r="F195" t="s">
        <v>116</v>
      </c>
      <c r="G195" t="s">
        <v>22</v>
      </c>
      <c r="H195" t="s">
        <v>36</v>
      </c>
      <c r="I195" t="s">
        <v>24</v>
      </c>
      <c r="J195" t="s">
        <v>25</v>
      </c>
      <c r="K195" t="s">
        <v>26</v>
      </c>
      <c r="L195">
        <v>2057.9899999999998</v>
      </c>
      <c r="M195">
        <v>33</v>
      </c>
      <c r="N195" s="11" t="s">
        <v>86</v>
      </c>
      <c r="O195" s="11" t="s">
        <v>81</v>
      </c>
      <c r="P195" s="14">
        <v>45004.317361111112</v>
      </c>
      <c r="Q195" t="s">
        <v>779</v>
      </c>
    </row>
    <row r="196" spans="1:17">
      <c r="A196" s="8" t="s">
        <v>780</v>
      </c>
      <c r="B196" s="8">
        <v>23726915</v>
      </c>
      <c r="C196" t="s">
        <v>592</v>
      </c>
      <c r="D196" t="s">
        <v>460</v>
      </c>
      <c r="E196" t="s">
        <v>20</v>
      </c>
      <c r="F196" t="s">
        <v>556</v>
      </c>
      <c r="G196" t="s">
        <v>121</v>
      </c>
      <c r="H196" t="s">
        <v>37</v>
      </c>
      <c r="I196" t="s">
        <v>55</v>
      </c>
      <c r="J196" t="s">
        <v>56</v>
      </c>
      <c r="K196" t="s">
        <v>69</v>
      </c>
      <c r="L196">
        <v>6960.63</v>
      </c>
      <c r="M196">
        <v>77</v>
      </c>
      <c r="N196" s="10" t="s">
        <v>86</v>
      </c>
      <c r="O196" s="10" t="s">
        <v>75</v>
      </c>
      <c r="P196" s="13">
        <v>44646.244444444441</v>
      </c>
      <c r="Q196" t="s">
        <v>781</v>
      </c>
    </row>
    <row r="197" spans="1:17">
      <c r="A197" s="8" t="s">
        <v>782</v>
      </c>
      <c r="B197" s="8">
        <v>61214452</v>
      </c>
      <c r="C197" t="s">
        <v>783</v>
      </c>
      <c r="D197" t="s">
        <v>784</v>
      </c>
      <c r="E197" t="s">
        <v>33</v>
      </c>
      <c r="F197" t="s">
        <v>92</v>
      </c>
      <c r="G197" t="s">
        <v>44</v>
      </c>
      <c r="H197" t="s">
        <v>23</v>
      </c>
      <c r="I197" t="s">
        <v>68</v>
      </c>
      <c r="J197" t="s">
        <v>38</v>
      </c>
      <c r="K197" t="s">
        <v>26</v>
      </c>
      <c r="L197">
        <v>7097.65</v>
      </c>
      <c r="M197">
        <v>19</v>
      </c>
      <c r="N197" s="11" t="s">
        <v>57</v>
      </c>
      <c r="O197" s="11" t="s">
        <v>75</v>
      </c>
      <c r="P197" s="14">
        <v>44234.357638888891</v>
      </c>
      <c r="Q197" t="s">
        <v>785</v>
      </c>
    </row>
    <row r="198" spans="1:17">
      <c r="A198" s="8" t="s">
        <v>786</v>
      </c>
      <c r="B198" s="8">
        <v>16991067</v>
      </c>
      <c r="C198" t="s">
        <v>231</v>
      </c>
      <c r="D198" t="s">
        <v>787</v>
      </c>
      <c r="E198" t="s">
        <v>20</v>
      </c>
      <c r="F198" t="s">
        <v>160</v>
      </c>
      <c r="G198" t="s">
        <v>34</v>
      </c>
      <c r="H198" t="s">
        <v>127</v>
      </c>
      <c r="I198" t="s">
        <v>127</v>
      </c>
      <c r="J198" t="s">
        <v>25</v>
      </c>
      <c r="K198" t="s">
        <v>63</v>
      </c>
      <c r="L198">
        <v>11754.29</v>
      </c>
      <c r="M198">
        <v>18</v>
      </c>
      <c r="N198" s="10" t="s">
        <v>39</v>
      </c>
      <c r="O198" s="10" t="s">
        <v>48</v>
      </c>
      <c r="P198" s="13">
        <v>44723.499305555553</v>
      </c>
      <c r="Q198" t="s">
        <v>788</v>
      </c>
    </row>
    <row r="199" spans="1:17">
      <c r="A199" s="8" t="s">
        <v>789</v>
      </c>
      <c r="B199" s="8">
        <v>0</v>
      </c>
      <c r="C199" t="s">
        <v>790</v>
      </c>
      <c r="D199" t="s">
        <v>460</v>
      </c>
      <c r="E199" t="s">
        <v>20</v>
      </c>
      <c r="F199" t="s">
        <v>35</v>
      </c>
      <c r="G199" t="s">
        <v>21</v>
      </c>
      <c r="H199" t="s">
        <v>24</v>
      </c>
      <c r="I199" t="s">
        <v>55</v>
      </c>
      <c r="J199" t="s">
        <v>56</v>
      </c>
      <c r="K199" t="s">
        <v>46</v>
      </c>
      <c r="L199">
        <v>2902.55</v>
      </c>
      <c r="M199">
        <v>65</v>
      </c>
      <c r="N199" s="11" t="s">
        <v>39</v>
      </c>
      <c r="O199" s="11" t="s">
        <v>75</v>
      </c>
      <c r="P199" s="14">
        <v>43898.495833333334</v>
      </c>
      <c r="Q199" t="s">
        <v>791</v>
      </c>
    </row>
    <row r="200" spans="1:17">
      <c r="A200" s="8" t="s">
        <v>792</v>
      </c>
      <c r="B200" s="8">
        <v>82963514</v>
      </c>
      <c r="C200" t="s">
        <v>793</v>
      </c>
      <c r="D200" t="s">
        <v>110</v>
      </c>
      <c r="E200" t="s">
        <v>20</v>
      </c>
      <c r="F200" t="s">
        <v>116</v>
      </c>
      <c r="G200" t="s">
        <v>98</v>
      </c>
      <c r="H200" t="s">
        <v>68</v>
      </c>
      <c r="I200" t="s">
        <v>23</v>
      </c>
      <c r="J200" t="s">
        <v>56</v>
      </c>
      <c r="K200" t="s">
        <v>69</v>
      </c>
      <c r="L200">
        <v>11641.01</v>
      </c>
      <c r="M200">
        <v>29</v>
      </c>
      <c r="N200" s="10" t="s">
        <v>27</v>
      </c>
      <c r="O200" s="10" t="s">
        <v>81</v>
      </c>
      <c r="P200" s="13">
        <v>43918.676388888889</v>
      </c>
      <c r="Q200" t="s">
        <v>794</v>
      </c>
    </row>
    <row r="201" spans="1:17">
      <c r="A201" s="8" t="s">
        <v>795</v>
      </c>
      <c r="B201" s="8">
        <v>62008140</v>
      </c>
      <c r="C201" t="s">
        <v>796</v>
      </c>
      <c r="D201" t="s">
        <v>797</v>
      </c>
      <c r="E201" t="s">
        <v>20</v>
      </c>
      <c r="F201" t="s">
        <v>21</v>
      </c>
      <c r="G201" t="s">
        <v>116</v>
      </c>
      <c r="H201" t="s">
        <v>62</v>
      </c>
      <c r="I201" t="s">
        <v>68</v>
      </c>
      <c r="J201" t="s">
        <v>25</v>
      </c>
      <c r="K201" t="s">
        <v>26</v>
      </c>
      <c r="L201">
        <v>2687.8</v>
      </c>
      <c r="M201">
        <v>54</v>
      </c>
      <c r="N201" s="11" t="s">
        <v>86</v>
      </c>
      <c r="O201" s="11" t="s">
        <v>48</v>
      </c>
      <c r="P201" s="14">
        <v>46095.359722222223</v>
      </c>
      <c r="Q201" t="s">
        <v>798</v>
      </c>
    </row>
    <row r="202" spans="1:17">
      <c r="A202" s="8" t="s">
        <v>799</v>
      </c>
      <c r="B202" s="8">
        <v>44351488</v>
      </c>
      <c r="C202" t="s">
        <v>282</v>
      </c>
      <c r="D202" t="s">
        <v>741</v>
      </c>
      <c r="E202" t="s">
        <v>33</v>
      </c>
      <c r="F202" t="s">
        <v>80</v>
      </c>
      <c r="G202" t="s">
        <v>121</v>
      </c>
      <c r="H202" t="s">
        <v>93</v>
      </c>
      <c r="I202" t="s">
        <v>62</v>
      </c>
      <c r="J202" t="s">
        <v>103</v>
      </c>
      <c r="K202" t="s">
        <v>63</v>
      </c>
      <c r="L202">
        <v>11154.73</v>
      </c>
      <c r="M202">
        <v>49</v>
      </c>
      <c r="N202" s="10" t="s">
        <v>39</v>
      </c>
      <c r="O202" s="10" t="s">
        <v>75</v>
      </c>
      <c r="P202" s="13">
        <v>45879.407638888886</v>
      </c>
      <c r="Q202" t="s">
        <v>800</v>
      </c>
    </row>
    <row r="203" spans="1:17">
      <c r="A203" s="8" t="s">
        <v>801</v>
      </c>
      <c r="B203" s="8">
        <v>23586205</v>
      </c>
      <c r="C203" t="s">
        <v>802</v>
      </c>
      <c r="D203" t="s">
        <v>678</v>
      </c>
      <c r="E203" t="s">
        <v>20</v>
      </c>
      <c r="F203" t="s">
        <v>98</v>
      </c>
      <c r="G203" t="s">
        <v>45</v>
      </c>
      <c r="H203" t="s">
        <v>24</v>
      </c>
      <c r="I203" t="s">
        <v>54</v>
      </c>
      <c r="J203" t="s">
        <v>25</v>
      </c>
      <c r="K203" t="s">
        <v>46</v>
      </c>
      <c r="L203">
        <v>8652.69</v>
      </c>
      <c r="M203">
        <v>26</v>
      </c>
      <c r="N203" s="11" t="s">
        <v>39</v>
      </c>
      <c r="O203" s="11" t="s">
        <v>81</v>
      </c>
      <c r="P203" s="14">
        <v>44989.479861111111</v>
      </c>
      <c r="Q203" t="s">
        <v>803</v>
      </c>
    </row>
    <row r="204" spans="1:17">
      <c r="A204" s="8" t="s">
        <v>804</v>
      </c>
      <c r="B204" s="8">
        <v>0</v>
      </c>
      <c r="C204" t="s">
        <v>805</v>
      </c>
      <c r="D204" t="s">
        <v>18</v>
      </c>
      <c r="E204" t="s">
        <v>20</v>
      </c>
      <c r="F204" t="s">
        <v>92</v>
      </c>
      <c r="G204" t="s">
        <v>523</v>
      </c>
      <c r="H204" t="s">
        <v>24</v>
      </c>
      <c r="I204" t="s">
        <v>93</v>
      </c>
      <c r="J204" t="s">
        <v>38</v>
      </c>
      <c r="K204" t="s">
        <v>46</v>
      </c>
      <c r="L204">
        <v>3818.8</v>
      </c>
      <c r="M204">
        <v>36</v>
      </c>
      <c r="N204" s="10" t="s">
        <v>39</v>
      </c>
      <c r="O204" s="10" t="s">
        <v>81</v>
      </c>
      <c r="P204" s="13">
        <v>45551.261805555558</v>
      </c>
      <c r="Q204" t="s">
        <v>806</v>
      </c>
    </row>
    <row r="205" spans="1:17">
      <c r="A205" s="8" t="s">
        <v>807</v>
      </c>
      <c r="B205" s="8">
        <v>39781129</v>
      </c>
      <c r="C205" t="s">
        <v>808</v>
      </c>
      <c r="D205" t="s">
        <v>809</v>
      </c>
      <c r="E205" t="s">
        <v>20</v>
      </c>
      <c r="F205" t="s">
        <v>22</v>
      </c>
      <c r="G205" t="s">
        <v>53</v>
      </c>
      <c r="H205" t="s">
        <v>68</v>
      </c>
      <c r="I205" t="s">
        <v>36</v>
      </c>
      <c r="J205" t="s">
        <v>56</v>
      </c>
      <c r="K205" t="s">
        <v>69</v>
      </c>
      <c r="L205">
        <v>2350.0500000000002</v>
      </c>
      <c r="M205">
        <v>65</v>
      </c>
      <c r="N205" s="11" t="s">
        <v>57</v>
      </c>
      <c r="O205" s="11" t="s">
        <v>75</v>
      </c>
      <c r="P205" s="14">
        <v>45205.604861111111</v>
      </c>
      <c r="Q205" t="s">
        <v>810</v>
      </c>
    </row>
    <row r="206" spans="1:17">
      <c r="A206" s="8" t="s">
        <v>811</v>
      </c>
      <c r="B206" s="8">
        <v>74764506</v>
      </c>
      <c r="C206" t="s">
        <v>555</v>
      </c>
      <c r="D206" t="s">
        <v>18</v>
      </c>
      <c r="E206" t="s">
        <v>20</v>
      </c>
      <c r="F206" t="s">
        <v>116</v>
      </c>
      <c r="G206" t="s">
        <v>35</v>
      </c>
      <c r="H206" t="s">
        <v>54</v>
      </c>
      <c r="I206" t="s">
        <v>127</v>
      </c>
      <c r="J206" t="s">
        <v>25</v>
      </c>
      <c r="K206" t="s">
        <v>69</v>
      </c>
      <c r="L206">
        <v>5225.47</v>
      </c>
      <c r="M206">
        <v>20</v>
      </c>
      <c r="N206" s="10" t="s">
        <v>39</v>
      </c>
      <c r="O206" s="10" t="s">
        <v>81</v>
      </c>
      <c r="P206" s="13">
        <v>46018.247916666667</v>
      </c>
      <c r="Q206" t="s">
        <v>812</v>
      </c>
    </row>
    <row r="207" spans="1:17">
      <c r="A207" s="8" t="s">
        <v>813</v>
      </c>
      <c r="B207" s="8">
        <v>15527388</v>
      </c>
      <c r="C207" t="s">
        <v>814</v>
      </c>
      <c r="D207" t="s">
        <v>815</v>
      </c>
      <c r="E207" t="s">
        <v>20</v>
      </c>
      <c r="F207" t="s">
        <v>22</v>
      </c>
      <c r="G207" t="s">
        <v>121</v>
      </c>
      <c r="H207" t="s">
        <v>68</v>
      </c>
      <c r="I207" t="s">
        <v>93</v>
      </c>
      <c r="J207" t="s">
        <v>38</v>
      </c>
      <c r="K207" t="s">
        <v>63</v>
      </c>
      <c r="L207">
        <v>1360.34</v>
      </c>
      <c r="M207">
        <v>37</v>
      </c>
      <c r="N207" s="11" t="s">
        <v>39</v>
      </c>
      <c r="O207" s="11" t="s">
        <v>75</v>
      </c>
      <c r="P207" s="14">
        <v>46011.487500000003</v>
      </c>
      <c r="Q207" t="s">
        <v>816</v>
      </c>
    </row>
    <row r="208" spans="1:17">
      <c r="A208" s="8" t="s">
        <v>817</v>
      </c>
      <c r="B208" s="8">
        <v>68316409</v>
      </c>
      <c r="C208" t="s">
        <v>818</v>
      </c>
      <c r="D208" t="s">
        <v>819</v>
      </c>
      <c r="E208" t="s">
        <v>20</v>
      </c>
      <c r="F208" t="s">
        <v>98</v>
      </c>
      <c r="G208" t="s">
        <v>121</v>
      </c>
      <c r="H208" t="s">
        <v>54</v>
      </c>
      <c r="I208" t="s">
        <v>24</v>
      </c>
      <c r="J208" t="s">
        <v>74</v>
      </c>
      <c r="K208" t="s">
        <v>26</v>
      </c>
      <c r="L208">
        <v>1083.94</v>
      </c>
      <c r="M208">
        <v>41</v>
      </c>
      <c r="N208" s="10" t="s">
        <v>39</v>
      </c>
      <c r="O208" s="10" t="s">
        <v>75</v>
      </c>
      <c r="P208" s="13">
        <v>45474.81527777778</v>
      </c>
      <c r="Q208" t="s">
        <v>820</v>
      </c>
    </row>
    <row r="209" spans="1:17">
      <c r="A209" s="8" t="s">
        <v>821</v>
      </c>
      <c r="B209" s="8">
        <v>32717056</v>
      </c>
      <c r="C209" t="s">
        <v>822</v>
      </c>
      <c r="D209" t="s">
        <v>120</v>
      </c>
      <c r="E209" t="s">
        <v>20</v>
      </c>
      <c r="F209" t="s">
        <v>91</v>
      </c>
      <c r="G209" t="s">
        <v>44</v>
      </c>
      <c r="H209" t="s">
        <v>54</v>
      </c>
      <c r="I209" t="s">
        <v>55</v>
      </c>
      <c r="J209" t="s">
        <v>38</v>
      </c>
      <c r="K209" t="s">
        <v>69</v>
      </c>
      <c r="L209">
        <v>11096.33</v>
      </c>
      <c r="M209">
        <v>71</v>
      </c>
      <c r="N209" s="11" t="s">
        <v>47</v>
      </c>
      <c r="O209" s="11" t="s">
        <v>48</v>
      </c>
      <c r="P209" s="14">
        <v>44008.067361111112</v>
      </c>
      <c r="Q209" t="s">
        <v>823</v>
      </c>
    </row>
    <row r="210" spans="1:17">
      <c r="A210" s="8" t="s">
        <v>824</v>
      </c>
      <c r="B210" s="8">
        <v>37353754</v>
      </c>
      <c r="C210" t="s">
        <v>825</v>
      </c>
      <c r="D210" t="s">
        <v>826</v>
      </c>
      <c r="E210" t="s">
        <v>20</v>
      </c>
      <c r="F210" t="s">
        <v>116</v>
      </c>
      <c r="G210" t="s">
        <v>22</v>
      </c>
      <c r="H210" t="s">
        <v>36</v>
      </c>
      <c r="I210" t="s">
        <v>55</v>
      </c>
      <c r="J210" t="s">
        <v>38</v>
      </c>
      <c r="K210" t="s">
        <v>69</v>
      </c>
      <c r="L210">
        <v>3839.29</v>
      </c>
      <c r="M210">
        <v>50</v>
      </c>
      <c r="N210" s="10" t="s">
        <v>86</v>
      </c>
      <c r="O210" s="10" t="s">
        <v>75</v>
      </c>
      <c r="P210" s="13">
        <v>45212.995138888888</v>
      </c>
      <c r="Q210" t="s">
        <v>827</v>
      </c>
    </row>
    <row r="211" spans="1:17">
      <c r="A211" s="8" t="s">
        <v>828</v>
      </c>
      <c r="B211" s="8">
        <v>98597172</v>
      </c>
      <c r="C211" t="s">
        <v>829</v>
      </c>
      <c r="D211" t="s">
        <v>18</v>
      </c>
      <c r="E211" t="s">
        <v>20</v>
      </c>
      <c r="F211" t="s">
        <v>523</v>
      </c>
      <c r="G211" t="s">
        <v>92</v>
      </c>
      <c r="H211" t="s">
        <v>36</v>
      </c>
      <c r="I211" t="s">
        <v>127</v>
      </c>
      <c r="J211" t="s">
        <v>38</v>
      </c>
      <c r="K211" t="s">
        <v>63</v>
      </c>
      <c r="L211">
        <v>1329.43</v>
      </c>
      <c r="M211">
        <v>41</v>
      </c>
      <c r="N211" s="11" t="s">
        <v>47</v>
      </c>
      <c r="O211" s="11" t="s">
        <v>81</v>
      </c>
      <c r="P211" s="14">
        <v>46258.178472222222</v>
      </c>
      <c r="Q211" t="s">
        <v>830</v>
      </c>
    </row>
    <row r="212" spans="1:17">
      <c r="A212" s="8" t="s">
        <v>831</v>
      </c>
      <c r="B212" s="8">
        <v>57698045</v>
      </c>
      <c r="C212" t="s">
        <v>832</v>
      </c>
      <c r="D212" t="s">
        <v>833</v>
      </c>
      <c r="E212" t="s">
        <v>20</v>
      </c>
      <c r="F212" t="s">
        <v>80</v>
      </c>
      <c r="G212" t="s">
        <v>45</v>
      </c>
      <c r="H212" t="s">
        <v>55</v>
      </c>
      <c r="I212" t="s">
        <v>37</v>
      </c>
      <c r="J212" t="s">
        <v>103</v>
      </c>
      <c r="K212" t="s">
        <v>26</v>
      </c>
      <c r="L212">
        <v>2284.11</v>
      </c>
      <c r="M212">
        <v>53</v>
      </c>
      <c r="N212" s="10" t="s">
        <v>39</v>
      </c>
      <c r="O212" s="10" t="s">
        <v>48</v>
      </c>
      <c r="P212" s="13">
        <v>44738.629861111112</v>
      </c>
      <c r="Q212" t="s">
        <v>834</v>
      </c>
    </row>
    <row r="213" spans="1:17">
      <c r="A213" s="8" t="s">
        <v>835</v>
      </c>
      <c r="B213" s="8">
        <v>67239162</v>
      </c>
      <c r="C213" t="s">
        <v>107</v>
      </c>
      <c r="D213" t="s">
        <v>836</v>
      </c>
      <c r="E213" t="s">
        <v>20</v>
      </c>
      <c r="F213" t="s">
        <v>21</v>
      </c>
      <c r="G213" t="s">
        <v>121</v>
      </c>
      <c r="H213" t="s">
        <v>37</v>
      </c>
      <c r="I213" t="s">
        <v>37</v>
      </c>
      <c r="J213" t="s">
        <v>38</v>
      </c>
      <c r="K213" t="s">
        <v>46</v>
      </c>
      <c r="L213">
        <v>13480.66</v>
      </c>
      <c r="M213">
        <v>55</v>
      </c>
      <c r="N213" s="11" t="s">
        <v>47</v>
      </c>
      <c r="O213" s="11" t="s">
        <v>81</v>
      </c>
      <c r="P213" s="14">
        <v>46328.806250000001</v>
      </c>
      <c r="Q213" t="s">
        <v>837</v>
      </c>
    </row>
    <row r="214" spans="1:17">
      <c r="A214" s="8" t="s">
        <v>838</v>
      </c>
      <c r="B214" s="8">
        <v>29531743</v>
      </c>
      <c r="C214" t="s">
        <v>839</v>
      </c>
      <c r="D214" t="s">
        <v>840</v>
      </c>
      <c r="E214" t="s">
        <v>20</v>
      </c>
      <c r="F214" t="s">
        <v>92</v>
      </c>
      <c r="G214" t="s">
        <v>92</v>
      </c>
      <c r="H214" t="s">
        <v>37</v>
      </c>
      <c r="I214" t="s">
        <v>62</v>
      </c>
      <c r="J214" t="s">
        <v>38</v>
      </c>
      <c r="K214" t="s">
        <v>26</v>
      </c>
      <c r="L214">
        <v>1610.5</v>
      </c>
      <c r="M214">
        <v>42</v>
      </c>
      <c r="N214" s="10" t="s">
        <v>47</v>
      </c>
      <c r="O214" s="10" t="s">
        <v>28</v>
      </c>
      <c r="P214" s="13">
        <v>44416.42291666667</v>
      </c>
      <c r="Q214" t="s">
        <v>841</v>
      </c>
    </row>
    <row r="215" spans="1:17">
      <c r="A215" s="8" t="s">
        <v>842</v>
      </c>
      <c r="B215" s="8">
        <v>27996802</v>
      </c>
      <c r="C215" t="s">
        <v>843</v>
      </c>
      <c r="D215" t="s">
        <v>844</v>
      </c>
      <c r="E215" t="s">
        <v>20</v>
      </c>
      <c r="F215" t="s">
        <v>34</v>
      </c>
      <c r="G215" t="s">
        <v>21</v>
      </c>
      <c r="H215" t="s">
        <v>93</v>
      </c>
      <c r="I215" t="s">
        <v>54</v>
      </c>
      <c r="J215" t="s">
        <v>25</v>
      </c>
      <c r="K215" t="s">
        <v>69</v>
      </c>
      <c r="L215">
        <v>14253.47</v>
      </c>
      <c r="M215">
        <v>35</v>
      </c>
      <c r="N215" s="11" t="s">
        <v>47</v>
      </c>
      <c r="O215" s="11" t="s">
        <v>48</v>
      </c>
      <c r="P215" s="14">
        <v>46341.99722222222</v>
      </c>
      <c r="Q215" t="s">
        <v>845</v>
      </c>
    </row>
    <row r="216" spans="1:17">
      <c r="A216" s="8" t="s">
        <v>846</v>
      </c>
      <c r="B216" s="8">
        <v>43122766</v>
      </c>
      <c r="C216" t="s">
        <v>847</v>
      </c>
      <c r="D216" t="s">
        <v>848</v>
      </c>
      <c r="E216" t="s">
        <v>20</v>
      </c>
      <c r="F216" t="s">
        <v>92</v>
      </c>
      <c r="G216" t="s">
        <v>22</v>
      </c>
      <c r="H216" t="s">
        <v>37</v>
      </c>
      <c r="I216" t="s">
        <v>68</v>
      </c>
      <c r="J216" t="s">
        <v>38</v>
      </c>
      <c r="K216" t="s">
        <v>69</v>
      </c>
      <c r="L216">
        <v>7814.53</v>
      </c>
      <c r="M216">
        <v>83</v>
      </c>
      <c r="N216" s="10" t="s">
        <v>39</v>
      </c>
      <c r="O216" s="10" t="s">
        <v>81</v>
      </c>
      <c r="P216" s="13">
        <v>44820.494444444441</v>
      </c>
      <c r="Q216" t="s">
        <v>849</v>
      </c>
    </row>
    <row r="217" spans="1:17">
      <c r="A217" s="8" t="s">
        <v>850</v>
      </c>
      <c r="B217" s="8">
        <v>35481281</v>
      </c>
      <c r="C217" t="s">
        <v>102</v>
      </c>
      <c r="D217" t="s">
        <v>147</v>
      </c>
      <c r="E217" t="s">
        <v>20</v>
      </c>
      <c r="F217" t="s">
        <v>53</v>
      </c>
      <c r="G217" t="s">
        <v>44</v>
      </c>
      <c r="H217" t="s">
        <v>36</v>
      </c>
      <c r="I217" t="s">
        <v>24</v>
      </c>
      <c r="J217" t="s">
        <v>56</v>
      </c>
      <c r="K217" t="s">
        <v>46</v>
      </c>
      <c r="L217">
        <v>6780.95</v>
      </c>
      <c r="M217">
        <v>71</v>
      </c>
      <c r="N217" s="11" t="s">
        <v>27</v>
      </c>
      <c r="O217" s="11" t="s">
        <v>28</v>
      </c>
      <c r="P217" s="14">
        <v>44962.248611111114</v>
      </c>
      <c r="Q217" t="s">
        <v>851</v>
      </c>
    </row>
    <row r="218" spans="1:17">
      <c r="A218" s="8" t="s">
        <v>852</v>
      </c>
      <c r="B218" s="8">
        <v>37102854</v>
      </c>
      <c r="C218" t="s">
        <v>853</v>
      </c>
      <c r="D218" t="s">
        <v>854</v>
      </c>
      <c r="E218" t="s">
        <v>20</v>
      </c>
      <c r="F218" t="s">
        <v>45</v>
      </c>
      <c r="G218" t="s">
        <v>22</v>
      </c>
      <c r="H218" t="s">
        <v>55</v>
      </c>
      <c r="I218" t="s">
        <v>93</v>
      </c>
      <c r="J218" t="s">
        <v>103</v>
      </c>
      <c r="K218" t="s">
        <v>69</v>
      </c>
      <c r="L218">
        <v>7862.02</v>
      </c>
      <c r="M218">
        <v>52</v>
      </c>
      <c r="N218" s="10" t="s">
        <v>39</v>
      </c>
      <c r="O218" s="10" t="s">
        <v>48</v>
      </c>
      <c r="P218" s="13">
        <v>46000.794444444444</v>
      </c>
      <c r="Q218" t="s">
        <v>855</v>
      </c>
    </row>
    <row r="219" spans="1:17">
      <c r="A219" s="8" t="s">
        <v>856</v>
      </c>
      <c r="B219" s="8">
        <v>29408873</v>
      </c>
      <c r="C219" t="s">
        <v>857</v>
      </c>
      <c r="D219" t="s">
        <v>858</v>
      </c>
      <c r="E219" t="s">
        <v>20</v>
      </c>
      <c r="F219" t="s">
        <v>53</v>
      </c>
      <c r="G219" t="s">
        <v>22</v>
      </c>
      <c r="H219" t="s">
        <v>55</v>
      </c>
      <c r="I219" t="s">
        <v>37</v>
      </c>
      <c r="J219" t="s">
        <v>74</v>
      </c>
      <c r="K219" t="s">
        <v>69</v>
      </c>
      <c r="L219">
        <v>9342.18</v>
      </c>
      <c r="M219">
        <v>78</v>
      </c>
      <c r="N219" s="11" t="s">
        <v>57</v>
      </c>
      <c r="O219" s="11" t="s">
        <v>28</v>
      </c>
      <c r="P219" s="14">
        <v>45895.922222222223</v>
      </c>
      <c r="Q219" t="s">
        <v>859</v>
      </c>
    </row>
    <row r="220" spans="1:17">
      <c r="A220" s="8" t="s">
        <v>860</v>
      </c>
      <c r="B220" s="8">
        <v>70899748</v>
      </c>
      <c r="C220" t="s">
        <v>861</v>
      </c>
      <c r="D220" t="s">
        <v>448</v>
      </c>
      <c r="E220" t="s">
        <v>33</v>
      </c>
      <c r="F220" t="s">
        <v>121</v>
      </c>
      <c r="G220" t="s">
        <v>98</v>
      </c>
      <c r="H220" t="s">
        <v>54</v>
      </c>
      <c r="I220" t="s">
        <v>62</v>
      </c>
      <c r="J220" t="s">
        <v>25</v>
      </c>
      <c r="K220" t="s">
        <v>46</v>
      </c>
      <c r="L220">
        <v>5241.8100000000004</v>
      </c>
      <c r="M220">
        <v>58</v>
      </c>
      <c r="N220" s="10" t="s">
        <v>47</v>
      </c>
      <c r="O220" s="10" t="s">
        <v>28</v>
      </c>
      <c r="P220" s="13">
        <v>45050.661805555559</v>
      </c>
      <c r="Q220" t="s">
        <v>862</v>
      </c>
    </row>
    <row r="221" spans="1:17">
      <c r="A221" s="8" t="s">
        <v>863</v>
      </c>
      <c r="B221" s="8">
        <v>89855385</v>
      </c>
      <c r="C221" t="s">
        <v>864</v>
      </c>
      <c r="D221" t="s">
        <v>865</v>
      </c>
      <c r="E221" t="s">
        <v>20</v>
      </c>
      <c r="F221" t="s">
        <v>22</v>
      </c>
      <c r="G221" t="s">
        <v>116</v>
      </c>
      <c r="H221" t="s">
        <v>68</v>
      </c>
      <c r="I221" t="s">
        <v>62</v>
      </c>
      <c r="J221" t="s">
        <v>25</v>
      </c>
      <c r="K221" t="s">
        <v>26</v>
      </c>
      <c r="L221">
        <v>12651.21</v>
      </c>
      <c r="M221">
        <v>50</v>
      </c>
      <c r="N221" s="11" t="s">
        <v>86</v>
      </c>
      <c r="O221" s="11" t="s">
        <v>75</v>
      </c>
      <c r="P221" s="14">
        <v>46205.556250000001</v>
      </c>
      <c r="Q221" t="s">
        <v>866</v>
      </c>
    </row>
    <row r="222" spans="1:17">
      <c r="A222" s="8" t="s">
        <v>867</v>
      </c>
      <c r="B222" s="8">
        <v>24670297</v>
      </c>
      <c r="C222" t="s">
        <v>868</v>
      </c>
      <c r="D222" t="s">
        <v>869</v>
      </c>
      <c r="E222" t="s">
        <v>33</v>
      </c>
      <c r="F222" t="s">
        <v>44</v>
      </c>
      <c r="G222" t="s">
        <v>22</v>
      </c>
      <c r="H222" t="s">
        <v>93</v>
      </c>
      <c r="I222" t="s">
        <v>127</v>
      </c>
      <c r="J222" t="s">
        <v>103</v>
      </c>
      <c r="K222" t="s">
        <v>69</v>
      </c>
      <c r="L222">
        <v>7885.61</v>
      </c>
      <c r="M222">
        <v>85</v>
      </c>
      <c r="N222" s="10" t="s">
        <v>27</v>
      </c>
      <c r="O222" s="10" t="s">
        <v>75</v>
      </c>
      <c r="P222" s="13">
        <v>44148.331944444442</v>
      </c>
      <c r="Q222" t="s">
        <v>870</v>
      </c>
    </row>
    <row r="223" spans="1:17">
      <c r="A223" s="8" t="s">
        <v>871</v>
      </c>
      <c r="B223" s="8">
        <v>48988647</v>
      </c>
      <c r="C223" t="s">
        <v>728</v>
      </c>
      <c r="D223" t="s">
        <v>18</v>
      </c>
      <c r="E223" t="s">
        <v>20</v>
      </c>
      <c r="F223" t="s">
        <v>35</v>
      </c>
      <c r="G223" t="s">
        <v>22</v>
      </c>
      <c r="H223" t="s">
        <v>54</v>
      </c>
      <c r="I223" t="s">
        <v>24</v>
      </c>
      <c r="J223" t="s">
        <v>38</v>
      </c>
      <c r="K223" t="s">
        <v>46</v>
      </c>
      <c r="L223">
        <v>3192.95</v>
      </c>
      <c r="M223">
        <v>50</v>
      </c>
      <c r="N223" s="11" t="s">
        <v>47</v>
      </c>
      <c r="O223" s="11" t="s">
        <v>75</v>
      </c>
      <c r="P223" s="14">
        <v>45333.826388888891</v>
      </c>
      <c r="Q223" t="s">
        <v>872</v>
      </c>
    </row>
    <row r="224" spans="1:17">
      <c r="A224" s="8" t="s">
        <v>873</v>
      </c>
      <c r="B224" s="8">
        <v>86359356</v>
      </c>
      <c r="C224" t="s">
        <v>874</v>
      </c>
      <c r="D224" t="s">
        <v>875</v>
      </c>
      <c r="E224" t="s">
        <v>33</v>
      </c>
      <c r="F224" t="s">
        <v>34</v>
      </c>
      <c r="G224" t="s">
        <v>180</v>
      </c>
      <c r="H224" t="s">
        <v>68</v>
      </c>
      <c r="I224" t="s">
        <v>23</v>
      </c>
      <c r="J224" t="s">
        <v>38</v>
      </c>
      <c r="K224" t="s">
        <v>63</v>
      </c>
      <c r="L224">
        <v>13439.97</v>
      </c>
      <c r="M224">
        <v>31</v>
      </c>
      <c r="N224" s="10" t="s">
        <v>39</v>
      </c>
      <c r="O224" s="10" t="s">
        <v>81</v>
      </c>
      <c r="P224" s="13">
        <v>45865.568055555559</v>
      </c>
      <c r="Q224" t="s">
        <v>876</v>
      </c>
    </row>
    <row r="225" spans="1:17">
      <c r="A225" s="8" t="s">
        <v>877</v>
      </c>
      <c r="B225" s="8">
        <v>57458790</v>
      </c>
      <c r="C225" t="s">
        <v>878</v>
      </c>
      <c r="D225" t="s">
        <v>879</v>
      </c>
      <c r="E225" t="s">
        <v>20</v>
      </c>
      <c r="F225" t="s">
        <v>92</v>
      </c>
      <c r="G225" t="s">
        <v>45</v>
      </c>
      <c r="H225" t="s">
        <v>37</v>
      </c>
      <c r="I225" t="s">
        <v>68</v>
      </c>
      <c r="J225" t="s">
        <v>103</v>
      </c>
      <c r="K225" t="s">
        <v>46</v>
      </c>
      <c r="L225">
        <v>12868.71</v>
      </c>
      <c r="M225">
        <v>38</v>
      </c>
      <c r="N225" s="11" t="s">
        <v>86</v>
      </c>
      <c r="O225" s="11" t="s">
        <v>75</v>
      </c>
      <c r="P225" s="14">
        <v>45873.200694444444</v>
      </c>
      <c r="Q225" t="s">
        <v>880</v>
      </c>
    </row>
    <row r="226" spans="1:17">
      <c r="A226" s="8" t="s">
        <v>881</v>
      </c>
      <c r="B226" s="8">
        <v>60226379</v>
      </c>
      <c r="C226" t="s">
        <v>882</v>
      </c>
      <c r="D226" t="s">
        <v>183</v>
      </c>
      <c r="E226" t="s">
        <v>33</v>
      </c>
      <c r="F226" t="s">
        <v>686</v>
      </c>
      <c r="G226" t="s">
        <v>98</v>
      </c>
      <c r="H226" t="s">
        <v>54</v>
      </c>
      <c r="I226" t="s">
        <v>54</v>
      </c>
      <c r="J226" t="s">
        <v>38</v>
      </c>
      <c r="K226" t="s">
        <v>63</v>
      </c>
      <c r="L226">
        <v>4662.28</v>
      </c>
      <c r="M226">
        <v>65</v>
      </c>
      <c r="N226" s="10" t="s">
        <v>57</v>
      </c>
      <c r="O226" s="10" t="s">
        <v>48</v>
      </c>
      <c r="P226" s="13">
        <v>44333.048611111109</v>
      </c>
      <c r="Q226" t="s">
        <v>883</v>
      </c>
    </row>
    <row r="227" spans="1:17">
      <c r="A227" s="8" t="s">
        <v>884</v>
      </c>
      <c r="B227" s="8">
        <v>51739205</v>
      </c>
      <c r="C227" t="s">
        <v>885</v>
      </c>
      <c r="D227" t="s">
        <v>886</v>
      </c>
      <c r="E227" t="s">
        <v>20</v>
      </c>
      <c r="F227" t="s">
        <v>35</v>
      </c>
      <c r="G227" t="s">
        <v>34</v>
      </c>
      <c r="H227" t="s">
        <v>127</v>
      </c>
      <c r="I227" t="s">
        <v>36</v>
      </c>
      <c r="J227" t="s">
        <v>38</v>
      </c>
      <c r="K227" t="s">
        <v>69</v>
      </c>
      <c r="L227">
        <v>9586.3700000000008</v>
      </c>
      <c r="M227">
        <v>37</v>
      </c>
      <c r="N227" s="11" t="s">
        <v>47</v>
      </c>
      <c r="O227" s="11" t="s">
        <v>75</v>
      </c>
      <c r="P227" s="14">
        <v>45853.902083333334</v>
      </c>
      <c r="Q227" t="s">
        <v>887</v>
      </c>
    </row>
    <row r="228" spans="1:17">
      <c r="A228" s="8" t="s">
        <v>888</v>
      </c>
      <c r="B228" s="8">
        <v>12047721</v>
      </c>
      <c r="C228" t="s">
        <v>151</v>
      </c>
      <c r="D228" t="s">
        <v>125</v>
      </c>
      <c r="E228" t="s">
        <v>20</v>
      </c>
      <c r="F228" t="s">
        <v>34</v>
      </c>
      <c r="G228" t="s">
        <v>98</v>
      </c>
      <c r="H228" t="s">
        <v>37</v>
      </c>
      <c r="I228" t="s">
        <v>127</v>
      </c>
      <c r="J228" t="s">
        <v>25</v>
      </c>
      <c r="K228" t="s">
        <v>69</v>
      </c>
      <c r="L228">
        <v>9202.81</v>
      </c>
      <c r="M228">
        <v>25</v>
      </c>
      <c r="N228" s="10" t="s">
        <v>57</v>
      </c>
      <c r="O228" s="10" t="s">
        <v>81</v>
      </c>
      <c r="P228" s="13">
        <v>43949.020833333336</v>
      </c>
      <c r="Q228" t="s">
        <v>889</v>
      </c>
    </row>
    <row r="229" spans="1:17">
      <c r="A229" s="8" t="s">
        <v>890</v>
      </c>
      <c r="B229" s="8">
        <v>90010054</v>
      </c>
      <c r="C229" t="s">
        <v>891</v>
      </c>
      <c r="D229" t="s">
        <v>685</v>
      </c>
      <c r="E229" t="s">
        <v>20</v>
      </c>
      <c r="F229" t="s">
        <v>44</v>
      </c>
      <c r="G229" t="s">
        <v>116</v>
      </c>
      <c r="H229" t="s">
        <v>68</v>
      </c>
      <c r="I229" t="s">
        <v>68</v>
      </c>
      <c r="J229" t="s">
        <v>25</v>
      </c>
      <c r="K229" t="s">
        <v>26</v>
      </c>
      <c r="L229">
        <v>8521.16</v>
      </c>
      <c r="M229">
        <v>24</v>
      </c>
      <c r="N229" s="11" t="s">
        <v>86</v>
      </c>
      <c r="O229" s="11" t="s">
        <v>81</v>
      </c>
      <c r="P229" s="14">
        <v>44540.904861111114</v>
      </c>
      <c r="Q229" t="s">
        <v>892</v>
      </c>
    </row>
    <row r="230" spans="1:17">
      <c r="A230" s="8" t="s">
        <v>893</v>
      </c>
      <c r="B230" s="8">
        <v>92804565</v>
      </c>
      <c r="C230" t="s">
        <v>894</v>
      </c>
      <c r="D230" t="s">
        <v>326</v>
      </c>
      <c r="E230" t="s">
        <v>20</v>
      </c>
      <c r="F230" t="s">
        <v>45</v>
      </c>
      <c r="G230" t="s">
        <v>34</v>
      </c>
      <c r="H230" t="s">
        <v>93</v>
      </c>
      <c r="I230" t="s">
        <v>36</v>
      </c>
      <c r="J230" t="s">
        <v>103</v>
      </c>
      <c r="K230" t="s">
        <v>26</v>
      </c>
      <c r="L230">
        <v>6924.01</v>
      </c>
      <c r="M230">
        <v>84</v>
      </c>
      <c r="N230" s="10" t="s">
        <v>47</v>
      </c>
      <c r="O230" s="10" t="s">
        <v>75</v>
      </c>
      <c r="P230" s="13">
        <v>43875.075694444444</v>
      </c>
      <c r="Q230" t="s">
        <v>895</v>
      </c>
    </row>
    <row r="231" spans="1:17">
      <c r="A231" s="8" t="s">
        <v>896</v>
      </c>
      <c r="B231" s="8">
        <v>50549608</v>
      </c>
      <c r="C231" t="s">
        <v>897</v>
      </c>
      <c r="D231" t="s">
        <v>559</v>
      </c>
      <c r="E231" t="s">
        <v>33</v>
      </c>
      <c r="F231" t="s">
        <v>116</v>
      </c>
      <c r="G231" t="s">
        <v>121</v>
      </c>
      <c r="H231" t="s">
        <v>68</v>
      </c>
      <c r="I231" t="s">
        <v>36</v>
      </c>
      <c r="J231" t="s">
        <v>38</v>
      </c>
      <c r="K231" t="s">
        <v>26</v>
      </c>
      <c r="L231">
        <v>11766.87</v>
      </c>
      <c r="M231">
        <v>34</v>
      </c>
      <c r="N231" s="11" t="s">
        <v>39</v>
      </c>
      <c r="O231" s="11" t="s">
        <v>75</v>
      </c>
      <c r="P231" s="14">
        <v>44144.289583333331</v>
      </c>
      <c r="Q231" t="s">
        <v>898</v>
      </c>
    </row>
    <row r="232" spans="1:17">
      <c r="A232" s="8" t="s">
        <v>899</v>
      </c>
      <c r="B232" s="8">
        <v>53671508</v>
      </c>
      <c r="C232" t="s">
        <v>900</v>
      </c>
      <c r="D232" t="s">
        <v>235</v>
      </c>
      <c r="E232" t="s">
        <v>20</v>
      </c>
      <c r="F232" t="s">
        <v>92</v>
      </c>
      <c r="G232" t="s">
        <v>35</v>
      </c>
      <c r="H232" t="s">
        <v>54</v>
      </c>
      <c r="I232" t="s">
        <v>24</v>
      </c>
      <c r="J232" t="s">
        <v>38</v>
      </c>
      <c r="K232" t="s">
        <v>46</v>
      </c>
      <c r="L232">
        <v>931.62</v>
      </c>
      <c r="M232">
        <v>50</v>
      </c>
      <c r="N232" s="10" t="s">
        <v>47</v>
      </c>
      <c r="O232" s="10" t="s">
        <v>48</v>
      </c>
      <c r="P232" s="13">
        <v>44248.703472222223</v>
      </c>
      <c r="Q232" t="s">
        <v>901</v>
      </c>
    </row>
    <row r="233" spans="1:17">
      <c r="A233" s="8" t="s">
        <v>902</v>
      </c>
      <c r="B233" s="8">
        <v>52493026</v>
      </c>
      <c r="C233" t="s">
        <v>903</v>
      </c>
      <c r="D233" t="s">
        <v>904</v>
      </c>
      <c r="E233" t="s">
        <v>20</v>
      </c>
      <c r="F233" t="s">
        <v>92</v>
      </c>
      <c r="G233" t="s">
        <v>22</v>
      </c>
      <c r="H233" t="s">
        <v>54</v>
      </c>
      <c r="I233" t="s">
        <v>24</v>
      </c>
      <c r="J233" t="s">
        <v>56</v>
      </c>
      <c r="K233" t="s">
        <v>26</v>
      </c>
      <c r="L233">
        <v>12789.05</v>
      </c>
      <c r="M233">
        <v>65</v>
      </c>
      <c r="N233" s="11" t="s">
        <v>86</v>
      </c>
      <c r="O233" s="11" t="s">
        <v>75</v>
      </c>
      <c r="P233" s="14">
        <v>44932.947916666664</v>
      </c>
      <c r="Q233" t="s">
        <v>905</v>
      </c>
    </row>
    <row r="234" spans="1:17">
      <c r="A234" s="8" t="s">
        <v>906</v>
      </c>
      <c r="B234" s="8">
        <v>0</v>
      </c>
      <c r="C234" t="s">
        <v>497</v>
      </c>
      <c r="D234" t="s">
        <v>907</v>
      </c>
      <c r="E234" t="s">
        <v>20</v>
      </c>
      <c r="F234" t="s">
        <v>92</v>
      </c>
      <c r="G234" t="s">
        <v>92</v>
      </c>
      <c r="H234" t="s">
        <v>24</v>
      </c>
      <c r="I234" t="s">
        <v>93</v>
      </c>
      <c r="J234" t="s">
        <v>103</v>
      </c>
      <c r="K234" t="s">
        <v>26</v>
      </c>
      <c r="L234">
        <v>2322.4699999999998</v>
      </c>
      <c r="M234">
        <v>76</v>
      </c>
      <c r="N234" s="10" t="s">
        <v>47</v>
      </c>
      <c r="O234" s="10" t="s">
        <v>48</v>
      </c>
      <c r="P234" s="13">
        <v>44156.962500000001</v>
      </c>
      <c r="Q234" t="s">
        <v>908</v>
      </c>
    </row>
    <row r="235" spans="1:17">
      <c r="A235" s="8" t="s">
        <v>909</v>
      </c>
      <c r="B235" s="8">
        <v>96200382</v>
      </c>
      <c r="C235" t="s">
        <v>463</v>
      </c>
      <c r="D235" t="s">
        <v>910</v>
      </c>
      <c r="E235" t="s">
        <v>20</v>
      </c>
      <c r="F235" t="s">
        <v>22</v>
      </c>
      <c r="G235" t="s">
        <v>116</v>
      </c>
      <c r="H235" t="s">
        <v>93</v>
      </c>
      <c r="I235" t="s">
        <v>62</v>
      </c>
      <c r="J235" t="s">
        <v>56</v>
      </c>
      <c r="K235" t="s">
        <v>69</v>
      </c>
      <c r="L235">
        <v>3393.86</v>
      </c>
      <c r="M235">
        <v>39</v>
      </c>
      <c r="N235" s="11" t="s">
        <v>39</v>
      </c>
      <c r="O235" s="11" t="s">
        <v>28</v>
      </c>
      <c r="P235" s="14">
        <v>45270.89166666667</v>
      </c>
      <c r="Q235" t="s">
        <v>911</v>
      </c>
    </row>
    <row r="236" spans="1:17">
      <c r="A236" s="8" t="s">
        <v>912</v>
      </c>
      <c r="B236" s="8">
        <v>74863150</v>
      </c>
      <c r="C236" t="s">
        <v>913</v>
      </c>
      <c r="D236" t="s">
        <v>158</v>
      </c>
      <c r="E236" t="s">
        <v>20</v>
      </c>
      <c r="F236" t="s">
        <v>22</v>
      </c>
      <c r="G236" t="s">
        <v>35</v>
      </c>
      <c r="H236" t="s">
        <v>23</v>
      </c>
      <c r="I236" t="s">
        <v>68</v>
      </c>
      <c r="J236" t="s">
        <v>56</v>
      </c>
      <c r="K236" t="s">
        <v>63</v>
      </c>
      <c r="L236">
        <v>1182.74</v>
      </c>
      <c r="M236">
        <v>47</v>
      </c>
      <c r="N236" s="10" t="s">
        <v>27</v>
      </c>
      <c r="O236" s="10" t="s">
        <v>28</v>
      </c>
      <c r="P236" s="13">
        <v>45817.123611111114</v>
      </c>
      <c r="Q236" t="s">
        <v>914</v>
      </c>
    </row>
    <row r="237" spans="1:17">
      <c r="A237" s="8" t="s">
        <v>915</v>
      </c>
      <c r="B237" s="8">
        <v>17083242</v>
      </c>
      <c r="C237" t="s">
        <v>805</v>
      </c>
      <c r="D237" t="s">
        <v>916</v>
      </c>
      <c r="E237" t="s">
        <v>20</v>
      </c>
      <c r="F237" t="s">
        <v>44</v>
      </c>
      <c r="G237" t="s">
        <v>98</v>
      </c>
      <c r="H237" t="s">
        <v>37</v>
      </c>
      <c r="I237" t="s">
        <v>127</v>
      </c>
      <c r="J237" t="s">
        <v>103</v>
      </c>
      <c r="K237" t="s">
        <v>69</v>
      </c>
      <c r="L237">
        <v>2520.9499999999998</v>
      </c>
      <c r="M237">
        <v>55</v>
      </c>
      <c r="N237" s="11" t="s">
        <v>27</v>
      </c>
      <c r="O237" s="11" t="s">
        <v>75</v>
      </c>
      <c r="P237" s="14">
        <v>46092.22152777778</v>
      </c>
      <c r="Q237" t="s">
        <v>917</v>
      </c>
    </row>
    <row r="238" spans="1:17">
      <c r="A238" s="8" t="s">
        <v>918</v>
      </c>
      <c r="B238" s="8">
        <v>48495745</v>
      </c>
      <c r="C238" t="s">
        <v>919</v>
      </c>
      <c r="D238" t="s">
        <v>408</v>
      </c>
      <c r="E238" t="s">
        <v>20</v>
      </c>
      <c r="F238" t="s">
        <v>53</v>
      </c>
      <c r="G238" t="s">
        <v>53</v>
      </c>
      <c r="H238" t="s">
        <v>55</v>
      </c>
      <c r="I238" t="s">
        <v>55</v>
      </c>
      <c r="J238" t="s">
        <v>74</v>
      </c>
      <c r="K238" t="s">
        <v>63</v>
      </c>
      <c r="L238">
        <v>11087.12</v>
      </c>
      <c r="M238">
        <v>68</v>
      </c>
      <c r="N238" s="10" t="s">
        <v>39</v>
      </c>
      <c r="O238" s="10" t="s">
        <v>75</v>
      </c>
      <c r="P238" s="13">
        <v>43904.074999999997</v>
      </c>
      <c r="Q238" t="s">
        <v>920</v>
      </c>
    </row>
    <row r="239" spans="1:17">
      <c r="A239" s="8" t="s">
        <v>921</v>
      </c>
      <c r="B239" s="8">
        <v>29470999</v>
      </c>
      <c r="C239" t="s">
        <v>922</v>
      </c>
      <c r="D239" t="s">
        <v>923</v>
      </c>
      <c r="E239" t="s">
        <v>20</v>
      </c>
      <c r="F239" t="s">
        <v>92</v>
      </c>
      <c r="G239" t="s">
        <v>92</v>
      </c>
      <c r="H239" t="s">
        <v>93</v>
      </c>
      <c r="I239" t="s">
        <v>127</v>
      </c>
      <c r="J239" t="s">
        <v>103</v>
      </c>
      <c r="K239" t="s">
        <v>69</v>
      </c>
      <c r="L239">
        <v>9637.49</v>
      </c>
      <c r="M239">
        <v>71</v>
      </c>
      <c r="N239" s="11" t="s">
        <v>86</v>
      </c>
      <c r="O239" s="11" t="s">
        <v>28</v>
      </c>
      <c r="P239" s="14">
        <v>45433.488194444442</v>
      </c>
      <c r="Q239" t="s">
        <v>924</v>
      </c>
    </row>
    <row r="240" spans="1:17">
      <c r="A240" s="8" t="s">
        <v>925</v>
      </c>
      <c r="B240" s="8">
        <v>62354374</v>
      </c>
      <c r="C240" t="s">
        <v>362</v>
      </c>
      <c r="D240" t="s">
        <v>408</v>
      </c>
      <c r="E240" t="s">
        <v>20</v>
      </c>
      <c r="F240" t="s">
        <v>80</v>
      </c>
      <c r="G240" t="s">
        <v>53</v>
      </c>
      <c r="H240" t="s">
        <v>55</v>
      </c>
      <c r="I240" t="s">
        <v>93</v>
      </c>
      <c r="J240" t="s">
        <v>25</v>
      </c>
      <c r="K240" t="s">
        <v>69</v>
      </c>
      <c r="L240">
        <v>13766.5</v>
      </c>
      <c r="M240">
        <v>25</v>
      </c>
      <c r="N240" s="10" t="s">
        <v>57</v>
      </c>
      <c r="O240" s="10" t="s">
        <v>81</v>
      </c>
      <c r="P240" s="13">
        <v>44339.706944444442</v>
      </c>
      <c r="Q240" t="s">
        <v>926</v>
      </c>
    </row>
    <row r="241" spans="1:17">
      <c r="A241" s="8" t="s">
        <v>927</v>
      </c>
      <c r="B241" s="8">
        <v>0</v>
      </c>
      <c r="C241" t="s">
        <v>928</v>
      </c>
      <c r="D241" t="s">
        <v>929</v>
      </c>
      <c r="E241" t="s">
        <v>33</v>
      </c>
      <c r="F241" t="s">
        <v>21</v>
      </c>
      <c r="G241" t="s">
        <v>34</v>
      </c>
      <c r="H241" t="s">
        <v>93</v>
      </c>
      <c r="I241" t="s">
        <v>54</v>
      </c>
      <c r="J241" t="s">
        <v>25</v>
      </c>
      <c r="K241" t="s">
        <v>46</v>
      </c>
      <c r="L241">
        <v>6694.67</v>
      </c>
      <c r="M241">
        <v>44</v>
      </c>
      <c r="N241" s="11" t="s">
        <v>47</v>
      </c>
      <c r="O241" s="11" t="s">
        <v>75</v>
      </c>
      <c r="P241" s="14">
        <v>46210.398611111108</v>
      </c>
      <c r="Q241" t="s">
        <v>930</v>
      </c>
    </row>
    <row r="242" spans="1:17">
      <c r="A242" s="8" t="s">
        <v>931</v>
      </c>
      <c r="B242" s="8">
        <v>95642035</v>
      </c>
      <c r="C242" t="s">
        <v>932</v>
      </c>
      <c r="D242" t="s">
        <v>569</v>
      </c>
      <c r="E242" t="s">
        <v>20</v>
      </c>
      <c r="F242" t="s">
        <v>21</v>
      </c>
      <c r="G242" t="s">
        <v>92</v>
      </c>
      <c r="H242" t="s">
        <v>93</v>
      </c>
      <c r="I242" t="s">
        <v>62</v>
      </c>
      <c r="J242" t="s">
        <v>38</v>
      </c>
      <c r="K242" t="s">
        <v>26</v>
      </c>
      <c r="L242">
        <v>3807.5</v>
      </c>
      <c r="M242">
        <v>44</v>
      </c>
      <c r="N242" s="10" t="s">
        <v>39</v>
      </c>
      <c r="O242" s="10" t="s">
        <v>28</v>
      </c>
      <c r="P242" s="13">
        <v>44518.803472222222</v>
      </c>
      <c r="Q242" t="s">
        <v>933</v>
      </c>
    </row>
    <row r="243" spans="1:17">
      <c r="A243" s="8" t="s">
        <v>934</v>
      </c>
      <c r="B243" s="8">
        <v>18373492</v>
      </c>
      <c r="C243" t="s">
        <v>935</v>
      </c>
      <c r="D243" t="s">
        <v>936</v>
      </c>
      <c r="E243" t="s">
        <v>20</v>
      </c>
      <c r="F243" t="s">
        <v>53</v>
      </c>
      <c r="G243" t="s">
        <v>523</v>
      </c>
      <c r="H243" t="s">
        <v>68</v>
      </c>
      <c r="I243" t="s">
        <v>55</v>
      </c>
      <c r="J243" t="s">
        <v>56</v>
      </c>
      <c r="K243" t="s">
        <v>69</v>
      </c>
      <c r="L243">
        <v>2166.65</v>
      </c>
      <c r="M243">
        <v>38</v>
      </c>
      <c r="N243" s="11" t="s">
        <v>39</v>
      </c>
      <c r="O243" s="11" t="s">
        <v>48</v>
      </c>
      <c r="P243" s="14">
        <v>44487.529861111114</v>
      </c>
      <c r="Q243" t="s">
        <v>937</v>
      </c>
    </row>
    <row r="244" spans="1:17">
      <c r="A244" s="8" t="s">
        <v>938</v>
      </c>
      <c r="B244" s="8">
        <v>76800348</v>
      </c>
      <c r="C244" t="s">
        <v>939</v>
      </c>
      <c r="D244" t="s">
        <v>940</v>
      </c>
      <c r="E244" t="s">
        <v>20</v>
      </c>
      <c r="F244" t="s">
        <v>45</v>
      </c>
      <c r="G244" t="s">
        <v>92</v>
      </c>
      <c r="H244" t="s">
        <v>93</v>
      </c>
      <c r="I244" t="s">
        <v>37</v>
      </c>
      <c r="J244" t="s">
        <v>56</v>
      </c>
      <c r="K244" t="s">
        <v>26</v>
      </c>
      <c r="L244">
        <v>6546.5</v>
      </c>
      <c r="M244">
        <v>47</v>
      </c>
      <c r="N244" s="10" t="s">
        <v>86</v>
      </c>
      <c r="O244" s="10" t="s">
        <v>48</v>
      </c>
      <c r="P244" s="13">
        <v>45373.690972222219</v>
      </c>
      <c r="Q244" t="s">
        <v>941</v>
      </c>
    </row>
    <row r="245" spans="1:17">
      <c r="A245" s="8" t="s">
        <v>942</v>
      </c>
      <c r="B245" s="8">
        <v>63769608</v>
      </c>
      <c r="C245" t="s">
        <v>943</v>
      </c>
      <c r="D245" t="s">
        <v>278</v>
      </c>
      <c r="E245" t="s">
        <v>20</v>
      </c>
      <c r="F245" t="s">
        <v>34</v>
      </c>
      <c r="G245" t="s">
        <v>35</v>
      </c>
      <c r="H245" t="s">
        <v>24</v>
      </c>
      <c r="I245" t="s">
        <v>54</v>
      </c>
      <c r="J245" t="s">
        <v>38</v>
      </c>
      <c r="K245" t="s">
        <v>46</v>
      </c>
      <c r="L245">
        <v>2873.14</v>
      </c>
      <c r="M245">
        <v>45</v>
      </c>
      <c r="N245" s="11" t="s">
        <v>39</v>
      </c>
      <c r="O245" s="11" t="s">
        <v>28</v>
      </c>
      <c r="P245" s="14">
        <v>45123.938194444447</v>
      </c>
      <c r="Q245" t="s">
        <v>944</v>
      </c>
    </row>
    <row r="246" spans="1:17">
      <c r="A246" s="8" t="s">
        <v>945</v>
      </c>
      <c r="B246" s="8">
        <v>42008932</v>
      </c>
      <c r="C246" t="s">
        <v>946</v>
      </c>
      <c r="D246" t="s">
        <v>947</v>
      </c>
      <c r="E246" t="s">
        <v>20</v>
      </c>
      <c r="F246" t="s">
        <v>53</v>
      </c>
      <c r="G246" t="s">
        <v>44</v>
      </c>
      <c r="H246" t="s">
        <v>23</v>
      </c>
      <c r="I246" t="s">
        <v>24</v>
      </c>
      <c r="J246" t="s">
        <v>25</v>
      </c>
      <c r="K246" t="s">
        <v>69</v>
      </c>
      <c r="L246">
        <v>11818.8</v>
      </c>
      <c r="M246">
        <v>81</v>
      </c>
      <c r="N246" s="10" t="s">
        <v>86</v>
      </c>
      <c r="O246" s="10" t="s">
        <v>81</v>
      </c>
      <c r="P246" s="13">
        <v>45230.381944444445</v>
      </c>
      <c r="Q246" t="s">
        <v>948</v>
      </c>
    </row>
    <row r="247" spans="1:17">
      <c r="A247" s="8" t="s">
        <v>949</v>
      </c>
      <c r="B247" s="8">
        <v>41270805</v>
      </c>
      <c r="C247" t="s">
        <v>950</v>
      </c>
      <c r="D247" t="s">
        <v>951</v>
      </c>
      <c r="E247" t="s">
        <v>20</v>
      </c>
      <c r="F247" t="s">
        <v>45</v>
      </c>
      <c r="G247" t="s">
        <v>112</v>
      </c>
      <c r="H247" t="s">
        <v>54</v>
      </c>
      <c r="I247" t="s">
        <v>36</v>
      </c>
      <c r="J247" t="s">
        <v>74</v>
      </c>
      <c r="K247" t="s">
        <v>46</v>
      </c>
      <c r="L247">
        <v>758.87</v>
      </c>
      <c r="M247">
        <v>78</v>
      </c>
      <c r="N247" s="11" t="s">
        <v>57</v>
      </c>
      <c r="O247" s="11" t="s">
        <v>28</v>
      </c>
      <c r="P247" s="14">
        <v>45383.211805555555</v>
      </c>
      <c r="Q247" t="s">
        <v>952</v>
      </c>
    </row>
    <row r="248" spans="1:17">
      <c r="A248" s="8" t="s">
        <v>953</v>
      </c>
      <c r="B248" s="8">
        <v>18470495</v>
      </c>
      <c r="C248" t="s">
        <v>954</v>
      </c>
      <c r="D248" t="s">
        <v>130</v>
      </c>
      <c r="E248" t="s">
        <v>33</v>
      </c>
      <c r="F248" t="s">
        <v>22</v>
      </c>
      <c r="G248" t="s">
        <v>45</v>
      </c>
      <c r="H248" t="s">
        <v>62</v>
      </c>
      <c r="I248" t="s">
        <v>37</v>
      </c>
      <c r="J248" t="s">
        <v>74</v>
      </c>
      <c r="K248" t="s">
        <v>69</v>
      </c>
      <c r="L248">
        <v>8900.35</v>
      </c>
      <c r="M248">
        <v>65</v>
      </c>
      <c r="N248" s="10" t="s">
        <v>57</v>
      </c>
      <c r="O248" s="10" t="s">
        <v>28</v>
      </c>
      <c r="P248" s="13">
        <v>44906.365277777775</v>
      </c>
      <c r="Q248" t="s">
        <v>955</v>
      </c>
    </row>
    <row r="249" spans="1:17">
      <c r="A249" s="8" t="s">
        <v>956</v>
      </c>
      <c r="B249" s="8">
        <v>27900736</v>
      </c>
      <c r="C249" t="s">
        <v>957</v>
      </c>
      <c r="D249" t="s">
        <v>211</v>
      </c>
      <c r="E249" t="s">
        <v>20</v>
      </c>
      <c r="F249" t="s">
        <v>21</v>
      </c>
      <c r="G249" t="s">
        <v>112</v>
      </c>
      <c r="H249" t="s">
        <v>55</v>
      </c>
      <c r="I249" t="s">
        <v>127</v>
      </c>
      <c r="J249" t="s">
        <v>38</v>
      </c>
      <c r="K249" t="s">
        <v>69</v>
      </c>
      <c r="L249">
        <v>6249.17</v>
      </c>
      <c r="M249">
        <v>36</v>
      </c>
      <c r="N249" s="11" t="s">
        <v>39</v>
      </c>
      <c r="O249" s="11" t="s">
        <v>48</v>
      </c>
      <c r="P249" s="14">
        <v>44155.065972222219</v>
      </c>
      <c r="Q249" t="s">
        <v>958</v>
      </c>
    </row>
    <row r="250" spans="1:17">
      <c r="A250" s="8" t="s">
        <v>959</v>
      </c>
      <c r="B250" s="8">
        <v>77093782</v>
      </c>
      <c r="C250" t="s">
        <v>960</v>
      </c>
      <c r="D250" t="s">
        <v>685</v>
      </c>
      <c r="E250" t="s">
        <v>20</v>
      </c>
      <c r="F250" t="s">
        <v>393</v>
      </c>
      <c r="G250" t="s">
        <v>92</v>
      </c>
      <c r="H250" t="s">
        <v>54</v>
      </c>
      <c r="I250" t="s">
        <v>127</v>
      </c>
      <c r="J250" t="s">
        <v>103</v>
      </c>
      <c r="K250" t="s">
        <v>63</v>
      </c>
      <c r="L250">
        <v>7618.04</v>
      </c>
      <c r="M250">
        <v>21</v>
      </c>
      <c r="N250" s="10" t="s">
        <v>39</v>
      </c>
      <c r="O250" s="10" t="s">
        <v>48</v>
      </c>
      <c r="P250" s="13">
        <v>44822.177777777775</v>
      </c>
      <c r="Q250" t="s">
        <v>961</v>
      </c>
    </row>
    <row r="251" spans="1:17">
      <c r="A251" s="8" t="s">
        <v>962</v>
      </c>
      <c r="B251" s="8">
        <v>15786878</v>
      </c>
      <c r="C251" t="s">
        <v>943</v>
      </c>
      <c r="D251" t="s">
        <v>963</v>
      </c>
      <c r="E251" t="s">
        <v>20</v>
      </c>
      <c r="F251" t="s">
        <v>53</v>
      </c>
      <c r="G251" t="s">
        <v>34</v>
      </c>
      <c r="H251" t="s">
        <v>62</v>
      </c>
      <c r="I251" t="s">
        <v>24</v>
      </c>
      <c r="J251" t="s">
        <v>38</v>
      </c>
      <c r="K251" t="s">
        <v>26</v>
      </c>
      <c r="L251">
        <v>2379.1</v>
      </c>
      <c r="M251">
        <v>52</v>
      </c>
      <c r="N251" s="11" t="s">
        <v>86</v>
      </c>
      <c r="O251" s="11" t="s">
        <v>81</v>
      </c>
      <c r="P251" s="14">
        <v>45824.318749999999</v>
      </c>
      <c r="Q251" t="s">
        <v>964</v>
      </c>
    </row>
    <row r="252" spans="1:17">
      <c r="A252" s="8" t="s">
        <v>965</v>
      </c>
      <c r="B252" s="8">
        <v>40878564</v>
      </c>
      <c r="C252" t="s">
        <v>966</v>
      </c>
      <c r="D252" t="s">
        <v>522</v>
      </c>
      <c r="E252" t="s">
        <v>20</v>
      </c>
      <c r="F252" t="s">
        <v>22</v>
      </c>
      <c r="G252" t="s">
        <v>92</v>
      </c>
      <c r="H252" t="s">
        <v>23</v>
      </c>
      <c r="I252" t="s">
        <v>93</v>
      </c>
      <c r="J252" t="s">
        <v>56</v>
      </c>
      <c r="K252" t="s">
        <v>26</v>
      </c>
      <c r="L252">
        <v>3250.32</v>
      </c>
      <c r="M252">
        <v>81</v>
      </c>
      <c r="N252" s="10" t="s">
        <v>27</v>
      </c>
      <c r="O252" s="10" t="s">
        <v>81</v>
      </c>
      <c r="P252" s="13">
        <v>44547.882638888892</v>
      </c>
      <c r="Q252" t="s">
        <v>967</v>
      </c>
    </row>
    <row r="253" spans="1:17">
      <c r="A253" s="8" t="s">
        <v>968</v>
      </c>
      <c r="B253" s="8">
        <v>86325036</v>
      </c>
      <c r="C253" t="s">
        <v>969</v>
      </c>
      <c r="D253" t="s">
        <v>970</v>
      </c>
      <c r="E253" t="s">
        <v>20</v>
      </c>
      <c r="F253" t="s">
        <v>44</v>
      </c>
      <c r="G253" t="s">
        <v>523</v>
      </c>
      <c r="H253" t="s">
        <v>23</v>
      </c>
      <c r="I253" t="s">
        <v>68</v>
      </c>
      <c r="J253" t="s">
        <v>38</v>
      </c>
      <c r="K253" t="s">
        <v>63</v>
      </c>
      <c r="L253">
        <v>13584.62</v>
      </c>
      <c r="M253">
        <v>66</v>
      </c>
      <c r="N253" s="11" t="s">
        <v>27</v>
      </c>
      <c r="O253" s="11" t="s">
        <v>48</v>
      </c>
      <c r="P253" s="14">
        <v>44107.86041666667</v>
      </c>
      <c r="Q253" t="s">
        <v>971</v>
      </c>
    </row>
    <row r="254" spans="1:17">
      <c r="A254" s="8" t="s">
        <v>972</v>
      </c>
      <c r="B254" s="8">
        <v>67460000</v>
      </c>
      <c r="C254" t="s">
        <v>346</v>
      </c>
      <c r="D254" t="s">
        <v>973</v>
      </c>
      <c r="E254" t="s">
        <v>20</v>
      </c>
      <c r="F254" t="s">
        <v>116</v>
      </c>
      <c r="G254" t="s">
        <v>121</v>
      </c>
      <c r="H254" t="s">
        <v>55</v>
      </c>
      <c r="I254" t="s">
        <v>37</v>
      </c>
      <c r="J254" t="s">
        <v>25</v>
      </c>
      <c r="K254" t="s">
        <v>69</v>
      </c>
      <c r="L254">
        <v>14869.19</v>
      </c>
      <c r="M254">
        <v>34</v>
      </c>
      <c r="N254" s="10" t="s">
        <v>27</v>
      </c>
      <c r="O254" s="10" t="s">
        <v>28</v>
      </c>
      <c r="P254" s="13">
        <v>43982.751388888886</v>
      </c>
      <c r="Q254" t="s">
        <v>974</v>
      </c>
    </row>
    <row r="255" spans="1:17">
      <c r="A255" s="8" t="s">
        <v>975</v>
      </c>
      <c r="B255" s="8">
        <v>11667385</v>
      </c>
      <c r="C255" t="s">
        <v>335</v>
      </c>
      <c r="D255" t="s">
        <v>976</v>
      </c>
      <c r="E255" t="s">
        <v>20</v>
      </c>
      <c r="F255" t="s">
        <v>523</v>
      </c>
      <c r="G255" t="s">
        <v>121</v>
      </c>
      <c r="H255" t="s">
        <v>55</v>
      </c>
      <c r="I255" t="s">
        <v>37</v>
      </c>
      <c r="J255" t="s">
        <v>38</v>
      </c>
      <c r="K255" t="s">
        <v>46</v>
      </c>
      <c r="L255">
        <v>8759.07</v>
      </c>
      <c r="M255">
        <v>61</v>
      </c>
      <c r="N255" s="11" t="s">
        <v>39</v>
      </c>
      <c r="O255" s="11" t="s">
        <v>81</v>
      </c>
      <c r="P255" s="14">
        <v>44785.744444444441</v>
      </c>
      <c r="Q255" t="s">
        <v>977</v>
      </c>
    </row>
    <row r="256" spans="1:17">
      <c r="A256" s="8" t="s">
        <v>978</v>
      </c>
      <c r="B256" s="8">
        <v>61657620</v>
      </c>
      <c r="C256" t="s">
        <v>979</v>
      </c>
      <c r="D256" t="s">
        <v>980</v>
      </c>
      <c r="E256" t="s">
        <v>20</v>
      </c>
      <c r="F256" t="s">
        <v>92</v>
      </c>
      <c r="G256" t="s">
        <v>53</v>
      </c>
      <c r="H256" t="s">
        <v>23</v>
      </c>
      <c r="I256" t="s">
        <v>23</v>
      </c>
      <c r="J256" t="s">
        <v>38</v>
      </c>
      <c r="K256" t="s">
        <v>69</v>
      </c>
      <c r="L256">
        <v>11039.05</v>
      </c>
      <c r="M256">
        <v>47</v>
      </c>
      <c r="N256" s="10" t="s">
        <v>86</v>
      </c>
      <c r="O256" s="10" t="s">
        <v>75</v>
      </c>
      <c r="P256" s="13">
        <v>45337.762499999997</v>
      </c>
      <c r="Q256" t="s">
        <v>981</v>
      </c>
    </row>
    <row r="257" spans="1:17">
      <c r="A257" s="8" t="s">
        <v>982</v>
      </c>
      <c r="B257" s="8">
        <v>37476059</v>
      </c>
      <c r="C257" t="s">
        <v>983</v>
      </c>
      <c r="D257" t="s">
        <v>297</v>
      </c>
      <c r="E257" t="s">
        <v>20</v>
      </c>
      <c r="F257" t="s">
        <v>44</v>
      </c>
      <c r="G257" t="s">
        <v>22</v>
      </c>
      <c r="H257" t="s">
        <v>62</v>
      </c>
      <c r="I257" t="s">
        <v>54</v>
      </c>
      <c r="J257" t="s">
        <v>74</v>
      </c>
      <c r="K257" t="s">
        <v>69</v>
      </c>
      <c r="L257">
        <v>5297.15</v>
      </c>
      <c r="M257">
        <v>63</v>
      </c>
      <c r="N257" s="11" t="s">
        <v>57</v>
      </c>
      <c r="O257" s="11" t="s">
        <v>81</v>
      </c>
      <c r="P257" s="14">
        <v>44089.586805555555</v>
      </c>
      <c r="Q257" t="s">
        <v>984</v>
      </c>
    </row>
    <row r="258" spans="1:17">
      <c r="A258" s="8" t="s">
        <v>985</v>
      </c>
      <c r="B258" s="8">
        <v>81518649</v>
      </c>
      <c r="C258" t="s">
        <v>339</v>
      </c>
      <c r="D258" t="s">
        <v>986</v>
      </c>
      <c r="E258" t="s">
        <v>20</v>
      </c>
      <c r="F258" t="s">
        <v>45</v>
      </c>
      <c r="G258" t="s">
        <v>392</v>
      </c>
      <c r="H258" t="s">
        <v>93</v>
      </c>
      <c r="I258" t="s">
        <v>62</v>
      </c>
      <c r="J258" t="s">
        <v>25</v>
      </c>
      <c r="K258" t="s">
        <v>26</v>
      </c>
      <c r="L258">
        <v>13470.21</v>
      </c>
      <c r="M258">
        <v>23</v>
      </c>
      <c r="N258" s="10" t="s">
        <v>57</v>
      </c>
      <c r="O258" s="10" t="s">
        <v>28</v>
      </c>
      <c r="P258" s="13">
        <v>46202.629861111112</v>
      </c>
      <c r="Q258" t="s">
        <v>987</v>
      </c>
    </row>
    <row r="259" spans="1:17">
      <c r="A259" s="8" t="s">
        <v>988</v>
      </c>
      <c r="B259" s="8">
        <v>65906603</v>
      </c>
      <c r="C259" t="s">
        <v>989</v>
      </c>
      <c r="D259" t="s">
        <v>150</v>
      </c>
      <c r="E259" t="s">
        <v>20</v>
      </c>
      <c r="F259" t="s">
        <v>92</v>
      </c>
      <c r="G259" t="s">
        <v>44</v>
      </c>
      <c r="H259" t="s">
        <v>37</v>
      </c>
      <c r="I259" t="s">
        <v>54</v>
      </c>
      <c r="J259" t="s">
        <v>38</v>
      </c>
      <c r="K259" t="s">
        <v>46</v>
      </c>
      <c r="L259">
        <v>5044.8</v>
      </c>
      <c r="M259">
        <v>54</v>
      </c>
      <c r="N259" s="11" t="s">
        <v>27</v>
      </c>
      <c r="O259" s="11" t="s">
        <v>75</v>
      </c>
      <c r="P259" s="14">
        <v>44699.636805555558</v>
      </c>
      <c r="Q259" t="s">
        <v>990</v>
      </c>
    </row>
    <row r="260" spans="1:17">
      <c r="A260" s="8" t="s">
        <v>991</v>
      </c>
      <c r="B260" s="8">
        <v>51137063</v>
      </c>
      <c r="C260" t="s">
        <v>536</v>
      </c>
      <c r="D260" t="s">
        <v>452</v>
      </c>
      <c r="E260" t="s">
        <v>33</v>
      </c>
      <c r="F260" t="s">
        <v>53</v>
      </c>
      <c r="G260" t="s">
        <v>80</v>
      </c>
      <c r="H260" t="s">
        <v>127</v>
      </c>
      <c r="I260" t="s">
        <v>68</v>
      </c>
      <c r="J260" t="s">
        <v>38</v>
      </c>
      <c r="K260" t="s">
        <v>69</v>
      </c>
      <c r="L260">
        <v>2742.38</v>
      </c>
      <c r="M260">
        <v>41</v>
      </c>
      <c r="N260" s="10" t="s">
        <v>47</v>
      </c>
      <c r="O260" s="10" t="s">
        <v>48</v>
      </c>
      <c r="P260" s="13">
        <v>45022.824305555558</v>
      </c>
      <c r="Q260" t="s">
        <v>992</v>
      </c>
    </row>
    <row r="261" spans="1:17">
      <c r="A261" s="8" t="s">
        <v>993</v>
      </c>
      <c r="B261" s="8">
        <v>14655890</v>
      </c>
      <c r="C261" t="s">
        <v>994</v>
      </c>
      <c r="D261" t="s">
        <v>995</v>
      </c>
      <c r="E261" t="s">
        <v>20</v>
      </c>
      <c r="F261" t="s">
        <v>98</v>
      </c>
      <c r="G261" t="s">
        <v>91</v>
      </c>
      <c r="H261" t="s">
        <v>54</v>
      </c>
      <c r="I261" t="s">
        <v>127</v>
      </c>
      <c r="J261" t="s">
        <v>56</v>
      </c>
      <c r="K261" t="s">
        <v>69</v>
      </c>
      <c r="L261">
        <v>2349.2399999999998</v>
      </c>
      <c r="M261">
        <v>63</v>
      </c>
      <c r="N261" s="11" t="s">
        <v>27</v>
      </c>
      <c r="O261" s="11" t="s">
        <v>75</v>
      </c>
      <c r="P261" s="14">
        <v>44518.443055555559</v>
      </c>
      <c r="Q261" t="s">
        <v>996</v>
      </c>
    </row>
    <row r="262" spans="1:17">
      <c r="A262" s="8" t="s">
        <v>997</v>
      </c>
      <c r="B262" s="8">
        <v>0</v>
      </c>
      <c r="C262" t="s">
        <v>907</v>
      </c>
      <c r="D262" t="s">
        <v>998</v>
      </c>
      <c r="E262" t="s">
        <v>20</v>
      </c>
      <c r="F262" t="s">
        <v>80</v>
      </c>
      <c r="G262" t="s">
        <v>91</v>
      </c>
      <c r="H262" t="s">
        <v>68</v>
      </c>
      <c r="I262" t="s">
        <v>127</v>
      </c>
      <c r="J262" t="s">
        <v>103</v>
      </c>
      <c r="K262" t="s">
        <v>69</v>
      </c>
      <c r="L262">
        <v>4902.2299999999996</v>
      </c>
      <c r="M262">
        <v>70</v>
      </c>
      <c r="N262" s="10" t="s">
        <v>27</v>
      </c>
      <c r="O262" s="10" t="s">
        <v>48</v>
      </c>
      <c r="P262" s="13">
        <v>44140.7</v>
      </c>
      <c r="Q262" t="s">
        <v>999</v>
      </c>
    </row>
    <row r="263" spans="1:17">
      <c r="A263" s="8" t="s">
        <v>1000</v>
      </c>
      <c r="B263" s="8">
        <v>36098642</v>
      </c>
      <c r="C263" t="s">
        <v>1001</v>
      </c>
      <c r="D263" t="s">
        <v>1002</v>
      </c>
      <c r="E263" t="s">
        <v>20</v>
      </c>
      <c r="F263" t="s">
        <v>80</v>
      </c>
      <c r="G263" t="s">
        <v>45</v>
      </c>
      <c r="H263" t="s">
        <v>54</v>
      </c>
      <c r="I263" t="s">
        <v>127</v>
      </c>
      <c r="J263" t="s">
        <v>103</v>
      </c>
      <c r="K263" t="s">
        <v>69</v>
      </c>
      <c r="L263">
        <v>5276.81</v>
      </c>
      <c r="M263">
        <v>77</v>
      </c>
      <c r="N263" s="11" t="s">
        <v>39</v>
      </c>
      <c r="O263" s="11" t="s">
        <v>28</v>
      </c>
      <c r="P263" s="14">
        <v>45333.488888888889</v>
      </c>
      <c r="Q263" t="s">
        <v>1003</v>
      </c>
    </row>
    <row r="264" spans="1:17">
      <c r="A264" s="8" t="s">
        <v>1004</v>
      </c>
      <c r="B264" s="8">
        <v>66885794</v>
      </c>
      <c r="C264" t="s">
        <v>1005</v>
      </c>
      <c r="D264" t="s">
        <v>1006</v>
      </c>
      <c r="E264" t="s">
        <v>20</v>
      </c>
      <c r="F264" t="s">
        <v>116</v>
      </c>
      <c r="G264" t="s">
        <v>35</v>
      </c>
      <c r="H264" t="s">
        <v>68</v>
      </c>
      <c r="I264" t="s">
        <v>23</v>
      </c>
      <c r="J264" t="s">
        <v>38</v>
      </c>
      <c r="K264" t="s">
        <v>26</v>
      </c>
      <c r="L264">
        <v>1335.84</v>
      </c>
      <c r="M264">
        <v>80</v>
      </c>
      <c r="N264" s="10" t="s">
        <v>39</v>
      </c>
      <c r="O264" s="10" t="s">
        <v>75</v>
      </c>
      <c r="P264" s="13">
        <v>44303.379166666666</v>
      </c>
      <c r="Q264" t="s">
        <v>1007</v>
      </c>
    </row>
    <row r="265" spans="1:17">
      <c r="A265" s="8" t="s">
        <v>1008</v>
      </c>
      <c r="B265" s="8">
        <v>75845287</v>
      </c>
      <c r="C265" t="s">
        <v>1009</v>
      </c>
      <c r="D265" t="s">
        <v>1010</v>
      </c>
      <c r="E265" t="s">
        <v>20</v>
      </c>
      <c r="F265" t="s">
        <v>53</v>
      </c>
      <c r="G265" t="s">
        <v>686</v>
      </c>
      <c r="H265" t="s">
        <v>62</v>
      </c>
      <c r="I265" t="s">
        <v>127</v>
      </c>
      <c r="J265" t="s">
        <v>38</v>
      </c>
      <c r="K265" t="s">
        <v>46</v>
      </c>
      <c r="L265">
        <v>7093.39</v>
      </c>
      <c r="M265">
        <v>49</v>
      </c>
      <c r="N265" s="11" t="s">
        <v>57</v>
      </c>
      <c r="O265" s="11" t="s">
        <v>81</v>
      </c>
      <c r="P265" s="14">
        <v>46339.57916666667</v>
      </c>
      <c r="Q265" t="s">
        <v>1011</v>
      </c>
    </row>
    <row r="266" spans="1:17">
      <c r="A266" s="8" t="s">
        <v>1012</v>
      </c>
      <c r="B266" s="8">
        <v>58554539</v>
      </c>
      <c r="C266" t="s">
        <v>1013</v>
      </c>
      <c r="D266" t="s">
        <v>1014</v>
      </c>
      <c r="E266" t="s">
        <v>33</v>
      </c>
      <c r="F266" t="s">
        <v>45</v>
      </c>
      <c r="G266" t="s">
        <v>45</v>
      </c>
      <c r="H266" t="s">
        <v>68</v>
      </c>
      <c r="I266" t="s">
        <v>68</v>
      </c>
      <c r="J266" t="s">
        <v>103</v>
      </c>
      <c r="K266" t="s">
        <v>26</v>
      </c>
      <c r="L266">
        <v>8729</v>
      </c>
      <c r="M266">
        <v>50</v>
      </c>
      <c r="N266" s="10" t="s">
        <v>47</v>
      </c>
      <c r="O266" s="10" t="s">
        <v>75</v>
      </c>
      <c r="P266" s="13">
        <v>44644.033333333333</v>
      </c>
      <c r="Q266" t="s">
        <v>1015</v>
      </c>
    </row>
    <row r="267" spans="1:17">
      <c r="A267" s="8" t="s">
        <v>1016</v>
      </c>
      <c r="B267" s="8">
        <v>49146492</v>
      </c>
      <c r="C267" t="s">
        <v>285</v>
      </c>
      <c r="D267" t="s">
        <v>950</v>
      </c>
      <c r="E267" t="s">
        <v>20</v>
      </c>
      <c r="F267" t="s">
        <v>45</v>
      </c>
      <c r="G267" t="s">
        <v>21</v>
      </c>
      <c r="H267" t="s">
        <v>55</v>
      </c>
      <c r="I267" t="s">
        <v>24</v>
      </c>
      <c r="J267" t="s">
        <v>38</v>
      </c>
      <c r="K267" t="s">
        <v>69</v>
      </c>
      <c r="L267">
        <v>4079.17</v>
      </c>
      <c r="M267">
        <v>84</v>
      </c>
      <c r="N267" s="11" t="s">
        <v>57</v>
      </c>
      <c r="O267" s="11" t="s">
        <v>28</v>
      </c>
      <c r="P267" s="14">
        <v>44676.138888888891</v>
      </c>
      <c r="Q267" t="s">
        <v>1017</v>
      </c>
    </row>
    <row r="268" spans="1:17">
      <c r="A268" s="8" t="s">
        <v>1018</v>
      </c>
      <c r="B268" s="8">
        <v>39242850</v>
      </c>
      <c r="C268" t="s">
        <v>408</v>
      </c>
      <c r="D268" t="s">
        <v>51</v>
      </c>
      <c r="E268" t="s">
        <v>20</v>
      </c>
      <c r="F268" t="s">
        <v>98</v>
      </c>
      <c r="G268" t="s">
        <v>116</v>
      </c>
      <c r="H268" t="s">
        <v>37</v>
      </c>
      <c r="I268" t="s">
        <v>62</v>
      </c>
      <c r="J268" t="s">
        <v>25</v>
      </c>
      <c r="K268" t="s">
        <v>26</v>
      </c>
      <c r="L268">
        <v>6912.77</v>
      </c>
      <c r="M268">
        <v>35</v>
      </c>
      <c r="N268" s="10" t="s">
        <v>86</v>
      </c>
      <c r="O268" s="10" t="s">
        <v>28</v>
      </c>
      <c r="P268" s="13">
        <v>44995.20208333333</v>
      </c>
      <c r="Q268" t="s">
        <v>1019</v>
      </c>
    </row>
    <row r="269" spans="1:17">
      <c r="A269" s="8" t="s">
        <v>1020</v>
      </c>
      <c r="B269" s="8">
        <v>55908520</v>
      </c>
      <c r="C269" t="s">
        <v>1021</v>
      </c>
      <c r="D269" t="s">
        <v>1022</v>
      </c>
      <c r="E269" t="s">
        <v>20</v>
      </c>
      <c r="F269" t="s">
        <v>35</v>
      </c>
      <c r="G269" t="s">
        <v>121</v>
      </c>
      <c r="H269" t="s">
        <v>37</v>
      </c>
      <c r="I269" t="s">
        <v>68</v>
      </c>
      <c r="J269" t="s">
        <v>25</v>
      </c>
      <c r="K269" t="s">
        <v>26</v>
      </c>
      <c r="L269">
        <v>10365.36</v>
      </c>
      <c r="M269">
        <v>42</v>
      </c>
      <c r="N269" s="11" t="s">
        <v>86</v>
      </c>
      <c r="O269" s="11" t="s">
        <v>28</v>
      </c>
      <c r="P269" s="14">
        <v>44497.995833333334</v>
      </c>
      <c r="Q269" t="s">
        <v>1023</v>
      </c>
    </row>
    <row r="270" spans="1:17">
      <c r="A270" s="8" t="s">
        <v>1024</v>
      </c>
      <c r="B270" s="8">
        <v>43958759</v>
      </c>
      <c r="C270" t="s">
        <v>1025</v>
      </c>
      <c r="D270" t="s">
        <v>1026</v>
      </c>
      <c r="E270" t="s">
        <v>20</v>
      </c>
      <c r="F270" t="s">
        <v>35</v>
      </c>
      <c r="G270" t="s">
        <v>35</v>
      </c>
      <c r="H270" t="s">
        <v>55</v>
      </c>
      <c r="I270" t="s">
        <v>62</v>
      </c>
      <c r="J270" t="s">
        <v>25</v>
      </c>
      <c r="K270" t="s">
        <v>26</v>
      </c>
      <c r="L270">
        <v>12689.46</v>
      </c>
      <c r="M270">
        <v>71</v>
      </c>
      <c r="N270" s="10" t="s">
        <v>57</v>
      </c>
      <c r="O270" s="10" t="s">
        <v>75</v>
      </c>
      <c r="P270" s="13">
        <v>46140.27847222222</v>
      </c>
      <c r="Q270" t="s">
        <v>1027</v>
      </c>
    </row>
    <row r="271" spans="1:17">
      <c r="A271" s="8" t="s">
        <v>1028</v>
      </c>
      <c r="B271" s="8">
        <v>11876942</v>
      </c>
      <c r="C271" t="s">
        <v>1029</v>
      </c>
      <c r="D271" t="s">
        <v>369</v>
      </c>
      <c r="E271" t="s">
        <v>20</v>
      </c>
      <c r="F271" t="s">
        <v>91</v>
      </c>
      <c r="G271" t="s">
        <v>98</v>
      </c>
      <c r="H271" t="s">
        <v>24</v>
      </c>
      <c r="I271" t="s">
        <v>68</v>
      </c>
      <c r="J271" t="s">
        <v>56</v>
      </c>
      <c r="K271" t="s">
        <v>69</v>
      </c>
      <c r="L271">
        <v>10475.01</v>
      </c>
      <c r="M271">
        <v>75</v>
      </c>
      <c r="N271" s="11" t="s">
        <v>47</v>
      </c>
      <c r="O271" s="11" t="s">
        <v>81</v>
      </c>
      <c r="P271" s="14">
        <v>45639.686111111114</v>
      </c>
      <c r="Q271" t="s">
        <v>1030</v>
      </c>
    </row>
    <row r="272" spans="1:17">
      <c r="A272" s="8" t="s">
        <v>1031</v>
      </c>
      <c r="B272" s="8">
        <v>26591378</v>
      </c>
      <c r="C272" t="s">
        <v>1032</v>
      </c>
      <c r="D272" t="s">
        <v>1033</v>
      </c>
      <c r="E272" t="s">
        <v>20</v>
      </c>
      <c r="F272" t="s">
        <v>34</v>
      </c>
      <c r="G272" t="s">
        <v>22</v>
      </c>
      <c r="H272" t="s">
        <v>62</v>
      </c>
      <c r="I272" t="s">
        <v>127</v>
      </c>
      <c r="J272" t="s">
        <v>56</v>
      </c>
      <c r="K272" t="s">
        <v>63</v>
      </c>
      <c r="L272">
        <v>11045.25</v>
      </c>
      <c r="M272">
        <v>84</v>
      </c>
      <c r="N272" s="10" t="s">
        <v>39</v>
      </c>
      <c r="O272" s="10" t="s">
        <v>48</v>
      </c>
      <c r="P272" s="13">
        <v>45274.272222222222</v>
      </c>
      <c r="Q272" t="s">
        <v>1034</v>
      </c>
    </row>
    <row r="273" spans="1:17">
      <c r="A273" s="8" t="s">
        <v>1035</v>
      </c>
      <c r="B273" s="8">
        <v>11716086</v>
      </c>
      <c r="C273" t="s">
        <v>797</v>
      </c>
      <c r="D273" t="s">
        <v>1036</v>
      </c>
      <c r="E273" t="s">
        <v>20</v>
      </c>
      <c r="F273" t="s">
        <v>98</v>
      </c>
      <c r="G273" t="s">
        <v>45</v>
      </c>
      <c r="H273" t="s">
        <v>24</v>
      </c>
      <c r="I273" t="s">
        <v>24</v>
      </c>
      <c r="J273" t="s">
        <v>38</v>
      </c>
      <c r="K273" t="s">
        <v>26</v>
      </c>
      <c r="L273">
        <v>980.01</v>
      </c>
      <c r="M273">
        <v>63</v>
      </c>
      <c r="N273" s="11" t="s">
        <v>47</v>
      </c>
      <c r="O273" s="11" t="s">
        <v>75</v>
      </c>
      <c r="P273" s="14">
        <v>45598.289583333331</v>
      </c>
      <c r="Q273" t="s">
        <v>1037</v>
      </c>
    </row>
    <row r="274" spans="1:17">
      <c r="A274" s="8" t="s">
        <v>1038</v>
      </c>
      <c r="B274" s="8">
        <v>0</v>
      </c>
      <c r="C274" t="s">
        <v>343</v>
      </c>
      <c r="D274" t="s">
        <v>1039</v>
      </c>
      <c r="E274" t="s">
        <v>20</v>
      </c>
      <c r="F274" t="s">
        <v>92</v>
      </c>
      <c r="G274" t="s">
        <v>34</v>
      </c>
      <c r="H274" t="s">
        <v>24</v>
      </c>
      <c r="I274" t="s">
        <v>37</v>
      </c>
      <c r="J274" t="s">
        <v>56</v>
      </c>
      <c r="K274" t="s">
        <v>69</v>
      </c>
      <c r="L274">
        <v>1841.63</v>
      </c>
      <c r="M274">
        <v>41</v>
      </c>
      <c r="N274" s="10" t="s">
        <v>39</v>
      </c>
      <c r="O274" s="10" t="s">
        <v>81</v>
      </c>
      <c r="P274" s="13">
        <v>45095.965277777781</v>
      </c>
      <c r="Q274" t="s">
        <v>1040</v>
      </c>
    </row>
    <row r="275" spans="1:17">
      <c r="A275" s="8" t="s">
        <v>1041</v>
      </c>
      <c r="B275" s="8">
        <v>91145880</v>
      </c>
      <c r="C275" t="s">
        <v>994</v>
      </c>
      <c r="D275" t="s">
        <v>1042</v>
      </c>
      <c r="E275" t="s">
        <v>20</v>
      </c>
      <c r="F275" t="s">
        <v>35</v>
      </c>
      <c r="G275" t="s">
        <v>35</v>
      </c>
      <c r="H275" t="s">
        <v>54</v>
      </c>
      <c r="I275" t="s">
        <v>54</v>
      </c>
      <c r="J275" t="s">
        <v>56</v>
      </c>
      <c r="K275" t="s">
        <v>26</v>
      </c>
      <c r="L275">
        <v>7576.87</v>
      </c>
      <c r="M275">
        <v>49</v>
      </c>
      <c r="N275" s="11" t="s">
        <v>27</v>
      </c>
      <c r="O275" s="11" t="s">
        <v>75</v>
      </c>
      <c r="P275" s="14">
        <v>44185.34097222222</v>
      </c>
      <c r="Q275" t="s">
        <v>1043</v>
      </c>
    </row>
    <row r="276" spans="1:17">
      <c r="A276" s="8" t="s">
        <v>1044</v>
      </c>
      <c r="B276" s="8">
        <v>33738978</v>
      </c>
      <c r="C276" t="s">
        <v>1045</v>
      </c>
      <c r="D276" t="s">
        <v>139</v>
      </c>
      <c r="E276" t="s">
        <v>20</v>
      </c>
      <c r="F276" t="s">
        <v>22</v>
      </c>
      <c r="G276" t="s">
        <v>21</v>
      </c>
      <c r="H276" t="s">
        <v>23</v>
      </c>
      <c r="I276" t="s">
        <v>36</v>
      </c>
      <c r="J276" t="s">
        <v>38</v>
      </c>
      <c r="K276" t="s">
        <v>26</v>
      </c>
      <c r="L276">
        <v>9904.58</v>
      </c>
      <c r="M276">
        <v>64</v>
      </c>
      <c r="N276" s="10" t="s">
        <v>27</v>
      </c>
      <c r="O276" s="10" t="s">
        <v>81</v>
      </c>
      <c r="P276" s="13">
        <v>45703.085416666669</v>
      </c>
      <c r="Q276" t="s">
        <v>1046</v>
      </c>
    </row>
    <row r="277" spans="1:17">
      <c r="A277" s="8" t="s">
        <v>1047</v>
      </c>
      <c r="B277" s="8">
        <v>48176560</v>
      </c>
      <c r="C277" t="s">
        <v>936</v>
      </c>
      <c r="D277" t="s">
        <v>224</v>
      </c>
      <c r="E277" t="s">
        <v>33</v>
      </c>
      <c r="F277" t="s">
        <v>34</v>
      </c>
      <c r="G277" t="s">
        <v>34</v>
      </c>
      <c r="H277" t="s">
        <v>54</v>
      </c>
      <c r="I277" t="s">
        <v>24</v>
      </c>
      <c r="J277" t="s">
        <v>56</v>
      </c>
      <c r="K277" t="s">
        <v>69</v>
      </c>
      <c r="L277">
        <v>14879.26</v>
      </c>
      <c r="M277">
        <v>40</v>
      </c>
      <c r="N277" s="11" t="s">
        <v>39</v>
      </c>
      <c r="O277" s="11" t="s">
        <v>75</v>
      </c>
      <c r="P277" s="14">
        <v>45855.143750000003</v>
      </c>
      <c r="Q277" t="s">
        <v>1048</v>
      </c>
    </row>
    <row r="278" spans="1:17">
      <c r="A278" s="8" t="s">
        <v>1049</v>
      </c>
      <c r="B278" s="8">
        <v>55311134</v>
      </c>
      <c r="C278" t="s">
        <v>1050</v>
      </c>
      <c r="D278" t="s">
        <v>1051</v>
      </c>
      <c r="E278" t="s">
        <v>20</v>
      </c>
      <c r="F278" t="s">
        <v>45</v>
      </c>
      <c r="G278" t="s">
        <v>92</v>
      </c>
      <c r="H278" t="s">
        <v>23</v>
      </c>
      <c r="I278" t="s">
        <v>37</v>
      </c>
      <c r="J278" t="s">
        <v>103</v>
      </c>
      <c r="K278" t="s">
        <v>26</v>
      </c>
      <c r="L278">
        <v>8559.6</v>
      </c>
      <c r="M278">
        <v>83</v>
      </c>
      <c r="N278" s="10" t="s">
        <v>57</v>
      </c>
      <c r="O278" s="10" t="s">
        <v>28</v>
      </c>
      <c r="P278" s="13">
        <v>44010.515277777777</v>
      </c>
      <c r="Q278" t="s">
        <v>1052</v>
      </c>
    </row>
    <row r="279" spans="1:17">
      <c r="A279" s="8" t="s">
        <v>1053</v>
      </c>
      <c r="B279" s="8">
        <v>58765904</v>
      </c>
      <c r="C279" t="s">
        <v>976</v>
      </c>
      <c r="D279" t="s">
        <v>376</v>
      </c>
      <c r="E279" t="s">
        <v>20</v>
      </c>
      <c r="F279" t="s">
        <v>35</v>
      </c>
      <c r="G279" t="s">
        <v>98</v>
      </c>
      <c r="H279" t="s">
        <v>127</v>
      </c>
      <c r="I279" t="s">
        <v>93</v>
      </c>
      <c r="J279" t="s">
        <v>38</v>
      </c>
      <c r="K279" t="s">
        <v>46</v>
      </c>
      <c r="L279">
        <v>14369.54</v>
      </c>
      <c r="M279">
        <v>44</v>
      </c>
      <c r="N279" s="11" t="s">
        <v>27</v>
      </c>
      <c r="O279" s="11" t="s">
        <v>28</v>
      </c>
      <c r="P279" s="14">
        <v>43896.77847222222</v>
      </c>
      <c r="Q279" t="s">
        <v>1054</v>
      </c>
    </row>
    <row r="280" spans="1:17">
      <c r="A280" s="8" t="s">
        <v>1055</v>
      </c>
      <c r="B280" s="8">
        <v>77731571</v>
      </c>
      <c r="C280" t="s">
        <v>526</v>
      </c>
      <c r="D280" t="s">
        <v>1056</v>
      </c>
      <c r="E280" t="s">
        <v>20</v>
      </c>
      <c r="F280" t="s">
        <v>121</v>
      </c>
      <c r="G280" t="s">
        <v>92</v>
      </c>
      <c r="H280" t="s">
        <v>68</v>
      </c>
      <c r="I280" t="s">
        <v>68</v>
      </c>
      <c r="J280" t="s">
        <v>25</v>
      </c>
      <c r="K280" t="s">
        <v>46</v>
      </c>
      <c r="L280">
        <v>10552.94</v>
      </c>
      <c r="M280">
        <v>19</v>
      </c>
      <c r="N280" s="10" t="s">
        <v>47</v>
      </c>
      <c r="O280" s="10" t="s">
        <v>81</v>
      </c>
      <c r="P280" s="13">
        <v>44650.193055555559</v>
      </c>
      <c r="Q280" t="s">
        <v>1057</v>
      </c>
    </row>
    <row r="281" spans="1:17">
      <c r="A281" s="8" t="s">
        <v>1058</v>
      </c>
      <c r="B281" s="8">
        <v>68213514</v>
      </c>
      <c r="C281" t="s">
        <v>1059</v>
      </c>
      <c r="D281" t="s">
        <v>453</v>
      </c>
      <c r="E281" t="s">
        <v>20</v>
      </c>
      <c r="F281" t="s">
        <v>121</v>
      </c>
      <c r="G281" t="s">
        <v>34</v>
      </c>
      <c r="H281" t="s">
        <v>23</v>
      </c>
      <c r="I281" t="s">
        <v>93</v>
      </c>
      <c r="J281" t="s">
        <v>56</v>
      </c>
      <c r="K281" t="s">
        <v>69</v>
      </c>
      <c r="L281">
        <v>12904.19</v>
      </c>
      <c r="M281">
        <v>34</v>
      </c>
      <c r="N281" s="11" t="s">
        <v>86</v>
      </c>
      <c r="O281" s="11" t="s">
        <v>48</v>
      </c>
      <c r="P281" s="14">
        <v>45202.96875</v>
      </c>
      <c r="Q281" t="s">
        <v>1060</v>
      </c>
    </row>
    <row r="282" spans="1:17">
      <c r="A282" s="8" t="s">
        <v>1061</v>
      </c>
      <c r="B282" s="8">
        <v>13718391</v>
      </c>
      <c r="C282" t="s">
        <v>1062</v>
      </c>
      <c r="D282" t="s">
        <v>1063</v>
      </c>
      <c r="E282" t="s">
        <v>20</v>
      </c>
      <c r="F282" t="s">
        <v>98</v>
      </c>
      <c r="G282" t="s">
        <v>92</v>
      </c>
      <c r="H282" t="s">
        <v>55</v>
      </c>
      <c r="I282" t="s">
        <v>37</v>
      </c>
      <c r="J282" t="s">
        <v>103</v>
      </c>
      <c r="K282" t="s">
        <v>46</v>
      </c>
      <c r="L282">
        <v>8265.08</v>
      </c>
      <c r="M282">
        <v>50</v>
      </c>
      <c r="N282" s="10" t="s">
        <v>86</v>
      </c>
      <c r="O282" s="10" t="s">
        <v>81</v>
      </c>
      <c r="P282" s="13">
        <v>44001.007638888892</v>
      </c>
      <c r="Q282" t="s">
        <v>1064</v>
      </c>
    </row>
    <row r="283" spans="1:17">
      <c r="A283" s="8" t="s">
        <v>1065</v>
      </c>
      <c r="B283" s="8">
        <v>98238841</v>
      </c>
      <c r="C283" t="s">
        <v>1066</v>
      </c>
      <c r="D283" t="s">
        <v>1067</v>
      </c>
      <c r="E283" t="s">
        <v>20</v>
      </c>
      <c r="F283" t="s">
        <v>21</v>
      </c>
      <c r="G283" t="s">
        <v>121</v>
      </c>
      <c r="H283" t="s">
        <v>54</v>
      </c>
      <c r="I283" t="s">
        <v>24</v>
      </c>
      <c r="J283" t="s">
        <v>38</v>
      </c>
      <c r="K283" t="s">
        <v>69</v>
      </c>
      <c r="L283">
        <v>7451.8</v>
      </c>
      <c r="M283">
        <v>26</v>
      </c>
      <c r="N283" s="11" t="s">
        <v>86</v>
      </c>
      <c r="O283" s="11" t="s">
        <v>48</v>
      </c>
      <c r="P283" s="14">
        <v>46352.04583333333</v>
      </c>
      <c r="Q283" t="s">
        <v>1068</v>
      </c>
    </row>
    <row r="284" spans="1:17">
      <c r="A284" s="8" t="s">
        <v>1069</v>
      </c>
      <c r="B284" s="8">
        <v>24336334</v>
      </c>
      <c r="C284" t="s">
        <v>146</v>
      </c>
      <c r="D284" t="s">
        <v>1070</v>
      </c>
      <c r="E284" t="s">
        <v>33</v>
      </c>
      <c r="F284" t="s">
        <v>116</v>
      </c>
      <c r="G284" t="s">
        <v>80</v>
      </c>
      <c r="H284" t="s">
        <v>62</v>
      </c>
      <c r="I284" t="s">
        <v>68</v>
      </c>
      <c r="J284" t="s">
        <v>38</v>
      </c>
      <c r="K284" t="s">
        <v>26</v>
      </c>
      <c r="L284">
        <v>14450.1</v>
      </c>
      <c r="M284">
        <v>60</v>
      </c>
      <c r="N284" s="10" t="s">
        <v>47</v>
      </c>
      <c r="O284" s="10" t="s">
        <v>75</v>
      </c>
      <c r="P284" s="13">
        <v>45221.4375</v>
      </c>
      <c r="Q284" t="s">
        <v>1071</v>
      </c>
    </row>
    <row r="285" spans="1:17">
      <c r="A285" s="8" t="s">
        <v>1072</v>
      </c>
      <c r="B285" s="8">
        <v>17337997</v>
      </c>
      <c r="C285" t="s">
        <v>491</v>
      </c>
      <c r="D285" t="s">
        <v>1073</v>
      </c>
      <c r="E285" t="s">
        <v>20</v>
      </c>
      <c r="F285" t="s">
        <v>98</v>
      </c>
      <c r="G285" t="s">
        <v>92</v>
      </c>
      <c r="H285" t="s">
        <v>68</v>
      </c>
      <c r="I285" t="s">
        <v>36</v>
      </c>
      <c r="J285" t="s">
        <v>74</v>
      </c>
      <c r="K285" t="s">
        <v>26</v>
      </c>
      <c r="L285">
        <v>5833.18</v>
      </c>
      <c r="M285">
        <v>65</v>
      </c>
      <c r="N285" s="11" t="s">
        <v>39</v>
      </c>
      <c r="O285" s="11" t="s">
        <v>75</v>
      </c>
      <c r="P285" s="14">
        <v>44961.520833333336</v>
      </c>
      <c r="Q285" t="s">
        <v>1074</v>
      </c>
    </row>
    <row r="286" spans="1:17">
      <c r="A286" s="8" t="s">
        <v>1075</v>
      </c>
      <c r="B286" s="8">
        <v>96493863</v>
      </c>
      <c r="C286" t="s">
        <v>1076</v>
      </c>
      <c r="D286" t="s">
        <v>969</v>
      </c>
      <c r="E286" t="s">
        <v>20</v>
      </c>
      <c r="F286" t="s">
        <v>44</v>
      </c>
      <c r="G286" t="s">
        <v>44</v>
      </c>
      <c r="H286" t="s">
        <v>127</v>
      </c>
      <c r="I286" t="s">
        <v>127</v>
      </c>
      <c r="J286" t="s">
        <v>25</v>
      </c>
      <c r="K286" t="s">
        <v>26</v>
      </c>
      <c r="L286">
        <v>10480.25</v>
      </c>
      <c r="M286">
        <v>56</v>
      </c>
      <c r="N286" s="10" t="s">
        <v>27</v>
      </c>
      <c r="O286" s="10" t="s">
        <v>28</v>
      </c>
      <c r="P286" s="13">
        <v>46317.068055555559</v>
      </c>
      <c r="Q286" t="s">
        <v>1077</v>
      </c>
    </row>
    <row r="287" spans="1:17">
      <c r="A287" s="8" t="s">
        <v>1078</v>
      </c>
      <c r="B287" s="8">
        <v>34661114</v>
      </c>
      <c r="C287" t="s">
        <v>1079</v>
      </c>
      <c r="D287" t="s">
        <v>1080</v>
      </c>
      <c r="E287" t="s">
        <v>20</v>
      </c>
      <c r="F287" t="s">
        <v>92</v>
      </c>
      <c r="G287" t="s">
        <v>121</v>
      </c>
      <c r="H287" t="s">
        <v>23</v>
      </c>
      <c r="I287" t="s">
        <v>68</v>
      </c>
      <c r="J287" t="s">
        <v>38</v>
      </c>
      <c r="K287" t="s">
        <v>26</v>
      </c>
      <c r="L287">
        <v>12705.94</v>
      </c>
      <c r="M287">
        <v>59</v>
      </c>
      <c r="N287" s="11" t="s">
        <v>39</v>
      </c>
      <c r="O287" s="11" t="s">
        <v>75</v>
      </c>
      <c r="P287" s="14">
        <v>44665.62222222222</v>
      </c>
      <c r="Q287" t="s">
        <v>1081</v>
      </c>
    </row>
    <row r="288" spans="1:17">
      <c r="A288" s="8" t="s">
        <v>1082</v>
      </c>
      <c r="B288" s="8">
        <v>65632768</v>
      </c>
      <c r="C288" t="s">
        <v>1083</v>
      </c>
      <c r="D288" t="s">
        <v>147</v>
      </c>
      <c r="E288" t="s">
        <v>20</v>
      </c>
      <c r="F288" t="s">
        <v>1084</v>
      </c>
      <c r="G288" t="s">
        <v>523</v>
      </c>
      <c r="H288" t="s">
        <v>127</v>
      </c>
      <c r="I288" t="s">
        <v>68</v>
      </c>
      <c r="J288" t="s">
        <v>25</v>
      </c>
      <c r="K288" t="s">
        <v>26</v>
      </c>
      <c r="L288">
        <v>2982.01</v>
      </c>
      <c r="M288">
        <v>43</v>
      </c>
      <c r="N288" s="10" t="s">
        <v>47</v>
      </c>
      <c r="O288" s="10" t="s">
        <v>28</v>
      </c>
      <c r="P288" s="13">
        <v>44057.439583333333</v>
      </c>
      <c r="Q288" t="s">
        <v>1085</v>
      </c>
    </row>
    <row r="289" spans="1:17">
      <c r="A289" s="8" t="s">
        <v>1086</v>
      </c>
      <c r="B289" s="8">
        <v>80576741</v>
      </c>
      <c r="C289" t="s">
        <v>1087</v>
      </c>
      <c r="D289" t="s">
        <v>1088</v>
      </c>
      <c r="E289" t="s">
        <v>20</v>
      </c>
      <c r="F289" t="s">
        <v>45</v>
      </c>
      <c r="G289" t="s">
        <v>44</v>
      </c>
      <c r="H289" t="s">
        <v>62</v>
      </c>
      <c r="I289" t="s">
        <v>24</v>
      </c>
      <c r="J289" t="s">
        <v>103</v>
      </c>
      <c r="K289" t="s">
        <v>46</v>
      </c>
      <c r="L289">
        <v>7417.58</v>
      </c>
      <c r="M289">
        <v>67</v>
      </c>
      <c r="N289" s="11" t="s">
        <v>47</v>
      </c>
      <c r="O289" s="11" t="s">
        <v>81</v>
      </c>
      <c r="P289" s="14">
        <v>44272.252083333333</v>
      </c>
      <c r="Q289" t="s">
        <v>1089</v>
      </c>
    </row>
    <row r="290" spans="1:17">
      <c r="A290" s="8" t="s">
        <v>1090</v>
      </c>
      <c r="B290" s="8">
        <v>48949039</v>
      </c>
      <c r="C290" t="s">
        <v>452</v>
      </c>
      <c r="D290" t="s">
        <v>1091</v>
      </c>
      <c r="E290" t="s">
        <v>20</v>
      </c>
      <c r="F290" t="s">
        <v>34</v>
      </c>
      <c r="G290" t="s">
        <v>1084</v>
      </c>
      <c r="H290" t="s">
        <v>24</v>
      </c>
      <c r="I290" t="s">
        <v>24</v>
      </c>
      <c r="J290" t="s">
        <v>38</v>
      </c>
      <c r="K290" t="s">
        <v>26</v>
      </c>
      <c r="L290">
        <v>10305.92</v>
      </c>
      <c r="M290">
        <v>42</v>
      </c>
      <c r="N290" s="10" t="s">
        <v>39</v>
      </c>
      <c r="O290" s="10" t="s">
        <v>81</v>
      </c>
      <c r="P290" s="13">
        <v>46274.436111111114</v>
      </c>
      <c r="Q290" t="s">
        <v>1092</v>
      </c>
    </row>
    <row r="291" spans="1:17">
      <c r="A291" s="8" t="s">
        <v>1093</v>
      </c>
      <c r="B291" s="8">
        <v>90293348</v>
      </c>
      <c r="C291" t="s">
        <v>335</v>
      </c>
      <c r="D291" t="s">
        <v>882</v>
      </c>
      <c r="E291" t="s">
        <v>33</v>
      </c>
      <c r="F291" t="s">
        <v>98</v>
      </c>
      <c r="G291" t="s">
        <v>116</v>
      </c>
      <c r="H291" t="s">
        <v>37</v>
      </c>
      <c r="I291" t="s">
        <v>37</v>
      </c>
      <c r="J291" t="s">
        <v>25</v>
      </c>
      <c r="K291" t="s">
        <v>63</v>
      </c>
      <c r="L291">
        <v>2698.79</v>
      </c>
      <c r="M291">
        <v>41</v>
      </c>
      <c r="N291" s="11" t="s">
        <v>47</v>
      </c>
      <c r="O291" s="11" t="s">
        <v>81</v>
      </c>
      <c r="P291" s="14">
        <v>44558.052083333336</v>
      </c>
      <c r="Q291" t="s">
        <v>1094</v>
      </c>
    </row>
    <row r="292" spans="1:17">
      <c r="A292" s="8" t="s">
        <v>1095</v>
      </c>
      <c r="B292" s="8">
        <v>77002914</v>
      </c>
      <c r="C292" t="s">
        <v>483</v>
      </c>
      <c r="D292" t="s">
        <v>1096</v>
      </c>
      <c r="E292" t="s">
        <v>20</v>
      </c>
      <c r="F292" t="s">
        <v>92</v>
      </c>
      <c r="G292" t="s">
        <v>53</v>
      </c>
      <c r="H292" t="s">
        <v>62</v>
      </c>
      <c r="I292" t="s">
        <v>55</v>
      </c>
      <c r="J292" t="s">
        <v>56</v>
      </c>
      <c r="K292" t="s">
        <v>26</v>
      </c>
      <c r="L292">
        <v>4739.99</v>
      </c>
      <c r="M292">
        <v>30</v>
      </c>
      <c r="N292" s="10" t="s">
        <v>39</v>
      </c>
      <c r="O292" s="10" t="s">
        <v>48</v>
      </c>
      <c r="P292" s="13">
        <v>45435.258333333331</v>
      </c>
      <c r="Q292" t="s">
        <v>1097</v>
      </c>
    </row>
    <row r="293" spans="1:17">
      <c r="A293" s="8" t="s">
        <v>1098</v>
      </c>
      <c r="B293" s="8">
        <v>76425800</v>
      </c>
      <c r="C293" t="s">
        <v>1099</v>
      </c>
      <c r="D293" t="s">
        <v>1100</v>
      </c>
      <c r="E293" t="s">
        <v>20</v>
      </c>
      <c r="F293" t="s">
        <v>44</v>
      </c>
      <c r="G293" t="s">
        <v>44</v>
      </c>
      <c r="H293" t="s">
        <v>36</v>
      </c>
      <c r="I293" t="s">
        <v>68</v>
      </c>
      <c r="J293" t="s">
        <v>103</v>
      </c>
      <c r="K293" t="s">
        <v>26</v>
      </c>
      <c r="L293">
        <v>12525.96</v>
      </c>
      <c r="M293">
        <v>77</v>
      </c>
      <c r="N293" s="11" t="s">
        <v>27</v>
      </c>
      <c r="O293" s="11" t="s">
        <v>75</v>
      </c>
      <c r="P293" s="14">
        <v>45962.177777777775</v>
      </c>
      <c r="Q293" t="s">
        <v>1101</v>
      </c>
    </row>
    <row r="294" spans="1:17">
      <c r="A294" s="8" t="s">
        <v>1102</v>
      </c>
      <c r="B294" s="8">
        <v>54111700</v>
      </c>
      <c r="C294" t="s">
        <v>1103</v>
      </c>
      <c r="D294" t="s">
        <v>1104</v>
      </c>
      <c r="E294" t="s">
        <v>20</v>
      </c>
      <c r="F294" t="s">
        <v>34</v>
      </c>
      <c r="G294" t="s">
        <v>116</v>
      </c>
      <c r="H294" t="s">
        <v>62</v>
      </c>
      <c r="I294" t="s">
        <v>54</v>
      </c>
      <c r="J294" t="s">
        <v>38</v>
      </c>
      <c r="K294" t="s">
        <v>46</v>
      </c>
      <c r="L294">
        <v>7203.03</v>
      </c>
      <c r="M294">
        <v>24</v>
      </c>
      <c r="N294" s="10" t="s">
        <v>57</v>
      </c>
      <c r="O294" s="10" t="s">
        <v>28</v>
      </c>
      <c r="P294" s="13">
        <v>44867.863194444442</v>
      </c>
      <c r="Q294" t="s">
        <v>1105</v>
      </c>
    </row>
    <row r="295" spans="1:17">
      <c r="A295" s="8" t="s">
        <v>1106</v>
      </c>
      <c r="B295" s="8">
        <v>27357063</v>
      </c>
      <c r="C295" t="s">
        <v>808</v>
      </c>
      <c r="D295" t="s">
        <v>52</v>
      </c>
      <c r="E295" t="s">
        <v>20</v>
      </c>
      <c r="F295" t="s">
        <v>34</v>
      </c>
      <c r="G295" t="s">
        <v>80</v>
      </c>
      <c r="H295" t="s">
        <v>127</v>
      </c>
      <c r="I295" t="s">
        <v>68</v>
      </c>
      <c r="J295" t="s">
        <v>74</v>
      </c>
      <c r="K295" t="s">
        <v>26</v>
      </c>
      <c r="L295">
        <v>1346.93</v>
      </c>
      <c r="M295">
        <v>74</v>
      </c>
      <c r="N295" s="11" t="s">
        <v>47</v>
      </c>
      <c r="O295" s="11" t="s">
        <v>48</v>
      </c>
      <c r="P295" s="14">
        <v>45663.754166666666</v>
      </c>
      <c r="Q295" t="s">
        <v>1107</v>
      </c>
    </row>
    <row r="296" spans="1:17">
      <c r="A296" s="8" t="s">
        <v>1108</v>
      </c>
      <c r="B296" s="8">
        <v>51621092</v>
      </c>
      <c r="C296" t="s">
        <v>486</v>
      </c>
      <c r="D296" t="s">
        <v>1109</v>
      </c>
      <c r="E296" t="s">
        <v>20</v>
      </c>
      <c r="F296" t="s">
        <v>35</v>
      </c>
      <c r="G296" t="s">
        <v>34</v>
      </c>
      <c r="H296" t="s">
        <v>55</v>
      </c>
      <c r="I296" t="s">
        <v>37</v>
      </c>
      <c r="J296" t="s">
        <v>56</v>
      </c>
      <c r="K296" t="s">
        <v>69</v>
      </c>
      <c r="L296">
        <v>11349.79</v>
      </c>
      <c r="M296">
        <v>53</v>
      </c>
      <c r="N296" s="10" t="s">
        <v>57</v>
      </c>
      <c r="O296" s="10" t="s">
        <v>48</v>
      </c>
      <c r="P296" s="13">
        <v>45679.213194444441</v>
      </c>
      <c r="Q296" t="s">
        <v>1110</v>
      </c>
    </row>
    <row r="297" spans="1:17">
      <c r="A297" s="8" t="s">
        <v>1111</v>
      </c>
      <c r="B297" s="8">
        <v>76481027</v>
      </c>
      <c r="C297" t="s">
        <v>285</v>
      </c>
      <c r="D297" t="s">
        <v>869</v>
      </c>
      <c r="E297" t="s">
        <v>20</v>
      </c>
      <c r="F297" t="s">
        <v>686</v>
      </c>
      <c r="G297" t="s">
        <v>92</v>
      </c>
      <c r="H297" t="s">
        <v>54</v>
      </c>
      <c r="I297" t="s">
        <v>62</v>
      </c>
      <c r="J297" t="s">
        <v>103</v>
      </c>
      <c r="K297" t="s">
        <v>26</v>
      </c>
      <c r="L297">
        <v>7851.15</v>
      </c>
      <c r="M297">
        <v>62</v>
      </c>
      <c r="N297" s="11" t="s">
        <v>57</v>
      </c>
      <c r="O297" s="11" t="s">
        <v>28</v>
      </c>
      <c r="P297" s="14">
        <v>44323.525000000001</v>
      </c>
      <c r="Q297" t="s">
        <v>1112</v>
      </c>
    </row>
    <row r="298" spans="1:17">
      <c r="A298" s="8" t="s">
        <v>1113</v>
      </c>
      <c r="B298" s="8">
        <v>44206757</v>
      </c>
      <c r="C298" t="s">
        <v>1114</v>
      </c>
      <c r="D298" t="s">
        <v>174</v>
      </c>
      <c r="E298" t="s">
        <v>33</v>
      </c>
      <c r="F298" t="s">
        <v>22</v>
      </c>
      <c r="G298" t="s">
        <v>45</v>
      </c>
      <c r="H298" t="s">
        <v>55</v>
      </c>
      <c r="I298" t="s">
        <v>93</v>
      </c>
      <c r="J298" t="s">
        <v>38</v>
      </c>
      <c r="K298" t="s">
        <v>69</v>
      </c>
      <c r="L298">
        <v>4716.0600000000004</v>
      </c>
      <c r="M298">
        <v>37</v>
      </c>
      <c r="N298" s="10" t="s">
        <v>39</v>
      </c>
      <c r="O298" s="10" t="s">
        <v>81</v>
      </c>
      <c r="P298" s="13">
        <v>45379.069444444445</v>
      </c>
      <c r="Q298" t="s">
        <v>1115</v>
      </c>
    </row>
    <row r="299" spans="1:17">
      <c r="A299" s="8" t="s">
        <v>1116</v>
      </c>
      <c r="B299" s="8">
        <v>24271459</v>
      </c>
      <c r="C299" t="s">
        <v>146</v>
      </c>
      <c r="D299" t="s">
        <v>1117</v>
      </c>
      <c r="E299" t="s">
        <v>20</v>
      </c>
      <c r="F299" t="s">
        <v>80</v>
      </c>
      <c r="G299" t="s">
        <v>21</v>
      </c>
      <c r="H299" t="s">
        <v>127</v>
      </c>
      <c r="I299" t="s">
        <v>127</v>
      </c>
      <c r="J299" t="s">
        <v>38</v>
      </c>
      <c r="K299" t="s">
        <v>26</v>
      </c>
      <c r="L299">
        <v>4548.97</v>
      </c>
      <c r="M299">
        <v>82</v>
      </c>
      <c r="N299" s="11" t="s">
        <v>27</v>
      </c>
      <c r="O299" s="11" t="s">
        <v>75</v>
      </c>
      <c r="P299" s="14">
        <v>44974.432638888888</v>
      </c>
      <c r="Q299" t="s">
        <v>1118</v>
      </c>
    </row>
    <row r="300" spans="1:17">
      <c r="A300" s="8" t="s">
        <v>1119</v>
      </c>
      <c r="B300" s="8">
        <v>38082305</v>
      </c>
      <c r="C300" t="s">
        <v>376</v>
      </c>
      <c r="D300" t="s">
        <v>1120</v>
      </c>
      <c r="E300" t="s">
        <v>20</v>
      </c>
      <c r="F300" t="s">
        <v>45</v>
      </c>
      <c r="G300" t="s">
        <v>98</v>
      </c>
      <c r="H300" t="s">
        <v>54</v>
      </c>
      <c r="I300" t="s">
        <v>55</v>
      </c>
      <c r="J300" t="s">
        <v>74</v>
      </c>
      <c r="K300" t="s">
        <v>26</v>
      </c>
      <c r="L300">
        <v>11084.33</v>
      </c>
      <c r="M300">
        <v>25</v>
      </c>
      <c r="N300" s="10" t="s">
        <v>39</v>
      </c>
      <c r="O300" s="10" t="s">
        <v>81</v>
      </c>
      <c r="P300" s="13">
        <v>44800.225694444445</v>
      </c>
      <c r="Q300" t="s">
        <v>1121</v>
      </c>
    </row>
    <row r="301" spans="1:17">
      <c r="A301" s="8" t="s">
        <v>1122</v>
      </c>
      <c r="B301" s="8">
        <v>23779264</v>
      </c>
      <c r="C301" t="s">
        <v>1123</v>
      </c>
      <c r="D301" t="s">
        <v>31</v>
      </c>
      <c r="E301" t="s">
        <v>20</v>
      </c>
      <c r="F301" t="s">
        <v>44</v>
      </c>
      <c r="G301" t="s">
        <v>22</v>
      </c>
      <c r="H301" t="s">
        <v>36</v>
      </c>
      <c r="I301" t="s">
        <v>36</v>
      </c>
      <c r="J301" t="s">
        <v>38</v>
      </c>
      <c r="K301" t="s">
        <v>63</v>
      </c>
      <c r="L301">
        <v>10871.97</v>
      </c>
      <c r="M301">
        <v>33</v>
      </c>
      <c r="N301" s="11" t="s">
        <v>39</v>
      </c>
      <c r="O301" s="11" t="s">
        <v>48</v>
      </c>
      <c r="P301" s="14">
        <v>46231.288888888892</v>
      </c>
      <c r="Q301" t="s">
        <v>1124</v>
      </c>
    </row>
    <row r="302" spans="1:17">
      <c r="A302" s="8" t="s">
        <v>1125</v>
      </c>
      <c r="B302" s="8">
        <v>76409428</v>
      </c>
      <c r="C302" t="s">
        <v>1126</v>
      </c>
      <c r="D302" t="s">
        <v>1127</v>
      </c>
      <c r="E302" t="s">
        <v>20</v>
      </c>
      <c r="F302" t="s">
        <v>80</v>
      </c>
      <c r="G302" t="s">
        <v>21</v>
      </c>
      <c r="H302" t="s">
        <v>37</v>
      </c>
      <c r="I302" t="s">
        <v>36</v>
      </c>
      <c r="J302" t="s">
        <v>38</v>
      </c>
      <c r="K302" t="s">
        <v>69</v>
      </c>
      <c r="L302">
        <v>13826.82</v>
      </c>
      <c r="M302">
        <v>31</v>
      </c>
      <c r="N302" s="10" t="s">
        <v>39</v>
      </c>
      <c r="O302" s="10" t="s">
        <v>48</v>
      </c>
      <c r="P302" s="13">
        <v>45918.262499999997</v>
      </c>
      <c r="Q302" t="s">
        <v>1128</v>
      </c>
    </row>
    <row r="303" spans="1:17">
      <c r="A303" s="8" t="s">
        <v>1129</v>
      </c>
      <c r="B303" s="8">
        <v>31746728</v>
      </c>
      <c r="C303" t="s">
        <v>1130</v>
      </c>
      <c r="D303" t="s">
        <v>1131</v>
      </c>
      <c r="E303" t="s">
        <v>20</v>
      </c>
      <c r="F303" t="s">
        <v>45</v>
      </c>
      <c r="G303" t="s">
        <v>44</v>
      </c>
      <c r="H303" t="s">
        <v>68</v>
      </c>
      <c r="I303" t="s">
        <v>36</v>
      </c>
      <c r="J303" t="s">
        <v>56</v>
      </c>
      <c r="K303" t="s">
        <v>69</v>
      </c>
      <c r="L303">
        <v>3528.44</v>
      </c>
      <c r="M303">
        <v>32</v>
      </c>
      <c r="N303" s="11" t="s">
        <v>27</v>
      </c>
      <c r="O303" s="11" t="s">
        <v>28</v>
      </c>
      <c r="P303" s="14">
        <v>44470.237500000003</v>
      </c>
      <c r="Q303" t="s">
        <v>1132</v>
      </c>
    </row>
    <row r="304" spans="1:17">
      <c r="A304" s="8" t="s">
        <v>1133</v>
      </c>
      <c r="B304" s="8">
        <v>55329991</v>
      </c>
      <c r="C304" t="s">
        <v>1134</v>
      </c>
      <c r="D304" t="s">
        <v>1135</v>
      </c>
      <c r="E304" t="s">
        <v>20</v>
      </c>
      <c r="F304" t="s">
        <v>121</v>
      </c>
      <c r="G304" t="s">
        <v>44</v>
      </c>
      <c r="H304" t="s">
        <v>127</v>
      </c>
      <c r="I304" t="s">
        <v>24</v>
      </c>
      <c r="J304" t="s">
        <v>103</v>
      </c>
      <c r="K304" t="s">
        <v>26</v>
      </c>
      <c r="L304">
        <v>12802.59</v>
      </c>
      <c r="M304">
        <v>83</v>
      </c>
      <c r="N304" s="10" t="s">
        <v>27</v>
      </c>
      <c r="O304" s="10" t="s">
        <v>28</v>
      </c>
      <c r="P304" s="13">
        <v>44003.443055555559</v>
      </c>
      <c r="Q304" t="s">
        <v>1136</v>
      </c>
    </row>
    <row r="305" spans="1:17">
      <c r="A305" s="8" t="s">
        <v>1137</v>
      </c>
      <c r="B305" s="8">
        <v>23672496</v>
      </c>
      <c r="C305" t="s">
        <v>106</v>
      </c>
      <c r="D305" t="s">
        <v>647</v>
      </c>
      <c r="E305" t="s">
        <v>20</v>
      </c>
      <c r="F305" t="s">
        <v>45</v>
      </c>
      <c r="G305" t="s">
        <v>35</v>
      </c>
      <c r="H305" t="s">
        <v>23</v>
      </c>
      <c r="I305" t="s">
        <v>36</v>
      </c>
      <c r="J305" t="s">
        <v>38</v>
      </c>
      <c r="K305" t="s">
        <v>26</v>
      </c>
      <c r="L305">
        <v>10990.95</v>
      </c>
      <c r="M305">
        <v>49</v>
      </c>
      <c r="N305" s="11" t="s">
        <v>86</v>
      </c>
      <c r="O305" s="11" t="s">
        <v>48</v>
      </c>
      <c r="P305" s="14">
        <v>45401.054166666669</v>
      </c>
      <c r="Q305" t="s">
        <v>1138</v>
      </c>
    </row>
    <row r="306" spans="1:17">
      <c r="A306" s="8" t="s">
        <v>1139</v>
      </c>
      <c r="B306" s="8">
        <v>73574016</v>
      </c>
      <c r="C306" t="s">
        <v>661</v>
      </c>
      <c r="D306" t="s">
        <v>1140</v>
      </c>
      <c r="E306" t="s">
        <v>20</v>
      </c>
      <c r="F306" t="s">
        <v>34</v>
      </c>
      <c r="G306" t="s">
        <v>22</v>
      </c>
      <c r="H306" t="s">
        <v>127</v>
      </c>
      <c r="I306" t="s">
        <v>127</v>
      </c>
      <c r="J306" t="s">
        <v>56</v>
      </c>
      <c r="K306" t="s">
        <v>26</v>
      </c>
      <c r="L306">
        <v>2078.54</v>
      </c>
      <c r="M306">
        <v>80</v>
      </c>
      <c r="N306" s="10" t="s">
        <v>39</v>
      </c>
      <c r="O306" s="10" t="s">
        <v>81</v>
      </c>
      <c r="P306" s="13">
        <v>44089.164583333331</v>
      </c>
      <c r="Q306" t="s">
        <v>1141</v>
      </c>
    </row>
    <row r="307" spans="1:17">
      <c r="A307" s="8" t="s">
        <v>1142</v>
      </c>
      <c r="B307" s="8">
        <v>79437366</v>
      </c>
      <c r="C307" t="s">
        <v>1143</v>
      </c>
      <c r="D307" t="s">
        <v>1144</v>
      </c>
      <c r="E307" t="s">
        <v>33</v>
      </c>
      <c r="F307" t="s">
        <v>91</v>
      </c>
      <c r="G307" t="s">
        <v>523</v>
      </c>
      <c r="H307" t="s">
        <v>127</v>
      </c>
      <c r="I307" t="s">
        <v>93</v>
      </c>
      <c r="J307" t="s">
        <v>25</v>
      </c>
      <c r="K307" t="s">
        <v>46</v>
      </c>
      <c r="L307">
        <v>14700.91</v>
      </c>
      <c r="M307">
        <v>68</v>
      </c>
      <c r="N307" s="11" t="s">
        <v>27</v>
      </c>
      <c r="O307" s="11" t="s">
        <v>75</v>
      </c>
      <c r="P307" s="14">
        <v>44347.241666666669</v>
      </c>
      <c r="Q307" t="s">
        <v>1145</v>
      </c>
    </row>
    <row r="308" spans="1:17">
      <c r="A308" s="8" t="s">
        <v>1146</v>
      </c>
      <c r="B308" s="8">
        <v>47551535</v>
      </c>
      <c r="C308" t="s">
        <v>358</v>
      </c>
      <c r="D308" t="s">
        <v>922</v>
      </c>
      <c r="E308" t="s">
        <v>20</v>
      </c>
      <c r="F308" t="s">
        <v>92</v>
      </c>
      <c r="G308" t="s">
        <v>44</v>
      </c>
      <c r="H308" t="s">
        <v>54</v>
      </c>
      <c r="I308" t="s">
        <v>36</v>
      </c>
      <c r="J308" t="s">
        <v>103</v>
      </c>
      <c r="K308" t="s">
        <v>46</v>
      </c>
      <c r="L308">
        <v>6073.54</v>
      </c>
      <c r="M308">
        <v>42</v>
      </c>
      <c r="N308" s="10" t="s">
        <v>47</v>
      </c>
      <c r="O308" s="10" t="s">
        <v>75</v>
      </c>
      <c r="P308" s="13">
        <v>44353.185416666667</v>
      </c>
      <c r="Q308" t="s">
        <v>1147</v>
      </c>
    </row>
    <row r="309" spans="1:17">
      <c r="A309" s="8" t="s">
        <v>1148</v>
      </c>
      <c r="B309" s="8">
        <v>22458031</v>
      </c>
      <c r="C309" t="s">
        <v>270</v>
      </c>
      <c r="D309" t="s">
        <v>135</v>
      </c>
      <c r="E309" t="s">
        <v>20</v>
      </c>
      <c r="F309" t="s">
        <v>180</v>
      </c>
      <c r="G309" t="s">
        <v>21</v>
      </c>
      <c r="H309" t="s">
        <v>93</v>
      </c>
      <c r="I309" t="s">
        <v>68</v>
      </c>
      <c r="J309" t="s">
        <v>103</v>
      </c>
      <c r="K309" t="s">
        <v>46</v>
      </c>
      <c r="L309">
        <v>6346.96</v>
      </c>
      <c r="M309">
        <v>75</v>
      </c>
      <c r="N309" s="11" t="s">
        <v>27</v>
      </c>
      <c r="O309" s="11" t="s">
        <v>28</v>
      </c>
      <c r="P309" s="14">
        <v>45748.255555555559</v>
      </c>
      <c r="Q309" t="s">
        <v>1149</v>
      </c>
    </row>
    <row r="310" spans="1:17">
      <c r="A310" s="8" t="s">
        <v>1150</v>
      </c>
      <c r="B310" s="8">
        <v>10699730</v>
      </c>
      <c r="C310" t="s">
        <v>1151</v>
      </c>
      <c r="D310" t="s">
        <v>1062</v>
      </c>
      <c r="E310" t="s">
        <v>20</v>
      </c>
      <c r="F310" t="s">
        <v>116</v>
      </c>
      <c r="G310" t="s">
        <v>116</v>
      </c>
      <c r="H310" t="s">
        <v>62</v>
      </c>
      <c r="I310" t="s">
        <v>68</v>
      </c>
      <c r="J310" t="s">
        <v>103</v>
      </c>
      <c r="K310" t="s">
        <v>69</v>
      </c>
      <c r="L310">
        <v>10007.17</v>
      </c>
      <c r="M310">
        <v>80</v>
      </c>
      <c r="N310" s="10" t="s">
        <v>27</v>
      </c>
      <c r="O310" s="10" t="s">
        <v>48</v>
      </c>
      <c r="P310" s="13">
        <v>45995</v>
      </c>
      <c r="Q310" t="s">
        <v>1152</v>
      </c>
    </row>
    <row r="311" spans="1:17">
      <c r="A311" s="8" t="s">
        <v>1153</v>
      </c>
      <c r="B311" s="8">
        <v>67135430</v>
      </c>
      <c r="C311" t="s">
        <v>1154</v>
      </c>
      <c r="D311" t="s">
        <v>1143</v>
      </c>
      <c r="E311" t="s">
        <v>33</v>
      </c>
      <c r="F311" t="s">
        <v>21</v>
      </c>
      <c r="G311" t="s">
        <v>44</v>
      </c>
      <c r="H311" t="s">
        <v>93</v>
      </c>
      <c r="I311" t="s">
        <v>24</v>
      </c>
      <c r="J311" t="s">
        <v>56</v>
      </c>
      <c r="K311" t="s">
        <v>69</v>
      </c>
      <c r="L311">
        <v>8768.7099999999991</v>
      </c>
      <c r="M311">
        <v>79</v>
      </c>
      <c r="N311" s="11" t="s">
        <v>39</v>
      </c>
      <c r="O311" s="11" t="s">
        <v>81</v>
      </c>
      <c r="P311" s="14">
        <v>46062.753472222219</v>
      </c>
      <c r="Q311" t="s">
        <v>1155</v>
      </c>
    </row>
    <row r="312" spans="1:17">
      <c r="A312" s="8" t="s">
        <v>1156</v>
      </c>
      <c r="B312" s="8">
        <v>81020117</v>
      </c>
      <c r="C312" t="s">
        <v>932</v>
      </c>
      <c r="D312" t="s">
        <v>742</v>
      </c>
      <c r="E312" t="s">
        <v>20</v>
      </c>
      <c r="F312" t="s">
        <v>22</v>
      </c>
      <c r="G312" t="s">
        <v>21</v>
      </c>
      <c r="H312" t="s">
        <v>36</v>
      </c>
      <c r="I312" t="s">
        <v>127</v>
      </c>
      <c r="J312" t="s">
        <v>25</v>
      </c>
      <c r="K312" t="s">
        <v>69</v>
      </c>
      <c r="L312">
        <v>8580.75</v>
      </c>
      <c r="M312">
        <v>39</v>
      </c>
      <c r="N312" s="10" t="s">
        <v>86</v>
      </c>
      <c r="O312" s="10" t="s">
        <v>48</v>
      </c>
      <c r="P312" s="13">
        <v>45760.714583333334</v>
      </c>
      <c r="Q312" t="s">
        <v>1157</v>
      </c>
    </row>
    <row r="313" spans="1:17">
      <c r="A313" s="8" t="s">
        <v>1158</v>
      </c>
      <c r="B313" s="8">
        <v>16529832</v>
      </c>
      <c r="C313" t="s">
        <v>1159</v>
      </c>
      <c r="D313" t="s">
        <v>1160</v>
      </c>
      <c r="E313" t="s">
        <v>20</v>
      </c>
      <c r="F313" t="s">
        <v>21</v>
      </c>
      <c r="G313" t="s">
        <v>22</v>
      </c>
      <c r="H313" t="s">
        <v>23</v>
      </c>
      <c r="I313" t="s">
        <v>93</v>
      </c>
      <c r="J313" t="s">
        <v>38</v>
      </c>
      <c r="K313" t="s">
        <v>69</v>
      </c>
      <c r="L313">
        <v>8490.7999999999993</v>
      </c>
      <c r="M313">
        <v>75</v>
      </c>
      <c r="N313" s="11" t="s">
        <v>57</v>
      </c>
      <c r="O313" s="11" t="s">
        <v>81</v>
      </c>
      <c r="P313" s="14">
        <v>44970.438888888886</v>
      </c>
      <c r="Q313" t="s">
        <v>1161</v>
      </c>
    </row>
    <row r="314" spans="1:17">
      <c r="A314" s="8" t="s">
        <v>1162</v>
      </c>
      <c r="B314" s="8">
        <v>53649791</v>
      </c>
      <c r="C314" t="s">
        <v>1163</v>
      </c>
      <c r="D314" t="s">
        <v>1164</v>
      </c>
      <c r="E314" t="s">
        <v>20</v>
      </c>
      <c r="F314" t="s">
        <v>92</v>
      </c>
      <c r="G314" t="s">
        <v>126</v>
      </c>
      <c r="H314" t="s">
        <v>37</v>
      </c>
      <c r="I314" t="s">
        <v>55</v>
      </c>
      <c r="J314" t="s">
        <v>103</v>
      </c>
      <c r="K314" t="s">
        <v>46</v>
      </c>
      <c r="L314">
        <v>1337.06</v>
      </c>
      <c r="M314">
        <v>75</v>
      </c>
      <c r="N314" s="10" t="s">
        <v>47</v>
      </c>
      <c r="O314" s="10" t="s">
        <v>28</v>
      </c>
      <c r="P314" s="13">
        <v>46040.008333333331</v>
      </c>
      <c r="Q314" t="s">
        <v>1165</v>
      </c>
    </row>
    <row r="315" spans="1:17">
      <c r="A315" s="8" t="s">
        <v>1166</v>
      </c>
      <c r="B315" s="8">
        <v>86536905</v>
      </c>
      <c r="C315" t="s">
        <v>1029</v>
      </c>
      <c r="D315" t="s">
        <v>1167</v>
      </c>
      <c r="E315" t="s">
        <v>33</v>
      </c>
      <c r="F315" t="s">
        <v>80</v>
      </c>
      <c r="G315" t="s">
        <v>35</v>
      </c>
      <c r="H315" t="s">
        <v>24</v>
      </c>
      <c r="I315" t="s">
        <v>37</v>
      </c>
      <c r="J315" t="s">
        <v>38</v>
      </c>
      <c r="K315" t="s">
        <v>63</v>
      </c>
      <c r="L315">
        <v>6669</v>
      </c>
      <c r="M315">
        <v>66</v>
      </c>
      <c r="N315" s="11" t="s">
        <v>27</v>
      </c>
      <c r="O315" s="11" t="s">
        <v>75</v>
      </c>
      <c r="P315" s="14">
        <v>44669.179861111108</v>
      </c>
      <c r="Q315" t="s">
        <v>1168</v>
      </c>
    </row>
    <row r="316" spans="1:17">
      <c r="A316" s="8" t="s">
        <v>1169</v>
      </c>
      <c r="B316" s="8">
        <v>61272646</v>
      </c>
      <c r="C316" t="s">
        <v>577</v>
      </c>
      <c r="D316" t="s">
        <v>768</v>
      </c>
      <c r="E316" t="s">
        <v>20</v>
      </c>
      <c r="F316" t="s">
        <v>53</v>
      </c>
      <c r="G316" t="s">
        <v>21</v>
      </c>
      <c r="H316" t="s">
        <v>36</v>
      </c>
      <c r="I316" t="s">
        <v>93</v>
      </c>
      <c r="J316" t="s">
        <v>25</v>
      </c>
      <c r="K316" t="s">
        <v>63</v>
      </c>
      <c r="L316">
        <v>14417.24</v>
      </c>
      <c r="M316">
        <v>69</v>
      </c>
      <c r="N316" s="10" t="s">
        <v>47</v>
      </c>
      <c r="O316" s="10" t="s">
        <v>28</v>
      </c>
      <c r="P316" s="13">
        <v>44920.035416666666</v>
      </c>
      <c r="Q316" t="s">
        <v>1170</v>
      </c>
    </row>
    <row r="317" spans="1:17">
      <c r="A317" s="8" t="s">
        <v>1171</v>
      </c>
      <c r="B317" s="8">
        <v>16962963</v>
      </c>
      <c r="C317" t="s">
        <v>1172</v>
      </c>
      <c r="D317" t="s">
        <v>1173</v>
      </c>
      <c r="E317" t="s">
        <v>20</v>
      </c>
      <c r="F317" t="s">
        <v>44</v>
      </c>
      <c r="G317" t="s">
        <v>98</v>
      </c>
      <c r="H317" t="s">
        <v>24</v>
      </c>
      <c r="I317" t="s">
        <v>37</v>
      </c>
      <c r="J317" t="s">
        <v>56</v>
      </c>
      <c r="K317" t="s">
        <v>69</v>
      </c>
      <c r="L317">
        <v>7267.73</v>
      </c>
      <c r="M317">
        <v>59</v>
      </c>
      <c r="N317" s="11" t="s">
        <v>39</v>
      </c>
      <c r="O317" s="11" t="s">
        <v>48</v>
      </c>
      <c r="P317" s="14">
        <v>44924.095138888886</v>
      </c>
      <c r="Q317" t="s">
        <v>1174</v>
      </c>
    </row>
    <row r="318" spans="1:17">
      <c r="A318" s="8" t="s">
        <v>1175</v>
      </c>
      <c r="B318" s="8">
        <v>64592513</v>
      </c>
      <c r="C318" t="s">
        <v>1176</v>
      </c>
      <c r="D318" t="s">
        <v>211</v>
      </c>
      <c r="E318" t="s">
        <v>33</v>
      </c>
      <c r="F318" t="s">
        <v>21</v>
      </c>
      <c r="G318" t="s">
        <v>34</v>
      </c>
      <c r="H318" t="s">
        <v>24</v>
      </c>
      <c r="I318" t="s">
        <v>62</v>
      </c>
      <c r="J318" t="s">
        <v>38</v>
      </c>
      <c r="K318" t="s">
        <v>26</v>
      </c>
      <c r="L318">
        <v>636.46</v>
      </c>
      <c r="M318">
        <v>32</v>
      </c>
      <c r="N318" s="10" t="s">
        <v>39</v>
      </c>
      <c r="O318" s="10" t="s">
        <v>75</v>
      </c>
      <c r="P318" s="13">
        <v>46325.342361111114</v>
      </c>
      <c r="Q318" t="s">
        <v>1177</v>
      </c>
    </row>
    <row r="319" spans="1:17">
      <c r="A319" s="8" t="s">
        <v>1178</v>
      </c>
      <c r="B319" s="8">
        <v>94853379</v>
      </c>
      <c r="C319" t="s">
        <v>1179</v>
      </c>
      <c r="D319" t="s">
        <v>1180</v>
      </c>
      <c r="E319" t="s">
        <v>20</v>
      </c>
      <c r="F319" t="s">
        <v>21</v>
      </c>
      <c r="G319" t="s">
        <v>22</v>
      </c>
      <c r="H319" t="s">
        <v>37</v>
      </c>
      <c r="I319" t="s">
        <v>37</v>
      </c>
      <c r="J319" t="s">
        <v>38</v>
      </c>
      <c r="K319" t="s">
        <v>63</v>
      </c>
      <c r="L319">
        <v>14982.33</v>
      </c>
      <c r="M319">
        <v>71</v>
      </c>
      <c r="N319" s="11" t="s">
        <v>39</v>
      </c>
      <c r="O319" s="11" t="s">
        <v>48</v>
      </c>
      <c r="P319" s="14">
        <v>46294.70416666667</v>
      </c>
      <c r="Q319" t="s">
        <v>1181</v>
      </c>
    </row>
    <row r="320" spans="1:17">
      <c r="A320" s="8" t="s">
        <v>1182</v>
      </c>
      <c r="B320" s="8">
        <v>53169555</v>
      </c>
      <c r="C320" t="s">
        <v>1183</v>
      </c>
      <c r="D320" t="s">
        <v>986</v>
      </c>
      <c r="E320" t="s">
        <v>20</v>
      </c>
      <c r="F320" t="s">
        <v>22</v>
      </c>
      <c r="G320" t="s">
        <v>21</v>
      </c>
      <c r="H320" t="s">
        <v>55</v>
      </c>
      <c r="I320" t="s">
        <v>54</v>
      </c>
      <c r="J320" t="s">
        <v>56</v>
      </c>
      <c r="K320" t="s">
        <v>63</v>
      </c>
      <c r="L320">
        <v>13430.07</v>
      </c>
      <c r="M320">
        <v>77</v>
      </c>
      <c r="N320" s="10" t="s">
        <v>39</v>
      </c>
      <c r="O320" s="10" t="s">
        <v>81</v>
      </c>
      <c r="P320" s="13">
        <v>46319.561111111114</v>
      </c>
      <c r="Q320" t="s">
        <v>1184</v>
      </c>
    </row>
    <row r="321" spans="1:17">
      <c r="A321" s="8" t="s">
        <v>1185</v>
      </c>
      <c r="B321" s="8">
        <v>60516391</v>
      </c>
      <c r="C321" t="s">
        <v>1186</v>
      </c>
      <c r="D321" t="s">
        <v>326</v>
      </c>
      <c r="E321" t="s">
        <v>20</v>
      </c>
      <c r="F321" t="s">
        <v>22</v>
      </c>
      <c r="G321" t="s">
        <v>80</v>
      </c>
      <c r="H321" t="s">
        <v>93</v>
      </c>
      <c r="I321" t="s">
        <v>68</v>
      </c>
      <c r="J321" t="s">
        <v>103</v>
      </c>
      <c r="K321" t="s">
        <v>46</v>
      </c>
      <c r="L321">
        <v>13821.77</v>
      </c>
      <c r="M321">
        <v>25</v>
      </c>
      <c r="N321" s="11" t="s">
        <v>57</v>
      </c>
      <c r="O321" s="11" t="s">
        <v>48</v>
      </c>
      <c r="P321" s="14">
        <v>45800.15</v>
      </c>
      <c r="Q321" t="s">
        <v>1187</v>
      </c>
    </row>
    <row r="322" spans="1:17">
      <c r="A322" s="8" t="s">
        <v>1188</v>
      </c>
      <c r="B322" s="8">
        <v>91339562</v>
      </c>
      <c r="C322" t="s">
        <v>728</v>
      </c>
      <c r="D322" t="s">
        <v>585</v>
      </c>
      <c r="E322" t="s">
        <v>20</v>
      </c>
      <c r="F322" t="s">
        <v>35</v>
      </c>
      <c r="G322" t="s">
        <v>53</v>
      </c>
      <c r="H322" t="s">
        <v>127</v>
      </c>
      <c r="I322" t="s">
        <v>127</v>
      </c>
      <c r="J322" t="s">
        <v>38</v>
      </c>
      <c r="K322" t="s">
        <v>63</v>
      </c>
      <c r="L322">
        <v>8481.4500000000007</v>
      </c>
      <c r="M322">
        <v>70</v>
      </c>
      <c r="N322" s="10" t="s">
        <v>86</v>
      </c>
      <c r="O322" s="10" t="s">
        <v>48</v>
      </c>
      <c r="P322" s="13">
        <v>46342.844444444447</v>
      </c>
      <c r="Q322" t="s">
        <v>1189</v>
      </c>
    </row>
    <row r="323" spans="1:17">
      <c r="A323" s="8" t="s">
        <v>1190</v>
      </c>
      <c r="B323" s="8">
        <v>13102778</v>
      </c>
      <c r="C323" t="s">
        <v>1191</v>
      </c>
      <c r="D323" t="s">
        <v>1192</v>
      </c>
      <c r="E323" t="s">
        <v>20</v>
      </c>
      <c r="F323" t="s">
        <v>294</v>
      </c>
      <c r="G323" t="s">
        <v>44</v>
      </c>
      <c r="H323" t="s">
        <v>68</v>
      </c>
      <c r="I323" t="s">
        <v>23</v>
      </c>
      <c r="J323" t="s">
        <v>103</v>
      </c>
      <c r="K323" t="s">
        <v>26</v>
      </c>
      <c r="L323">
        <v>12666.68</v>
      </c>
      <c r="M323">
        <v>77</v>
      </c>
      <c r="N323" s="11" t="s">
        <v>39</v>
      </c>
      <c r="O323" s="11" t="s">
        <v>75</v>
      </c>
      <c r="P323" s="14">
        <v>46274.89166666667</v>
      </c>
      <c r="Q323" t="s">
        <v>1193</v>
      </c>
    </row>
    <row r="324" spans="1:17">
      <c r="A324" s="8" t="s">
        <v>1194</v>
      </c>
      <c r="B324" s="8">
        <v>66379776</v>
      </c>
      <c r="C324" t="s">
        <v>897</v>
      </c>
      <c r="D324" t="s">
        <v>809</v>
      </c>
      <c r="E324" t="s">
        <v>33</v>
      </c>
      <c r="F324" t="s">
        <v>34</v>
      </c>
      <c r="G324" t="s">
        <v>35</v>
      </c>
      <c r="H324" t="s">
        <v>24</v>
      </c>
      <c r="I324" t="s">
        <v>24</v>
      </c>
      <c r="J324" t="s">
        <v>25</v>
      </c>
      <c r="K324" t="s">
        <v>26</v>
      </c>
      <c r="L324">
        <v>2961.18</v>
      </c>
      <c r="M324">
        <v>22</v>
      </c>
      <c r="N324" s="10" t="s">
        <v>57</v>
      </c>
      <c r="O324" s="10" t="s">
        <v>75</v>
      </c>
      <c r="P324" s="13">
        <v>45405.07916666667</v>
      </c>
      <c r="Q324" t="s">
        <v>1195</v>
      </c>
    </row>
    <row r="325" spans="1:17">
      <c r="A325" s="8" t="s">
        <v>1196</v>
      </c>
      <c r="B325" s="8">
        <v>43609390</v>
      </c>
      <c r="C325" t="s">
        <v>574</v>
      </c>
      <c r="D325" t="s">
        <v>1197</v>
      </c>
      <c r="E325" t="s">
        <v>20</v>
      </c>
      <c r="F325" t="s">
        <v>80</v>
      </c>
      <c r="G325" t="s">
        <v>393</v>
      </c>
      <c r="H325" t="s">
        <v>23</v>
      </c>
      <c r="I325" t="s">
        <v>54</v>
      </c>
      <c r="J325" t="s">
        <v>25</v>
      </c>
      <c r="K325" t="s">
        <v>46</v>
      </c>
      <c r="L325">
        <v>6702.38</v>
      </c>
      <c r="M325">
        <v>85</v>
      </c>
      <c r="N325" s="11" t="s">
        <v>86</v>
      </c>
      <c r="O325" s="11" t="s">
        <v>28</v>
      </c>
      <c r="P325" s="14">
        <v>45411.87777777778</v>
      </c>
      <c r="Q325" t="s">
        <v>1198</v>
      </c>
    </row>
    <row r="326" spans="1:17">
      <c r="A326" s="8" t="s">
        <v>1199</v>
      </c>
      <c r="B326" s="8">
        <v>50462762</v>
      </c>
      <c r="C326" t="s">
        <v>1126</v>
      </c>
      <c r="D326" t="s">
        <v>1200</v>
      </c>
      <c r="E326" t="s">
        <v>33</v>
      </c>
      <c r="F326" t="s">
        <v>112</v>
      </c>
      <c r="G326" t="s">
        <v>98</v>
      </c>
      <c r="H326" t="s">
        <v>36</v>
      </c>
      <c r="I326" t="s">
        <v>37</v>
      </c>
      <c r="J326" t="s">
        <v>38</v>
      </c>
      <c r="K326" t="s">
        <v>46</v>
      </c>
      <c r="L326">
        <v>9363.8799999999992</v>
      </c>
      <c r="M326">
        <v>23</v>
      </c>
      <c r="N326" s="10" t="s">
        <v>39</v>
      </c>
      <c r="O326" s="10" t="s">
        <v>81</v>
      </c>
      <c r="P326" s="13">
        <v>46273.149305555555</v>
      </c>
      <c r="Q326" t="s">
        <v>1201</v>
      </c>
    </row>
    <row r="327" spans="1:17">
      <c r="A327" s="8" t="s">
        <v>1202</v>
      </c>
      <c r="B327" s="8">
        <v>88894973</v>
      </c>
      <c r="C327" t="s">
        <v>787</v>
      </c>
      <c r="D327" t="s">
        <v>18</v>
      </c>
      <c r="E327" t="s">
        <v>20</v>
      </c>
      <c r="F327" t="s">
        <v>35</v>
      </c>
      <c r="G327" t="s">
        <v>116</v>
      </c>
      <c r="H327" t="s">
        <v>55</v>
      </c>
      <c r="I327" t="s">
        <v>36</v>
      </c>
      <c r="J327" t="s">
        <v>56</v>
      </c>
      <c r="K327" t="s">
        <v>26</v>
      </c>
      <c r="L327">
        <v>10872.1</v>
      </c>
      <c r="M327">
        <v>64</v>
      </c>
      <c r="N327" s="11" t="s">
        <v>39</v>
      </c>
      <c r="O327" s="11" t="s">
        <v>48</v>
      </c>
      <c r="P327" s="14">
        <v>46204.243750000001</v>
      </c>
      <c r="Q327" t="s">
        <v>1203</v>
      </c>
    </row>
    <row r="328" spans="1:17">
      <c r="A328" s="8" t="s">
        <v>1204</v>
      </c>
      <c r="B328" s="8">
        <v>88338313</v>
      </c>
      <c r="C328" t="s">
        <v>704</v>
      </c>
      <c r="D328" t="s">
        <v>1205</v>
      </c>
      <c r="E328" t="s">
        <v>33</v>
      </c>
      <c r="F328" t="s">
        <v>53</v>
      </c>
      <c r="G328" t="s">
        <v>1084</v>
      </c>
      <c r="H328" t="s">
        <v>24</v>
      </c>
      <c r="I328" t="s">
        <v>127</v>
      </c>
      <c r="J328" t="s">
        <v>25</v>
      </c>
      <c r="K328" t="s">
        <v>26</v>
      </c>
      <c r="L328">
        <v>7611.55</v>
      </c>
      <c r="M328">
        <v>72</v>
      </c>
      <c r="N328" s="10" t="s">
        <v>27</v>
      </c>
      <c r="O328" s="10" t="s">
        <v>28</v>
      </c>
      <c r="P328" s="13">
        <v>44945.841666666667</v>
      </c>
      <c r="Q328" t="s">
        <v>1206</v>
      </c>
    </row>
    <row r="329" spans="1:17">
      <c r="A329" s="8" t="s">
        <v>1207</v>
      </c>
      <c r="B329" s="8">
        <v>72733686</v>
      </c>
      <c r="C329" t="s">
        <v>629</v>
      </c>
      <c r="D329" t="s">
        <v>1208</v>
      </c>
      <c r="E329" t="s">
        <v>20</v>
      </c>
      <c r="F329" t="s">
        <v>34</v>
      </c>
      <c r="G329" t="s">
        <v>116</v>
      </c>
      <c r="H329" t="s">
        <v>55</v>
      </c>
      <c r="I329" t="s">
        <v>54</v>
      </c>
      <c r="J329" t="s">
        <v>56</v>
      </c>
      <c r="K329" t="s">
        <v>26</v>
      </c>
      <c r="L329">
        <v>13800.1</v>
      </c>
      <c r="M329">
        <v>57</v>
      </c>
      <c r="N329" s="11" t="s">
        <v>47</v>
      </c>
      <c r="O329" s="11" t="s">
        <v>48</v>
      </c>
      <c r="P329" s="14">
        <v>44580.9</v>
      </c>
      <c r="Q329" t="s">
        <v>1209</v>
      </c>
    </row>
    <row r="330" spans="1:17">
      <c r="A330" s="8" t="s">
        <v>1210</v>
      </c>
      <c r="B330" s="8">
        <v>34728879</v>
      </c>
      <c r="C330" t="s">
        <v>783</v>
      </c>
      <c r="D330" t="s">
        <v>693</v>
      </c>
      <c r="E330" t="s">
        <v>33</v>
      </c>
      <c r="F330" t="s">
        <v>80</v>
      </c>
      <c r="G330" t="s">
        <v>98</v>
      </c>
      <c r="H330" t="s">
        <v>55</v>
      </c>
      <c r="I330" t="s">
        <v>24</v>
      </c>
      <c r="J330" t="s">
        <v>25</v>
      </c>
      <c r="K330" t="s">
        <v>69</v>
      </c>
      <c r="L330">
        <v>2994.85</v>
      </c>
      <c r="M330">
        <v>69</v>
      </c>
      <c r="N330" s="10" t="s">
        <v>57</v>
      </c>
      <c r="O330" s="10" t="s">
        <v>48</v>
      </c>
      <c r="P330" s="13">
        <v>44924.933333333334</v>
      </c>
      <c r="Q330" t="s">
        <v>1211</v>
      </c>
    </row>
    <row r="331" spans="1:17">
      <c r="A331" s="8" t="s">
        <v>1212</v>
      </c>
      <c r="B331" s="8">
        <v>23581521</v>
      </c>
      <c r="C331" t="s">
        <v>1213</v>
      </c>
      <c r="D331" t="s">
        <v>290</v>
      </c>
      <c r="E331" t="s">
        <v>20</v>
      </c>
      <c r="F331" t="s">
        <v>35</v>
      </c>
      <c r="G331" t="s">
        <v>34</v>
      </c>
      <c r="H331" t="s">
        <v>24</v>
      </c>
      <c r="I331" t="s">
        <v>68</v>
      </c>
      <c r="J331" t="s">
        <v>38</v>
      </c>
      <c r="K331" t="s">
        <v>63</v>
      </c>
      <c r="L331">
        <v>13226.14</v>
      </c>
      <c r="M331">
        <v>33</v>
      </c>
      <c r="N331" s="11" t="s">
        <v>86</v>
      </c>
      <c r="O331" s="11" t="s">
        <v>28</v>
      </c>
      <c r="P331" s="14">
        <v>45020.943055555559</v>
      </c>
      <c r="Q331" t="s">
        <v>1214</v>
      </c>
    </row>
    <row r="332" spans="1:17">
      <c r="A332" s="8" t="s">
        <v>1215</v>
      </c>
      <c r="B332" s="8">
        <v>16200213</v>
      </c>
      <c r="C332" t="s">
        <v>1173</v>
      </c>
      <c r="D332" t="s">
        <v>1216</v>
      </c>
      <c r="E332" t="s">
        <v>33</v>
      </c>
      <c r="F332" t="s">
        <v>53</v>
      </c>
      <c r="G332" t="s">
        <v>21</v>
      </c>
      <c r="H332" t="s">
        <v>54</v>
      </c>
      <c r="I332" t="s">
        <v>127</v>
      </c>
      <c r="J332" t="s">
        <v>38</v>
      </c>
      <c r="K332" t="s">
        <v>26</v>
      </c>
      <c r="L332">
        <v>3146.47</v>
      </c>
      <c r="M332">
        <v>30</v>
      </c>
      <c r="N332" s="10" t="s">
        <v>86</v>
      </c>
      <c r="O332" s="10" t="s">
        <v>81</v>
      </c>
      <c r="P332" s="13">
        <v>46092.813888888886</v>
      </c>
      <c r="Q332" t="s">
        <v>1217</v>
      </c>
    </row>
    <row r="333" spans="1:17">
      <c r="A333" s="8" t="s">
        <v>1218</v>
      </c>
      <c r="B333" s="8">
        <v>60181152</v>
      </c>
      <c r="C333" t="s">
        <v>1219</v>
      </c>
      <c r="D333" t="s">
        <v>1220</v>
      </c>
      <c r="E333" t="s">
        <v>20</v>
      </c>
      <c r="F333" t="s">
        <v>44</v>
      </c>
      <c r="G333" t="s">
        <v>53</v>
      </c>
      <c r="H333" t="s">
        <v>62</v>
      </c>
      <c r="I333" t="s">
        <v>24</v>
      </c>
      <c r="J333" t="s">
        <v>74</v>
      </c>
      <c r="K333" t="s">
        <v>26</v>
      </c>
      <c r="L333">
        <v>12948.89</v>
      </c>
      <c r="M333">
        <v>47</v>
      </c>
      <c r="N333" s="11" t="s">
        <v>39</v>
      </c>
      <c r="O333" s="11" t="s">
        <v>48</v>
      </c>
      <c r="P333" s="14">
        <v>45706.579861111109</v>
      </c>
      <c r="Q333" t="s">
        <v>1221</v>
      </c>
    </row>
    <row r="334" spans="1:17">
      <c r="A334" s="8" t="s">
        <v>1222</v>
      </c>
      <c r="B334" s="8">
        <v>49600674</v>
      </c>
      <c r="C334" t="s">
        <v>1223</v>
      </c>
      <c r="D334" t="s">
        <v>311</v>
      </c>
      <c r="E334" t="s">
        <v>20</v>
      </c>
      <c r="F334" t="s">
        <v>44</v>
      </c>
      <c r="G334" t="s">
        <v>98</v>
      </c>
      <c r="H334" t="s">
        <v>23</v>
      </c>
      <c r="I334" t="s">
        <v>62</v>
      </c>
      <c r="J334" t="s">
        <v>103</v>
      </c>
      <c r="K334" t="s">
        <v>69</v>
      </c>
      <c r="L334">
        <v>5741.74</v>
      </c>
      <c r="M334">
        <v>36</v>
      </c>
      <c r="N334" s="10" t="s">
        <v>47</v>
      </c>
      <c r="O334" s="10" t="s">
        <v>81</v>
      </c>
      <c r="P334" s="13">
        <v>45618.136111111111</v>
      </c>
      <c r="Q334" t="s">
        <v>1224</v>
      </c>
    </row>
    <row r="335" spans="1:17">
      <c r="A335" s="8" t="s">
        <v>1225</v>
      </c>
      <c r="B335" s="8">
        <v>47101128</v>
      </c>
      <c r="C335" t="s">
        <v>419</v>
      </c>
      <c r="D335" t="s">
        <v>768</v>
      </c>
      <c r="E335" t="s">
        <v>20</v>
      </c>
      <c r="F335" t="s">
        <v>80</v>
      </c>
      <c r="G335" t="s">
        <v>98</v>
      </c>
      <c r="H335" t="s">
        <v>127</v>
      </c>
      <c r="I335" t="s">
        <v>62</v>
      </c>
      <c r="J335" t="s">
        <v>38</v>
      </c>
      <c r="K335" t="s">
        <v>69</v>
      </c>
      <c r="L335">
        <v>2867.73</v>
      </c>
      <c r="M335">
        <v>34</v>
      </c>
      <c r="N335" s="11" t="s">
        <v>27</v>
      </c>
      <c r="O335" s="11" t="s">
        <v>48</v>
      </c>
      <c r="P335" s="14">
        <v>46247.864583333336</v>
      </c>
      <c r="Q335" t="s">
        <v>1226</v>
      </c>
    </row>
    <row r="336" spans="1:17">
      <c r="A336" s="8" t="s">
        <v>1227</v>
      </c>
      <c r="B336" s="8">
        <v>97954019</v>
      </c>
      <c r="C336" t="s">
        <v>167</v>
      </c>
      <c r="D336" t="s">
        <v>869</v>
      </c>
      <c r="E336" t="s">
        <v>20</v>
      </c>
      <c r="F336" t="s">
        <v>21</v>
      </c>
      <c r="G336" t="s">
        <v>92</v>
      </c>
      <c r="H336" t="s">
        <v>127</v>
      </c>
      <c r="I336" t="s">
        <v>24</v>
      </c>
      <c r="J336" t="s">
        <v>38</v>
      </c>
      <c r="K336" t="s">
        <v>26</v>
      </c>
      <c r="L336">
        <v>10840.43</v>
      </c>
      <c r="M336">
        <v>80</v>
      </c>
      <c r="N336" s="10" t="s">
        <v>39</v>
      </c>
      <c r="O336" s="10" t="s">
        <v>75</v>
      </c>
      <c r="P336" s="13">
        <v>45438.65625</v>
      </c>
      <c r="Q336" t="s">
        <v>1228</v>
      </c>
    </row>
    <row r="337" spans="1:17">
      <c r="A337" s="8" t="s">
        <v>1229</v>
      </c>
      <c r="B337" s="8">
        <v>60291405</v>
      </c>
      <c r="C337" t="s">
        <v>700</v>
      </c>
      <c r="D337" t="s">
        <v>1230</v>
      </c>
      <c r="E337" t="s">
        <v>20</v>
      </c>
      <c r="F337" t="s">
        <v>22</v>
      </c>
      <c r="G337" t="s">
        <v>80</v>
      </c>
      <c r="H337" t="s">
        <v>23</v>
      </c>
      <c r="I337" t="s">
        <v>54</v>
      </c>
      <c r="J337" t="s">
        <v>56</v>
      </c>
      <c r="K337" t="s">
        <v>46</v>
      </c>
      <c r="L337">
        <v>8068.68</v>
      </c>
      <c r="M337">
        <v>36</v>
      </c>
      <c r="N337" s="11" t="s">
        <v>57</v>
      </c>
      <c r="O337" s="11" t="s">
        <v>28</v>
      </c>
      <c r="P337" s="14">
        <v>43879.663194444445</v>
      </c>
      <c r="Q337" t="s">
        <v>1231</v>
      </c>
    </row>
    <row r="338" spans="1:17">
      <c r="A338" s="8" t="s">
        <v>1232</v>
      </c>
      <c r="B338" s="8">
        <v>62463815</v>
      </c>
      <c r="C338" t="s">
        <v>1233</v>
      </c>
      <c r="D338" t="s">
        <v>263</v>
      </c>
      <c r="E338" t="s">
        <v>20</v>
      </c>
      <c r="F338" t="s">
        <v>121</v>
      </c>
      <c r="G338" t="s">
        <v>44</v>
      </c>
      <c r="H338" t="s">
        <v>54</v>
      </c>
      <c r="I338" t="s">
        <v>127</v>
      </c>
      <c r="J338" t="s">
        <v>25</v>
      </c>
      <c r="K338" t="s">
        <v>46</v>
      </c>
      <c r="L338">
        <v>8298.07</v>
      </c>
      <c r="M338">
        <v>75</v>
      </c>
      <c r="N338" s="10" t="s">
        <v>86</v>
      </c>
      <c r="O338" s="10" t="s">
        <v>81</v>
      </c>
      <c r="P338" s="13">
        <v>44906.811111111114</v>
      </c>
      <c r="Q338" t="s">
        <v>1234</v>
      </c>
    </row>
    <row r="339" spans="1:17">
      <c r="A339" s="8" t="s">
        <v>1235</v>
      </c>
      <c r="B339" s="8">
        <v>17711235</v>
      </c>
      <c r="C339" t="s">
        <v>338</v>
      </c>
      <c r="D339" t="s">
        <v>1236</v>
      </c>
      <c r="E339" t="s">
        <v>20</v>
      </c>
      <c r="F339" t="s">
        <v>92</v>
      </c>
      <c r="G339" t="s">
        <v>92</v>
      </c>
      <c r="H339" t="s">
        <v>127</v>
      </c>
      <c r="I339" t="s">
        <v>54</v>
      </c>
      <c r="J339" t="s">
        <v>74</v>
      </c>
      <c r="K339" t="s">
        <v>26</v>
      </c>
      <c r="L339">
        <v>13058.03</v>
      </c>
      <c r="M339">
        <v>72</v>
      </c>
      <c r="N339" s="11" t="s">
        <v>57</v>
      </c>
      <c r="O339" s="11" t="s">
        <v>81</v>
      </c>
      <c r="P339" s="14">
        <v>45143.307638888888</v>
      </c>
      <c r="Q339" t="s">
        <v>1237</v>
      </c>
    </row>
    <row r="340" spans="1:17">
      <c r="A340" s="8" t="s">
        <v>1238</v>
      </c>
      <c r="B340" s="8">
        <v>29151794</v>
      </c>
      <c r="C340" t="s">
        <v>1176</v>
      </c>
      <c r="D340" t="s">
        <v>1239</v>
      </c>
      <c r="E340" t="s">
        <v>33</v>
      </c>
      <c r="F340" t="s">
        <v>121</v>
      </c>
      <c r="G340" t="s">
        <v>98</v>
      </c>
      <c r="H340" t="s">
        <v>55</v>
      </c>
      <c r="I340" t="s">
        <v>55</v>
      </c>
      <c r="J340" t="s">
        <v>25</v>
      </c>
      <c r="K340" t="s">
        <v>69</v>
      </c>
      <c r="L340">
        <v>9698.02</v>
      </c>
      <c r="M340">
        <v>79</v>
      </c>
      <c r="N340" s="10" t="s">
        <v>39</v>
      </c>
      <c r="O340" s="10" t="s">
        <v>75</v>
      </c>
      <c r="P340" s="13">
        <v>45480.1</v>
      </c>
      <c r="Q340" t="s">
        <v>1240</v>
      </c>
    </row>
    <row r="341" spans="1:17">
      <c r="A341" s="8" t="s">
        <v>1241</v>
      </c>
      <c r="B341" s="8">
        <v>61628861</v>
      </c>
      <c r="C341" t="s">
        <v>1242</v>
      </c>
      <c r="D341" t="s">
        <v>1021</v>
      </c>
      <c r="E341" t="s">
        <v>20</v>
      </c>
      <c r="F341" t="s">
        <v>92</v>
      </c>
      <c r="G341" t="s">
        <v>22</v>
      </c>
      <c r="H341" t="s">
        <v>37</v>
      </c>
      <c r="I341" t="s">
        <v>37</v>
      </c>
      <c r="J341" t="s">
        <v>103</v>
      </c>
      <c r="K341" t="s">
        <v>46</v>
      </c>
      <c r="L341">
        <v>13745.28</v>
      </c>
      <c r="M341">
        <v>40</v>
      </c>
      <c r="N341" s="11" t="s">
        <v>47</v>
      </c>
      <c r="O341" s="11" t="s">
        <v>81</v>
      </c>
      <c r="P341" s="14">
        <v>46011.772222222222</v>
      </c>
      <c r="Q341" t="s">
        <v>1243</v>
      </c>
    </row>
    <row r="342" spans="1:17">
      <c r="A342" s="8" t="s">
        <v>1244</v>
      </c>
      <c r="B342" s="8">
        <v>43925761</v>
      </c>
      <c r="C342" t="s">
        <v>796</v>
      </c>
      <c r="D342" t="s">
        <v>1099</v>
      </c>
      <c r="E342" t="s">
        <v>20</v>
      </c>
      <c r="F342" t="s">
        <v>45</v>
      </c>
      <c r="G342" t="s">
        <v>22</v>
      </c>
      <c r="H342" t="s">
        <v>36</v>
      </c>
      <c r="I342" t="s">
        <v>55</v>
      </c>
      <c r="J342" t="s">
        <v>25</v>
      </c>
      <c r="K342" t="s">
        <v>69</v>
      </c>
      <c r="L342">
        <v>3766.58</v>
      </c>
      <c r="M342">
        <v>26</v>
      </c>
      <c r="N342" s="10" t="s">
        <v>47</v>
      </c>
      <c r="O342" s="10" t="s">
        <v>75</v>
      </c>
      <c r="P342" s="13">
        <v>45020.051388888889</v>
      </c>
      <c r="Q342" t="s">
        <v>1245</v>
      </c>
    </row>
    <row r="343" spans="1:17">
      <c r="A343" s="8" t="s">
        <v>1246</v>
      </c>
      <c r="B343" s="8">
        <v>31658249</v>
      </c>
      <c r="C343" t="s">
        <v>1247</v>
      </c>
      <c r="D343" t="s">
        <v>361</v>
      </c>
      <c r="E343" t="s">
        <v>20</v>
      </c>
      <c r="F343" t="s">
        <v>53</v>
      </c>
      <c r="G343" t="s">
        <v>99</v>
      </c>
      <c r="H343" t="s">
        <v>93</v>
      </c>
      <c r="I343" t="s">
        <v>62</v>
      </c>
      <c r="J343" t="s">
        <v>74</v>
      </c>
      <c r="K343" t="s">
        <v>26</v>
      </c>
      <c r="L343">
        <v>5377.72</v>
      </c>
      <c r="M343">
        <v>29</v>
      </c>
      <c r="N343" s="11" t="s">
        <v>47</v>
      </c>
      <c r="O343" s="11" t="s">
        <v>28</v>
      </c>
      <c r="P343" s="14">
        <v>45228.915972222225</v>
      </c>
      <c r="Q343" t="s">
        <v>1248</v>
      </c>
    </row>
    <row r="344" spans="1:17">
      <c r="A344" s="8" t="s">
        <v>1249</v>
      </c>
      <c r="B344" s="8">
        <v>51382580</v>
      </c>
      <c r="C344" t="s">
        <v>281</v>
      </c>
      <c r="D344" t="s">
        <v>874</v>
      </c>
      <c r="E344" t="s">
        <v>33</v>
      </c>
      <c r="F344" t="s">
        <v>92</v>
      </c>
      <c r="G344" t="s">
        <v>121</v>
      </c>
      <c r="H344" t="s">
        <v>127</v>
      </c>
      <c r="I344" t="s">
        <v>68</v>
      </c>
      <c r="J344" t="s">
        <v>25</v>
      </c>
      <c r="K344" t="s">
        <v>69</v>
      </c>
      <c r="L344">
        <v>12309.69</v>
      </c>
      <c r="M344">
        <v>18</v>
      </c>
      <c r="N344" s="10" t="s">
        <v>86</v>
      </c>
      <c r="O344" s="10" t="s">
        <v>48</v>
      </c>
      <c r="P344" s="13">
        <v>46251.386805555558</v>
      </c>
      <c r="Q344" t="s">
        <v>1250</v>
      </c>
    </row>
    <row r="345" spans="1:17">
      <c r="A345" s="8" t="s">
        <v>1251</v>
      </c>
      <c r="B345" s="8">
        <v>93842238</v>
      </c>
      <c r="C345" t="s">
        <v>203</v>
      </c>
      <c r="D345" t="s">
        <v>678</v>
      </c>
      <c r="E345" t="s">
        <v>20</v>
      </c>
      <c r="F345" t="s">
        <v>35</v>
      </c>
      <c r="G345" t="s">
        <v>121</v>
      </c>
      <c r="H345" t="s">
        <v>23</v>
      </c>
      <c r="I345" t="s">
        <v>93</v>
      </c>
      <c r="J345" t="s">
        <v>56</v>
      </c>
      <c r="K345" t="s">
        <v>26</v>
      </c>
      <c r="L345">
        <v>6887.05</v>
      </c>
      <c r="M345">
        <v>75</v>
      </c>
      <c r="N345" s="11" t="s">
        <v>86</v>
      </c>
      <c r="O345" s="11" t="s">
        <v>75</v>
      </c>
      <c r="P345" s="14">
        <v>45659.90625</v>
      </c>
      <c r="Q345" t="s">
        <v>1252</v>
      </c>
    </row>
    <row r="346" spans="1:17">
      <c r="A346" s="8" t="s">
        <v>1253</v>
      </c>
      <c r="B346" s="8">
        <v>86397410</v>
      </c>
      <c r="C346" t="s">
        <v>300</v>
      </c>
      <c r="D346" t="s">
        <v>1254</v>
      </c>
      <c r="E346" t="s">
        <v>20</v>
      </c>
      <c r="F346" t="s">
        <v>45</v>
      </c>
      <c r="G346" t="s">
        <v>22</v>
      </c>
      <c r="H346" t="s">
        <v>37</v>
      </c>
      <c r="I346" t="s">
        <v>37</v>
      </c>
      <c r="J346" t="s">
        <v>38</v>
      </c>
      <c r="K346" t="s">
        <v>69</v>
      </c>
      <c r="L346">
        <v>14670.54</v>
      </c>
      <c r="M346">
        <v>18</v>
      </c>
      <c r="N346" s="10" t="s">
        <v>39</v>
      </c>
      <c r="O346" s="10" t="s">
        <v>28</v>
      </c>
      <c r="P346" s="13">
        <v>44309.68472222222</v>
      </c>
      <c r="Q346" t="s">
        <v>1255</v>
      </c>
    </row>
    <row r="347" spans="1:17">
      <c r="A347" s="8" t="s">
        <v>1256</v>
      </c>
      <c r="B347" s="8">
        <v>11783979</v>
      </c>
      <c r="C347" t="s">
        <v>1257</v>
      </c>
      <c r="D347" t="s">
        <v>1258</v>
      </c>
      <c r="E347" t="s">
        <v>20</v>
      </c>
      <c r="F347" t="s">
        <v>53</v>
      </c>
      <c r="G347" t="s">
        <v>121</v>
      </c>
      <c r="H347" t="s">
        <v>24</v>
      </c>
      <c r="I347" t="s">
        <v>62</v>
      </c>
      <c r="J347" t="s">
        <v>103</v>
      </c>
      <c r="K347" t="s">
        <v>26</v>
      </c>
      <c r="L347">
        <v>2283.54</v>
      </c>
      <c r="M347">
        <v>51</v>
      </c>
      <c r="N347" s="11" t="s">
        <v>47</v>
      </c>
      <c r="O347" s="11" t="s">
        <v>28</v>
      </c>
      <c r="P347" s="14">
        <v>44662.522222222222</v>
      </c>
      <c r="Q347" t="s">
        <v>1259</v>
      </c>
    </row>
    <row r="348" spans="1:17">
      <c r="A348" s="8" t="s">
        <v>1260</v>
      </c>
      <c r="B348" s="8">
        <v>15316025</v>
      </c>
      <c r="C348" t="s">
        <v>1261</v>
      </c>
      <c r="D348" t="s">
        <v>1262</v>
      </c>
      <c r="E348" t="s">
        <v>20</v>
      </c>
      <c r="F348" t="s">
        <v>80</v>
      </c>
      <c r="G348" t="s">
        <v>121</v>
      </c>
      <c r="H348" t="s">
        <v>62</v>
      </c>
      <c r="I348" t="s">
        <v>54</v>
      </c>
      <c r="J348" t="s">
        <v>38</v>
      </c>
      <c r="K348" t="s">
        <v>26</v>
      </c>
      <c r="L348">
        <v>12023.76</v>
      </c>
      <c r="M348">
        <v>65</v>
      </c>
      <c r="N348" s="10" t="s">
        <v>47</v>
      </c>
      <c r="O348" s="10" t="s">
        <v>81</v>
      </c>
      <c r="P348" s="13">
        <v>45445.184027777781</v>
      </c>
      <c r="Q348" t="s">
        <v>1263</v>
      </c>
    </row>
    <row r="349" spans="1:17">
      <c r="A349" s="8" t="s">
        <v>1264</v>
      </c>
      <c r="B349" s="8">
        <v>37409946</v>
      </c>
      <c r="C349" t="s">
        <v>212</v>
      </c>
      <c r="D349" t="s">
        <v>1265</v>
      </c>
      <c r="E349" t="s">
        <v>20</v>
      </c>
      <c r="F349" t="s">
        <v>121</v>
      </c>
      <c r="G349" t="s">
        <v>121</v>
      </c>
      <c r="H349" t="s">
        <v>23</v>
      </c>
      <c r="I349" t="s">
        <v>54</v>
      </c>
      <c r="J349" t="s">
        <v>56</v>
      </c>
      <c r="K349" t="s">
        <v>26</v>
      </c>
      <c r="L349">
        <v>9091.7099999999991</v>
      </c>
      <c r="M349">
        <v>18</v>
      </c>
      <c r="N349" s="11" t="s">
        <v>57</v>
      </c>
      <c r="O349" s="11" t="s">
        <v>75</v>
      </c>
      <c r="P349" s="14">
        <v>44512.518055555556</v>
      </c>
      <c r="Q349" t="s">
        <v>1266</v>
      </c>
    </row>
    <row r="350" spans="1:17">
      <c r="A350" s="8" t="s">
        <v>1267</v>
      </c>
      <c r="B350" s="8">
        <v>69240493</v>
      </c>
      <c r="C350" t="s">
        <v>1268</v>
      </c>
      <c r="D350" t="s">
        <v>1269</v>
      </c>
      <c r="E350" t="s">
        <v>20</v>
      </c>
      <c r="F350" t="s">
        <v>91</v>
      </c>
      <c r="G350" t="s">
        <v>44</v>
      </c>
      <c r="H350" t="s">
        <v>55</v>
      </c>
      <c r="I350" t="s">
        <v>54</v>
      </c>
      <c r="J350" t="s">
        <v>38</v>
      </c>
      <c r="K350" t="s">
        <v>63</v>
      </c>
      <c r="L350">
        <v>2300.4499999999998</v>
      </c>
      <c r="M350">
        <v>33</v>
      </c>
      <c r="N350" s="10" t="s">
        <v>47</v>
      </c>
      <c r="O350" s="10" t="s">
        <v>75</v>
      </c>
      <c r="P350" s="13">
        <v>45154.557638888888</v>
      </c>
      <c r="Q350" t="s">
        <v>1270</v>
      </c>
    </row>
    <row r="351" spans="1:17">
      <c r="A351" s="8" t="s">
        <v>1271</v>
      </c>
      <c r="B351" s="8">
        <v>30766764</v>
      </c>
      <c r="C351" t="s">
        <v>1272</v>
      </c>
      <c r="D351" t="s">
        <v>1117</v>
      </c>
      <c r="E351" t="s">
        <v>20</v>
      </c>
      <c r="F351" t="s">
        <v>22</v>
      </c>
      <c r="G351" t="s">
        <v>22</v>
      </c>
      <c r="H351" t="s">
        <v>62</v>
      </c>
      <c r="I351" t="s">
        <v>68</v>
      </c>
      <c r="J351" t="s">
        <v>56</v>
      </c>
      <c r="K351" t="s">
        <v>26</v>
      </c>
      <c r="L351">
        <v>4624.08</v>
      </c>
      <c r="M351">
        <v>78</v>
      </c>
      <c r="N351" s="11" t="s">
        <v>27</v>
      </c>
      <c r="O351" s="11" t="s">
        <v>28</v>
      </c>
      <c r="P351" s="14">
        <v>43912.115277777775</v>
      </c>
      <c r="Q351" t="s">
        <v>1273</v>
      </c>
    </row>
    <row r="352" spans="1:17">
      <c r="A352" s="8" t="s">
        <v>1274</v>
      </c>
      <c r="B352" s="8">
        <v>56785439</v>
      </c>
      <c r="C352" t="s">
        <v>1219</v>
      </c>
      <c r="D352" t="s">
        <v>1275</v>
      </c>
      <c r="E352" t="s">
        <v>20</v>
      </c>
      <c r="F352" t="s">
        <v>22</v>
      </c>
      <c r="G352" t="s">
        <v>80</v>
      </c>
      <c r="H352" t="s">
        <v>36</v>
      </c>
      <c r="I352" t="s">
        <v>55</v>
      </c>
      <c r="J352" t="s">
        <v>103</v>
      </c>
      <c r="K352" t="s">
        <v>46</v>
      </c>
      <c r="L352">
        <v>10601.32</v>
      </c>
      <c r="M352">
        <v>81</v>
      </c>
      <c r="N352" s="10" t="s">
        <v>86</v>
      </c>
      <c r="O352" s="10" t="s">
        <v>48</v>
      </c>
      <c r="P352" s="13">
        <v>43917.783333333333</v>
      </c>
      <c r="Q352" t="s">
        <v>1276</v>
      </c>
    </row>
    <row r="353" spans="1:17">
      <c r="A353" s="8" t="s">
        <v>1277</v>
      </c>
      <c r="B353" s="8">
        <v>25667321</v>
      </c>
      <c r="C353" t="s">
        <v>1278</v>
      </c>
      <c r="D353" t="s">
        <v>1279</v>
      </c>
      <c r="E353" t="s">
        <v>20</v>
      </c>
      <c r="F353" t="s">
        <v>92</v>
      </c>
      <c r="G353" t="s">
        <v>22</v>
      </c>
      <c r="H353" t="s">
        <v>36</v>
      </c>
      <c r="I353" t="s">
        <v>93</v>
      </c>
      <c r="J353" t="s">
        <v>56</v>
      </c>
      <c r="K353" t="s">
        <v>69</v>
      </c>
      <c r="L353">
        <v>10380.629999999999</v>
      </c>
      <c r="M353">
        <v>80</v>
      </c>
      <c r="N353" s="11" t="s">
        <v>27</v>
      </c>
      <c r="O353" s="11" t="s">
        <v>81</v>
      </c>
      <c r="P353" s="14">
        <v>46103.115972222222</v>
      </c>
      <c r="Q353" t="s">
        <v>1280</v>
      </c>
    </row>
    <row r="354" spans="1:17">
      <c r="A354" s="8" t="s">
        <v>1281</v>
      </c>
      <c r="B354" s="8">
        <v>29154679</v>
      </c>
      <c r="C354" t="s">
        <v>1096</v>
      </c>
      <c r="D354" t="s">
        <v>203</v>
      </c>
      <c r="E354" t="s">
        <v>20</v>
      </c>
      <c r="F354" t="s">
        <v>392</v>
      </c>
      <c r="G354" t="s">
        <v>53</v>
      </c>
      <c r="H354" t="s">
        <v>54</v>
      </c>
      <c r="I354" t="s">
        <v>54</v>
      </c>
      <c r="J354" t="s">
        <v>56</v>
      </c>
      <c r="K354" t="s">
        <v>63</v>
      </c>
      <c r="L354">
        <v>6258.47</v>
      </c>
      <c r="M354">
        <v>39</v>
      </c>
      <c r="N354" s="10" t="s">
        <v>57</v>
      </c>
      <c r="O354" s="10" t="s">
        <v>81</v>
      </c>
      <c r="P354" s="13">
        <v>45894.549305555556</v>
      </c>
      <c r="Q354" t="s">
        <v>1282</v>
      </c>
    </row>
    <row r="355" spans="1:17">
      <c r="A355" s="8" t="s">
        <v>1283</v>
      </c>
      <c r="B355" s="8">
        <v>38531115</v>
      </c>
      <c r="C355" t="s">
        <v>1284</v>
      </c>
      <c r="D355" t="s">
        <v>951</v>
      </c>
      <c r="E355" t="s">
        <v>20</v>
      </c>
      <c r="F355" t="s">
        <v>121</v>
      </c>
      <c r="G355" t="s">
        <v>53</v>
      </c>
      <c r="H355" t="s">
        <v>68</v>
      </c>
      <c r="I355" t="s">
        <v>23</v>
      </c>
      <c r="J355" t="s">
        <v>38</v>
      </c>
      <c r="K355" t="s">
        <v>26</v>
      </c>
      <c r="L355">
        <v>1206.3499999999999</v>
      </c>
      <c r="M355">
        <v>84</v>
      </c>
      <c r="N355" s="11" t="s">
        <v>86</v>
      </c>
      <c r="O355" s="11" t="s">
        <v>81</v>
      </c>
      <c r="P355" s="14">
        <v>44652.477777777778</v>
      </c>
      <c r="Q355" t="s">
        <v>1285</v>
      </c>
    </row>
    <row r="356" spans="1:17">
      <c r="A356" s="8" t="s">
        <v>1286</v>
      </c>
      <c r="B356" s="8">
        <v>10969945</v>
      </c>
      <c r="C356" t="s">
        <v>1287</v>
      </c>
      <c r="D356" t="s">
        <v>882</v>
      </c>
      <c r="E356" t="s">
        <v>20</v>
      </c>
      <c r="F356" t="s">
        <v>98</v>
      </c>
      <c r="G356" t="s">
        <v>80</v>
      </c>
      <c r="H356" t="s">
        <v>54</v>
      </c>
      <c r="I356" t="s">
        <v>37</v>
      </c>
      <c r="J356" t="s">
        <v>103</v>
      </c>
      <c r="K356" t="s">
        <v>63</v>
      </c>
      <c r="L356">
        <v>6447.51</v>
      </c>
      <c r="M356">
        <v>43</v>
      </c>
      <c r="N356" s="10" t="s">
        <v>57</v>
      </c>
      <c r="O356" s="10" t="s">
        <v>75</v>
      </c>
      <c r="P356" s="13">
        <v>43993.427777777775</v>
      </c>
      <c r="Q356" t="s">
        <v>1288</v>
      </c>
    </row>
    <row r="357" spans="1:17">
      <c r="A357" s="8" t="s">
        <v>1289</v>
      </c>
      <c r="B357" s="8">
        <v>71326664</v>
      </c>
      <c r="C357" t="s">
        <v>1290</v>
      </c>
      <c r="D357" t="s">
        <v>18</v>
      </c>
      <c r="E357" t="s">
        <v>20</v>
      </c>
      <c r="F357" t="s">
        <v>21</v>
      </c>
      <c r="G357" t="s">
        <v>80</v>
      </c>
      <c r="H357" t="s">
        <v>37</v>
      </c>
      <c r="I357" t="s">
        <v>127</v>
      </c>
      <c r="J357" t="s">
        <v>103</v>
      </c>
      <c r="K357" t="s">
        <v>26</v>
      </c>
      <c r="L357">
        <v>9279.09</v>
      </c>
      <c r="M357">
        <v>33</v>
      </c>
      <c r="N357" s="11" t="s">
        <v>39</v>
      </c>
      <c r="O357" s="11" t="s">
        <v>81</v>
      </c>
      <c r="P357" s="14">
        <v>46228.324999999997</v>
      </c>
      <c r="Q357" t="s">
        <v>1291</v>
      </c>
    </row>
    <row r="358" spans="1:17">
      <c r="A358" s="8" t="s">
        <v>1292</v>
      </c>
      <c r="B358" s="8">
        <v>53691252</v>
      </c>
      <c r="C358" t="s">
        <v>1293</v>
      </c>
      <c r="D358" t="s">
        <v>741</v>
      </c>
      <c r="E358" t="s">
        <v>20</v>
      </c>
      <c r="F358" t="s">
        <v>22</v>
      </c>
      <c r="G358" t="s">
        <v>116</v>
      </c>
      <c r="H358" t="s">
        <v>62</v>
      </c>
      <c r="I358" t="s">
        <v>23</v>
      </c>
      <c r="J358" t="s">
        <v>38</v>
      </c>
      <c r="K358" t="s">
        <v>46</v>
      </c>
      <c r="L358">
        <v>13578.99</v>
      </c>
      <c r="M358">
        <v>68</v>
      </c>
      <c r="N358" s="10" t="s">
        <v>39</v>
      </c>
      <c r="O358" s="10" t="s">
        <v>75</v>
      </c>
      <c r="P358" s="13">
        <v>45763.87222222222</v>
      </c>
      <c r="Q358" t="s">
        <v>1294</v>
      </c>
    </row>
    <row r="359" spans="1:17">
      <c r="A359" s="8" t="s">
        <v>1295</v>
      </c>
      <c r="B359" s="8">
        <v>21689007</v>
      </c>
      <c r="C359" t="s">
        <v>1296</v>
      </c>
      <c r="D359" t="s">
        <v>1297</v>
      </c>
      <c r="E359" t="s">
        <v>33</v>
      </c>
      <c r="F359" t="s">
        <v>44</v>
      </c>
      <c r="G359" t="s">
        <v>21</v>
      </c>
      <c r="H359" t="s">
        <v>68</v>
      </c>
      <c r="I359" t="s">
        <v>93</v>
      </c>
      <c r="J359" t="s">
        <v>74</v>
      </c>
      <c r="K359" t="s">
        <v>46</v>
      </c>
      <c r="L359">
        <v>10501.64</v>
      </c>
      <c r="M359">
        <v>74</v>
      </c>
      <c r="N359" s="11" t="s">
        <v>86</v>
      </c>
      <c r="O359" s="11" t="s">
        <v>81</v>
      </c>
      <c r="P359" s="14">
        <v>45681.929861111108</v>
      </c>
      <c r="Q359" t="s">
        <v>1298</v>
      </c>
    </row>
    <row r="360" spans="1:17">
      <c r="A360" s="8" t="s">
        <v>1299</v>
      </c>
      <c r="B360" s="8">
        <v>26521948</v>
      </c>
      <c r="C360" t="s">
        <v>290</v>
      </c>
      <c r="D360" t="s">
        <v>1300</v>
      </c>
      <c r="E360" t="s">
        <v>20</v>
      </c>
      <c r="F360" t="s">
        <v>44</v>
      </c>
      <c r="G360" t="s">
        <v>35</v>
      </c>
      <c r="H360" t="s">
        <v>24</v>
      </c>
      <c r="I360" t="s">
        <v>68</v>
      </c>
      <c r="J360" t="s">
        <v>25</v>
      </c>
      <c r="K360" t="s">
        <v>46</v>
      </c>
      <c r="L360">
        <v>5154.95</v>
      </c>
      <c r="M360">
        <v>46</v>
      </c>
      <c r="N360" s="10" t="s">
        <v>39</v>
      </c>
      <c r="O360" s="10" t="s">
        <v>81</v>
      </c>
      <c r="P360" s="13">
        <v>45691.455555555556</v>
      </c>
      <c r="Q360" t="s">
        <v>1301</v>
      </c>
    </row>
    <row r="361" spans="1:17">
      <c r="A361" s="8" t="s">
        <v>1302</v>
      </c>
      <c r="B361" s="8">
        <v>25583513</v>
      </c>
      <c r="C361" t="s">
        <v>701</v>
      </c>
      <c r="D361" t="s">
        <v>1303</v>
      </c>
      <c r="E361" t="s">
        <v>20</v>
      </c>
      <c r="F361" t="s">
        <v>92</v>
      </c>
      <c r="G361" t="s">
        <v>116</v>
      </c>
      <c r="H361" t="s">
        <v>55</v>
      </c>
      <c r="I361" t="s">
        <v>93</v>
      </c>
      <c r="J361" t="s">
        <v>56</v>
      </c>
      <c r="K361" t="s">
        <v>69</v>
      </c>
      <c r="L361">
        <v>11571.5</v>
      </c>
      <c r="M361">
        <v>64</v>
      </c>
      <c r="N361" s="11" t="s">
        <v>47</v>
      </c>
      <c r="O361" s="11" t="s">
        <v>48</v>
      </c>
      <c r="P361" s="14">
        <v>44946.04791666667</v>
      </c>
      <c r="Q361" t="s">
        <v>1304</v>
      </c>
    </row>
    <row r="362" spans="1:17">
      <c r="A362" s="8" t="s">
        <v>1305</v>
      </c>
      <c r="B362" s="8">
        <v>71174364</v>
      </c>
      <c r="C362" t="s">
        <v>357</v>
      </c>
      <c r="D362" t="s">
        <v>1306</v>
      </c>
      <c r="E362" t="s">
        <v>20</v>
      </c>
      <c r="F362" t="s">
        <v>22</v>
      </c>
      <c r="G362" t="s">
        <v>80</v>
      </c>
      <c r="H362" t="s">
        <v>62</v>
      </c>
      <c r="I362" t="s">
        <v>127</v>
      </c>
      <c r="J362" t="s">
        <v>38</v>
      </c>
      <c r="K362" t="s">
        <v>63</v>
      </c>
      <c r="L362">
        <v>7179.46</v>
      </c>
      <c r="M362">
        <v>79</v>
      </c>
      <c r="N362" s="10" t="s">
        <v>47</v>
      </c>
      <c r="O362" s="10" t="s">
        <v>81</v>
      </c>
      <c r="P362" s="13">
        <v>46059.404166666667</v>
      </c>
      <c r="Q362" t="s">
        <v>1307</v>
      </c>
    </row>
    <row r="363" spans="1:17">
      <c r="A363" s="8" t="s">
        <v>1308</v>
      </c>
      <c r="B363" s="8">
        <v>40208616</v>
      </c>
      <c r="C363" t="s">
        <v>335</v>
      </c>
      <c r="D363" t="s">
        <v>1309</v>
      </c>
      <c r="E363" t="s">
        <v>20</v>
      </c>
      <c r="F363" t="s">
        <v>21</v>
      </c>
      <c r="G363" t="s">
        <v>44</v>
      </c>
      <c r="H363" t="s">
        <v>54</v>
      </c>
      <c r="I363" t="s">
        <v>37</v>
      </c>
      <c r="J363" t="s">
        <v>25</v>
      </c>
      <c r="K363" t="s">
        <v>63</v>
      </c>
      <c r="L363">
        <v>5890.36</v>
      </c>
      <c r="M363">
        <v>33</v>
      </c>
      <c r="N363" s="11" t="s">
        <v>39</v>
      </c>
      <c r="O363" s="11" t="s">
        <v>81</v>
      </c>
      <c r="P363" s="14">
        <v>45713.232638888891</v>
      </c>
      <c r="Q363" t="s">
        <v>1310</v>
      </c>
    </row>
    <row r="364" spans="1:17">
      <c r="A364" s="8" t="s">
        <v>1311</v>
      </c>
      <c r="B364" s="8">
        <v>23062011</v>
      </c>
      <c r="C364" t="s">
        <v>983</v>
      </c>
      <c r="D364" t="s">
        <v>1039</v>
      </c>
      <c r="E364" t="s">
        <v>33</v>
      </c>
      <c r="F364" t="s">
        <v>80</v>
      </c>
      <c r="G364" t="s">
        <v>22</v>
      </c>
      <c r="H364" t="s">
        <v>93</v>
      </c>
      <c r="I364" t="s">
        <v>127</v>
      </c>
      <c r="J364" t="s">
        <v>74</v>
      </c>
      <c r="K364" t="s">
        <v>26</v>
      </c>
      <c r="L364">
        <v>3279.87</v>
      </c>
      <c r="M364">
        <v>65</v>
      </c>
      <c r="N364" s="10" t="s">
        <v>47</v>
      </c>
      <c r="O364" s="10" t="s">
        <v>28</v>
      </c>
      <c r="P364" s="13">
        <v>46371.96597222222</v>
      </c>
      <c r="Q364" t="s">
        <v>1312</v>
      </c>
    </row>
    <row r="365" spans="1:17">
      <c r="A365" s="8" t="s">
        <v>1313</v>
      </c>
      <c r="B365" s="8">
        <v>32578497</v>
      </c>
      <c r="C365" t="s">
        <v>885</v>
      </c>
      <c r="D365" t="s">
        <v>1314</v>
      </c>
      <c r="E365" t="s">
        <v>20</v>
      </c>
      <c r="F365" t="s">
        <v>21</v>
      </c>
      <c r="G365" t="s">
        <v>80</v>
      </c>
      <c r="H365" t="s">
        <v>68</v>
      </c>
      <c r="I365" t="s">
        <v>24</v>
      </c>
      <c r="J365" t="s">
        <v>38</v>
      </c>
      <c r="K365" t="s">
        <v>26</v>
      </c>
      <c r="L365">
        <v>3682.57</v>
      </c>
      <c r="M365">
        <v>56</v>
      </c>
      <c r="N365" s="11" t="s">
        <v>86</v>
      </c>
      <c r="O365" s="11" t="s">
        <v>48</v>
      </c>
      <c r="P365" s="14">
        <v>44753.45416666667</v>
      </c>
      <c r="Q365" t="s">
        <v>1315</v>
      </c>
    </row>
    <row r="366" spans="1:17">
      <c r="A366" s="8" t="s">
        <v>1316</v>
      </c>
      <c r="B366" s="8">
        <v>98384904</v>
      </c>
      <c r="C366" t="s">
        <v>61</v>
      </c>
      <c r="D366" t="s">
        <v>401</v>
      </c>
      <c r="E366" t="s">
        <v>33</v>
      </c>
      <c r="F366" t="s">
        <v>92</v>
      </c>
      <c r="G366" t="s">
        <v>176</v>
      </c>
      <c r="H366" t="s">
        <v>68</v>
      </c>
      <c r="I366" t="s">
        <v>37</v>
      </c>
      <c r="J366" t="s">
        <v>38</v>
      </c>
      <c r="K366" t="s">
        <v>46</v>
      </c>
      <c r="L366">
        <v>13628.09</v>
      </c>
      <c r="M366">
        <v>50</v>
      </c>
      <c r="N366" s="10" t="s">
        <v>47</v>
      </c>
      <c r="O366" s="10" t="s">
        <v>28</v>
      </c>
      <c r="P366" s="13">
        <v>46006.93472222222</v>
      </c>
      <c r="Q366" t="s">
        <v>1317</v>
      </c>
    </row>
    <row r="367" spans="1:17">
      <c r="A367" s="8" t="s">
        <v>1318</v>
      </c>
      <c r="B367" s="8">
        <v>86695110</v>
      </c>
      <c r="C367" t="s">
        <v>970</v>
      </c>
      <c r="D367" t="s">
        <v>1319</v>
      </c>
      <c r="E367" t="s">
        <v>20</v>
      </c>
      <c r="F367" t="s">
        <v>98</v>
      </c>
      <c r="G367" t="s">
        <v>21</v>
      </c>
      <c r="H367" t="s">
        <v>55</v>
      </c>
      <c r="I367" t="s">
        <v>93</v>
      </c>
      <c r="J367" t="s">
        <v>38</v>
      </c>
      <c r="K367" t="s">
        <v>26</v>
      </c>
      <c r="L367">
        <v>968.34</v>
      </c>
      <c r="M367">
        <v>40</v>
      </c>
      <c r="N367" s="11" t="s">
        <v>27</v>
      </c>
      <c r="O367" s="11" t="s">
        <v>28</v>
      </c>
      <c r="P367" s="14">
        <v>45280.525000000001</v>
      </c>
      <c r="Q367" t="s">
        <v>1320</v>
      </c>
    </row>
    <row r="368" spans="1:17">
      <c r="A368" s="8" t="s">
        <v>1321</v>
      </c>
      <c r="B368" s="8">
        <v>15253706</v>
      </c>
      <c r="C368" t="s">
        <v>700</v>
      </c>
      <c r="D368" t="s">
        <v>1322</v>
      </c>
      <c r="E368" t="s">
        <v>20</v>
      </c>
      <c r="F368" t="s">
        <v>98</v>
      </c>
      <c r="G368" t="s">
        <v>53</v>
      </c>
      <c r="H368" t="s">
        <v>127</v>
      </c>
      <c r="I368" t="s">
        <v>54</v>
      </c>
      <c r="J368" t="s">
        <v>38</v>
      </c>
      <c r="K368" t="s">
        <v>26</v>
      </c>
      <c r="L368">
        <v>6351.54</v>
      </c>
      <c r="M368">
        <v>27</v>
      </c>
      <c r="N368" s="10" t="s">
        <v>86</v>
      </c>
      <c r="O368" s="10" t="s">
        <v>48</v>
      </c>
      <c r="P368" s="13">
        <v>45413.208333333336</v>
      </c>
      <c r="Q368" t="s">
        <v>1323</v>
      </c>
    </row>
    <row r="369" spans="1:17">
      <c r="A369" s="8" t="s">
        <v>1324</v>
      </c>
      <c r="B369" s="8">
        <v>57260360</v>
      </c>
      <c r="C369" t="s">
        <v>151</v>
      </c>
      <c r="D369" t="s">
        <v>1029</v>
      </c>
      <c r="E369" t="s">
        <v>20</v>
      </c>
      <c r="F369" t="s">
        <v>45</v>
      </c>
      <c r="G369" t="s">
        <v>80</v>
      </c>
      <c r="H369" t="s">
        <v>36</v>
      </c>
      <c r="I369" t="s">
        <v>93</v>
      </c>
      <c r="J369" t="s">
        <v>38</v>
      </c>
      <c r="K369" t="s">
        <v>63</v>
      </c>
      <c r="L369">
        <v>3248.44</v>
      </c>
      <c r="M369">
        <v>51</v>
      </c>
      <c r="N369" s="11" t="s">
        <v>57</v>
      </c>
      <c r="O369" s="11" t="s">
        <v>75</v>
      </c>
      <c r="P369" s="14">
        <v>44395.242361111108</v>
      </c>
      <c r="Q369" t="s">
        <v>1325</v>
      </c>
    </row>
    <row r="370" spans="1:17">
      <c r="A370" s="8" t="s">
        <v>1326</v>
      </c>
      <c r="B370" s="8">
        <v>44115380</v>
      </c>
      <c r="C370" t="s">
        <v>1327</v>
      </c>
      <c r="D370" t="s">
        <v>18</v>
      </c>
      <c r="E370" t="s">
        <v>20</v>
      </c>
      <c r="F370" t="s">
        <v>35</v>
      </c>
      <c r="G370" t="s">
        <v>45</v>
      </c>
      <c r="H370" t="s">
        <v>36</v>
      </c>
      <c r="I370" t="s">
        <v>93</v>
      </c>
      <c r="J370" t="s">
        <v>38</v>
      </c>
      <c r="K370" t="s">
        <v>46</v>
      </c>
      <c r="L370">
        <v>12309.42</v>
      </c>
      <c r="M370">
        <v>69</v>
      </c>
      <c r="N370" s="10" t="s">
        <v>27</v>
      </c>
      <c r="O370" s="10" t="s">
        <v>48</v>
      </c>
      <c r="P370" s="13">
        <v>46331.902777777781</v>
      </c>
      <c r="Q370" t="s">
        <v>1328</v>
      </c>
    </row>
    <row r="371" spans="1:17">
      <c r="A371" s="8" t="s">
        <v>1329</v>
      </c>
      <c r="B371" s="8">
        <v>24762625</v>
      </c>
      <c r="C371" t="s">
        <v>1297</v>
      </c>
      <c r="D371" t="s">
        <v>1200</v>
      </c>
      <c r="E371" t="s">
        <v>20</v>
      </c>
      <c r="F371" t="s">
        <v>35</v>
      </c>
      <c r="G371" t="s">
        <v>34</v>
      </c>
      <c r="H371" t="s">
        <v>93</v>
      </c>
      <c r="I371" t="s">
        <v>37</v>
      </c>
      <c r="J371" t="s">
        <v>25</v>
      </c>
      <c r="K371" t="s">
        <v>26</v>
      </c>
      <c r="L371">
        <v>14692.48</v>
      </c>
      <c r="M371">
        <v>27</v>
      </c>
      <c r="N371" s="11" t="s">
        <v>47</v>
      </c>
      <c r="O371" s="11" t="s">
        <v>81</v>
      </c>
      <c r="P371" s="14">
        <v>44301.974999999999</v>
      </c>
      <c r="Q371" t="s">
        <v>1330</v>
      </c>
    </row>
    <row r="372" spans="1:17">
      <c r="A372" s="8" t="s">
        <v>1331</v>
      </c>
      <c r="B372" s="8">
        <v>86793756</v>
      </c>
      <c r="C372" t="s">
        <v>1332</v>
      </c>
      <c r="D372" t="s">
        <v>1333</v>
      </c>
      <c r="E372" t="s">
        <v>20</v>
      </c>
      <c r="F372" t="s">
        <v>80</v>
      </c>
      <c r="G372" t="s">
        <v>21</v>
      </c>
      <c r="H372" t="s">
        <v>37</v>
      </c>
      <c r="I372" t="s">
        <v>24</v>
      </c>
      <c r="J372" t="s">
        <v>38</v>
      </c>
      <c r="K372" t="s">
        <v>63</v>
      </c>
      <c r="L372">
        <v>8923.31</v>
      </c>
      <c r="M372">
        <v>36</v>
      </c>
      <c r="N372" s="10" t="s">
        <v>39</v>
      </c>
      <c r="O372" s="10" t="s">
        <v>81</v>
      </c>
      <c r="P372" s="13">
        <v>44818.600694444445</v>
      </c>
      <c r="Q372" t="s">
        <v>1334</v>
      </c>
    </row>
    <row r="373" spans="1:17">
      <c r="A373" s="8" t="s">
        <v>1335</v>
      </c>
      <c r="B373" s="8">
        <v>95791097</v>
      </c>
      <c r="C373" t="s">
        <v>1100</v>
      </c>
      <c r="D373" t="s">
        <v>143</v>
      </c>
      <c r="E373" t="s">
        <v>20</v>
      </c>
      <c r="F373" t="s">
        <v>92</v>
      </c>
      <c r="G373" t="s">
        <v>22</v>
      </c>
      <c r="H373" t="s">
        <v>37</v>
      </c>
      <c r="I373" t="s">
        <v>93</v>
      </c>
      <c r="J373" t="s">
        <v>56</v>
      </c>
      <c r="K373" t="s">
        <v>63</v>
      </c>
      <c r="L373">
        <v>14125.74</v>
      </c>
      <c r="M373">
        <v>75</v>
      </c>
      <c r="N373" s="11" t="s">
        <v>47</v>
      </c>
      <c r="O373" s="11" t="s">
        <v>75</v>
      </c>
      <c r="P373" s="14">
        <v>45765.326388888891</v>
      </c>
      <c r="Q373" t="s">
        <v>1336</v>
      </c>
    </row>
    <row r="374" spans="1:17">
      <c r="A374" s="8" t="s">
        <v>1337</v>
      </c>
      <c r="B374" s="8">
        <v>87217700</v>
      </c>
      <c r="C374" t="s">
        <v>1025</v>
      </c>
      <c r="D374" t="s">
        <v>18</v>
      </c>
      <c r="E374" t="s">
        <v>20</v>
      </c>
      <c r="F374" t="s">
        <v>44</v>
      </c>
      <c r="G374" t="s">
        <v>80</v>
      </c>
      <c r="H374" t="s">
        <v>24</v>
      </c>
      <c r="I374" t="s">
        <v>23</v>
      </c>
      <c r="J374" t="s">
        <v>38</v>
      </c>
      <c r="K374" t="s">
        <v>46</v>
      </c>
      <c r="L374">
        <v>14969.34</v>
      </c>
      <c r="M374">
        <v>18</v>
      </c>
      <c r="N374" s="10" t="s">
        <v>27</v>
      </c>
      <c r="O374" s="10" t="s">
        <v>28</v>
      </c>
      <c r="P374" s="13">
        <v>44054.990972222222</v>
      </c>
      <c r="Q374" t="s">
        <v>1338</v>
      </c>
    </row>
    <row r="375" spans="1:17">
      <c r="A375" s="8" t="s">
        <v>1339</v>
      </c>
      <c r="B375" s="8">
        <v>98741286</v>
      </c>
      <c r="C375" t="s">
        <v>304</v>
      </c>
      <c r="D375" t="s">
        <v>358</v>
      </c>
      <c r="E375" t="s">
        <v>33</v>
      </c>
      <c r="F375" t="s">
        <v>80</v>
      </c>
      <c r="G375" t="s">
        <v>116</v>
      </c>
      <c r="H375" t="s">
        <v>62</v>
      </c>
      <c r="I375" t="s">
        <v>62</v>
      </c>
      <c r="J375" t="s">
        <v>74</v>
      </c>
      <c r="K375" t="s">
        <v>69</v>
      </c>
      <c r="L375">
        <v>5512.09</v>
      </c>
      <c r="M375">
        <v>21</v>
      </c>
      <c r="N375" s="11" t="s">
        <v>47</v>
      </c>
      <c r="O375" s="11" t="s">
        <v>75</v>
      </c>
      <c r="P375" s="14">
        <v>46032.211805555555</v>
      </c>
      <c r="Q375" t="s">
        <v>1340</v>
      </c>
    </row>
    <row r="376" spans="1:17">
      <c r="A376" s="8" t="s">
        <v>1341</v>
      </c>
      <c r="B376" s="8">
        <v>25819626</v>
      </c>
      <c r="C376" t="s">
        <v>573</v>
      </c>
      <c r="D376" t="s">
        <v>1342</v>
      </c>
      <c r="E376" t="s">
        <v>20</v>
      </c>
      <c r="F376" t="s">
        <v>80</v>
      </c>
      <c r="G376" t="s">
        <v>22</v>
      </c>
      <c r="H376" t="s">
        <v>23</v>
      </c>
      <c r="I376" t="s">
        <v>36</v>
      </c>
      <c r="J376" t="s">
        <v>38</v>
      </c>
      <c r="K376" t="s">
        <v>69</v>
      </c>
      <c r="L376">
        <v>14031.86</v>
      </c>
      <c r="M376">
        <v>33</v>
      </c>
      <c r="N376" s="10" t="s">
        <v>27</v>
      </c>
      <c r="O376" s="10" t="s">
        <v>81</v>
      </c>
      <c r="P376" s="13">
        <v>44181.898611111108</v>
      </c>
      <c r="Q376" t="s">
        <v>1343</v>
      </c>
    </row>
    <row r="377" spans="1:17">
      <c r="A377" s="8" t="s">
        <v>1344</v>
      </c>
      <c r="B377" s="8">
        <v>57584523</v>
      </c>
      <c r="C377" t="s">
        <v>1345</v>
      </c>
      <c r="D377" t="s">
        <v>1346</v>
      </c>
      <c r="E377" t="s">
        <v>20</v>
      </c>
      <c r="F377" t="s">
        <v>98</v>
      </c>
      <c r="G377" t="s">
        <v>98</v>
      </c>
      <c r="H377" t="s">
        <v>127</v>
      </c>
      <c r="I377" t="s">
        <v>36</v>
      </c>
      <c r="J377" t="s">
        <v>103</v>
      </c>
      <c r="K377" t="s">
        <v>26</v>
      </c>
      <c r="L377">
        <v>7065.77</v>
      </c>
      <c r="M377">
        <v>41</v>
      </c>
      <c r="N377" s="11" t="s">
        <v>57</v>
      </c>
      <c r="O377" s="11" t="s">
        <v>75</v>
      </c>
      <c r="P377" s="14">
        <v>45759.375</v>
      </c>
      <c r="Q377" t="s">
        <v>1347</v>
      </c>
    </row>
    <row r="378" spans="1:17">
      <c r="A378" s="8" t="s">
        <v>1348</v>
      </c>
      <c r="B378" s="8">
        <v>57477880</v>
      </c>
      <c r="C378" t="s">
        <v>1349</v>
      </c>
      <c r="D378" t="s">
        <v>1350</v>
      </c>
      <c r="E378" t="s">
        <v>20</v>
      </c>
      <c r="F378" t="s">
        <v>22</v>
      </c>
      <c r="G378" t="s">
        <v>121</v>
      </c>
      <c r="H378" t="s">
        <v>54</v>
      </c>
      <c r="I378" t="s">
        <v>93</v>
      </c>
      <c r="J378" t="s">
        <v>25</v>
      </c>
      <c r="K378" t="s">
        <v>26</v>
      </c>
      <c r="L378">
        <v>9996.41</v>
      </c>
      <c r="M378">
        <v>19</v>
      </c>
      <c r="N378" s="10" t="s">
        <v>39</v>
      </c>
      <c r="O378" s="10" t="s">
        <v>75</v>
      </c>
      <c r="P378" s="13">
        <v>44179.565972222219</v>
      </c>
      <c r="Q378" t="s">
        <v>1351</v>
      </c>
    </row>
    <row r="379" spans="1:17">
      <c r="A379" s="8" t="s">
        <v>1352</v>
      </c>
      <c r="B379" s="8">
        <v>77358318</v>
      </c>
      <c r="C379" t="s">
        <v>1353</v>
      </c>
      <c r="D379" t="s">
        <v>1354</v>
      </c>
      <c r="E379" t="s">
        <v>20</v>
      </c>
      <c r="F379" t="s">
        <v>21</v>
      </c>
      <c r="G379" t="s">
        <v>35</v>
      </c>
      <c r="H379" t="s">
        <v>23</v>
      </c>
      <c r="I379" t="s">
        <v>23</v>
      </c>
      <c r="J379" t="s">
        <v>38</v>
      </c>
      <c r="K379" t="s">
        <v>26</v>
      </c>
      <c r="L379">
        <v>790.08</v>
      </c>
      <c r="M379">
        <v>49</v>
      </c>
      <c r="N379" s="11" t="s">
        <v>57</v>
      </c>
      <c r="O379" s="11" t="s">
        <v>81</v>
      </c>
      <c r="P379" s="14">
        <v>44012.484027777777</v>
      </c>
      <c r="Q379" t="s">
        <v>1355</v>
      </c>
    </row>
    <row r="380" spans="1:17">
      <c r="A380" s="8" t="s">
        <v>1356</v>
      </c>
      <c r="B380" s="8">
        <v>43482865</v>
      </c>
      <c r="C380" t="s">
        <v>1357</v>
      </c>
      <c r="D380" t="s">
        <v>1358</v>
      </c>
      <c r="E380" t="s">
        <v>20</v>
      </c>
      <c r="F380" t="s">
        <v>523</v>
      </c>
      <c r="G380" t="s">
        <v>121</v>
      </c>
      <c r="H380" t="s">
        <v>23</v>
      </c>
      <c r="I380" t="s">
        <v>54</v>
      </c>
      <c r="J380" t="s">
        <v>38</v>
      </c>
      <c r="K380" t="s">
        <v>63</v>
      </c>
      <c r="L380">
        <v>9170.4</v>
      </c>
      <c r="M380">
        <v>41</v>
      </c>
      <c r="N380" s="10" t="s">
        <v>47</v>
      </c>
      <c r="O380" s="10" t="s">
        <v>48</v>
      </c>
      <c r="P380" s="13">
        <v>44467.424305555556</v>
      </c>
      <c r="Q380" t="s">
        <v>1359</v>
      </c>
    </row>
    <row r="381" spans="1:17">
      <c r="A381" s="8" t="s">
        <v>1360</v>
      </c>
      <c r="B381" s="8">
        <v>16839113</v>
      </c>
      <c r="C381" t="s">
        <v>622</v>
      </c>
      <c r="D381" t="s">
        <v>1361</v>
      </c>
      <c r="E381" t="s">
        <v>20</v>
      </c>
      <c r="F381" t="s">
        <v>121</v>
      </c>
      <c r="G381" t="s">
        <v>121</v>
      </c>
      <c r="H381" t="s">
        <v>68</v>
      </c>
      <c r="I381" t="s">
        <v>68</v>
      </c>
      <c r="J381" t="s">
        <v>103</v>
      </c>
      <c r="K381" t="s">
        <v>69</v>
      </c>
      <c r="L381">
        <v>4215.53</v>
      </c>
      <c r="M381">
        <v>29</v>
      </c>
      <c r="N381" s="11" t="s">
        <v>57</v>
      </c>
      <c r="O381" s="11" t="s">
        <v>81</v>
      </c>
      <c r="P381" s="14">
        <v>44848.40902777778</v>
      </c>
      <c r="Q381" t="s">
        <v>1362</v>
      </c>
    </row>
    <row r="382" spans="1:17">
      <c r="A382" s="8" t="s">
        <v>1363</v>
      </c>
      <c r="B382" s="8">
        <v>91405981</v>
      </c>
      <c r="C382" t="s">
        <v>1364</v>
      </c>
      <c r="D382" t="s">
        <v>300</v>
      </c>
      <c r="E382" t="s">
        <v>20</v>
      </c>
      <c r="F382" t="s">
        <v>34</v>
      </c>
      <c r="G382" t="s">
        <v>393</v>
      </c>
      <c r="H382" t="s">
        <v>93</v>
      </c>
      <c r="I382" t="s">
        <v>68</v>
      </c>
      <c r="J382" t="s">
        <v>103</v>
      </c>
      <c r="K382" t="s">
        <v>69</v>
      </c>
      <c r="L382">
        <v>11121.97</v>
      </c>
      <c r="M382">
        <v>67</v>
      </c>
      <c r="N382" s="10" t="s">
        <v>57</v>
      </c>
      <c r="O382" s="10" t="s">
        <v>75</v>
      </c>
      <c r="P382" s="13">
        <v>46057.254166666666</v>
      </c>
      <c r="Q382" t="s">
        <v>1365</v>
      </c>
    </row>
    <row r="383" spans="1:17">
      <c r="A383" s="8" t="s">
        <v>1366</v>
      </c>
      <c r="B383" s="8">
        <v>88726945</v>
      </c>
      <c r="C383" t="s">
        <v>1159</v>
      </c>
      <c r="D383" t="s">
        <v>685</v>
      </c>
      <c r="E383" t="s">
        <v>20</v>
      </c>
      <c r="F383" t="s">
        <v>22</v>
      </c>
      <c r="G383" t="s">
        <v>44</v>
      </c>
      <c r="H383" t="s">
        <v>36</v>
      </c>
      <c r="I383" t="s">
        <v>37</v>
      </c>
      <c r="J383" t="s">
        <v>74</v>
      </c>
      <c r="K383" t="s">
        <v>63</v>
      </c>
      <c r="L383">
        <v>10814.33</v>
      </c>
      <c r="M383">
        <v>52</v>
      </c>
      <c r="N383" s="11" t="s">
        <v>86</v>
      </c>
      <c r="O383" s="11" t="s">
        <v>48</v>
      </c>
      <c r="P383" s="14">
        <v>44602.440972222219</v>
      </c>
      <c r="Q383" t="s">
        <v>1367</v>
      </c>
    </row>
    <row r="384" spans="1:17">
      <c r="A384" s="8" t="s">
        <v>1368</v>
      </c>
      <c r="B384" s="8">
        <v>59125302</v>
      </c>
      <c r="C384" t="s">
        <v>1369</v>
      </c>
      <c r="D384" t="s">
        <v>652</v>
      </c>
      <c r="E384" t="s">
        <v>33</v>
      </c>
      <c r="F384" t="s">
        <v>35</v>
      </c>
      <c r="G384" t="s">
        <v>44</v>
      </c>
      <c r="H384" t="s">
        <v>24</v>
      </c>
      <c r="I384" t="s">
        <v>36</v>
      </c>
      <c r="J384" t="s">
        <v>38</v>
      </c>
      <c r="K384" t="s">
        <v>26</v>
      </c>
      <c r="L384">
        <v>4351.95</v>
      </c>
      <c r="M384">
        <v>50</v>
      </c>
      <c r="N384" s="10" t="s">
        <v>27</v>
      </c>
      <c r="O384" s="10" t="s">
        <v>28</v>
      </c>
      <c r="P384" s="13">
        <v>44846.8125</v>
      </c>
      <c r="Q384" t="s">
        <v>1370</v>
      </c>
    </row>
    <row r="385" spans="1:17">
      <c r="A385" s="8" t="s">
        <v>1371</v>
      </c>
      <c r="B385" s="8">
        <v>61559796</v>
      </c>
      <c r="C385" t="s">
        <v>1372</v>
      </c>
      <c r="D385" t="s">
        <v>935</v>
      </c>
      <c r="E385" t="s">
        <v>20</v>
      </c>
      <c r="F385" t="s">
        <v>126</v>
      </c>
      <c r="G385" t="s">
        <v>21</v>
      </c>
      <c r="H385" t="s">
        <v>37</v>
      </c>
      <c r="I385" t="s">
        <v>93</v>
      </c>
      <c r="J385" t="s">
        <v>38</v>
      </c>
      <c r="K385" t="s">
        <v>26</v>
      </c>
      <c r="L385">
        <v>7562.23</v>
      </c>
      <c r="M385">
        <v>50</v>
      </c>
      <c r="N385" s="11" t="s">
        <v>27</v>
      </c>
      <c r="O385" s="11" t="s">
        <v>75</v>
      </c>
      <c r="P385" s="14">
        <v>45942.008333333331</v>
      </c>
      <c r="Q385" t="s">
        <v>1373</v>
      </c>
    </row>
    <row r="386" spans="1:17">
      <c r="A386" s="8" t="s">
        <v>1374</v>
      </c>
      <c r="B386" s="8">
        <v>29882943</v>
      </c>
      <c r="C386" t="s">
        <v>1375</v>
      </c>
      <c r="D386" t="s">
        <v>150</v>
      </c>
      <c r="E386" t="s">
        <v>20</v>
      </c>
      <c r="F386" t="s">
        <v>80</v>
      </c>
      <c r="G386" t="s">
        <v>45</v>
      </c>
      <c r="H386" t="s">
        <v>93</v>
      </c>
      <c r="I386" t="s">
        <v>68</v>
      </c>
      <c r="J386" t="s">
        <v>38</v>
      </c>
      <c r="K386" t="s">
        <v>63</v>
      </c>
      <c r="L386">
        <v>14583.56</v>
      </c>
      <c r="M386">
        <v>78</v>
      </c>
      <c r="N386" s="10" t="s">
        <v>57</v>
      </c>
      <c r="O386" s="10" t="s">
        <v>28</v>
      </c>
      <c r="P386" s="13">
        <v>43859.736111111109</v>
      </c>
      <c r="Q386" t="s">
        <v>1376</v>
      </c>
    </row>
    <row r="387" spans="1:17">
      <c r="A387" s="8" t="s">
        <v>1377</v>
      </c>
      <c r="B387" s="8">
        <v>39431208</v>
      </c>
      <c r="C387" t="s">
        <v>490</v>
      </c>
      <c r="D387" t="s">
        <v>300</v>
      </c>
      <c r="E387" t="s">
        <v>20</v>
      </c>
      <c r="F387" t="s">
        <v>98</v>
      </c>
      <c r="G387" t="s">
        <v>45</v>
      </c>
      <c r="H387" t="s">
        <v>68</v>
      </c>
      <c r="I387" t="s">
        <v>93</v>
      </c>
      <c r="J387" t="s">
        <v>56</v>
      </c>
      <c r="K387" t="s">
        <v>46</v>
      </c>
      <c r="L387">
        <v>3867.6</v>
      </c>
      <c r="M387">
        <v>68</v>
      </c>
      <c r="N387" s="11" t="s">
        <v>27</v>
      </c>
      <c r="O387" s="11" t="s">
        <v>48</v>
      </c>
      <c r="P387" s="14">
        <v>46250.974305555559</v>
      </c>
      <c r="Q387" t="s">
        <v>1378</v>
      </c>
    </row>
    <row r="388" spans="1:17">
      <c r="A388" s="8" t="s">
        <v>1379</v>
      </c>
      <c r="B388" s="8">
        <v>68237550</v>
      </c>
      <c r="C388" t="s">
        <v>995</v>
      </c>
      <c r="D388" t="s">
        <v>1380</v>
      </c>
      <c r="E388" t="s">
        <v>20</v>
      </c>
      <c r="F388" t="s">
        <v>21</v>
      </c>
      <c r="G388" t="s">
        <v>44</v>
      </c>
      <c r="H388" t="s">
        <v>54</v>
      </c>
      <c r="I388" t="s">
        <v>37</v>
      </c>
      <c r="J388" t="s">
        <v>38</v>
      </c>
      <c r="K388" t="s">
        <v>69</v>
      </c>
      <c r="L388">
        <v>325.5</v>
      </c>
      <c r="M388">
        <v>60</v>
      </c>
      <c r="N388" s="10" t="s">
        <v>47</v>
      </c>
      <c r="O388" s="10" t="s">
        <v>48</v>
      </c>
      <c r="P388" s="13">
        <v>45975.354166666664</v>
      </c>
      <c r="Q388" t="s">
        <v>1381</v>
      </c>
    </row>
    <row r="389" spans="1:17">
      <c r="A389" s="8" t="s">
        <v>1382</v>
      </c>
      <c r="B389" s="8">
        <v>80703020</v>
      </c>
      <c r="C389" t="s">
        <v>264</v>
      </c>
      <c r="D389" t="s">
        <v>1039</v>
      </c>
      <c r="E389" t="s">
        <v>20</v>
      </c>
      <c r="F389" t="s">
        <v>35</v>
      </c>
      <c r="G389" t="s">
        <v>160</v>
      </c>
      <c r="H389" t="s">
        <v>24</v>
      </c>
      <c r="I389" t="s">
        <v>36</v>
      </c>
      <c r="J389" t="s">
        <v>74</v>
      </c>
      <c r="K389" t="s">
        <v>26</v>
      </c>
      <c r="L389">
        <v>11554.06</v>
      </c>
      <c r="M389">
        <v>29</v>
      </c>
      <c r="N389" s="11" t="s">
        <v>57</v>
      </c>
      <c r="O389" s="11" t="s">
        <v>48</v>
      </c>
      <c r="P389" s="14">
        <v>45724.944444444445</v>
      </c>
      <c r="Q389" t="s">
        <v>1383</v>
      </c>
    </row>
    <row r="390" spans="1:17">
      <c r="A390" s="8" t="s">
        <v>1384</v>
      </c>
      <c r="B390" s="8">
        <v>85544613</v>
      </c>
      <c r="C390" t="s">
        <v>853</v>
      </c>
      <c r="D390" t="s">
        <v>1385</v>
      </c>
      <c r="E390" t="s">
        <v>20</v>
      </c>
      <c r="F390" t="s">
        <v>44</v>
      </c>
      <c r="G390" t="s">
        <v>21</v>
      </c>
      <c r="H390" t="s">
        <v>68</v>
      </c>
      <c r="I390" t="s">
        <v>127</v>
      </c>
      <c r="J390" t="s">
        <v>25</v>
      </c>
      <c r="K390" t="s">
        <v>69</v>
      </c>
      <c r="L390">
        <v>8174.19</v>
      </c>
      <c r="M390">
        <v>84</v>
      </c>
      <c r="N390" s="10" t="s">
        <v>86</v>
      </c>
      <c r="O390" s="10" t="s">
        <v>81</v>
      </c>
      <c r="P390" s="13">
        <v>45296.415972222225</v>
      </c>
      <c r="Q390" t="s">
        <v>1386</v>
      </c>
    </row>
    <row r="391" spans="1:17">
      <c r="A391" s="8" t="s">
        <v>1387</v>
      </c>
      <c r="B391" s="8">
        <v>61639439</v>
      </c>
      <c r="C391" t="s">
        <v>1388</v>
      </c>
      <c r="D391" t="s">
        <v>1389</v>
      </c>
      <c r="E391" t="s">
        <v>20</v>
      </c>
      <c r="F391" t="s">
        <v>44</v>
      </c>
      <c r="G391" t="s">
        <v>21</v>
      </c>
      <c r="H391" t="s">
        <v>36</v>
      </c>
      <c r="I391" t="s">
        <v>62</v>
      </c>
      <c r="J391" t="s">
        <v>103</v>
      </c>
      <c r="K391" t="s">
        <v>69</v>
      </c>
      <c r="L391">
        <v>5413.8</v>
      </c>
      <c r="M391">
        <v>82</v>
      </c>
      <c r="N391" s="11" t="s">
        <v>86</v>
      </c>
      <c r="O391" s="11" t="s">
        <v>28</v>
      </c>
      <c r="P391" s="14">
        <v>45057.067361111112</v>
      </c>
      <c r="Q391" t="s">
        <v>1390</v>
      </c>
    </row>
    <row r="392" spans="1:17">
      <c r="A392" s="8" t="s">
        <v>1391</v>
      </c>
      <c r="B392" s="8">
        <v>48521233</v>
      </c>
      <c r="C392" t="s">
        <v>501</v>
      </c>
      <c r="D392" t="s">
        <v>1392</v>
      </c>
      <c r="E392" t="s">
        <v>20</v>
      </c>
      <c r="F392" t="s">
        <v>45</v>
      </c>
      <c r="G392" t="s">
        <v>34</v>
      </c>
      <c r="H392" t="s">
        <v>36</v>
      </c>
      <c r="I392" t="s">
        <v>62</v>
      </c>
      <c r="J392" t="s">
        <v>74</v>
      </c>
      <c r="K392" t="s">
        <v>46</v>
      </c>
      <c r="L392">
        <v>2207.37</v>
      </c>
      <c r="M392">
        <v>50</v>
      </c>
      <c r="N392" s="10" t="s">
        <v>47</v>
      </c>
      <c r="O392" s="10" t="s">
        <v>81</v>
      </c>
      <c r="P392" s="13">
        <v>45899.584722222222</v>
      </c>
      <c r="Q392" t="s">
        <v>1393</v>
      </c>
    </row>
    <row r="393" spans="1:17">
      <c r="A393" s="8" t="s">
        <v>1394</v>
      </c>
      <c r="B393" s="8">
        <v>22139593</v>
      </c>
      <c r="C393" t="s">
        <v>1395</v>
      </c>
      <c r="D393" t="s">
        <v>857</v>
      </c>
      <c r="E393" t="s">
        <v>33</v>
      </c>
      <c r="F393" t="s">
        <v>34</v>
      </c>
      <c r="G393" t="s">
        <v>44</v>
      </c>
      <c r="H393" t="s">
        <v>36</v>
      </c>
      <c r="I393" t="s">
        <v>68</v>
      </c>
      <c r="J393" t="s">
        <v>38</v>
      </c>
      <c r="K393" t="s">
        <v>26</v>
      </c>
      <c r="L393">
        <v>5753.95</v>
      </c>
      <c r="M393">
        <v>57</v>
      </c>
      <c r="N393" s="11" t="s">
        <v>27</v>
      </c>
      <c r="O393" s="11" t="s">
        <v>81</v>
      </c>
      <c r="P393" s="14">
        <v>44956.4375</v>
      </c>
      <c r="Q393" t="s">
        <v>1396</v>
      </c>
    </row>
    <row r="394" spans="1:17">
      <c r="A394" s="8" t="s">
        <v>1397</v>
      </c>
      <c r="B394" s="8">
        <v>39438509</v>
      </c>
      <c r="C394" t="s">
        <v>1398</v>
      </c>
      <c r="D394" t="s">
        <v>614</v>
      </c>
      <c r="E394" t="s">
        <v>20</v>
      </c>
      <c r="F394" t="s">
        <v>80</v>
      </c>
      <c r="G394" t="s">
        <v>34</v>
      </c>
      <c r="H394" t="s">
        <v>93</v>
      </c>
      <c r="I394" t="s">
        <v>62</v>
      </c>
      <c r="J394" t="s">
        <v>74</v>
      </c>
      <c r="K394" t="s">
        <v>69</v>
      </c>
      <c r="L394">
        <v>6911.22</v>
      </c>
      <c r="M394">
        <v>60</v>
      </c>
      <c r="N394" s="10" t="s">
        <v>27</v>
      </c>
      <c r="O394" s="10" t="s">
        <v>81</v>
      </c>
      <c r="P394" s="13">
        <v>43896.209722222222</v>
      </c>
      <c r="Q394" t="s">
        <v>1399</v>
      </c>
    </row>
    <row r="395" spans="1:17">
      <c r="A395" s="8" t="s">
        <v>1400</v>
      </c>
      <c r="B395" s="8">
        <v>67003442</v>
      </c>
      <c r="C395" t="s">
        <v>1401</v>
      </c>
      <c r="D395" t="s">
        <v>652</v>
      </c>
      <c r="E395" t="s">
        <v>20</v>
      </c>
      <c r="F395" t="s">
        <v>35</v>
      </c>
      <c r="G395" t="s">
        <v>686</v>
      </c>
      <c r="H395" t="s">
        <v>93</v>
      </c>
      <c r="I395" t="s">
        <v>127</v>
      </c>
      <c r="J395" t="s">
        <v>25</v>
      </c>
      <c r="K395" t="s">
        <v>69</v>
      </c>
      <c r="L395">
        <v>8542.06</v>
      </c>
      <c r="M395">
        <v>61</v>
      </c>
      <c r="N395" s="11" t="s">
        <v>39</v>
      </c>
      <c r="O395" s="11" t="s">
        <v>48</v>
      </c>
      <c r="P395" s="14">
        <v>44965.965277777781</v>
      </c>
      <c r="Q395" t="s">
        <v>1402</v>
      </c>
    </row>
    <row r="396" spans="1:17">
      <c r="A396" s="8" t="s">
        <v>1403</v>
      </c>
      <c r="B396" s="8">
        <v>96549919</v>
      </c>
      <c r="C396" t="s">
        <v>1404</v>
      </c>
      <c r="D396" t="s">
        <v>1405</v>
      </c>
      <c r="E396" t="s">
        <v>20</v>
      </c>
      <c r="F396" t="s">
        <v>45</v>
      </c>
      <c r="G396" t="s">
        <v>80</v>
      </c>
      <c r="H396" t="s">
        <v>37</v>
      </c>
      <c r="I396" t="s">
        <v>93</v>
      </c>
      <c r="J396" t="s">
        <v>56</v>
      </c>
      <c r="K396" t="s">
        <v>63</v>
      </c>
      <c r="L396">
        <v>10673.99</v>
      </c>
      <c r="M396">
        <v>46</v>
      </c>
      <c r="N396" s="10" t="s">
        <v>57</v>
      </c>
      <c r="O396" s="10" t="s">
        <v>75</v>
      </c>
      <c r="P396" s="13">
        <v>44168.613888888889</v>
      </c>
      <c r="Q396" t="s">
        <v>1406</v>
      </c>
    </row>
    <row r="397" spans="1:17">
      <c r="A397" s="8" t="s">
        <v>1407</v>
      </c>
      <c r="B397" s="8">
        <v>93086647</v>
      </c>
      <c r="C397" t="s">
        <v>1408</v>
      </c>
      <c r="D397" t="s">
        <v>1409</v>
      </c>
      <c r="E397" t="s">
        <v>20</v>
      </c>
      <c r="F397" t="s">
        <v>98</v>
      </c>
      <c r="G397" t="s">
        <v>116</v>
      </c>
      <c r="H397" t="s">
        <v>37</v>
      </c>
      <c r="I397" t="s">
        <v>37</v>
      </c>
      <c r="J397" t="s">
        <v>56</v>
      </c>
      <c r="K397" t="s">
        <v>26</v>
      </c>
      <c r="L397">
        <v>829.53</v>
      </c>
      <c r="M397">
        <v>30</v>
      </c>
      <c r="N397" s="11" t="s">
        <v>57</v>
      </c>
      <c r="O397" s="11" t="s">
        <v>81</v>
      </c>
      <c r="P397" s="14">
        <v>46001.810416666667</v>
      </c>
      <c r="Q397" t="s">
        <v>1410</v>
      </c>
    </row>
    <row r="398" spans="1:17">
      <c r="A398" s="8" t="s">
        <v>1411</v>
      </c>
      <c r="B398" s="8">
        <v>24289429</v>
      </c>
      <c r="C398" t="s">
        <v>146</v>
      </c>
      <c r="D398" t="s">
        <v>874</v>
      </c>
      <c r="E398" t="s">
        <v>20</v>
      </c>
      <c r="F398" t="s">
        <v>53</v>
      </c>
      <c r="G398" t="s">
        <v>126</v>
      </c>
      <c r="H398" t="s">
        <v>54</v>
      </c>
      <c r="I398" t="s">
        <v>127</v>
      </c>
      <c r="J398" t="s">
        <v>38</v>
      </c>
      <c r="K398" t="s">
        <v>69</v>
      </c>
      <c r="L398">
        <v>8460.4500000000007</v>
      </c>
      <c r="M398">
        <v>29</v>
      </c>
      <c r="N398" s="10" t="s">
        <v>39</v>
      </c>
      <c r="O398" s="10" t="s">
        <v>28</v>
      </c>
      <c r="P398" s="13">
        <v>45559.400694444441</v>
      </c>
      <c r="Q398" t="s">
        <v>1412</v>
      </c>
    </row>
    <row r="399" spans="1:17">
      <c r="A399" s="8" t="s">
        <v>1413</v>
      </c>
      <c r="B399" s="8">
        <v>62430988</v>
      </c>
      <c r="C399" t="s">
        <v>1414</v>
      </c>
      <c r="D399" t="s">
        <v>1415</v>
      </c>
      <c r="E399" t="s">
        <v>20</v>
      </c>
      <c r="F399" t="s">
        <v>34</v>
      </c>
      <c r="G399" t="s">
        <v>92</v>
      </c>
      <c r="H399" t="s">
        <v>24</v>
      </c>
      <c r="I399" t="s">
        <v>37</v>
      </c>
      <c r="J399" t="s">
        <v>56</v>
      </c>
      <c r="K399" t="s">
        <v>26</v>
      </c>
      <c r="L399">
        <v>8799.51</v>
      </c>
      <c r="M399">
        <v>63</v>
      </c>
      <c r="N399" s="11" t="s">
        <v>86</v>
      </c>
      <c r="O399" s="11" t="s">
        <v>75</v>
      </c>
      <c r="P399" s="14">
        <v>44277.62222222222</v>
      </c>
      <c r="Q399" t="s">
        <v>1416</v>
      </c>
    </row>
    <row r="400" spans="1:17">
      <c r="A400" s="8" t="s">
        <v>1417</v>
      </c>
      <c r="B400" s="8">
        <v>97807942</v>
      </c>
      <c r="C400" t="s">
        <v>819</v>
      </c>
      <c r="D400" t="s">
        <v>1418</v>
      </c>
      <c r="E400" t="s">
        <v>20</v>
      </c>
      <c r="F400" t="s">
        <v>98</v>
      </c>
      <c r="G400" t="s">
        <v>98</v>
      </c>
      <c r="H400" t="s">
        <v>55</v>
      </c>
      <c r="I400" t="s">
        <v>37</v>
      </c>
      <c r="J400" t="s">
        <v>74</v>
      </c>
      <c r="K400" t="s">
        <v>69</v>
      </c>
      <c r="L400">
        <v>4369.72</v>
      </c>
      <c r="M400">
        <v>19</v>
      </c>
      <c r="N400" s="10" t="s">
        <v>27</v>
      </c>
      <c r="O400" s="10" t="s">
        <v>81</v>
      </c>
      <c r="P400" s="13">
        <v>44111.742361111108</v>
      </c>
      <c r="Q400" t="s">
        <v>1419</v>
      </c>
    </row>
    <row r="401" spans="1:17">
      <c r="A401" s="8" t="s">
        <v>1420</v>
      </c>
      <c r="B401" s="8">
        <v>76776383</v>
      </c>
      <c r="C401" t="s">
        <v>957</v>
      </c>
      <c r="D401" t="s">
        <v>1421</v>
      </c>
      <c r="E401" t="s">
        <v>20</v>
      </c>
      <c r="F401" t="s">
        <v>53</v>
      </c>
      <c r="G401" t="s">
        <v>98</v>
      </c>
      <c r="H401" t="s">
        <v>55</v>
      </c>
      <c r="I401" t="s">
        <v>36</v>
      </c>
      <c r="J401" t="s">
        <v>74</v>
      </c>
      <c r="K401" t="s">
        <v>69</v>
      </c>
      <c r="L401">
        <v>2430.4699999999998</v>
      </c>
      <c r="M401">
        <v>52</v>
      </c>
      <c r="N401" s="11" t="s">
        <v>57</v>
      </c>
      <c r="O401" s="11" t="s">
        <v>75</v>
      </c>
      <c r="P401" s="14">
        <v>44426.259722222225</v>
      </c>
      <c r="Q401" t="s">
        <v>1422</v>
      </c>
    </row>
    <row r="402" spans="1:17">
      <c r="A402" s="8" t="s">
        <v>1423</v>
      </c>
      <c r="B402" s="8">
        <v>97280725</v>
      </c>
      <c r="C402" t="s">
        <v>150</v>
      </c>
      <c r="D402" t="s">
        <v>158</v>
      </c>
      <c r="E402" t="s">
        <v>33</v>
      </c>
      <c r="F402" t="s">
        <v>34</v>
      </c>
      <c r="G402" t="s">
        <v>523</v>
      </c>
      <c r="H402" t="s">
        <v>68</v>
      </c>
      <c r="I402" t="s">
        <v>93</v>
      </c>
      <c r="J402" t="s">
        <v>38</v>
      </c>
      <c r="K402" t="s">
        <v>69</v>
      </c>
      <c r="L402">
        <v>5611.51</v>
      </c>
      <c r="M402">
        <v>25</v>
      </c>
      <c r="N402" s="10" t="s">
        <v>39</v>
      </c>
      <c r="O402" s="10" t="s">
        <v>81</v>
      </c>
      <c r="P402" s="13">
        <v>45817.720138888886</v>
      </c>
      <c r="Q402" t="s">
        <v>1424</v>
      </c>
    </row>
    <row r="403" spans="1:17">
      <c r="A403" s="8" t="s">
        <v>1425</v>
      </c>
      <c r="B403" s="8">
        <v>24132859</v>
      </c>
      <c r="C403" t="s">
        <v>334</v>
      </c>
      <c r="D403" t="s">
        <v>1265</v>
      </c>
      <c r="E403" t="s">
        <v>20</v>
      </c>
      <c r="F403" t="s">
        <v>35</v>
      </c>
      <c r="G403" t="s">
        <v>121</v>
      </c>
      <c r="H403" t="s">
        <v>36</v>
      </c>
      <c r="I403" t="s">
        <v>23</v>
      </c>
      <c r="J403" t="s">
        <v>56</v>
      </c>
      <c r="K403" t="s">
        <v>69</v>
      </c>
      <c r="L403">
        <v>1296.48</v>
      </c>
      <c r="M403">
        <v>43</v>
      </c>
      <c r="N403" s="11" t="s">
        <v>86</v>
      </c>
      <c r="O403" s="11" t="s">
        <v>81</v>
      </c>
      <c r="P403" s="14">
        <v>44905.819444444445</v>
      </c>
      <c r="Q403" t="s">
        <v>1426</v>
      </c>
    </row>
    <row r="404" spans="1:17">
      <c r="A404" s="8" t="s">
        <v>1427</v>
      </c>
      <c r="B404" s="8">
        <v>47362868</v>
      </c>
      <c r="C404" t="s">
        <v>281</v>
      </c>
      <c r="D404" t="s">
        <v>1428</v>
      </c>
      <c r="E404" t="s">
        <v>20</v>
      </c>
      <c r="F404" t="s">
        <v>21</v>
      </c>
      <c r="G404" t="s">
        <v>45</v>
      </c>
      <c r="H404" t="s">
        <v>24</v>
      </c>
      <c r="I404" t="s">
        <v>62</v>
      </c>
      <c r="J404" t="s">
        <v>103</v>
      </c>
      <c r="K404" t="s">
        <v>26</v>
      </c>
      <c r="L404">
        <v>14678.63</v>
      </c>
      <c r="M404">
        <v>51</v>
      </c>
      <c r="N404" s="10" t="s">
        <v>47</v>
      </c>
      <c r="O404" s="10" t="s">
        <v>28</v>
      </c>
      <c r="P404" s="13">
        <v>44040.959027777775</v>
      </c>
      <c r="Q404" t="s">
        <v>1429</v>
      </c>
    </row>
    <row r="405" spans="1:17">
      <c r="A405" s="8" t="s">
        <v>1430</v>
      </c>
      <c r="B405" s="8">
        <v>50042087</v>
      </c>
      <c r="C405" t="s">
        <v>1290</v>
      </c>
      <c r="D405" t="s">
        <v>401</v>
      </c>
      <c r="E405" t="s">
        <v>20</v>
      </c>
      <c r="F405" t="s">
        <v>121</v>
      </c>
      <c r="G405" t="s">
        <v>180</v>
      </c>
      <c r="H405" t="s">
        <v>23</v>
      </c>
      <c r="I405" t="s">
        <v>23</v>
      </c>
      <c r="J405" t="s">
        <v>103</v>
      </c>
      <c r="K405" t="s">
        <v>26</v>
      </c>
      <c r="L405">
        <v>2987.09</v>
      </c>
      <c r="M405">
        <v>24</v>
      </c>
      <c r="N405" s="11" t="s">
        <v>39</v>
      </c>
      <c r="O405" s="11" t="s">
        <v>81</v>
      </c>
      <c r="P405" s="14">
        <v>43956.304861111108</v>
      </c>
      <c r="Q405" t="s">
        <v>1431</v>
      </c>
    </row>
    <row r="406" spans="1:17">
      <c r="A406" s="8" t="s">
        <v>1432</v>
      </c>
      <c r="B406" s="8">
        <v>85283856</v>
      </c>
      <c r="C406" t="s">
        <v>1433</v>
      </c>
      <c r="D406" t="s">
        <v>1130</v>
      </c>
      <c r="E406" t="s">
        <v>20</v>
      </c>
      <c r="F406" t="s">
        <v>45</v>
      </c>
      <c r="G406" t="s">
        <v>116</v>
      </c>
      <c r="H406" t="s">
        <v>93</v>
      </c>
      <c r="I406" t="s">
        <v>36</v>
      </c>
      <c r="J406" t="s">
        <v>38</v>
      </c>
      <c r="K406" t="s">
        <v>46</v>
      </c>
      <c r="L406">
        <v>4754.5600000000004</v>
      </c>
      <c r="M406">
        <v>85</v>
      </c>
      <c r="N406" s="10" t="s">
        <v>47</v>
      </c>
      <c r="O406" s="10" t="s">
        <v>81</v>
      </c>
      <c r="P406" s="13">
        <v>44322.070833333331</v>
      </c>
      <c r="Q406" t="s">
        <v>1434</v>
      </c>
    </row>
    <row r="407" spans="1:17">
      <c r="A407" s="8" t="s">
        <v>1435</v>
      </c>
      <c r="B407" s="8">
        <v>26873477</v>
      </c>
      <c r="C407" t="s">
        <v>1079</v>
      </c>
      <c r="D407" t="s">
        <v>1436</v>
      </c>
      <c r="E407" t="s">
        <v>20</v>
      </c>
      <c r="F407" t="s">
        <v>121</v>
      </c>
      <c r="G407" t="s">
        <v>22</v>
      </c>
      <c r="H407" t="s">
        <v>62</v>
      </c>
      <c r="I407" t="s">
        <v>37</v>
      </c>
      <c r="J407" t="s">
        <v>103</v>
      </c>
      <c r="K407" t="s">
        <v>26</v>
      </c>
      <c r="L407">
        <v>14286.13</v>
      </c>
      <c r="M407">
        <v>75</v>
      </c>
      <c r="N407" s="11" t="s">
        <v>27</v>
      </c>
      <c r="O407" s="11" t="s">
        <v>28</v>
      </c>
      <c r="P407" s="14">
        <v>44800.275694444441</v>
      </c>
      <c r="Q407" t="s">
        <v>1437</v>
      </c>
    </row>
    <row r="408" spans="1:17">
      <c r="A408" s="8" t="s">
        <v>1438</v>
      </c>
      <c r="B408" s="8">
        <v>65573350</v>
      </c>
      <c r="C408" t="s">
        <v>163</v>
      </c>
      <c r="D408" t="s">
        <v>18</v>
      </c>
      <c r="E408" t="s">
        <v>20</v>
      </c>
      <c r="F408" t="s">
        <v>98</v>
      </c>
      <c r="G408" t="s">
        <v>34</v>
      </c>
      <c r="H408" t="s">
        <v>127</v>
      </c>
      <c r="I408" t="s">
        <v>68</v>
      </c>
      <c r="J408" t="s">
        <v>38</v>
      </c>
      <c r="K408" t="s">
        <v>26</v>
      </c>
      <c r="L408">
        <v>5729.63</v>
      </c>
      <c r="M408">
        <v>46</v>
      </c>
      <c r="N408" s="10" t="s">
        <v>39</v>
      </c>
      <c r="O408" s="10" t="s">
        <v>75</v>
      </c>
      <c r="P408" s="13">
        <v>44411.37777777778</v>
      </c>
      <c r="Q408" t="s">
        <v>1439</v>
      </c>
    </row>
    <row r="409" spans="1:17">
      <c r="A409" s="8" t="s">
        <v>1440</v>
      </c>
      <c r="B409" s="8">
        <v>93728466</v>
      </c>
      <c r="C409" t="s">
        <v>1300</v>
      </c>
      <c r="D409" t="s">
        <v>1441</v>
      </c>
      <c r="E409" t="s">
        <v>20</v>
      </c>
      <c r="F409" t="s">
        <v>116</v>
      </c>
      <c r="G409" t="s">
        <v>80</v>
      </c>
      <c r="H409" t="s">
        <v>54</v>
      </c>
      <c r="I409" t="s">
        <v>62</v>
      </c>
      <c r="J409" t="s">
        <v>38</v>
      </c>
      <c r="K409" t="s">
        <v>26</v>
      </c>
      <c r="L409">
        <v>12846.58</v>
      </c>
      <c r="M409">
        <v>53</v>
      </c>
      <c r="N409" s="11" t="s">
        <v>86</v>
      </c>
      <c r="O409" s="11" t="s">
        <v>75</v>
      </c>
      <c r="P409" s="14">
        <v>46136.416666666664</v>
      </c>
      <c r="Q409" t="s">
        <v>1442</v>
      </c>
    </row>
    <row r="410" spans="1:17">
      <c r="A410" s="8" t="s">
        <v>1443</v>
      </c>
      <c r="B410" s="8">
        <v>48064741</v>
      </c>
      <c r="C410" t="s">
        <v>1444</v>
      </c>
      <c r="D410" t="s">
        <v>1445</v>
      </c>
      <c r="E410" t="s">
        <v>20</v>
      </c>
      <c r="F410" t="s">
        <v>92</v>
      </c>
      <c r="G410" t="s">
        <v>45</v>
      </c>
      <c r="H410" t="s">
        <v>36</v>
      </c>
      <c r="I410" t="s">
        <v>62</v>
      </c>
      <c r="J410" t="s">
        <v>103</v>
      </c>
      <c r="K410" t="s">
        <v>63</v>
      </c>
      <c r="L410">
        <v>12302.32</v>
      </c>
      <c r="M410">
        <v>38</v>
      </c>
      <c r="N410" s="10" t="s">
        <v>27</v>
      </c>
      <c r="O410" s="10" t="s">
        <v>75</v>
      </c>
      <c r="P410" s="13">
        <v>45042.079861111109</v>
      </c>
      <c r="Q410" t="s">
        <v>1446</v>
      </c>
    </row>
    <row r="411" spans="1:17">
      <c r="A411" s="8" t="s">
        <v>1447</v>
      </c>
      <c r="B411" s="8">
        <v>87558199</v>
      </c>
      <c r="C411" t="s">
        <v>146</v>
      </c>
      <c r="D411" t="s">
        <v>18</v>
      </c>
      <c r="E411" t="s">
        <v>20</v>
      </c>
      <c r="F411" t="s">
        <v>21</v>
      </c>
      <c r="G411" t="s">
        <v>92</v>
      </c>
      <c r="H411" t="s">
        <v>36</v>
      </c>
      <c r="I411" t="s">
        <v>93</v>
      </c>
      <c r="J411" t="s">
        <v>38</v>
      </c>
      <c r="K411" t="s">
        <v>69</v>
      </c>
      <c r="L411">
        <v>9475.2999999999993</v>
      </c>
      <c r="M411">
        <v>53</v>
      </c>
      <c r="N411" s="11" t="s">
        <v>39</v>
      </c>
      <c r="O411" s="11" t="s">
        <v>75</v>
      </c>
      <c r="P411" s="14">
        <v>44060.012499999997</v>
      </c>
      <c r="Q411" t="s">
        <v>1448</v>
      </c>
    </row>
    <row r="412" spans="1:17">
      <c r="A412" s="8" t="s">
        <v>1449</v>
      </c>
      <c r="B412" s="8">
        <v>82970485</v>
      </c>
      <c r="C412" t="s">
        <v>950</v>
      </c>
      <c r="D412" t="s">
        <v>207</v>
      </c>
      <c r="E412" t="s">
        <v>20</v>
      </c>
      <c r="F412" t="s">
        <v>22</v>
      </c>
      <c r="G412" t="s">
        <v>21</v>
      </c>
      <c r="H412" t="s">
        <v>36</v>
      </c>
      <c r="I412" t="s">
        <v>24</v>
      </c>
      <c r="J412" t="s">
        <v>74</v>
      </c>
      <c r="K412" t="s">
        <v>69</v>
      </c>
      <c r="L412">
        <v>2915.5</v>
      </c>
      <c r="M412">
        <v>27</v>
      </c>
      <c r="N412" s="10" t="s">
        <v>47</v>
      </c>
      <c r="O412" s="10" t="s">
        <v>81</v>
      </c>
      <c r="P412" s="13">
        <v>44019.055555555555</v>
      </c>
      <c r="Q412" t="s">
        <v>1450</v>
      </c>
    </row>
    <row r="413" spans="1:17">
      <c r="A413" s="8" t="s">
        <v>1451</v>
      </c>
      <c r="B413" s="8">
        <v>71623079</v>
      </c>
      <c r="C413" t="s">
        <v>1452</v>
      </c>
      <c r="D413" t="s">
        <v>768</v>
      </c>
      <c r="E413" t="s">
        <v>33</v>
      </c>
      <c r="F413" t="s">
        <v>53</v>
      </c>
      <c r="G413" t="s">
        <v>523</v>
      </c>
      <c r="H413" t="s">
        <v>93</v>
      </c>
      <c r="I413" t="s">
        <v>55</v>
      </c>
      <c r="J413" t="s">
        <v>56</v>
      </c>
      <c r="K413" t="s">
        <v>69</v>
      </c>
      <c r="L413">
        <v>6212.04</v>
      </c>
      <c r="M413">
        <v>41</v>
      </c>
      <c r="N413" s="11" t="s">
        <v>39</v>
      </c>
      <c r="O413" s="11" t="s">
        <v>28</v>
      </c>
      <c r="P413" s="14">
        <v>45888.806944444441</v>
      </c>
      <c r="Q413" t="s">
        <v>1453</v>
      </c>
    </row>
    <row r="414" spans="1:17">
      <c r="A414" s="8" t="s">
        <v>1454</v>
      </c>
      <c r="B414" s="8">
        <v>33981630</v>
      </c>
      <c r="C414" t="s">
        <v>1287</v>
      </c>
      <c r="D414" t="s">
        <v>1455</v>
      </c>
      <c r="E414" t="s">
        <v>20</v>
      </c>
      <c r="F414" t="s">
        <v>35</v>
      </c>
      <c r="G414" t="s">
        <v>34</v>
      </c>
      <c r="H414" t="s">
        <v>93</v>
      </c>
      <c r="I414" t="s">
        <v>55</v>
      </c>
      <c r="J414" t="s">
        <v>38</v>
      </c>
      <c r="K414" t="s">
        <v>69</v>
      </c>
      <c r="L414">
        <v>13899.48</v>
      </c>
      <c r="M414">
        <v>81</v>
      </c>
      <c r="N414" s="10" t="s">
        <v>47</v>
      </c>
      <c r="O414" s="10" t="s">
        <v>28</v>
      </c>
      <c r="P414" s="13">
        <v>44332.849305555559</v>
      </c>
      <c r="Q414" t="s">
        <v>1456</v>
      </c>
    </row>
    <row r="415" spans="1:17">
      <c r="A415" s="8" t="s">
        <v>1457</v>
      </c>
      <c r="B415" s="8">
        <v>21199497</v>
      </c>
      <c r="C415" t="s">
        <v>1458</v>
      </c>
      <c r="D415" t="s">
        <v>405</v>
      </c>
      <c r="E415" t="s">
        <v>20</v>
      </c>
      <c r="F415" t="s">
        <v>121</v>
      </c>
      <c r="G415" t="s">
        <v>35</v>
      </c>
      <c r="H415" t="s">
        <v>127</v>
      </c>
      <c r="I415" t="s">
        <v>55</v>
      </c>
      <c r="J415" t="s">
        <v>38</v>
      </c>
      <c r="K415" t="s">
        <v>26</v>
      </c>
      <c r="L415">
        <v>13836</v>
      </c>
      <c r="M415">
        <v>66</v>
      </c>
      <c r="N415" s="11" t="s">
        <v>57</v>
      </c>
      <c r="O415" s="11" t="s">
        <v>48</v>
      </c>
      <c r="P415" s="14">
        <v>45963.132638888892</v>
      </c>
      <c r="Q415" t="s">
        <v>1459</v>
      </c>
    </row>
    <row r="416" spans="1:17">
      <c r="A416" s="8" t="s">
        <v>1460</v>
      </c>
      <c r="B416" s="8">
        <v>37626276</v>
      </c>
      <c r="C416" t="s">
        <v>1461</v>
      </c>
      <c r="D416" t="s">
        <v>1462</v>
      </c>
      <c r="E416" t="s">
        <v>20</v>
      </c>
      <c r="F416" t="s">
        <v>116</v>
      </c>
      <c r="G416" t="s">
        <v>22</v>
      </c>
      <c r="H416" t="s">
        <v>23</v>
      </c>
      <c r="I416" t="s">
        <v>24</v>
      </c>
      <c r="J416" t="s">
        <v>103</v>
      </c>
      <c r="K416" t="s">
        <v>69</v>
      </c>
      <c r="L416">
        <v>13469.44</v>
      </c>
      <c r="M416">
        <v>53</v>
      </c>
      <c r="N416" s="10" t="s">
        <v>86</v>
      </c>
      <c r="O416" s="10" t="s">
        <v>81</v>
      </c>
      <c r="P416" s="13">
        <v>43879.888194444444</v>
      </c>
      <c r="Q416" t="s">
        <v>1463</v>
      </c>
    </row>
    <row r="417" spans="1:17">
      <c r="A417" s="8" t="s">
        <v>1464</v>
      </c>
      <c r="B417" s="8">
        <v>63459816</v>
      </c>
      <c r="C417" t="s">
        <v>1465</v>
      </c>
      <c r="D417" t="s">
        <v>536</v>
      </c>
      <c r="E417" t="s">
        <v>33</v>
      </c>
      <c r="F417" t="s">
        <v>21</v>
      </c>
      <c r="G417" t="s">
        <v>34</v>
      </c>
      <c r="H417" t="s">
        <v>24</v>
      </c>
      <c r="I417" t="s">
        <v>93</v>
      </c>
      <c r="J417" t="s">
        <v>25</v>
      </c>
      <c r="K417" t="s">
        <v>69</v>
      </c>
      <c r="L417">
        <v>10327.5</v>
      </c>
      <c r="M417">
        <v>41</v>
      </c>
      <c r="N417" s="11" t="s">
        <v>57</v>
      </c>
      <c r="O417" s="11" t="s">
        <v>48</v>
      </c>
      <c r="P417" s="14">
        <v>44519.708333333336</v>
      </c>
      <c r="Q417" t="s">
        <v>1466</v>
      </c>
    </row>
    <row r="418" spans="1:17">
      <c r="A418" s="8" t="s">
        <v>1467</v>
      </c>
      <c r="B418" s="8">
        <v>85290602</v>
      </c>
      <c r="C418" t="s">
        <v>1468</v>
      </c>
      <c r="D418" t="s">
        <v>1469</v>
      </c>
      <c r="E418" t="s">
        <v>20</v>
      </c>
      <c r="F418" t="s">
        <v>45</v>
      </c>
      <c r="G418" t="s">
        <v>35</v>
      </c>
      <c r="H418" t="s">
        <v>36</v>
      </c>
      <c r="I418" t="s">
        <v>24</v>
      </c>
      <c r="J418" t="s">
        <v>74</v>
      </c>
      <c r="K418" t="s">
        <v>26</v>
      </c>
      <c r="L418">
        <v>754.4</v>
      </c>
      <c r="M418">
        <v>40</v>
      </c>
      <c r="N418" s="10" t="s">
        <v>39</v>
      </c>
      <c r="O418" s="10" t="s">
        <v>81</v>
      </c>
      <c r="P418" s="13">
        <v>44217.015972222223</v>
      </c>
      <c r="Q418" t="s">
        <v>1470</v>
      </c>
    </row>
    <row r="419" spans="1:17">
      <c r="A419" s="8" t="s">
        <v>1471</v>
      </c>
      <c r="B419" s="8">
        <v>12393947</v>
      </c>
      <c r="C419" t="s">
        <v>1472</v>
      </c>
      <c r="D419" t="s">
        <v>1473</v>
      </c>
      <c r="E419" t="s">
        <v>20</v>
      </c>
      <c r="F419" t="s">
        <v>44</v>
      </c>
      <c r="G419" t="s">
        <v>176</v>
      </c>
      <c r="H419" t="s">
        <v>55</v>
      </c>
      <c r="I419" t="s">
        <v>55</v>
      </c>
      <c r="J419" t="s">
        <v>103</v>
      </c>
      <c r="K419" t="s">
        <v>46</v>
      </c>
      <c r="L419">
        <v>253.92</v>
      </c>
      <c r="M419">
        <v>79</v>
      </c>
      <c r="N419" s="11" t="s">
        <v>39</v>
      </c>
      <c r="O419" s="11" t="s">
        <v>28</v>
      </c>
      <c r="P419" s="14">
        <v>44800.565972222219</v>
      </c>
      <c r="Q419" t="s">
        <v>1474</v>
      </c>
    </row>
    <row r="420" spans="1:17">
      <c r="A420" s="8" t="s">
        <v>1475</v>
      </c>
      <c r="B420" s="8">
        <v>62791522</v>
      </c>
      <c r="C420" t="s">
        <v>1131</v>
      </c>
      <c r="D420" t="s">
        <v>1476</v>
      </c>
      <c r="E420" t="s">
        <v>20</v>
      </c>
      <c r="F420" t="s">
        <v>35</v>
      </c>
      <c r="G420" t="s">
        <v>34</v>
      </c>
      <c r="H420" t="s">
        <v>37</v>
      </c>
      <c r="I420" t="s">
        <v>36</v>
      </c>
      <c r="J420" t="s">
        <v>103</v>
      </c>
      <c r="K420" t="s">
        <v>46</v>
      </c>
      <c r="L420">
        <v>10866.56</v>
      </c>
      <c r="M420">
        <v>54</v>
      </c>
      <c r="N420" s="10" t="s">
        <v>47</v>
      </c>
      <c r="O420" s="10" t="s">
        <v>48</v>
      </c>
      <c r="P420" s="13">
        <v>44836.173611111109</v>
      </c>
      <c r="Q420" t="s">
        <v>1477</v>
      </c>
    </row>
    <row r="421" spans="1:17">
      <c r="A421" s="8" t="s">
        <v>1478</v>
      </c>
      <c r="B421" s="8">
        <v>44854691</v>
      </c>
      <c r="C421" t="s">
        <v>1479</v>
      </c>
      <c r="D421" t="s">
        <v>1480</v>
      </c>
      <c r="E421" t="s">
        <v>33</v>
      </c>
      <c r="F421" t="s">
        <v>53</v>
      </c>
      <c r="G421" t="s">
        <v>35</v>
      </c>
      <c r="H421" t="s">
        <v>55</v>
      </c>
      <c r="I421" t="s">
        <v>127</v>
      </c>
      <c r="J421" t="s">
        <v>74</v>
      </c>
      <c r="K421" t="s">
        <v>63</v>
      </c>
      <c r="L421">
        <v>6915.8</v>
      </c>
      <c r="M421">
        <v>29</v>
      </c>
      <c r="N421" s="11" t="s">
        <v>47</v>
      </c>
      <c r="O421" s="11" t="s">
        <v>75</v>
      </c>
      <c r="P421" s="14">
        <v>46096.999305555553</v>
      </c>
      <c r="Q421" t="s">
        <v>1481</v>
      </c>
    </row>
    <row r="422" spans="1:17">
      <c r="A422" s="8" t="s">
        <v>1482</v>
      </c>
      <c r="B422" s="8">
        <v>74146251</v>
      </c>
      <c r="C422" t="s">
        <v>797</v>
      </c>
      <c r="D422" t="s">
        <v>1483</v>
      </c>
      <c r="E422" t="s">
        <v>20</v>
      </c>
      <c r="F422" t="s">
        <v>44</v>
      </c>
      <c r="G422" t="s">
        <v>121</v>
      </c>
      <c r="H422" t="s">
        <v>68</v>
      </c>
      <c r="I422" t="s">
        <v>37</v>
      </c>
      <c r="J422" t="s">
        <v>74</v>
      </c>
      <c r="K422" t="s">
        <v>46</v>
      </c>
      <c r="L422">
        <v>9710.5400000000009</v>
      </c>
      <c r="M422">
        <v>72</v>
      </c>
      <c r="N422" s="10" t="s">
        <v>47</v>
      </c>
      <c r="O422" s="10" t="s">
        <v>28</v>
      </c>
      <c r="P422" s="13">
        <v>45555.925000000003</v>
      </c>
      <c r="Q422" t="s">
        <v>1484</v>
      </c>
    </row>
    <row r="423" spans="1:17">
      <c r="A423" s="8" t="s">
        <v>1485</v>
      </c>
      <c r="B423" s="8">
        <v>89258668</v>
      </c>
      <c r="C423" t="s">
        <v>174</v>
      </c>
      <c r="D423" t="s">
        <v>843</v>
      </c>
      <c r="E423" t="s">
        <v>20</v>
      </c>
      <c r="F423" t="s">
        <v>53</v>
      </c>
      <c r="G423" t="s">
        <v>22</v>
      </c>
      <c r="H423" t="s">
        <v>55</v>
      </c>
      <c r="I423" t="s">
        <v>24</v>
      </c>
      <c r="J423" t="s">
        <v>103</v>
      </c>
      <c r="K423" t="s">
        <v>26</v>
      </c>
      <c r="L423">
        <v>14626.22</v>
      </c>
      <c r="M423">
        <v>30</v>
      </c>
      <c r="N423" s="11" t="s">
        <v>27</v>
      </c>
      <c r="O423" s="11" t="s">
        <v>48</v>
      </c>
      <c r="P423" s="14">
        <v>45835.640972222223</v>
      </c>
      <c r="Q423" t="s">
        <v>1486</v>
      </c>
    </row>
    <row r="424" spans="1:17">
      <c r="A424" s="8" t="s">
        <v>1487</v>
      </c>
      <c r="B424" s="8">
        <v>24384568</v>
      </c>
      <c r="C424" t="s">
        <v>146</v>
      </c>
      <c r="D424" t="s">
        <v>79</v>
      </c>
      <c r="E424" t="s">
        <v>33</v>
      </c>
      <c r="F424" t="s">
        <v>91</v>
      </c>
      <c r="G424" t="s">
        <v>53</v>
      </c>
      <c r="H424" t="s">
        <v>68</v>
      </c>
      <c r="I424" t="s">
        <v>93</v>
      </c>
      <c r="J424" t="s">
        <v>25</v>
      </c>
      <c r="K424" t="s">
        <v>69</v>
      </c>
      <c r="L424">
        <v>6477.79</v>
      </c>
      <c r="M424">
        <v>40</v>
      </c>
      <c r="N424" s="10" t="s">
        <v>47</v>
      </c>
      <c r="O424" s="10" t="s">
        <v>81</v>
      </c>
      <c r="P424" s="13">
        <v>46133.515972222223</v>
      </c>
      <c r="Q424" t="s">
        <v>1488</v>
      </c>
    </row>
    <row r="425" spans="1:17">
      <c r="A425" s="8" t="s">
        <v>1489</v>
      </c>
      <c r="B425" s="8">
        <v>36029062</v>
      </c>
      <c r="C425" t="s">
        <v>1490</v>
      </c>
      <c r="D425" t="s">
        <v>1409</v>
      </c>
      <c r="E425" t="s">
        <v>20</v>
      </c>
      <c r="F425" t="s">
        <v>98</v>
      </c>
      <c r="G425" t="s">
        <v>116</v>
      </c>
      <c r="H425" t="s">
        <v>62</v>
      </c>
      <c r="I425" t="s">
        <v>93</v>
      </c>
      <c r="J425" t="s">
        <v>74</v>
      </c>
      <c r="K425" t="s">
        <v>69</v>
      </c>
      <c r="L425">
        <v>806.54</v>
      </c>
      <c r="M425">
        <v>47</v>
      </c>
      <c r="N425" s="11" t="s">
        <v>86</v>
      </c>
      <c r="O425" s="11" t="s">
        <v>75</v>
      </c>
      <c r="P425" s="14">
        <v>46114.892361111109</v>
      </c>
      <c r="Q425" t="s">
        <v>1491</v>
      </c>
    </row>
    <row r="426" spans="1:17">
      <c r="A426" s="8" t="s">
        <v>1492</v>
      </c>
      <c r="B426" s="8">
        <v>46006180</v>
      </c>
      <c r="C426" t="s">
        <v>89</v>
      </c>
      <c r="D426" t="s">
        <v>536</v>
      </c>
      <c r="E426" t="s">
        <v>33</v>
      </c>
      <c r="F426" t="s">
        <v>45</v>
      </c>
      <c r="G426" t="s">
        <v>176</v>
      </c>
      <c r="H426" t="s">
        <v>37</v>
      </c>
      <c r="I426" t="s">
        <v>23</v>
      </c>
      <c r="J426" t="s">
        <v>38</v>
      </c>
      <c r="K426" t="s">
        <v>26</v>
      </c>
      <c r="L426">
        <v>11088.97</v>
      </c>
      <c r="M426">
        <v>34</v>
      </c>
      <c r="N426" s="10" t="s">
        <v>47</v>
      </c>
      <c r="O426" s="10" t="s">
        <v>48</v>
      </c>
      <c r="P426" s="13">
        <v>45438.052083333336</v>
      </c>
      <c r="Q426" t="s">
        <v>1493</v>
      </c>
    </row>
    <row r="427" spans="1:17">
      <c r="A427" s="8" t="s">
        <v>1494</v>
      </c>
      <c r="B427" s="8">
        <v>12795332</v>
      </c>
      <c r="C427" t="s">
        <v>300</v>
      </c>
      <c r="D427" t="s">
        <v>1066</v>
      </c>
      <c r="E427" t="s">
        <v>20</v>
      </c>
      <c r="F427" t="s">
        <v>80</v>
      </c>
      <c r="G427" t="s">
        <v>1084</v>
      </c>
      <c r="H427" t="s">
        <v>55</v>
      </c>
      <c r="I427" t="s">
        <v>127</v>
      </c>
      <c r="J427" t="s">
        <v>25</v>
      </c>
      <c r="K427" t="s">
        <v>69</v>
      </c>
      <c r="L427">
        <v>8513.33</v>
      </c>
      <c r="M427">
        <v>79</v>
      </c>
      <c r="N427" s="11" t="s">
        <v>57</v>
      </c>
      <c r="O427" s="11" t="s">
        <v>48</v>
      </c>
      <c r="P427" s="14">
        <v>45620.239583333336</v>
      </c>
      <c r="Q427" t="s">
        <v>1495</v>
      </c>
    </row>
    <row r="428" spans="1:17">
      <c r="A428" s="8" t="s">
        <v>1496</v>
      </c>
      <c r="B428" s="8">
        <v>83244637</v>
      </c>
      <c r="C428" t="s">
        <v>219</v>
      </c>
      <c r="D428" t="s">
        <v>362</v>
      </c>
      <c r="E428" t="s">
        <v>20</v>
      </c>
      <c r="F428" t="s">
        <v>80</v>
      </c>
      <c r="G428" t="s">
        <v>34</v>
      </c>
      <c r="H428" t="s">
        <v>62</v>
      </c>
      <c r="I428" t="s">
        <v>68</v>
      </c>
      <c r="J428" t="s">
        <v>38</v>
      </c>
      <c r="K428" t="s">
        <v>26</v>
      </c>
      <c r="L428">
        <v>1700.29</v>
      </c>
      <c r="M428">
        <v>30</v>
      </c>
      <c r="N428" s="10" t="s">
        <v>27</v>
      </c>
      <c r="O428" s="10" t="s">
        <v>28</v>
      </c>
      <c r="P428" s="13">
        <v>44101.033333333333</v>
      </c>
      <c r="Q428" t="s">
        <v>1497</v>
      </c>
    </row>
    <row r="429" spans="1:17">
      <c r="A429" s="8" t="s">
        <v>1498</v>
      </c>
      <c r="B429" s="8">
        <v>67810328</v>
      </c>
      <c r="C429" t="s">
        <v>1499</v>
      </c>
      <c r="D429" t="s">
        <v>442</v>
      </c>
      <c r="E429" t="s">
        <v>20</v>
      </c>
      <c r="F429" t="s">
        <v>92</v>
      </c>
      <c r="G429" t="s">
        <v>45</v>
      </c>
      <c r="H429" t="s">
        <v>54</v>
      </c>
      <c r="I429" t="s">
        <v>62</v>
      </c>
      <c r="J429" t="s">
        <v>38</v>
      </c>
      <c r="K429" t="s">
        <v>26</v>
      </c>
      <c r="L429">
        <v>3986.99</v>
      </c>
      <c r="M429">
        <v>76</v>
      </c>
      <c r="N429" s="11" t="s">
        <v>57</v>
      </c>
      <c r="O429" s="11" t="s">
        <v>75</v>
      </c>
      <c r="P429" s="14">
        <v>43953.451388888891</v>
      </c>
      <c r="Q429" t="s">
        <v>1500</v>
      </c>
    </row>
    <row r="430" spans="1:17">
      <c r="A430" s="8" t="s">
        <v>1501</v>
      </c>
      <c r="B430" s="8">
        <v>26503581</v>
      </c>
      <c r="C430" t="s">
        <v>146</v>
      </c>
      <c r="D430" t="s">
        <v>396</v>
      </c>
      <c r="E430" t="s">
        <v>20</v>
      </c>
      <c r="F430" t="s">
        <v>34</v>
      </c>
      <c r="G430" t="s">
        <v>53</v>
      </c>
      <c r="H430" t="s">
        <v>24</v>
      </c>
      <c r="I430" t="s">
        <v>55</v>
      </c>
      <c r="J430" t="s">
        <v>38</v>
      </c>
      <c r="K430" t="s">
        <v>69</v>
      </c>
      <c r="L430">
        <v>9360.69</v>
      </c>
      <c r="M430">
        <v>36</v>
      </c>
      <c r="N430" s="10" t="s">
        <v>47</v>
      </c>
      <c r="O430" s="10" t="s">
        <v>75</v>
      </c>
      <c r="P430" s="13">
        <v>45111.112500000003</v>
      </c>
      <c r="Q430" t="s">
        <v>1502</v>
      </c>
    </row>
    <row r="431" spans="1:17">
      <c r="A431" s="8" t="s">
        <v>1503</v>
      </c>
      <c r="B431" s="8">
        <v>51046667</v>
      </c>
      <c r="C431" t="s">
        <v>1504</v>
      </c>
      <c r="D431" t="s">
        <v>1505</v>
      </c>
      <c r="E431" t="s">
        <v>20</v>
      </c>
      <c r="F431" t="s">
        <v>80</v>
      </c>
      <c r="G431" t="s">
        <v>53</v>
      </c>
      <c r="H431" t="s">
        <v>62</v>
      </c>
      <c r="I431" t="s">
        <v>68</v>
      </c>
      <c r="J431" t="s">
        <v>38</v>
      </c>
      <c r="K431" t="s">
        <v>26</v>
      </c>
      <c r="L431">
        <v>14305.74</v>
      </c>
      <c r="M431">
        <v>66</v>
      </c>
      <c r="N431" s="11" t="s">
        <v>57</v>
      </c>
      <c r="O431" s="11" t="s">
        <v>48</v>
      </c>
      <c r="P431" s="14">
        <v>45275.177777777775</v>
      </c>
      <c r="Q431" t="s">
        <v>1506</v>
      </c>
    </row>
    <row r="432" spans="1:17">
      <c r="A432" s="8" t="s">
        <v>1507</v>
      </c>
      <c r="B432" s="8">
        <v>61840367</v>
      </c>
      <c r="C432" t="s">
        <v>847</v>
      </c>
      <c r="D432" t="s">
        <v>1508</v>
      </c>
      <c r="E432" t="s">
        <v>20</v>
      </c>
      <c r="F432" t="s">
        <v>53</v>
      </c>
      <c r="G432" t="s">
        <v>116</v>
      </c>
      <c r="H432" t="s">
        <v>24</v>
      </c>
      <c r="I432" t="s">
        <v>23</v>
      </c>
      <c r="J432" t="s">
        <v>38</v>
      </c>
      <c r="K432" t="s">
        <v>26</v>
      </c>
      <c r="L432">
        <v>3757.81</v>
      </c>
      <c r="M432">
        <v>29</v>
      </c>
      <c r="N432" s="10" t="s">
        <v>39</v>
      </c>
      <c r="O432" s="10" t="s">
        <v>48</v>
      </c>
      <c r="P432" s="13">
        <v>44089.901388888888</v>
      </c>
      <c r="Q432" t="s">
        <v>1509</v>
      </c>
    </row>
    <row r="433" spans="1:17">
      <c r="A433" s="8" t="s">
        <v>1510</v>
      </c>
      <c r="B433" s="8">
        <v>22890579</v>
      </c>
      <c r="C433" t="s">
        <v>408</v>
      </c>
      <c r="D433" t="s">
        <v>1511</v>
      </c>
      <c r="E433" t="s">
        <v>20</v>
      </c>
      <c r="F433" t="s">
        <v>45</v>
      </c>
      <c r="G433" t="s">
        <v>22</v>
      </c>
      <c r="H433" t="s">
        <v>55</v>
      </c>
      <c r="I433" t="s">
        <v>55</v>
      </c>
      <c r="J433" t="s">
        <v>38</v>
      </c>
      <c r="K433" t="s">
        <v>69</v>
      </c>
      <c r="L433">
        <v>14362.8</v>
      </c>
      <c r="M433">
        <v>78</v>
      </c>
      <c r="N433" s="11" t="s">
        <v>39</v>
      </c>
      <c r="O433" s="11" t="s">
        <v>28</v>
      </c>
      <c r="P433" s="14">
        <v>44778.393750000003</v>
      </c>
      <c r="Q433" t="s">
        <v>1512</v>
      </c>
    </row>
    <row r="434" spans="1:17">
      <c r="A434" s="8" t="s">
        <v>1513</v>
      </c>
      <c r="B434" s="8">
        <v>49371856</v>
      </c>
      <c r="C434" t="s">
        <v>1514</v>
      </c>
      <c r="D434" t="s">
        <v>90</v>
      </c>
      <c r="E434" t="s">
        <v>20</v>
      </c>
      <c r="F434" t="s">
        <v>45</v>
      </c>
      <c r="G434" t="s">
        <v>80</v>
      </c>
      <c r="H434" t="s">
        <v>23</v>
      </c>
      <c r="I434" t="s">
        <v>127</v>
      </c>
      <c r="J434" t="s">
        <v>103</v>
      </c>
      <c r="K434" t="s">
        <v>46</v>
      </c>
      <c r="L434">
        <v>1614.66</v>
      </c>
      <c r="M434">
        <v>36</v>
      </c>
      <c r="N434" s="10" t="s">
        <v>27</v>
      </c>
      <c r="O434" s="10" t="s">
        <v>28</v>
      </c>
      <c r="P434" s="13">
        <v>45925.418055555558</v>
      </c>
      <c r="Q434" t="s">
        <v>1515</v>
      </c>
    </row>
    <row r="435" spans="1:17">
      <c r="A435" s="8" t="s">
        <v>1516</v>
      </c>
      <c r="B435" s="8">
        <v>37523284</v>
      </c>
      <c r="C435" t="s">
        <v>1033</v>
      </c>
      <c r="D435" t="s">
        <v>682</v>
      </c>
      <c r="E435" t="s">
        <v>20</v>
      </c>
      <c r="F435" t="s">
        <v>21</v>
      </c>
      <c r="G435" t="s">
        <v>121</v>
      </c>
      <c r="H435" t="s">
        <v>62</v>
      </c>
      <c r="I435" t="s">
        <v>23</v>
      </c>
      <c r="J435" t="s">
        <v>25</v>
      </c>
      <c r="K435" t="s">
        <v>26</v>
      </c>
      <c r="L435">
        <v>9358.7199999999993</v>
      </c>
      <c r="M435">
        <v>26</v>
      </c>
      <c r="N435" s="11" t="s">
        <v>47</v>
      </c>
      <c r="O435" s="11" t="s">
        <v>28</v>
      </c>
      <c r="P435" s="14">
        <v>44693.79791666667</v>
      </c>
      <c r="Q435" t="s">
        <v>1517</v>
      </c>
    </row>
    <row r="436" spans="1:17">
      <c r="A436" s="8" t="s">
        <v>1518</v>
      </c>
      <c r="B436" s="8">
        <v>69567958</v>
      </c>
      <c r="C436" t="s">
        <v>1519</v>
      </c>
      <c r="D436" t="s">
        <v>633</v>
      </c>
      <c r="E436" t="s">
        <v>20</v>
      </c>
      <c r="F436" t="s">
        <v>44</v>
      </c>
      <c r="G436" t="s">
        <v>21</v>
      </c>
      <c r="H436" t="s">
        <v>37</v>
      </c>
      <c r="I436" t="s">
        <v>55</v>
      </c>
      <c r="J436" t="s">
        <v>38</v>
      </c>
      <c r="K436" t="s">
        <v>63</v>
      </c>
      <c r="L436">
        <v>1856.72</v>
      </c>
      <c r="M436">
        <v>45</v>
      </c>
      <c r="N436" s="10" t="s">
        <v>47</v>
      </c>
      <c r="O436" s="10" t="s">
        <v>28</v>
      </c>
      <c r="P436" s="13">
        <v>44355.384027777778</v>
      </c>
      <c r="Q436" t="s">
        <v>1520</v>
      </c>
    </row>
    <row r="437" spans="1:17">
      <c r="A437" s="8" t="s">
        <v>1521</v>
      </c>
      <c r="B437" s="8">
        <v>48849191</v>
      </c>
      <c r="C437" t="s">
        <v>1036</v>
      </c>
      <c r="D437" t="s">
        <v>1013</v>
      </c>
      <c r="E437" t="s">
        <v>20</v>
      </c>
      <c r="F437" t="s">
        <v>53</v>
      </c>
      <c r="G437" t="s">
        <v>92</v>
      </c>
      <c r="H437" t="s">
        <v>55</v>
      </c>
      <c r="I437" t="s">
        <v>127</v>
      </c>
      <c r="J437" t="s">
        <v>103</v>
      </c>
      <c r="K437" t="s">
        <v>26</v>
      </c>
      <c r="L437">
        <v>1810.7</v>
      </c>
      <c r="M437">
        <v>69</v>
      </c>
      <c r="N437" s="11" t="s">
        <v>39</v>
      </c>
      <c r="O437" s="11" t="s">
        <v>28</v>
      </c>
      <c r="P437" s="14">
        <v>44718.490277777775</v>
      </c>
      <c r="Q437" t="s">
        <v>1522</v>
      </c>
    </row>
    <row r="438" spans="1:17">
      <c r="A438" s="8" t="s">
        <v>1523</v>
      </c>
      <c r="B438" s="8">
        <v>71518719</v>
      </c>
      <c r="C438" t="s">
        <v>1524</v>
      </c>
      <c r="D438" t="s">
        <v>1525</v>
      </c>
      <c r="E438" t="s">
        <v>20</v>
      </c>
      <c r="F438" t="s">
        <v>98</v>
      </c>
      <c r="G438" t="s">
        <v>121</v>
      </c>
      <c r="H438" t="s">
        <v>36</v>
      </c>
      <c r="I438" t="s">
        <v>54</v>
      </c>
      <c r="J438" t="s">
        <v>103</v>
      </c>
      <c r="K438" t="s">
        <v>46</v>
      </c>
      <c r="L438">
        <v>10790.94</v>
      </c>
      <c r="M438">
        <v>33</v>
      </c>
      <c r="N438" s="10" t="s">
        <v>57</v>
      </c>
      <c r="O438" s="10" t="s">
        <v>81</v>
      </c>
      <c r="P438" s="13">
        <v>44038.395138888889</v>
      </c>
      <c r="Q438" t="s">
        <v>1526</v>
      </c>
    </row>
    <row r="439" spans="1:17">
      <c r="A439" s="8" t="s">
        <v>1527</v>
      </c>
      <c r="B439" s="8">
        <v>73317523</v>
      </c>
      <c r="C439" t="s">
        <v>1164</v>
      </c>
      <c r="D439" t="s">
        <v>1265</v>
      </c>
      <c r="E439" t="s">
        <v>20</v>
      </c>
      <c r="F439" t="s">
        <v>98</v>
      </c>
      <c r="G439" t="s">
        <v>45</v>
      </c>
      <c r="H439" t="s">
        <v>93</v>
      </c>
      <c r="I439" t="s">
        <v>68</v>
      </c>
      <c r="J439" t="s">
        <v>38</v>
      </c>
      <c r="K439" t="s">
        <v>26</v>
      </c>
      <c r="L439">
        <v>1022.87</v>
      </c>
      <c r="M439">
        <v>29</v>
      </c>
      <c r="N439" s="11" t="s">
        <v>86</v>
      </c>
      <c r="O439" s="11" t="s">
        <v>48</v>
      </c>
      <c r="P439" s="14">
        <v>43979.396527777775</v>
      </c>
      <c r="Q439" t="s">
        <v>1528</v>
      </c>
    </row>
    <row r="440" spans="1:17">
      <c r="A440" s="8" t="s">
        <v>1529</v>
      </c>
      <c r="B440" s="8">
        <v>41758221</v>
      </c>
      <c r="C440" t="s">
        <v>1530</v>
      </c>
      <c r="D440" t="s">
        <v>1531</v>
      </c>
      <c r="E440" t="s">
        <v>20</v>
      </c>
      <c r="F440" t="s">
        <v>92</v>
      </c>
      <c r="G440" t="s">
        <v>92</v>
      </c>
      <c r="H440" t="s">
        <v>62</v>
      </c>
      <c r="I440" t="s">
        <v>68</v>
      </c>
      <c r="J440" t="s">
        <v>56</v>
      </c>
      <c r="K440" t="s">
        <v>69</v>
      </c>
      <c r="L440">
        <v>9101.93</v>
      </c>
      <c r="M440">
        <v>42</v>
      </c>
      <c r="N440" s="10" t="s">
        <v>86</v>
      </c>
      <c r="O440" s="10" t="s">
        <v>48</v>
      </c>
      <c r="P440" s="13">
        <v>44268.75</v>
      </c>
      <c r="Q440" t="s">
        <v>1532</v>
      </c>
    </row>
    <row r="441" spans="1:17">
      <c r="A441" s="8" t="s">
        <v>1533</v>
      </c>
      <c r="B441" s="8">
        <v>48398260</v>
      </c>
      <c r="C441" t="s">
        <v>1534</v>
      </c>
      <c r="D441" t="s">
        <v>1535</v>
      </c>
      <c r="E441" t="s">
        <v>20</v>
      </c>
      <c r="F441" t="s">
        <v>98</v>
      </c>
      <c r="G441" t="s">
        <v>121</v>
      </c>
      <c r="H441" t="s">
        <v>37</v>
      </c>
      <c r="I441" t="s">
        <v>62</v>
      </c>
      <c r="J441" t="s">
        <v>74</v>
      </c>
      <c r="K441" t="s">
        <v>69</v>
      </c>
      <c r="L441">
        <v>5399.82</v>
      </c>
      <c r="M441">
        <v>69</v>
      </c>
      <c r="N441" s="11" t="s">
        <v>39</v>
      </c>
      <c r="O441" s="11" t="s">
        <v>28</v>
      </c>
      <c r="P441" s="14">
        <v>46033.997916666667</v>
      </c>
      <c r="Q441" t="s">
        <v>1536</v>
      </c>
    </row>
    <row r="442" spans="1:17">
      <c r="A442" s="8" t="s">
        <v>1537</v>
      </c>
      <c r="B442" s="8">
        <v>73583349</v>
      </c>
      <c r="C442" t="s">
        <v>517</v>
      </c>
      <c r="D442" t="s">
        <v>822</v>
      </c>
      <c r="E442" t="s">
        <v>20</v>
      </c>
      <c r="F442" t="s">
        <v>21</v>
      </c>
      <c r="G442" t="s">
        <v>35</v>
      </c>
      <c r="H442" t="s">
        <v>54</v>
      </c>
      <c r="I442" t="s">
        <v>127</v>
      </c>
      <c r="J442" t="s">
        <v>38</v>
      </c>
      <c r="K442" t="s">
        <v>69</v>
      </c>
      <c r="L442">
        <v>1522.69</v>
      </c>
      <c r="M442">
        <v>70</v>
      </c>
      <c r="N442" s="10" t="s">
        <v>39</v>
      </c>
      <c r="O442" s="10" t="s">
        <v>48</v>
      </c>
      <c r="P442" s="13">
        <v>45552.375694444447</v>
      </c>
      <c r="Q442" t="s">
        <v>1538</v>
      </c>
    </row>
    <row r="443" spans="1:17">
      <c r="A443" s="8" t="s">
        <v>1539</v>
      </c>
      <c r="B443" s="8">
        <v>19120472</v>
      </c>
      <c r="C443" t="s">
        <v>365</v>
      </c>
      <c r="D443" t="s">
        <v>1540</v>
      </c>
      <c r="E443" t="s">
        <v>20</v>
      </c>
      <c r="F443" t="s">
        <v>116</v>
      </c>
      <c r="G443" t="s">
        <v>121</v>
      </c>
      <c r="H443" t="s">
        <v>36</v>
      </c>
      <c r="I443" t="s">
        <v>24</v>
      </c>
      <c r="J443" t="s">
        <v>38</v>
      </c>
      <c r="K443" t="s">
        <v>69</v>
      </c>
      <c r="L443">
        <v>8745.76</v>
      </c>
      <c r="M443">
        <v>40</v>
      </c>
      <c r="N443" s="11" t="s">
        <v>57</v>
      </c>
      <c r="O443" s="11" t="s">
        <v>28</v>
      </c>
      <c r="P443" s="14">
        <v>44188.686805555553</v>
      </c>
      <c r="Q443" t="s">
        <v>1541</v>
      </c>
    </row>
    <row r="444" spans="1:17">
      <c r="A444" s="8" t="s">
        <v>1542</v>
      </c>
      <c r="B444" s="8">
        <v>99031467</v>
      </c>
      <c r="C444" t="s">
        <v>1159</v>
      </c>
      <c r="D444" t="s">
        <v>1408</v>
      </c>
      <c r="E444" t="s">
        <v>20</v>
      </c>
      <c r="F444" t="s">
        <v>116</v>
      </c>
      <c r="G444" t="s">
        <v>1084</v>
      </c>
      <c r="H444" t="s">
        <v>54</v>
      </c>
      <c r="I444" t="s">
        <v>54</v>
      </c>
      <c r="J444" t="s">
        <v>38</v>
      </c>
      <c r="K444" t="s">
        <v>46</v>
      </c>
      <c r="L444">
        <v>9190.3700000000008</v>
      </c>
      <c r="M444">
        <v>33</v>
      </c>
      <c r="N444" s="10" t="s">
        <v>86</v>
      </c>
      <c r="O444" s="10" t="s">
        <v>81</v>
      </c>
      <c r="P444" s="13">
        <v>45071.984722222223</v>
      </c>
      <c r="Q444" t="s">
        <v>1543</v>
      </c>
    </row>
    <row r="445" spans="1:17">
      <c r="A445" s="8" t="s">
        <v>1544</v>
      </c>
      <c r="B445" s="8">
        <v>40568777</v>
      </c>
      <c r="C445" t="s">
        <v>1545</v>
      </c>
      <c r="D445" t="s">
        <v>671</v>
      </c>
      <c r="E445" t="s">
        <v>20</v>
      </c>
      <c r="F445" t="s">
        <v>121</v>
      </c>
      <c r="G445" t="s">
        <v>98</v>
      </c>
      <c r="H445" t="s">
        <v>55</v>
      </c>
      <c r="I445" t="s">
        <v>36</v>
      </c>
      <c r="J445" t="s">
        <v>56</v>
      </c>
      <c r="K445" t="s">
        <v>26</v>
      </c>
      <c r="L445">
        <v>10434.65</v>
      </c>
      <c r="M445">
        <v>74</v>
      </c>
      <c r="N445" s="11" t="s">
        <v>39</v>
      </c>
      <c r="O445" s="11" t="s">
        <v>81</v>
      </c>
      <c r="P445" s="14">
        <v>45761.285416666666</v>
      </c>
      <c r="Q445" t="s">
        <v>1546</v>
      </c>
    </row>
    <row r="446" spans="1:17">
      <c r="A446" s="8" t="s">
        <v>1547</v>
      </c>
      <c r="B446" s="8">
        <v>41966664</v>
      </c>
      <c r="C446" t="s">
        <v>1548</v>
      </c>
      <c r="D446" t="s">
        <v>1549</v>
      </c>
      <c r="E446" t="s">
        <v>20</v>
      </c>
      <c r="F446" t="s">
        <v>22</v>
      </c>
      <c r="G446" t="s">
        <v>294</v>
      </c>
      <c r="H446" t="s">
        <v>93</v>
      </c>
      <c r="I446" t="s">
        <v>55</v>
      </c>
      <c r="J446" t="s">
        <v>25</v>
      </c>
      <c r="K446" t="s">
        <v>69</v>
      </c>
      <c r="L446">
        <v>1909.47</v>
      </c>
      <c r="M446">
        <v>56</v>
      </c>
      <c r="N446" s="10" t="s">
        <v>47</v>
      </c>
      <c r="O446" s="10" t="s">
        <v>75</v>
      </c>
      <c r="P446" s="13">
        <v>44286.347916666666</v>
      </c>
      <c r="Q446" t="s">
        <v>1550</v>
      </c>
    </row>
    <row r="447" spans="1:17">
      <c r="A447" s="8" t="s">
        <v>1551</v>
      </c>
      <c r="B447" s="8">
        <v>98126056</v>
      </c>
      <c r="C447" t="s">
        <v>1143</v>
      </c>
      <c r="D447" t="s">
        <v>551</v>
      </c>
      <c r="E447" t="s">
        <v>20</v>
      </c>
      <c r="F447" t="s">
        <v>22</v>
      </c>
      <c r="G447" t="s">
        <v>22</v>
      </c>
      <c r="H447" t="s">
        <v>62</v>
      </c>
      <c r="I447" t="s">
        <v>54</v>
      </c>
      <c r="J447" t="s">
        <v>103</v>
      </c>
      <c r="K447" t="s">
        <v>63</v>
      </c>
      <c r="L447">
        <v>4397.32</v>
      </c>
      <c r="M447">
        <v>70</v>
      </c>
      <c r="N447" s="11" t="s">
        <v>47</v>
      </c>
      <c r="O447" s="11" t="s">
        <v>75</v>
      </c>
      <c r="P447" s="14">
        <v>45463.072916666664</v>
      </c>
      <c r="Q447" t="s">
        <v>1552</v>
      </c>
    </row>
    <row r="448" spans="1:17">
      <c r="A448" s="8" t="s">
        <v>1553</v>
      </c>
      <c r="B448" s="8">
        <v>0</v>
      </c>
      <c r="C448" t="s">
        <v>150</v>
      </c>
      <c r="D448" t="s">
        <v>1180</v>
      </c>
      <c r="E448" t="s">
        <v>20</v>
      </c>
      <c r="F448" t="s">
        <v>22</v>
      </c>
      <c r="G448" t="s">
        <v>98</v>
      </c>
      <c r="H448" t="s">
        <v>62</v>
      </c>
      <c r="I448" t="s">
        <v>127</v>
      </c>
      <c r="J448" t="s">
        <v>38</v>
      </c>
      <c r="K448" t="s">
        <v>26</v>
      </c>
      <c r="L448">
        <v>9752.1200000000008</v>
      </c>
      <c r="M448">
        <v>59</v>
      </c>
      <c r="N448" s="10" t="s">
        <v>39</v>
      </c>
      <c r="O448" s="10" t="s">
        <v>28</v>
      </c>
      <c r="P448" s="13">
        <v>44459.666666666664</v>
      </c>
      <c r="Q448" t="s">
        <v>1554</v>
      </c>
    </row>
    <row r="449" spans="1:17">
      <c r="A449" s="8" t="s">
        <v>1555</v>
      </c>
      <c r="B449" s="8">
        <v>91838954</v>
      </c>
      <c r="C449" t="s">
        <v>179</v>
      </c>
      <c r="D449" t="s">
        <v>637</v>
      </c>
      <c r="E449" t="s">
        <v>20</v>
      </c>
      <c r="F449" t="s">
        <v>44</v>
      </c>
      <c r="G449" t="s">
        <v>80</v>
      </c>
      <c r="H449" t="s">
        <v>23</v>
      </c>
      <c r="I449" t="s">
        <v>37</v>
      </c>
      <c r="J449" t="s">
        <v>25</v>
      </c>
      <c r="K449" t="s">
        <v>63</v>
      </c>
      <c r="L449">
        <v>11447.31</v>
      </c>
      <c r="M449">
        <v>75</v>
      </c>
      <c r="N449" s="11" t="s">
        <v>86</v>
      </c>
      <c r="O449" s="11" t="s">
        <v>75</v>
      </c>
      <c r="P449" s="14">
        <v>44316.34652777778</v>
      </c>
      <c r="Q449" t="s">
        <v>1556</v>
      </c>
    </row>
    <row r="450" spans="1:17">
      <c r="A450" s="8" t="s">
        <v>1557</v>
      </c>
      <c r="B450" s="8">
        <v>0</v>
      </c>
      <c r="C450" t="s">
        <v>1558</v>
      </c>
      <c r="D450" t="s">
        <v>678</v>
      </c>
      <c r="E450" t="s">
        <v>20</v>
      </c>
      <c r="F450" t="s">
        <v>45</v>
      </c>
      <c r="G450" t="s">
        <v>53</v>
      </c>
      <c r="H450" t="s">
        <v>23</v>
      </c>
      <c r="I450" t="s">
        <v>55</v>
      </c>
      <c r="J450" t="s">
        <v>38</v>
      </c>
      <c r="K450" t="s">
        <v>69</v>
      </c>
      <c r="L450">
        <v>2446.61</v>
      </c>
      <c r="M450">
        <v>56</v>
      </c>
      <c r="N450" s="10" t="s">
        <v>39</v>
      </c>
      <c r="O450" s="10" t="s">
        <v>81</v>
      </c>
      <c r="P450" s="13">
        <v>44030.845833333333</v>
      </c>
      <c r="Q450" t="s">
        <v>1559</v>
      </c>
    </row>
    <row r="451" spans="1:17">
      <c r="A451" s="8" t="s">
        <v>1560</v>
      </c>
      <c r="B451" s="8">
        <v>0</v>
      </c>
      <c r="C451" t="s">
        <v>1561</v>
      </c>
      <c r="D451" t="s">
        <v>1562</v>
      </c>
      <c r="E451" t="s">
        <v>20</v>
      </c>
      <c r="F451" t="s">
        <v>53</v>
      </c>
      <c r="G451" t="s">
        <v>45</v>
      </c>
      <c r="H451" t="s">
        <v>55</v>
      </c>
      <c r="I451" t="s">
        <v>93</v>
      </c>
      <c r="J451" t="s">
        <v>38</v>
      </c>
      <c r="K451" t="s">
        <v>69</v>
      </c>
      <c r="L451">
        <v>12541.64</v>
      </c>
      <c r="M451">
        <v>31</v>
      </c>
      <c r="N451" s="11" t="s">
        <v>47</v>
      </c>
      <c r="O451" s="11" t="s">
        <v>81</v>
      </c>
      <c r="P451" s="14">
        <v>44201.165972222225</v>
      </c>
      <c r="Q451" t="s">
        <v>1563</v>
      </c>
    </row>
    <row r="452" spans="1:17">
      <c r="A452" s="8" t="s">
        <v>1564</v>
      </c>
      <c r="B452" s="8">
        <v>0</v>
      </c>
      <c r="C452" t="s">
        <v>854</v>
      </c>
      <c r="D452" t="s">
        <v>1565</v>
      </c>
      <c r="E452" t="s">
        <v>20</v>
      </c>
      <c r="F452" t="s">
        <v>35</v>
      </c>
      <c r="G452" t="s">
        <v>44</v>
      </c>
      <c r="H452" t="s">
        <v>55</v>
      </c>
      <c r="I452" t="s">
        <v>68</v>
      </c>
      <c r="J452" t="s">
        <v>38</v>
      </c>
      <c r="K452" t="s">
        <v>26</v>
      </c>
      <c r="L452">
        <v>2212.06</v>
      </c>
      <c r="M452">
        <v>22</v>
      </c>
      <c r="N452" s="10" t="s">
        <v>27</v>
      </c>
      <c r="O452" s="10" t="s">
        <v>28</v>
      </c>
      <c r="P452" s="13">
        <v>44844.322222222225</v>
      </c>
      <c r="Q452" t="s">
        <v>1566</v>
      </c>
    </row>
    <row r="453" spans="1:17">
      <c r="A453" s="8" t="s">
        <v>1567</v>
      </c>
      <c r="B453" s="8">
        <v>18162164</v>
      </c>
      <c r="C453" t="s">
        <v>1568</v>
      </c>
      <c r="D453" t="s">
        <v>18</v>
      </c>
      <c r="E453" t="s">
        <v>20</v>
      </c>
      <c r="F453" t="s">
        <v>34</v>
      </c>
      <c r="G453" t="s">
        <v>98</v>
      </c>
      <c r="H453" t="s">
        <v>93</v>
      </c>
      <c r="I453" t="s">
        <v>127</v>
      </c>
      <c r="J453" t="s">
        <v>38</v>
      </c>
      <c r="K453" t="s">
        <v>69</v>
      </c>
      <c r="L453">
        <v>3562.31</v>
      </c>
      <c r="M453">
        <v>52</v>
      </c>
      <c r="N453" s="11" t="s">
        <v>57</v>
      </c>
      <c r="O453" s="11" t="s">
        <v>75</v>
      </c>
      <c r="P453" s="14">
        <v>45813.130555555559</v>
      </c>
      <c r="Q453" t="s">
        <v>1569</v>
      </c>
    </row>
    <row r="454" spans="1:17">
      <c r="A454" s="8" t="s">
        <v>1570</v>
      </c>
      <c r="B454" s="8">
        <v>97507034</v>
      </c>
      <c r="C454" t="s">
        <v>715</v>
      </c>
      <c r="D454" t="s">
        <v>1571</v>
      </c>
      <c r="E454" t="s">
        <v>20</v>
      </c>
      <c r="F454" t="s">
        <v>34</v>
      </c>
      <c r="G454" t="s">
        <v>80</v>
      </c>
      <c r="H454" t="s">
        <v>23</v>
      </c>
      <c r="I454" t="s">
        <v>93</v>
      </c>
      <c r="J454" t="s">
        <v>103</v>
      </c>
      <c r="K454" t="s">
        <v>63</v>
      </c>
      <c r="L454">
        <v>10739.36</v>
      </c>
      <c r="M454">
        <v>35</v>
      </c>
      <c r="N454" s="10" t="s">
        <v>27</v>
      </c>
      <c r="O454" s="10" t="s">
        <v>75</v>
      </c>
      <c r="P454" s="13">
        <v>45302.347916666666</v>
      </c>
      <c r="Q454" t="s">
        <v>1572</v>
      </c>
    </row>
    <row r="455" spans="1:17">
      <c r="A455" s="8" t="s">
        <v>1573</v>
      </c>
      <c r="B455" s="8">
        <v>40142752</v>
      </c>
      <c r="C455" t="s">
        <v>1574</v>
      </c>
      <c r="D455" t="s">
        <v>1575</v>
      </c>
      <c r="E455" t="s">
        <v>20</v>
      </c>
      <c r="F455" t="s">
        <v>92</v>
      </c>
      <c r="G455" t="s">
        <v>98</v>
      </c>
      <c r="H455" t="s">
        <v>37</v>
      </c>
      <c r="I455" t="s">
        <v>62</v>
      </c>
      <c r="J455" t="s">
        <v>38</v>
      </c>
      <c r="K455" t="s">
        <v>63</v>
      </c>
      <c r="L455">
        <v>6620.85</v>
      </c>
      <c r="M455">
        <v>26</v>
      </c>
      <c r="N455" s="11" t="s">
        <v>57</v>
      </c>
      <c r="O455" s="11" t="s">
        <v>48</v>
      </c>
      <c r="P455" s="14">
        <v>44078.71597222222</v>
      </c>
      <c r="Q455" t="s">
        <v>1576</v>
      </c>
    </row>
    <row r="456" spans="1:17">
      <c r="A456" s="8" t="s">
        <v>1577</v>
      </c>
      <c r="B456" s="8">
        <v>42352710</v>
      </c>
      <c r="C456" t="s">
        <v>1578</v>
      </c>
      <c r="D456" t="s">
        <v>1579</v>
      </c>
      <c r="E456" t="s">
        <v>20</v>
      </c>
      <c r="F456" t="s">
        <v>34</v>
      </c>
      <c r="G456" t="s">
        <v>98</v>
      </c>
      <c r="H456" t="s">
        <v>37</v>
      </c>
      <c r="I456" t="s">
        <v>23</v>
      </c>
      <c r="J456" t="s">
        <v>56</v>
      </c>
      <c r="K456" t="s">
        <v>26</v>
      </c>
      <c r="L456">
        <v>8544.44</v>
      </c>
      <c r="M456">
        <v>75</v>
      </c>
      <c r="N456" s="10" t="s">
        <v>47</v>
      </c>
      <c r="O456" s="10" t="s">
        <v>48</v>
      </c>
      <c r="P456" s="13">
        <v>44618.404166666667</v>
      </c>
      <c r="Q456" t="s">
        <v>1580</v>
      </c>
    </row>
    <row r="457" spans="1:17">
      <c r="A457" s="8" t="s">
        <v>1581</v>
      </c>
      <c r="B457" s="8">
        <v>77783433</v>
      </c>
      <c r="C457" t="s">
        <v>700</v>
      </c>
      <c r="D457" t="s">
        <v>376</v>
      </c>
      <c r="E457" t="s">
        <v>20</v>
      </c>
      <c r="F457" t="s">
        <v>121</v>
      </c>
      <c r="G457" t="s">
        <v>21</v>
      </c>
      <c r="H457" t="s">
        <v>93</v>
      </c>
      <c r="I457" t="s">
        <v>36</v>
      </c>
      <c r="J457" t="s">
        <v>56</v>
      </c>
      <c r="K457" t="s">
        <v>46</v>
      </c>
      <c r="L457">
        <v>1523.92</v>
      </c>
      <c r="M457">
        <v>34</v>
      </c>
      <c r="N457" s="11" t="s">
        <v>86</v>
      </c>
      <c r="O457" s="11" t="s">
        <v>81</v>
      </c>
      <c r="P457" s="14">
        <v>46142.255555555559</v>
      </c>
      <c r="Q457" t="s">
        <v>1582</v>
      </c>
    </row>
    <row r="458" spans="1:17">
      <c r="A458" s="8" t="s">
        <v>1583</v>
      </c>
      <c r="B458" s="8">
        <v>63998141</v>
      </c>
      <c r="C458" t="s">
        <v>1584</v>
      </c>
      <c r="D458" t="s">
        <v>435</v>
      </c>
      <c r="E458" t="s">
        <v>20</v>
      </c>
      <c r="F458" t="s">
        <v>34</v>
      </c>
      <c r="G458" t="s">
        <v>34</v>
      </c>
      <c r="H458" t="s">
        <v>37</v>
      </c>
      <c r="I458" t="s">
        <v>36</v>
      </c>
      <c r="J458" t="s">
        <v>103</v>
      </c>
      <c r="K458" t="s">
        <v>26</v>
      </c>
      <c r="L458">
        <v>13661.01</v>
      </c>
      <c r="M458">
        <v>24</v>
      </c>
      <c r="N458" s="10" t="s">
        <v>39</v>
      </c>
      <c r="O458" s="10" t="s">
        <v>81</v>
      </c>
      <c r="P458" s="13">
        <v>45909.220833333333</v>
      </c>
      <c r="Q458" t="s">
        <v>1585</v>
      </c>
    </row>
    <row r="459" spans="1:17">
      <c r="A459" s="8" t="s">
        <v>1586</v>
      </c>
      <c r="B459" s="8">
        <v>11044716</v>
      </c>
      <c r="C459" t="s">
        <v>1587</v>
      </c>
      <c r="D459" t="s">
        <v>1505</v>
      </c>
      <c r="E459" t="s">
        <v>20</v>
      </c>
      <c r="F459" t="s">
        <v>92</v>
      </c>
      <c r="G459" t="s">
        <v>34</v>
      </c>
      <c r="H459" t="s">
        <v>68</v>
      </c>
      <c r="I459" t="s">
        <v>93</v>
      </c>
      <c r="J459" t="s">
        <v>103</v>
      </c>
      <c r="K459" t="s">
        <v>26</v>
      </c>
      <c r="L459">
        <v>5123.3500000000004</v>
      </c>
      <c r="M459">
        <v>63</v>
      </c>
      <c r="N459" s="11" t="s">
        <v>27</v>
      </c>
      <c r="O459" s="11" t="s">
        <v>81</v>
      </c>
      <c r="P459" s="14">
        <v>45352.656944444447</v>
      </c>
      <c r="Q459" t="s">
        <v>1588</v>
      </c>
    </row>
    <row r="460" spans="1:17">
      <c r="A460" s="8" t="s">
        <v>1589</v>
      </c>
      <c r="B460" s="8">
        <v>38277083</v>
      </c>
      <c r="C460" t="s">
        <v>1268</v>
      </c>
      <c r="D460" t="s">
        <v>1590</v>
      </c>
      <c r="E460" t="s">
        <v>20</v>
      </c>
      <c r="F460" t="s">
        <v>34</v>
      </c>
      <c r="G460" t="s">
        <v>35</v>
      </c>
      <c r="H460" t="s">
        <v>24</v>
      </c>
      <c r="I460" t="s">
        <v>68</v>
      </c>
      <c r="J460" t="s">
        <v>74</v>
      </c>
      <c r="K460" t="s">
        <v>69</v>
      </c>
      <c r="L460">
        <v>14088.68</v>
      </c>
      <c r="M460">
        <v>30</v>
      </c>
      <c r="N460" s="10" t="s">
        <v>57</v>
      </c>
      <c r="O460" s="10" t="s">
        <v>28</v>
      </c>
      <c r="P460" s="13">
        <v>45103.260416666664</v>
      </c>
      <c r="Q460" t="s">
        <v>1591</v>
      </c>
    </row>
    <row r="461" spans="1:17">
      <c r="A461" s="8" t="s">
        <v>1592</v>
      </c>
      <c r="B461" s="8">
        <v>82454722</v>
      </c>
      <c r="C461" t="s">
        <v>1593</v>
      </c>
      <c r="D461" t="s">
        <v>728</v>
      </c>
      <c r="E461" t="s">
        <v>20</v>
      </c>
      <c r="F461" t="s">
        <v>80</v>
      </c>
      <c r="G461" t="s">
        <v>34</v>
      </c>
      <c r="H461" t="s">
        <v>93</v>
      </c>
      <c r="I461" t="s">
        <v>62</v>
      </c>
      <c r="J461" t="s">
        <v>56</v>
      </c>
      <c r="K461" t="s">
        <v>69</v>
      </c>
      <c r="L461">
        <v>13770.75</v>
      </c>
      <c r="M461">
        <v>57</v>
      </c>
      <c r="N461" s="11" t="s">
        <v>86</v>
      </c>
      <c r="O461" s="11" t="s">
        <v>81</v>
      </c>
      <c r="P461" s="14">
        <v>44435.177083333336</v>
      </c>
      <c r="Q461" t="s">
        <v>1594</v>
      </c>
    </row>
    <row r="462" spans="1:17">
      <c r="A462" s="8" t="s">
        <v>1595</v>
      </c>
      <c r="B462" s="8">
        <v>39855629</v>
      </c>
      <c r="C462" t="s">
        <v>442</v>
      </c>
      <c r="D462" t="s">
        <v>570</v>
      </c>
      <c r="E462" t="s">
        <v>20</v>
      </c>
      <c r="F462" t="s">
        <v>53</v>
      </c>
      <c r="G462" t="s">
        <v>44</v>
      </c>
      <c r="H462" t="s">
        <v>93</v>
      </c>
      <c r="I462" t="s">
        <v>37</v>
      </c>
      <c r="J462" t="s">
        <v>25</v>
      </c>
      <c r="K462" t="s">
        <v>26</v>
      </c>
      <c r="L462">
        <v>1515.58</v>
      </c>
      <c r="M462">
        <v>59</v>
      </c>
      <c r="N462" s="10" t="s">
        <v>27</v>
      </c>
      <c r="O462" s="10" t="s">
        <v>75</v>
      </c>
      <c r="P462" s="13">
        <v>45520.034722222219</v>
      </c>
      <c r="Q462" t="s">
        <v>1596</v>
      </c>
    </row>
    <row r="463" spans="1:17">
      <c r="A463" s="8" t="s">
        <v>1597</v>
      </c>
      <c r="B463" s="8">
        <v>39556025</v>
      </c>
      <c r="C463" t="s">
        <v>1598</v>
      </c>
      <c r="D463" t="s">
        <v>754</v>
      </c>
      <c r="E463" t="s">
        <v>20</v>
      </c>
      <c r="F463" t="s">
        <v>21</v>
      </c>
      <c r="G463" t="s">
        <v>22</v>
      </c>
      <c r="H463" t="s">
        <v>127</v>
      </c>
      <c r="I463" t="s">
        <v>68</v>
      </c>
      <c r="J463" t="s">
        <v>38</v>
      </c>
      <c r="K463" t="s">
        <v>46</v>
      </c>
      <c r="L463">
        <v>3220.69</v>
      </c>
      <c r="M463">
        <v>26</v>
      </c>
      <c r="N463" s="11" t="s">
        <v>39</v>
      </c>
      <c r="O463" s="11" t="s">
        <v>28</v>
      </c>
      <c r="P463" s="14">
        <v>45248.193055555559</v>
      </c>
      <c r="Q463" t="s">
        <v>1599</v>
      </c>
    </row>
    <row r="464" spans="1:17">
      <c r="A464" s="8" t="s">
        <v>1600</v>
      </c>
      <c r="B464" s="8">
        <v>95592608</v>
      </c>
      <c r="C464" t="s">
        <v>715</v>
      </c>
      <c r="D464" t="s">
        <v>1601</v>
      </c>
      <c r="E464" t="s">
        <v>33</v>
      </c>
      <c r="F464" t="s">
        <v>53</v>
      </c>
      <c r="G464" t="s">
        <v>121</v>
      </c>
      <c r="H464" t="s">
        <v>36</v>
      </c>
      <c r="I464" t="s">
        <v>54</v>
      </c>
      <c r="J464" t="s">
        <v>38</v>
      </c>
      <c r="K464" t="s">
        <v>26</v>
      </c>
      <c r="L464">
        <v>4438.3</v>
      </c>
      <c r="M464">
        <v>67</v>
      </c>
      <c r="N464" s="10" t="s">
        <v>47</v>
      </c>
      <c r="O464" s="10" t="s">
        <v>28</v>
      </c>
      <c r="P464" s="13">
        <v>45651.786805555559</v>
      </c>
      <c r="Q464" t="s">
        <v>1602</v>
      </c>
    </row>
    <row r="465" spans="1:17">
      <c r="A465" s="8" t="s">
        <v>1603</v>
      </c>
      <c r="B465" s="8">
        <v>63430642</v>
      </c>
      <c r="C465" t="s">
        <v>1604</v>
      </c>
      <c r="D465" t="s">
        <v>1605</v>
      </c>
      <c r="E465" t="s">
        <v>20</v>
      </c>
      <c r="F465" t="s">
        <v>44</v>
      </c>
      <c r="G465" t="s">
        <v>116</v>
      </c>
      <c r="H465" t="s">
        <v>36</v>
      </c>
      <c r="I465" t="s">
        <v>36</v>
      </c>
      <c r="J465" t="s">
        <v>56</v>
      </c>
      <c r="K465" t="s">
        <v>69</v>
      </c>
      <c r="L465">
        <v>8438.24</v>
      </c>
      <c r="M465">
        <v>44</v>
      </c>
      <c r="N465" s="11" t="s">
        <v>57</v>
      </c>
      <c r="O465" s="11" t="s">
        <v>75</v>
      </c>
      <c r="P465" s="14">
        <v>44332.177777777775</v>
      </c>
      <c r="Q465" t="s">
        <v>1606</v>
      </c>
    </row>
    <row r="466" spans="1:17">
      <c r="A466" s="8" t="s">
        <v>1607</v>
      </c>
      <c r="B466" s="8">
        <v>95398202</v>
      </c>
      <c r="C466" t="s">
        <v>1608</v>
      </c>
      <c r="D466" t="s">
        <v>102</v>
      </c>
      <c r="E466" t="s">
        <v>20</v>
      </c>
      <c r="F466" t="s">
        <v>116</v>
      </c>
      <c r="G466" t="s">
        <v>21</v>
      </c>
      <c r="H466" t="s">
        <v>68</v>
      </c>
      <c r="I466" t="s">
        <v>54</v>
      </c>
      <c r="J466" t="s">
        <v>74</v>
      </c>
      <c r="K466" t="s">
        <v>63</v>
      </c>
      <c r="L466">
        <v>8101.11</v>
      </c>
      <c r="M466">
        <v>83</v>
      </c>
      <c r="N466" s="10" t="s">
        <v>86</v>
      </c>
      <c r="O466" s="10" t="s">
        <v>81</v>
      </c>
      <c r="P466" s="13">
        <v>44379.879861111112</v>
      </c>
      <c r="Q466" t="s">
        <v>1609</v>
      </c>
    </row>
    <row r="467" spans="1:17">
      <c r="A467" s="8" t="s">
        <v>1610</v>
      </c>
      <c r="B467" s="8">
        <v>36634140</v>
      </c>
      <c r="C467" t="s">
        <v>1247</v>
      </c>
      <c r="D467" t="s">
        <v>678</v>
      </c>
      <c r="E467" t="s">
        <v>33</v>
      </c>
      <c r="F467" t="s">
        <v>121</v>
      </c>
      <c r="G467" t="s">
        <v>53</v>
      </c>
      <c r="H467" t="s">
        <v>23</v>
      </c>
      <c r="I467" t="s">
        <v>55</v>
      </c>
      <c r="J467" t="s">
        <v>25</v>
      </c>
      <c r="K467" t="s">
        <v>69</v>
      </c>
      <c r="L467">
        <v>12683.77</v>
      </c>
      <c r="M467">
        <v>22</v>
      </c>
      <c r="N467" s="11" t="s">
        <v>27</v>
      </c>
      <c r="O467" s="11" t="s">
        <v>28</v>
      </c>
      <c r="P467" s="14">
        <v>45196.000694444447</v>
      </c>
      <c r="Q467" t="s">
        <v>1611</v>
      </c>
    </row>
    <row r="468" spans="1:17">
      <c r="A468" s="8" t="s">
        <v>1612</v>
      </c>
      <c r="B468" s="8">
        <v>46568726</v>
      </c>
      <c r="C468" t="s">
        <v>146</v>
      </c>
      <c r="D468" t="s">
        <v>120</v>
      </c>
      <c r="E468" t="s">
        <v>20</v>
      </c>
      <c r="F468" t="s">
        <v>92</v>
      </c>
      <c r="G468" t="s">
        <v>21</v>
      </c>
      <c r="H468" t="s">
        <v>55</v>
      </c>
      <c r="I468" t="s">
        <v>24</v>
      </c>
      <c r="J468" t="s">
        <v>38</v>
      </c>
      <c r="K468" t="s">
        <v>46</v>
      </c>
      <c r="L468">
        <v>6236.55</v>
      </c>
      <c r="M468">
        <v>46</v>
      </c>
      <c r="N468" s="10" t="s">
        <v>86</v>
      </c>
      <c r="O468" s="10" t="s">
        <v>48</v>
      </c>
      <c r="P468" s="13">
        <v>44669.59652777778</v>
      </c>
      <c r="Q468" t="s">
        <v>1613</v>
      </c>
    </row>
    <row r="469" spans="1:17">
      <c r="A469" s="8" t="s">
        <v>1614</v>
      </c>
      <c r="B469" s="8">
        <v>13144983</v>
      </c>
      <c r="C469" t="s">
        <v>592</v>
      </c>
      <c r="D469" t="s">
        <v>1615</v>
      </c>
      <c r="E469" t="s">
        <v>20</v>
      </c>
      <c r="F469" t="s">
        <v>45</v>
      </c>
      <c r="G469" t="s">
        <v>116</v>
      </c>
      <c r="H469" t="s">
        <v>55</v>
      </c>
      <c r="I469" t="s">
        <v>127</v>
      </c>
      <c r="J469" t="s">
        <v>56</v>
      </c>
      <c r="K469" t="s">
        <v>69</v>
      </c>
      <c r="L469">
        <v>13615.91</v>
      </c>
      <c r="M469">
        <v>54</v>
      </c>
      <c r="N469" s="11" t="s">
        <v>27</v>
      </c>
      <c r="O469" s="11" t="s">
        <v>48</v>
      </c>
      <c r="P469" s="14">
        <v>45261.737500000003</v>
      </c>
      <c r="Q469" t="s">
        <v>1616</v>
      </c>
    </row>
    <row r="470" spans="1:17">
      <c r="A470" s="8" t="s">
        <v>1617</v>
      </c>
      <c r="B470" s="8">
        <v>13340930</v>
      </c>
      <c r="C470" t="s">
        <v>1618</v>
      </c>
      <c r="D470" t="s">
        <v>1619</v>
      </c>
      <c r="E470" t="s">
        <v>20</v>
      </c>
      <c r="F470" t="s">
        <v>116</v>
      </c>
      <c r="G470" t="s">
        <v>35</v>
      </c>
      <c r="H470" t="s">
        <v>54</v>
      </c>
      <c r="I470" t="s">
        <v>62</v>
      </c>
      <c r="J470" t="s">
        <v>74</v>
      </c>
      <c r="K470" t="s">
        <v>26</v>
      </c>
      <c r="L470">
        <v>12973.77</v>
      </c>
      <c r="M470">
        <v>55</v>
      </c>
      <c r="N470" s="10" t="s">
        <v>39</v>
      </c>
      <c r="O470" s="10" t="s">
        <v>48</v>
      </c>
      <c r="P470" s="13">
        <v>45279.390972222223</v>
      </c>
      <c r="Q470" t="s">
        <v>1620</v>
      </c>
    </row>
    <row r="471" spans="1:17">
      <c r="A471" s="8" t="s">
        <v>1621</v>
      </c>
      <c r="B471" s="8">
        <v>43826068</v>
      </c>
      <c r="C471" t="s">
        <v>1622</v>
      </c>
      <c r="D471" t="s">
        <v>1623</v>
      </c>
      <c r="E471" t="s">
        <v>20</v>
      </c>
      <c r="F471" t="s">
        <v>80</v>
      </c>
      <c r="G471" t="s">
        <v>34</v>
      </c>
      <c r="H471" t="s">
        <v>68</v>
      </c>
      <c r="I471" t="s">
        <v>68</v>
      </c>
      <c r="J471" t="s">
        <v>38</v>
      </c>
      <c r="K471" t="s">
        <v>26</v>
      </c>
      <c r="L471">
        <v>8188.38</v>
      </c>
      <c r="M471">
        <v>25</v>
      </c>
      <c r="N471" s="11" t="s">
        <v>57</v>
      </c>
      <c r="O471" s="11" t="s">
        <v>48</v>
      </c>
      <c r="P471" s="14">
        <v>44678.960416666669</v>
      </c>
      <c r="Q471" t="s">
        <v>1624</v>
      </c>
    </row>
    <row r="472" spans="1:17">
      <c r="A472" s="8" t="s">
        <v>1625</v>
      </c>
      <c r="B472" s="8">
        <v>20402470</v>
      </c>
      <c r="C472" t="s">
        <v>1626</v>
      </c>
      <c r="D472" t="s">
        <v>1627</v>
      </c>
      <c r="E472" t="s">
        <v>20</v>
      </c>
      <c r="F472" t="s">
        <v>22</v>
      </c>
      <c r="G472" t="s">
        <v>35</v>
      </c>
      <c r="H472" t="s">
        <v>93</v>
      </c>
      <c r="I472" t="s">
        <v>36</v>
      </c>
      <c r="J472" t="s">
        <v>74</v>
      </c>
      <c r="K472" t="s">
        <v>46</v>
      </c>
      <c r="L472">
        <v>12049.27</v>
      </c>
      <c r="M472">
        <v>82</v>
      </c>
      <c r="N472" s="10" t="s">
        <v>39</v>
      </c>
      <c r="O472" s="10" t="s">
        <v>48</v>
      </c>
      <c r="P472" s="13">
        <v>44444.168749999997</v>
      </c>
      <c r="Q472" t="s">
        <v>1628</v>
      </c>
    </row>
    <row r="473" spans="1:17">
      <c r="A473" s="8" t="s">
        <v>1629</v>
      </c>
      <c r="B473" s="8">
        <v>92557389</v>
      </c>
      <c r="C473" t="s">
        <v>146</v>
      </c>
      <c r="D473" t="s">
        <v>1575</v>
      </c>
      <c r="E473" t="s">
        <v>20</v>
      </c>
      <c r="F473" t="s">
        <v>53</v>
      </c>
      <c r="G473" t="s">
        <v>98</v>
      </c>
      <c r="H473" t="s">
        <v>68</v>
      </c>
      <c r="I473" t="s">
        <v>54</v>
      </c>
      <c r="J473" t="s">
        <v>56</v>
      </c>
      <c r="K473" t="s">
        <v>26</v>
      </c>
      <c r="L473">
        <v>3167.15</v>
      </c>
      <c r="M473">
        <v>34</v>
      </c>
      <c r="N473" s="11" t="s">
        <v>57</v>
      </c>
      <c r="O473" s="11" t="s">
        <v>48</v>
      </c>
      <c r="P473" s="14">
        <v>44242.51666666667</v>
      </c>
      <c r="Q473" t="s">
        <v>1630</v>
      </c>
    </row>
    <row r="474" spans="1:17">
      <c r="A474" s="8" t="s">
        <v>1631</v>
      </c>
      <c r="B474" s="8">
        <v>51854524</v>
      </c>
      <c r="C474" t="s">
        <v>1632</v>
      </c>
      <c r="D474" t="s">
        <v>1633</v>
      </c>
      <c r="E474" t="s">
        <v>20</v>
      </c>
      <c r="F474" t="s">
        <v>44</v>
      </c>
      <c r="G474" t="s">
        <v>34</v>
      </c>
      <c r="H474" t="s">
        <v>68</v>
      </c>
      <c r="I474" t="s">
        <v>23</v>
      </c>
      <c r="J474" t="s">
        <v>74</v>
      </c>
      <c r="K474" t="s">
        <v>69</v>
      </c>
      <c r="L474">
        <v>9436.0400000000009</v>
      </c>
      <c r="M474">
        <v>62</v>
      </c>
      <c r="N474" s="10" t="s">
        <v>47</v>
      </c>
      <c r="O474" s="10" t="s">
        <v>75</v>
      </c>
      <c r="P474" s="13">
        <v>46310.511805555558</v>
      </c>
      <c r="Q474" t="s">
        <v>1634</v>
      </c>
    </row>
    <row r="475" spans="1:17">
      <c r="A475" s="8" t="s">
        <v>1635</v>
      </c>
      <c r="B475" s="8">
        <v>0</v>
      </c>
      <c r="C475" t="s">
        <v>289</v>
      </c>
      <c r="D475" t="s">
        <v>970</v>
      </c>
      <c r="E475" t="s">
        <v>20</v>
      </c>
      <c r="F475" t="s">
        <v>53</v>
      </c>
      <c r="G475" t="s">
        <v>21</v>
      </c>
      <c r="H475" t="s">
        <v>68</v>
      </c>
      <c r="I475" t="s">
        <v>55</v>
      </c>
      <c r="J475" t="s">
        <v>103</v>
      </c>
      <c r="K475" t="s">
        <v>63</v>
      </c>
      <c r="L475">
        <v>11581.96</v>
      </c>
      <c r="M475">
        <v>21</v>
      </c>
      <c r="N475" s="11" t="s">
        <v>27</v>
      </c>
      <c r="O475" s="11" t="s">
        <v>75</v>
      </c>
      <c r="P475" s="14">
        <v>44508.959027777775</v>
      </c>
      <c r="Q475" t="s">
        <v>1636</v>
      </c>
    </row>
    <row r="476" spans="1:17">
      <c r="A476" s="8" t="s">
        <v>1637</v>
      </c>
      <c r="B476" s="8">
        <v>73815697</v>
      </c>
      <c r="C476" t="s">
        <v>1638</v>
      </c>
      <c r="D476" t="s">
        <v>1319</v>
      </c>
      <c r="E476" t="s">
        <v>20</v>
      </c>
      <c r="F476" t="s">
        <v>80</v>
      </c>
      <c r="G476" t="s">
        <v>21</v>
      </c>
      <c r="H476" t="s">
        <v>36</v>
      </c>
      <c r="I476" t="s">
        <v>127</v>
      </c>
      <c r="J476" t="s">
        <v>25</v>
      </c>
      <c r="K476" t="s">
        <v>26</v>
      </c>
      <c r="L476">
        <v>8406.58</v>
      </c>
      <c r="M476">
        <v>53</v>
      </c>
      <c r="N476" s="10" t="s">
        <v>39</v>
      </c>
      <c r="O476" s="10" t="s">
        <v>81</v>
      </c>
      <c r="P476" s="13">
        <v>43989.647222222222</v>
      </c>
      <c r="Q476" t="s">
        <v>1639</v>
      </c>
    </row>
    <row r="477" spans="1:17">
      <c r="A477" s="8" t="s">
        <v>1640</v>
      </c>
      <c r="B477" s="8">
        <v>95063153</v>
      </c>
      <c r="C477" t="s">
        <v>1641</v>
      </c>
      <c r="D477" t="s">
        <v>1604</v>
      </c>
      <c r="E477" t="s">
        <v>20</v>
      </c>
      <c r="F477" t="s">
        <v>98</v>
      </c>
      <c r="G477" t="s">
        <v>44</v>
      </c>
      <c r="H477" t="s">
        <v>68</v>
      </c>
      <c r="I477" t="s">
        <v>127</v>
      </c>
      <c r="J477" t="s">
        <v>103</v>
      </c>
      <c r="K477" t="s">
        <v>26</v>
      </c>
      <c r="L477">
        <v>389.18</v>
      </c>
      <c r="M477">
        <v>48</v>
      </c>
      <c r="N477" s="11" t="s">
        <v>57</v>
      </c>
      <c r="O477" s="11" t="s">
        <v>81</v>
      </c>
      <c r="P477" s="14">
        <v>45892.755555555559</v>
      </c>
      <c r="Q477" t="s">
        <v>1642</v>
      </c>
    </row>
    <row r="478" spans="1:17">
      <c r="A478" s="8" t="s">
        <v>1643</v>
      </c>
      <c r="B478" s="8">
        <v>11432428</v>
      </c>
      <c r="C478" t="s">
        <v>742</v>
      </c>
      <c r="D478" t="s">
        <v>1644</v>
      </c>
      <c r="E478" t="s">
        <v>20</v>
      </c>
      <c r="F478" t="s">
        <v>116</v>
      </c>
      <c r="G478" t="s">
        <v>53</v>
      </c>
      <c r="H478" t="s">
        <v>24</v>
      </c>
      <c r="I478" t="s">
        <v>68</v>
      </c>
      <c r="J478" t="s">
        <v>103</v>
      </c>
      <c r="K478" t="s">
        <v>69</v>
      </c>
      <c r="L478">
        <v>9711.7999999999993</v>
      </c>
      <c r="M478">
        <v>36</v>
      </c>
      <c r="N478" s="10" t="s">
        <v>39</v>
      </c>
      <c r="O478" s="10" t="s">
        <v>81</v>
      </c>
      <c r="P478" s="13">
        <v>44203.12222222222</v>
      </c>
      <c r="Q478" t="s">
        <v>1645</v>
      </c>
    </row>
    <row r="479" spans="1:17">
      <c r="A479" s="8" t="s">
        <v>1646</v>
      </c>
      <c r="B479" s="8">
        <v>91543479</v>
      </c>
      <c r="C479" t="s">
        <v>1079</v>
      </c>
      <c r="D479" t="s">
        <v>731</v>
      </c>
      <c r="E479" t="s">
        <v>20</v>
      </c>
      <c r="F479" t="s">
        <v>45</v>
      </c>
      <c r="G479" t="s">
        <v>294</v>
      </c>
      <c r="H479" t="s">
        <v>55</v>
      </c>
      <c r="I479" t="s">
        <v>62</v>
      </c>
      <c r="J479" t="s">
        <v>38</v>
      </c>
      <c r="K479" t="s">
        <v>26</v>
      </c>
      <c r="L479">
        <v>13064.99</v>
      </c>
      <c r="M479">
        <v>78</v>
      </c>
      <c r="N479" s="11" t="s">
        <v>47</v>
      </c>
      <c r="O479" s="11" t="s">
        <v>28</v>
      </c>
      <c r="P479" s="14">
        <v>46103.256249999999</v>
      </c>
      <c r="Q479" t="s">
        <v>1647</v>
      </c>
    </row>
    <row r="480" spans="1:17">
      <c r="A480" s="8" t="s">
        <v>1648</v>
      </c>
      <c r="B480" s="8">
        <v>97926734</v>
      </c>
      <c r="C480" t="s">
        <v>1269</v>
      </c>
      <c r="D480" t="s">
        <v>1649</v>
      </c>
      <c r="E480" t="s">
        <v>20</v>
      </c>
      <c r="F480" t="s">
        <v>34</v>
      </c>
      <c r="G480" t="s">
        <v>22</v>
      </c>
      <c r="H480" t="s">
        <v>54</v>
      </c>
      <c r="I480" t="s">
        <v>37</v>
      </c>
      <c r="J480" t="s">
        <v>38</v>
      </c>
      <c r="K480" t="s">
        <v>26</v>
      </c>
      <c r="L480">
        <v>6251.52</v>
      </c>
      <c r="M480">
        <v>71</v>
      </c>
      <c r="N480" s="10" t="s">
        <v>86</v>
      </c>
      <c r="O480" s="10" t="s">
        <v>28</v>
      </c>
      <c r="P480" s="13">
        <v>44927.02847222222</v>
      </c>
      <c r="Q480" t="s">
        <v>1650</v>
      </c>
    </row>
    <row r="481" spans="1:17">
      <c r="A481" s="8" t="s">
        <v>1651</v>
      </c>
      <c r="B481" s="8">
        <v>33215400</v>
      </c>
      <c r="C481" t="s">
        <v>1652</v>
      </c>
      <c r="D481" t="s">
        <v>1653</v>
      </c>
      <c r="E481" t="s">
        <v>20</v>
      </c>
      <c r="F481" t="s">
        <v>53</v>
      </c>
      <c r="G481" t="s">
        <v>53</v>
      </c>
      <c r="H481" t="s">
        <v>24</v>
      </c>
      <c r="I481" t="s">
        <v>23</v>
      </c>
      <c r="J481" t="s">
        <v>56</v>
      </c>
      <c r="K481" t="s">
        <v>69</v>
      </c>
      <c r="L481">
        <v>1752.76</v>
      </c>
      <c r="M481">
        <v>56</v>
      </c>
      <c r="N481" s="11" t="s">
        <v>86</v>
      </c>
      <c r="O481" s="11" t="s">
        <v>48</v>
      </c>
      <c r="P481" s="14">
        <v>44433.838888888888</v>
      </c>
      <c r="Q481" t="s">
        <v>1654</v>
      </c>
    </row>
    <row r="482" spans="1:17">
      <c r="A482" s="8" t="s">
        <v>1655</v>
      </c>
      <c r="B482" s="8">
        <v>20908536</v>
      </c>
      <c r="C482" t="s">
        <v>1656</v>
      </c>
      <c r="D482" t="s">
        <v>171</v>
      </c>
      <c r="E482" t="s">
        <v>20</v>
      </c>
      <c r="F482" t="s">
        <v>45</v>
      </c>
      <c r="G482" t="s">
        <v>121</v>
      </c>
      <c r="H482" t="s">
        <v>54</v>
      </c>
      <c r="I482" t="s">
        <v>68</v>
      </c>
      <c r="J482" t="s">
        <v>103</v>
      </c>
      <c r="K482" t="s">
        <v>26</v>
      </c>
      <c r="L482">
        <v>8479.9500000000007</v>
      </c>
      <c r="M482">
        <v>36</v>
      </c>
      <c r="N482" s="10" t="s">
        <v>39</v>
      </c>
      <c r="O482" s="10" t="s">
        <v>48</v>
      </c>
      <c r="P482" s="13">
        <v>44046.593055555553</v>
      </c>
      <c r="Q482" t="s">
        <v>1657</v>
      </c>
    </row>
    <row r="483" spans="1:17">
      <c r="A483" s="8" t="s">
        <v>1658</v>
      </c>
      <c r="B483" s="8">
        <v>58803337</v>
      </c>
      <c r="C483" t="s">
        <v>1659</v>
      </c>
      <c r="D483" t="s">
        <v>869</v>
      </c>
      <c r="E483" t="s">
        <v>20</v>
      </c>
      <c r="F483" t="s">
        <v>45</v>
      </c>
      <c r="G483" t="s">
        <v>45</v>
      </c>
      <c r="H483" t="s">
        <v>127</v>
      </c>
      <c r="I483" t="s">
        <v>54</v>
      </c>
      <c r="J483" t="s">
        <v>74</v>
      </c>
      <c r="K483" t="s">
        <v>46</v>
      </c>
      <c r="L483">
        <v>6513.46</v>
      </c>
      <c r="M483">
        <v>56</v>
      </c>
      <c r="N483" s="11" t="s">
        <v>57</v>
      </c>
      <c r="O483" s="11" t="s">
        <v>48</v>
      </c>
      <c r="P483" s="14">
        <v>45827.12222222222</v>
      </c>
      <c r="Q483" t="s">
        <v>1660</v>
      </c>
    </row>
    <row r="484" spans="1:17">
      <c r="A484" s="8" t="s">
        <v>1661</v>
      </c>
      <c r="B484" s="8">
        <v>45010146</v>
      </c>
      <c r="C484" t="s">
        <v>1309</v>
      </c>
      <c r="D484" t="s">
        <v>1662</v>
      </c>
      <c r="E484" t="s">
        <v>20</v>
      </c>
      <c r="F484" t="s">
        <v>21</v>
      </c>
      <c r="G484" t="s">
        <v>44</v>
      </c>
      <c r="H484" t="s">
        <v>54</v>
      </c>
      <c r="I484" t="s">
        <v>24</v>
      </c>
      <c r="J484" t="s">
        <v>25</v>
      </c>
      <c r="K484" t="s">
        <v>69</v>
      </c>
      <c r="L484">
        <v>10522.31</v>
      </c>
      <c r="M484">
        <v>84</v>
      </c>
      <c r="N484" s="10" t="s">
        <v>57</v>
      </c>
      <c r="O484" s="10" t="s">
        <v>28</v>
      </c>
      <c r="P484" s="13">
        <v>45395.194444444445</v>
      </c>
      <c r="Q484" t="s">
        <v>1663</v>
      </c>
    </row>
    <row r="485" spans="1:17">
      <c r="A485" s="8" t="s">
        <v>1664</v>
      </c>
      <c r="B485" s="8">
        <v>34986069</v>
      </c>
      <c r="C485" t="s">
        <v>1627</v>
      </c>
      <c r="D485" t="s">
        <v>1665</v>
      </c>
      <c r="E485" t="s">
        <v>20</v>
      </c>
      <c r="F485" t="s">
        <v>116</v>
      </c>
      <c r="G485" t="s">
        <v>116</v>
      </c>
      <c r="H485" t="s">
        <v>55</v>
      </c>
      <c r="I485" t="s">
        <v>93</v>
      </c>
      <c r="J485" t="s">
        <v>38</v>
      </c>
      <c r="K485" t="s">
        <v>69</v>
      </c>
      <c r="L485">
        <v>7243.54</v>
      </c>
      <c r="M485">
        <v>62</v>
      </c>
      <c r="N485" s="11" t="s">
        <v>39</v>
      </c>
      <c r="O485" s="11" t="s">
        <v>75</v>
      </c>
      <c r="P485" s="14">
        <v>45671.902777777781</v>
      </c>
      <c r="Q485" t="s">
        <v>1666</v>
      </c>
    </row>
    <row r="486" spans="1:17">
      <c r="A486" s="8" t="s">
        <v>1667</v>
      </c>
      <c r="B486" s="8">
        <v>89601320</v>
      </c>
      <c r="C486" t="s">
        <v>146</v>
      </c>
      <c r="D486" t="s">
        <v>1140</v>
      </c>
      <c r="E486" t="s">
        <v>20</v>
      </c>
      <c r="F486" t="s">
        <v>116</v>
      </c>
      <c r="G486" t="s">
        <v>22</v>
      </c>
      <c r="H486" t="s">
        <v>55</v>
      </c>
      <c r="I486" t="s">
        <v>37</v>
      </c>
      <c r="J486" t="s">
        <v>103</v>
      </c>
      <c r="K486" t="s">
        <v>69</v>
      </c>
      <c r="L486">
        <v>14555.17</v>
      </c>
      <c r="M486">
        <v>30</v>
      </c>
      <c r="N486" s="10" t="s">
        <v>57</v>
      </c>
      <c r="O486" s="10" t="s">
        <v>48</v>
      </c>
      <c r="P486" s="13">
        <v>45793.92083333333</v>
      </c>
      <c r="Q486" t="s">
        <v>1668</v>
      </c>
    </row>
    <row r="487" spans="1:17">
      <c r="A487" s="8" t="s">
        <v>1669</v>
      </c>
      <c r="B487" s="8">
        <v>41700023</v>
      </c>
      <c r="C487" t="s">
        <v>1670</v>
      </c>
      <c r="D487" t="s">
        <v>1200</v>
      </c>
      <c r="E487" t="s">
        <v>20</v>
      </c>
      <c r="F487" t="s">
        <v>21</v>
      </c>
      <c r="G487" t="s">
        <v>180</v>
      </c>
      <c r="H487" t="s">
        <v>68</v>
      </c>
      <c r="I487" t="s">
        <v>62</v>
      </c>
      <c r="J487" t="s">
        <v>38</v>
      </c>
      <c r="K487" t="s">
        <v>46</v>
      </c>
      <c r="L487">
        <v>5916.77</v>
      </c>
      <c r="M487">
        <v>75</v>
      </c>
      <c r="N487" s="11" t="s">
        <v>47</v>
      </c>
      <c r="O487" s="11" t="s">
        <v>81</v>
      </c>
      <c r="P487" s="14">
        <v>44557.973611111112</v>
      </c>
      <c r="Q487" t="s">
        <v>1671</v>
      </c>
    </row>
    <row r="488" spans="1:17">
      <c r="A488" s="8" t="s">
        <v>1672</v>
      </c>
      <c r="B488" s="8">
        <v>53904207</v>
      </c>
      <c r="C488" t="s">
        <v>339</v>
      </c>
      <c r="D488" t="s">
        <v>271</v>
      </c>
      <c r="E488" t="s">
        <v>20</v>
      </c>
      <c r="F488" t="s">
        <v>92</v>
      </c>
      <c r="G488" t="s">
        <v>116</v>
      </c>
      <c r="H488" t="s">
        <v>62</v>
      </c>
      <c r="I488" t="s">
        <v>55</v>
      </c>
      <c r="J488" t="s">
        <v>74</v>
      </c>
      <c r="K488" t="s">
        <v>63</v>
      </c>
      <c r="L488">
        <v>2680.62</v>
      </c>
      <c r="M488">
        <v>37</v>
      </c>
      <c r="N488" s="10" t="s">
        <v>47</v>
      </c>
      <c r="O488" s="10" t="s">
        <v>75</v>
      </c>
      <c r="P488" s="13">
        <v>45075.474999999999</v>
      </c>
      <c r="Q488" t="s">
        <v>1673</v>
      </c>
    </row>
    <row r="489" spans="1:17">
      <c r="A489" s="8" t="s">
        <v>1674</v>
      </c>
      <c r="B489" s="8">
        <v>35228980</v>
      </c>
      <c r="C489" t="s">
        <v>1675</v>
      </c>
      <c r="D489" t="s">
        <v>1676</v>
      </c>
      <c r="E489" t="s">
        <v>20</v>
      </c>
      <c r="F489" t="s">
        <v>523</v>
      </c>
      <c r="G489" t="s">
        <v>45</v>
      </c>
      <c r="H489" t="s">
        <v>127</v>
      </c>
      <c r="I489" t="s">
        <v>37</v>
      </c>
      <c r="J489" t="s">
        <v>103</v>
      </c>
      <c r="K489" t="s">
        <v>26</v>
      </c>
      <c r="L489">
        <v>2700.97</v>
      </c>
      <c r="M489">
        <v>78</v>
      </c>
      <c r="N489" s="11" t="s">
        <v>39</v>
      </c>
      <c r="O489" s="11" t="s">
        <v>28</v>
      </c>
      <c r="P489" s="14">
        <v>44896.336805555555</v>
      </c>
      <c r="Q489" t="s">
        <v>1677</v>
      </c>
    </row>
    <row r="490" spans="1:17">
      <c r="A490" s="8" t="s">
        <v>1678</v>
      </c>
      <c r="B490" s="8">
        <v>87132540</v>
      </c>
      <c r="C490" t="s">
        <v>315</v>
      </c>
      <c r="D490" t="s">
        <v>1293</v>
      </c>
      <c r="E490" t="s">
        <v>20</v>
      </c>
      <c r="F490" t="s">
        <v>45</v>
      </c>
      <c r="G490" t="s">
        <v>523</v>
      </c>
      <c r="H490" t="s">
        <v>93</v>
      </c>
      <c r="I490" t="s">
        <v>36</v>
      </c>
      <c r="J490" t="s">
        <v>38</v>
      </c>
      <c r="K490" t="s">
        <v>26</v>
      </c>
      <c r="L490">
        <v>7535.9</v>
      </c>
      <c r="M490">
        <v>56</v>
      </c>
      <c r="N490" s="10" t="s">
        <v>39</v>
      </c>
      <c r="O490" s="10" t="s">
        <v>75</v>
      </c>
      <c r="P490" s="13">
        <v>44506.939583333333</v>
      </c>
      <c r="Q490" t="s">
        <v>1679</v>
      </c>
    </row>
    <row r="491" spans="1:17">
      <c r="A491" s="8" t="s">
        <v>1680</v>
      </c>
      <c r="B491" s="8">
        <v>89208997</v>
      </c>
      <c r="C491" t="s">
        <v>267</v>
      </c>
      <c r="D491" t="s">
        <v>774</v>
      </c>
      <c r="E491" t="s">
        <v>20</v>
      </c>
      <c r="F491" t="s">
        <v>686</v>
      </c>
      <c r="G491" t="s">
        <v>92</v>
      </c>
      <c r="H491" t="s">
        <v>37</v>
      </c>
      <c r="I491" t="s">
        <v>62</v>
      </c>
      <c r="J491" t="s">
        <v>38</v>
      </c>
      <c r="K491" t="s">
        <v>46</v>
      </c>
      <c r="L491">
        <v>5545.75</v>
      </c>
      <c r="M491">
        <v>18</v>
      </c>
      <c r="N491" s="11" t="s">
        <v>39</v>
      </c>
      <c r="O491" s="11" t="s">
        <v>75</v>
      </c>
      <c r="P491" s="14">
        <v>44113.374305555553</v>
      </c>
      <c r="Q491" t="s">
        <v>1681</v>
      </c>
    </row>
    <row r="492" spans="1:17">
      <c r="A492" s="8" t="s">
        <v>1682</v>
      </c>
      <c r="B492" s="8">
        <v>24989876</v>
      </c>
      <c r="C492" t="s">
        <v>1683</v>
      </c>
      <c r="D492" t="s">
        <v>397</v>
      </c>
      <c r="E492" t="s">
        <v>20</v>
      </c>
      <c r="F492" t="s">
        <v>121</v>
      </c>
      <c r="G492" t="s">
        <v>21</v>
      </c>
      <c r="H492" t="s">
        <v>54</v>
      </c>
      <c r="I492" t="s">
        <v>24</v>
      </c>
      <c r="J492" t="s">
        <v>103</v>
      </c>
      <c r="K492" t="s">
        <v>69</v>
      </c>
      <c r="L492">
        <v>14578.07</v>
      </c>
      <c r="M492">
        <v>20</v>
      </c>
      <c r="N492" s="10" t="s">
        <v>27</v>
      </c>
      <c r="O492" s="10" t="s">
        <v>48</v>
      </c>
      <c r="P492" s="13">
        <v>44912.688888888886</v>
      </c>
      <c r="Q492" t="s">
        <v>1684</v>
      </c>
    </row>
    <row r="493" spans="1:17">
      <c r="A493" s="8" t="s">
        <v>1685</v>
      </c>
      <c r="B493" s="8">
        <v>78804339</v>
      </c>
      <c r="C493" t="s">
        <v>442</v>
      </c>
      <c r="D493" t="s">
        <v>1686</v>
      </c>
      <c r="E493" t="s">
        <v>20</v>
      </c>
      <c r="F493" t="s">
        <v>53</v>
      </c>
      <c r="G493" t="s">
        <v>92</v>
      </c>
      <c r="H493" t="s">
        <v>62</v>
      </c>
      <c r="I493" t="s">
        <v>36</v>
      </c>
      <c r="J493" t="s">
        <v>25</v>
      </c>
      <c r="K493" t="s">
        <v>26</v>
      </c>
      <c r="L493">
        <v>14477.75</v>
      </c>
      <c r="M493">
        <v>79</v>
      </c>
      <c r="N493" s="11" t="s">
        <v>47</v>
      </c>
      <c r="O493" s="11" t="s">
        <v>75</v>
      </c>
      <c r="P493" s="14">
        <v>45739.790972222225</v>
      </c>
      <c r="Q493" t="s">
        <v>1687</v>
      </c>
    </row>
    <row r="494" spans="1:17">
      <c r="A494" s="8" t="s">
        <v>1688</v>
      </c>
      <c r="B494" s="8">
        <v>68645850</v>
      </c>
      <c r="C494" t="s">
        <v>1096</v>
      </c>
      <c r="D494" t="s">
        <v>1689</v>
      </c>
      <c r="E494" t="s">
        <v>20</v>
      </c>
      <c r="F494" t="s">
        <v>294</v>
      </c>
      <c r="G494" t="s">
        <v>45</v>
      </c>
      <c r="H494" t="s">
        <v>68</v>
      </c>
      <c r="I494" t="s">
        <v>37</v>
      </c>
      <c r="J494" t="s">
        <v>74</v>
      </c>
      <c r="K494" t="s">
        <v>69</v>
      </c>
      <c r="L494">
        <v>11732.94</v>
      </c>
      <c r="M494">
        <v>80</v>
      </c>
      <c r="N494" s="10" t="s">
        <v>47</v>
      </c>
      <c r="O494" s="10" t="s">
        <v>75</v>
      </c>
      <c r="P494" s="13">
        <v>44983.23333333333</v>
      </c>
      <c r="Q494" t="s">
        <v>1690</v>
      </c>
    </row>
    <row r="495" spans="1:17">
      <c r="A495" s="8" t="s">
        <v>1691</v>
      </c>
      <c r="B495" s="8">
        <v>92058877</v>
      </c>
      <c r="C495" t="s">
        <v>1692</v>
      </c>
      <c r="D495" t="s">
        <v>1693</v>
      </c>
      <c r="E495" t="s">
        <v>33</v>
      </c>
      <c r="F495" t="s">
        <v>116</v>
      </c>
      <c r="G495" t="s">
        <v>92</v>
      </c>
      <c r="H495" t="s">
        <v>36</v>
      </c>
      <c r="I495" t="s">
        <v>93</v>
      </c>
      <c r="J495" t="s">
        <v>103</v>
      </c>
      <c r="K495" t="s">
        <v>69</v>
      </c>
      <c r="L495">
        <v>5202.03</v>
      </c>
      <c r="M495">
        <v>42</v>
      </c>
      <c r="N495" s="11" t="s">
        <v>39</v>
      </c>
      <c r="O495" s="11" t="s">
        <v>48</v>
      </c>
      <c r="P495" s="14">
        <v>44778.069444444445</v>
      </c>
      <c r="Q495" t="s">
        <v>1694</v>
      </c>
    </row>
    <row r="496" spans="1:17">
      <c r="A496" s="8" t="s">
        <v>1695</v>
      </c>
      <c r="B496" s="8">
        <v>20550656</v>
      </c>
      <c r="C496" t="s">
        <v>1696</v>
      </c>
      <c r="D496" t="s">
        <v>1697</v>
      </c>
      <c r="E496" t="s">
        <v>20</v>
      </c>
      <c r="F496" t="s">
        <v>22</v>
      </c>
      <c r="G496" t="s">
        <v>98</v>
      </c>
      <c r="H496" t="s">
        <v>93</v>
      </c>
      <c r="I496" t="s">
        <v>93</v>
      </c>
      <c r="J496" t="s">
        <v>38</v>
      </c>
      <c r="K496" t="s">
        <v>63</v>
      </c>
      <c r="L496">
        <v>2509.35</v>
      </c>
      <c r="M496">
        <v>73</v>
      </c>
      <c r="N496" s="10" t="s">
        <v>57</v>
      </c>
      <c r="O496" s="10" t="s">
        <v>81</v>
      </c>
      <c r="P496" s="13">
        <v>44495.565972222219</v>
      </c>
      <c r="Q496" t="s">
        <v>1698</v>
      </c>
    </row>
    <row r="497" spans="1:17">
      <c r="A497" s="8" t="s">
        <v>1699</v>
      </c>
      <c r="B497" s="8">
        <v>91486500</v>
      </c>
      <c r="C497" t="s">
        <v>43</v>
      </c>
      <c r="D497" t="s">
        <v>1700</v>
      </c>
      <c r="E497" t="s">
        <v>33</v>
      </c>
      <c r="F497" t="s">
        <v>35</v>
      </c>
      <c r="G497" t="s">
        <v>116</v>
      </c>
      <c r="H497" t="s">
        <v>23</v>
      </c>
      <c r="I497" t="s">
        <v>24</v>
      </c>
      <c r="J497" t="s">
        <v>38</v>
      </c>
      <c r="K497" t="s">
        <v>26</v>
      </c>
      <c r="L497">
        <v>5286.85</v>
      </c>
      <c r="M497">
        <v>50</v>
      </c>
      <c r="N497" s="11" t="s">
        <v>47</v>
      </c>
      <c r="O497" s="11" t="s">
        <v>81</v>
      </c>
      <c r="P497" s="14">
        <v>45548.161111111112</v>
      </c>
      <c r="Q497" t="s">
        <v>1701</v>
      </c>
    </row>
    <row r="498" spans="1:17">
      <c r="A498" s="8" t="s">
        <v>1702</v>
      </c>
      <c r="B498" s="8">
        <v>81890645</v>
      </c>
      <c r="C498" t="s">
        <v>678</v>
      </c>
      <c r="D498" t="s">
        <v>208</v>
      </c>
      <c r="E498" t="s">
        <v>20</v>
      </c>
      <c r="F498" t="s">
        <v>44</v>
      </c>
      <c r="G498" t="s">
        <v>53</v>
      </c>
      <c r="H498" t="s">
        <v>62</v>
      </c>
      <c r="I498" t="s">
        <v>127</v>
      </c>
      <c r="J498" t="s">
        <v>38</v>
      </c>
      <c r="K498" t="s">
        <v>69</v>
      </c>
      <c r="L498">
        <v>11446.39</v>
      </c>
      <c r="M498">
        <v>55</v>
      </c>
      <c r="N498" s="10" t="s">
        <v>47</v>
      </c>
      <c r="O498" s="10" t="s">
        <v>28</v>
      </c>
      <c r="P498" s="13">
        <v>44979.588194444441</v>
      </c>
      <c r="Q498" t="s">
        <v>1703</v>
      </c>
    </row>
    <row r="499" spans="1:17">
      <c r="A499" s="8" t="s">
        <v>1704</v>
      </c>
      <c r="B499" s="8">
        <v>77560003</v>
      </c>
      <c r="C499" t="s">
        <v>448</v>
      </c>
      <c r="D499" t="s">
        <v>868</v>
      </c>
      <c r="E499" t="s">
        <v>20</v>
      </c>
      <c r="F499" t="s">
        <v>80</v>
      </c>
      <c r="G499" t="s">
        <v>34</v>
      </c>
      <c r="H499" t="s">
        <v>36</v>
      </c>
      <c r="I499" t="s">
        <v>23</v>
      </c>
      <c r="J499" t="s">
        <v>25</v>
      </c>
      <c r="K499" t="s">
        <v>46</v>
      </c>
      <c r="L499">
        <v>9024.1299999999992</v>
      </c>
      <c r="M499">
        <v>23</v>
      </c>
      <c r="N499" s="11" t="s">
        <v>39</v>
      </c>
      <c r="O499" s="11" t="s">
        <v>48</v>
      </c>
      <c r="P499" s="14">
        <v>43897.157638888886</v>
      </c>
      <c r="Q499" t="s">
        <v>1705</v>
      </c>
    </row>
    <row r="500" spans="1:17">
      <c r="A500" s="8" t="s">
        <v>1706</v>
      </c>
      <c r="B500" s="8">
        <v>0</v>
      </c>
      <c r="C500" t="s">
        <v>507</v>
      </c>
      <c r="D500" t="s">
        <v>1179</v>
      </c>
      <c r="E500" t="s">
        <v>33</v>
      </c>
      <c r="F500" t="s">
        <v>121</v>
      </c>
      <c r="G500" t="s">
        <v>45</v>
      </c>
      <c r="H500" t="s">
        <v>127</v>
      </c>
      <c r="I500" t="s">
        <v>55</v>
      </c>
      <c r="J500" t="s">
        <v>25</v>
      </c>
      <c r="K500" t="s">
        <v>63</v>
      </c>
      <c r="L500">
        <v>12569.75</v>
      </c>
      <c r="M500">
        <v>75</v>
      </c>
      <c r="N500" s="10" t="s">
        <v>47</v>
      </c>
      <c r="O500" s="10" t="s">
        <v>48</v>
      </c>
      <c r="P500" s="13">
        <v>45884.852083333331</v>
      </c>
      <c r="Q500" t="s">
        <v>1707</v>
      </c>
    </row>
    <row r="501" spans="1:17">
      <c r="A501" s="8" t="s">
        <v>1708</v>
      </c>
      <c r="B501" s="8">
        <v>19444312</v>
      </c>
      <c r="C501" t="s">
        <v>1709</v>
      </c>
      <c r="D501" t="s">
        <v>1710</v>
      </c>
      <c r="E501" t="s">
        <v>20</v>
      </c>
      <c r="F501" t="s">
        <v>35</v>
      </c>
      <c r="G501" t="s">
        <v>22</v>
      </c>
      <c r="H501" t="s">
        <v>68</v>
      </c>
      <c r="I501" t="s">
        <v>127</v>
      </c>
      <c r="J501" t="s">
        <v>38</v>
      </c>
      <c r="K501" t="s">
        <v>69</v>
      </c>
      <c r="L501">
        <v>4401.5200000000004</v>
      </c>
      <c r="M501">
        <v>61</v>
      </c>
      <c r="N501" s="11" t="s">
        <v>39</v>
      </c>
      <c r="O501" s="11" t="s">
        <v>28</v>
      </c>
      <c r="P501" s="14">
        <v>44467.135416666664</v>
      </c>
      <c r="Q501" t="s">
        <v>1711</v>
      </c>
    </row>
    <row r="502" spans="1:17">
      <c r="A502" s="8" t="s">
        <v>1712</v>
      </c>
      <c r="B502" s="8">
        <v>87821046</v>
      </c>
      <c r="C502" t="s">
        <v>1039</v>
      </c>
      <c r="D502" t="s">
        <v>998</v>
      </c>
      <c r="E502" t="s">
        <v>20</v>
      </c>
      <c r="F502" t="s">
        <v>92</v>
      </c>
      <c r="G502" t="s">
        <v>45</v>
      </c>
      <c r="H502" t="s">
        <v>93</v>
      </c>
      <c r="I502" t="s">
        <v>93</v>
      </c>
      <c r="J502" t="s">
        <v>38</v>
      </c>
      <c r="K502" t="s">
        <v>46</v>
      </c>
      <c r="L502">
        <v>1120.3</v>
      </c>
      <c r="M502">
        <v>62</v>
      </c>
      <c r="N502" s="10" t="s">
        <v>39</v>
      </c>
      <c r="O502" s="10" t="s">
        <v>48</v>
      </c>
      <c r="P502" s="13">
        <v>44144.882638888892</v>
      </c>
      <c r="Q502" t="s">
        <v>1713</v>
      </c>
    </row>
    <row r="503" spans="1:17">
      <c r="A503" s="8" t="s">
        <v>1714</v>
      </c>
      <c r="B503" s="8">
        <v>28793298</v>
      </c>
      <c r="C503" t="s">
        <v>408</v>
      </c>
      <c r="D503" t="s">
        <v>1022</v>
      </c>
      <c r="E503" t="s">
        <v>20</v>
      </c>
      <c r="F503" t="s">
        <v>34</v>
      </c>
      <c r="G503" t="s">
        <v>116</v>
      </c>
      <c r="H503" t="s">
        <v>93</v>
      </c>
      <c r="I503" t="s">
        <v>93</v>
      </c>
      <c r="J503" t="s">
        <v>38</v>
      </c>
      <c r="K503" t="s">
        <v>46</v>
      </c>
      <c r="L503">
        <v>6603.54</v>
      </c>
      <c r="M503">
        <v>49</v>
      </c>
      <c r="N503" s="11" t="s">
        <v>57</v>
      </c>
      <c r="O503" s="11" t="s">
        <v>48</v>
      </c>
      <c r="P503" s="14">
        <v>44395.659722222219</v>
      </c>
      <c r="Q503" t="s">
        <v>1715</v>
      </c>
    </row>
    <row r="504" spans="1:17">
      <c r="A504" s="8" t="s">
        <v>1716</v>
      </c>
      <c r="B504" s="8">
        <v>88414664</v>
      </c>
      <c r="C504" t="s">
        <v>423</v>
      </c>
      <c r="D504" t="s">
        <v>18</v>
      </c>
      <c r="E504" t="s">
        <v>20</v>
      </c>
      <c r="F504" t="s">
        <v>98</v>
      </c>
      <c r="G504" t="s">
        <v>92</v>
      </c>
      <c r="H504" t="s">
        <v>93</v>
      </c>
      <c r="I504" t="s">
        <v>54</v>
      </c>
      <c r="J504" t="s">
        <v>38</v>
      </c>
      <c r="K504" t="s">
        <v>69</v>
      </c>
      <c r="L504">
        <v>7854.83</v>
      </c>
      <c r="M504">
        <v>62</v>
      </c>
      <c r="N504" s="10" t="s">
        <v>39</v>
      </c>
      <c r="O504" s="10" t="s">
        <v>81</v>
      </c>
      <c r="P504" s="13">
        <v>45432.317361111112</v>
      </c>
      <c r="Q504" t="s">
        <v>1717</v>
      </c>
    </row>
    <row r="505" spans="1:17">
      <c r="A505" s="8" t="s">
        <v>1718</v>
      </c>
      <c r="B505" s="8">
        <v>40106377</v>
      </c>
      <c r="C505" t="s">
        <v>405</v>
      </c>
      <c r="D505" t="s">
        <v>1719</v>
      </c>
      <c r="E505" t="s">
        <v>33</v>
      </c>
      <c r="F505" t="s">
        <v>35</v>
      </c>
      <c r="G505" t="s">
        <v>45</v>
      </c>
      <c r="H505" t="s">
        <v>127</v>
      </c>
      <c r="I505" t="s">
        <v>36</v>
      </c>
      <c r="J505" t="s">
        <v>38</v>
      </c>
      <c r="K505" t="s">
        <v>63</v>
      </c>
      <c r="L505">
        <v>13473.04</v>
      </c>
      <c r="M505">
        <v>78</v>
      </c>
      <c r="N505" s="11" t="s">
        <v>47</v>
      </c>
      <c r="O505" s="11" t="s">
        <v>75</v>
      </c>
      <c r="P505" s="14">
        <v>44656.4</v>
      </c>
      <c r="Q505" t="s">
        <v>1720</v>
      </c>
    </row>
    <row r="506" spans="1:17">
      <c r="A506" s="8" t="s">
        <v>1721</v>
      </c>
      <c r="B506" s="8">
        <v>20663234</v>
      </c>
      <c r="C506" t="s">
        <v>882</v>
      </c>
      <c r="D506" t="s">
        <v>396</v>
      </c>
      <c r="E506" t="s">
        <v>33</v>
      </c>
      <c r="F506" t="s">
        <v>121</v>
      </c>
      <c r="G506" t="s">
        <v>53</v>
      </c>
      <c r="H506" t="s">
        <v>54</v>
      </c>
      <c r="I506" t="s">
        <v>37</v>
      </c>
      <c r="J506" t="s">
        <v>38</v>
      </c>
      <c r="K506" t="s">
        <v>26</v>
      </c>
      <c r="L506">
        <v>2669.69</v>
      </c>
      <c r="M506">
        <v>64</v>
      </c>
      <c r="N506" s="10" t="s">
        <v>27</v>
      </c>
      <c r="O506" s="10" t="s">
        <v>75</v>
      </c>
      <c r="P506" s="13">
        <v>46384.714583333334</v>
      </c>
      <c r="Q506" t="s">
        <v>1722</v>
      </c>
    </row>
    <row r="507" spans="1:17">
      <c r="A507" s="8" t="s">
        <v>1723</v>
      </c>
      <c r="B507" s="8">
        <v>0</v>
      </c>
      <c r="C507" t="s">
        <v>78</v>
      </c>
      <c r="D507" t="s">
        <v>563</v>
      </c>
      <c r="E507" t="s">
        <v>20</v>
      </c>
      <c r="F507" t="s">
        <v>35</v>
      </c>
      <c r="G507" t="s">
        <v>98</v>
      </c>
      <c r="H507" t="s">
        <v>23</v>
      </c>
      <c r="I507" t="s">
        <v>55</v>
      </c>
      <c r="J507" t="s">
        <v>56</v>
      </c>
      <c r="K507" t="s">
        <v>69</v>
      </c>
      <c r="L507">
        <v>7145.78</v>
      </c>
      <c r="M507">
        <v>38</v>
      </c>
      <c r="N507" s="11" t="s">
        <v>86</v>
      </c>
      <c r="O507" s="11" t="s">
        <v>48</v>
      </c>
      <c r="P507" s="14">
        <v>44936.401388888888</v>
      </c>
      <c r="Q507" t="s">
        <v>1724</v>
      </c>
    </row>
    <row r="508" spans="1:17">
      <c r="A508" s="8" t="s">
        <v>1725</v>
      </c>
      <c r="B508" s="8">
        <v>89045858</v>
      </c>
      <c r="C508" t="s">
        <v>1080</v>
      </c>
      <c r="D508" t="s">
        <v>1258</v>
      </c>
      <c r="E508" t="s">
        <v>20</v>
      </c>
      <c r="F508" t="s">
        <v>80</v>
      </c>
      <c r="G508" t="s">
        <v>53</v>
      </c>
      <c r="H508" t="s">
        <v>127</v>
      </c>
      <c r="I508" t="s">
        <v>24</v>
      </c>
      <c r="J508" t="s">
        <v>38</v>
      </c>
      <c r="K508" t="s">
        <v>69</v>
      </c>
      <c r="L508">
        <v>14272.02</v>
      </c>
      <c r="M508">
        <v>53</v>
      </c>
      <c r="N508" s="10" t="s">
        <v>57</v>
      </c>
      <c r="O508" s="10" t="s">
        <v>75</v>
      </c>
      <c r="P508" s="13">
        <v>44856.708333333336</v>
      </c>
      <c r="Q508" t="s">
        <v>1726</v>
      </c>
    </row>
    <row r="509" spans="1:17">
      <c r="A509" s="8" t="s">
        <v>1727</v>
      </c>
      <c r="B509" s="8">
        <v>10874735</v>
      </c>
      <c r="C509" t="s">
        <v>1728</v>
      </c>
      <c r="D509" t="s">
        <v>1729</v>
      </c>
      <c r="E509" t="s">
        <v>33</v>
      </c>
      <c r="F509" t="s">
        <v>21</v>
      </c>
      <c r="G509" t="s">
        <v>35</v>
      </c>
      <c r="H509" t="s">
        <v>37</v>
      </c>
      <c r="I509" t="s">
        <v>37</v>
      </c>
      <c r="J509" t="s">
        <v>38</v>
      </c>
      <c r="K509" t="s">
        <v>63</v>
      </c>
      <c r="L509">
        <v>12340.14</v>
      </c>
      <c r="M509">
        <v>36</v>
      </c>
      <c r="N509" s="11" t="s">
        <v>47</v>
      </c>
      <c r="O509" s="11" t="s">
        <v>28</v>
      </c>
      <c r="P509" s="14">
        <v>46082.263888888891</v>
      </c>
      <c r="Q509" t="s">
        <v>1730</v>
      </c>
    </row>
    <row r="510" spans="1:17">
      <c r="A510" s="8" t="s">
        <v>1731</v>
      </c>
      <c r="B510" s="8">
        <v>86639453</v>
      </c>
      <c r="C510" t="s">
        <v>290</v>
      </c>
      <c r="D510" t="s">
        <v>570</v>
      </c>
      <c r="E510" t="s">
        <v>33</v>
      </c>
      <c r="F510" t="s">
        <v>92</v>
      </c>
      <c r="G510" t="s">
        <v>21</v>
      </c>
      <c r="H510" t="s">
        <v>23</v>
      </c>
      <c r="I510" t="s">
        <v>54</v>
      </c>
      <c r="J510" t="s">
        <v>38</v>
      </c>
      <c r="K510" t="s">
        <v>63</v>
      </c>
      <c r="L510">
        <v>11833.34</v>
      </c>
      <c r="M510">
        <v>37</v>
      </c>
      <c r="N510" s="10" t="s">
        <v>57</v>
      </c>
      <c r="O510" s="10" t="s">
        <v>48</v>
      </c>
      <c r="P510" s="13">
        <v>44492.009722222225</v>
      </c>
      <c r="Q510" t="s">
        <v>1732</v>
      </c>
    </row>
    <row r="511" spans="1:17">
      <c r="A511" s="8" t="s">
        <v>1733</v>
      </c>
      <c r="B511" s="8">
        <v>70358769</v>
      </c>
      <c r="C511" t="s">
        <v>1676</v>
      </c>
      <c r="D511" t="s">
        <v>207</v>
      </c>
      <c r="E511" t="s">
        <v>20</v>
      </c>
      <c r="F511" t="s">
        <v>112</v>
      </c>
      <c r="G511" t="s">
        <v>92</v>
      </c>
      <c r="H511" t="s">
        <v>55</v>
      </c>
      <c r="I511" t="s">
        <v>93</v>
      </c>
      <c r="J511" t="s">
        <v>103</v>
      </c>
      <c r="K511" t="s">
        <v>69</v>
      </c>
      <c r="L511">
        <v>12279.81</v>
      </c>
      <c r="M511">
        <v>74</v>
      </c>
      <c r="N511" s="11" t="s">
        <v>47</v>
      </c>
      <c r="O511" s="11" t="s">
        <v>48</v>
      </c>
      <c r="P511" s="14">
        <v>44635.165972222225</v>
      </c>
      <c r="Q511" t="s">
        <v>1734</v>
      </c>
    </row>
    <row r="512" spans="1:17">
      <c r="A512" s="8" t="s">
        <v>1735</v>
      </c>
      <c r="B512" s="8">
        <v>38854107</v>
      </c>
      <c r="C512" t="s">
        <v>204</v>
      </c>
      <c r="D512" t="s">
        <v>401</v>
      </c>
      <c r="E512" t="s">
        <v>20</v>
      </c>
      <c r="F512" t="s">
        <v>35</v>
      </c>
      <c r="G512" t="s">
        <v>121</v>
      </c>
      <c r="H512" t="s">
        <v>68</v>
      </c>
      <c r="I512" t="s">
        <v>24</v>
      </c>
      <c r="J512" t="s">
        <v>25</v>
      </c>
      <c r="K512" t="s">
        <v>46</v>
      </c>
      <c r="L512">
        <v>5857.04</v>
      </c>
      <c r="M512">
        <v>35</v>
      </c>
      <c r="N512" s="10" t="s">
        <v>39</v>
      </c>
      <c r="O512" s="10" t="s">
        <v>48</v>
      </c>
      <c r="P512" s="13">
        <v>46282.79791666667</v>
      </c>
      <c r="Q512" t="s">
        <v>1736</v>
      </c>
    </row>
    <row r="513" spans="1:17">
      <c r="A513" s="8" t="s">
        <v>1737</v>
      </c>
      <c r="B513" s="8">
        <v>24902300</v>
      </c>
      <c r="C513" t="s">
        <v>1738</v>
      </c>
      <c r="D513" t="s">
        <v>1656</v>
      </c>
      <c r="E513" t="s">
        <v>20</v>
      </c>
      <c r="F513" t="s">
        <v>22</v>
      </c>
      <c r="G513" t="s">
        <v>92</v>
      </c>
      <c r="H513" t="s">
        <v>127</v>
      </c>
      <c r="I513" t="s">
        <v>93</v>
      </c>
      <c r="J513" t="s">
        <v>56</v>
      </c>
      <c r="K513" t="s">
        <v>26</v>
      </c>
      <c r="L513">
        <v>4924.3500000000004</v>
      </c>
      <c r="M513">
        <v>64</v>
      </c>
      <c r="N513" s="11" t="s">
        <v>27</v>
      </c>
      <c r="O513" s="11" t="s">
        <v>75</v>
      </c>
      <c r="P513" s="14">
        <v>44366.944444444445</v>
      </c>
      <c r="Q513" t="s">
        <v>1739</v>
      </c>
    </row>
    <row r="514" spans="1:17">
      <c r="A514" s="8" t="s">
        <v>1740</v>
      </c>
      <c r="B514" s="8">
        <v>58483417</v>
      </c>
      <c r="C514" t="s">
        <v>1741</v>
      </c>
      <c r="D514" t="s">
        <v>1578</v>
      </c>
      <c r="E514" t="s">
        <v>20</v>
      </c>
      <c r="F514" t="s">
        <v>21</v>
      </c>
      <c r="G514" t="s">
        <v>34</v>
      </c>
      <c r="H514" t="s">
        <v>36</v>
      </c>
      <c r="I514" t="s">
        <v>55</v>
      </c>
      <c r="J514" t="s">
        <v>103</v>
      </c>
      <c r="K514" t="s">
        <v>63</v>
      </c>
      <c r="L514">
        <v>11217.28</v>
      </c>
      <c r="M514">
        <v>66</v>
      </c>
      <c r="N514" s="10" t="s">
        <v>86</v>
      </c>
      <c r="O514" s="10" t="s">
        <v>48</v>
      </c>
      <c r="P514" s="13">
        <v>45222.082638888889</v>
      </c>
      <c r="Q514" t="s">
        <v>1742</v>
      </c>
    </row>
    <row r="515" spans="1:17">
      <c r="A515" s="8" t="s">
        <v>1743</v>
      </c>
      <c r="B515" s="8">
        <v>60126880</v>
      </c>
      <c r="C515" t="s">
        <v>224</v>
      </c>
      <c r="D515" t="s">
        <v>1744</v>
      </c>
      <c r="E515" t="s">
        <v>20</v>
      </c>
      <c r="F515" t="s">
        <v>34</v>
      </c>
      <c r="G515" t="s">
        <v>98</v>
      </c>
      <c r="H515" t="s">
        <v>23</v>
      </c>
      <c r="I515" t="s">
        <v>36</v>
      </c>
      <c r="J515" t="s">
        <v>38</v>
      </c>
      <c r="K515" t="s">
        <v>69</v>
      </c>
      <c r="L515">
        <v>7981.12</v>
      </c>
      <c r="M515">
        <v>31</v>
      </c>
      <c r="N515" s="11" t="s">
        <v>27</v>
      </c>
      <c r="O515" s="11" t="s">
        <v>28</v>
      </c>
      <c r="P515" s="14">
        <v>45066.574305555558</v>
      </c>
      <c r="Q515" t="s">
        <v>1745</v>
      </c>
    </row>
    <row r="516" spans="1:17">
      <c r="A516" s="8" t="s">
        <v>1746</v>
      </c>
      <c r="B516" s="8">
        <v>30428651</v>
      </c>
      <c r="C516" t="s">
        <v>1747</v>
      </c>
      <c r="D516" t="s">
        <v>1748</v>
      </c>
      <c r="E516" t="s">
        <v>20</v>
      </c>
      <c r="F516" t="s">
        <v>34</v>
      </c>
      <c r="G516" t="s">
        <v>44</v>
      </c>
      <c r="H516" t="s">
        <v>37</v>
      </c>
      <c r="I516" t="s">
        <v>37</v>
      </c>
      <c r="J516" t="s">
        <v>38</v>
      </c>
      <c r="K516" t="s">
        <v>69</v>
      </c>
      <c r="L516">
        <v>105.25</v>
      </c>
      <c r="M516">
        <v>32</v>
      </c>
      <c r="N516" s="10" t="s">
        <v>39</v>
      </c>
      <c r="O516" s="10" t="s">
        <v>28</v>
      </c>
      <c r="P516" s="13">
        <v>45751.022916666669</v>
      </c>
      <c r="Q516" t="s">
        <v>1749</v>
      </c>
    </row>
    <row r="517" spans="1:17">
      <c r="A517" s="8" t="s">
        <v>1750</v>
      </c>
      <c r="B517" s="8">
        <v>99308727</v>
      </c>
      <c r="C517" t="s">
        <v>377</v>
      </c>
      <c r="D517" t="s">
        <v>1751</v>
      </c>
      <c r="E517" t="s">
        <v>20</v>
      </c>
      <c r="F517" t="s">
        <v>22</v>
      </c>
      <c r="G517" t="s">
        <v>116</v>
      </c>
      <c r="H517" t="s">
        <v>55</v>
      </c>
      <c r="I517" t="s">
        <v>37</v>
      </c>
      <c r="J517" t="s">
        <v>38</v>
      </c>
      <c r="K517" t="s">
        <v>69</v>
      </c>
      <c r="L517">
        <v>11694.15</v>
      </c>
      <c r="M517">
        <v>48</v>
      </c>
      <c r="N517" s="11" t="s">
        <v>27</v>
      </c>
      <c r="O517" s="11" t="s">
        <v>75</v>
      </c>
      <c r="P517" s="14">
        <v>45995.256249999999</v>
      </c>
      <c r="Q517" t="s">
        <v>1752</v>
      </c>
    </row>
    <row r="518" spans="1:17">
      <c r="A518" s="8" t="s">
        <v>1753</v>
      </c>
      <c r="B518" s="8">
        <v>39156896</v>
      </c>
      <c r="C518" t="s">
        <v>1754</v>
      </c>
      <c r="D518" t="s">
        <v>1421</v>
      </c>
      <c r="E518" t="s">
        <v>20</v>
      </c>
      <c r="F518" t="s">
        <v>44</v>
      </c>
      <c r="G518" t="s">
        <v>35</v>
      </c>
      <c r="H518" t="s">
        <v>54</v>
      </c>
      <c r="I518" t="s">
        <v>127</v>
      </c>
      <c r="J518" t="s">
        <v>56</v>
      </c>
      <c r="K518" t="s">
        <v>69</v>
      </c>
      <c r="L518">
        <v>6707.72</v>
      </c>
      <c r="M518">
        <v>18</v>
      </c>
      <c r="N518" s="10" t="s">
        <v>39</v>
      </c>
      <c r="O518" s="10" t="s">
        <v>48</v>
      </c>
      <c r="P518" s="13">
        <v>44458.888194444444</v>
      </c>
      <c r="Q518" t="s">
        <v>1755</v>
      </c>
    </row>
    <row r="519" spans="1:17">
      <c r="A519" s="8" t="s">
        <v>1756</v>
      </c>
      <c r="B519" s="8">
        <v>38137132</v>
      </c>
      <c r="C519" t="s">
        <v>1757</v>
      </c>
      <c r="D519" t="s">
        <v>1758</v>
      </c>
      <c r="E519" t="s">
        <v>33</v>
      </c>
      <c r="F519" t="s">
        <v>34</v>
      </c>
      <c r="G519" t="s">
        <v>92</v>
      </c>
      <c r="H519" t="s">
        <v>36</v>
      </c>
      <c r="I519" t="s">
        <v>24</v>
      </c>
      <c r="J519" t="s">
        <v>25</v>
      </c>
      <c r="K519" t="s">
        <v>26</v>
      </c>
      <c r="L519">
        <v>252.02</v>
      </c>
      <c r="M519">
        <v>71</v>
      </c>
      <c r="N519" s="11" t="s">
        <v>39</v>
      </c>
      <c r="O519" s="11" t="s">
        <v>81</v>
      </c>
      <c r="P519" s="14">
        <v>44579.008333333331</v>
      </c>
      <c r="Q519" t="s">
        <v>1759</v>
      </c>
    </row>
    <row r="520" spans="1:17">
      <c r="A520" s="8" t="s">
        <v>1760</v>
      </c>
      <c r="B520" s="8">
        <v>21334884</v>
      </c>
      <c r="C520" t="s">
        <v>1761</v>
      </c>
      <c r="D520" t="s">
        <v>1762</v>
      </c>
      <c r="E520" t="s">
        <v>33</v>
      </c>
      <c r="F520" t="s">
        <v>80</v>
      </c>
      <c r="G520" t="s">
        <v>176</v>
      </c>
      <c r="H520" t="s">
        <v>23</v>
      </c>
      <c r="I520" t="s">
        <v>23</v>
      </c>
      <c r="J520" t="s">
        <v>25</v>
      </c>
      <c r="K520" t="s">
        <v>26</v>
      </c>
      <c r="L520">
        <v>7784.14</v>
      </c>
      <c r="M520">
        <v>20</v>
      </c>
      <c r="N520" s="10" t="s">
        <v>47</v>
      </c>
      <c r="O520" s="10" t="s">
        <v>81</v>
      </c>
      <c r="P520" s="13">
        <v>43935.00277777778</v>
      </c>
      <c r="Q520" t="s">
        <v>1763</v>
      </c>
    </row>
    <row r="521" spans="1:17">
      <c r="A521" s="8" t="s">
        <v>1764</v>
      </c>
      <c r="B521" s="8">
        <v>0</v>
      </c>
      <c r="C521" t="s">
        <v>1765</v>
      </c>
      <c r="D521" t="s">
        <v>1033</v>
      </c>
      <c r="E521" t="s">
        <v>33</v>
      </c>
      <c r="F521" t="s">
        <v>45</v>
      </c>
      <c r="G521" t="s">
        <v>21</v>
      </c>
      <c r="H521" t="s">
        <v>68</v>
      </c>
      <c r="I521" t="s">
        <v>54</v>
      </c>
      <c r="J521" t="s">
        <v>56</v>
      </c>
      <c r="K521" t="s">
        <v>46</v>
      </c>
      <c r="L521">
        <v>5604.03</v>
      </c>
      <c r="M521">
        <v>33</v>
      </c>
      <c r="N521" s="11" t="s">
        <v>57</v>
      </c>
      <c r="O521" s="11" t="s">
        <v>75</v>
      </c>
      <c r="P521" s="14">
        <v>46373.634722222225</v>
      </c>
      <c r="Q521" t="s">
        <v>1766</v>
      </c>
    </row>
    <row r="522" spans="1:17">
      <c r="A522" s="8" t="s">
        <v>1767</v>
      </c>
      <c r="B522" s="8">
        <v>90330313</v>
      </c>
      <c r="C522" t="s">
        <v>1768</v>
      </c>
      <c r="D522" t="s">
        <v>470</v>
      </c>
      <c r="E522" t="s">
        <v>20</v>
      </c>
      <c r="F522" t="s">
        <v>34</v>
      </c>
      <c r="G522" t="s">
        <v>121</v>
      </c>
      <c r="H522" t="s">
        <v>36</v>
      </c>
      <c r="I522" t="s">
        <v>23</v>
      </c>
      <c r="J522" t="s">
        <v>38</v>
      </c>
      <c r="K522" t="s">
        <v>26</v>
      </c>
      <c r="L522">
        <v>2024.74</v>
      </c>
      <c r="M522">
        <v>74</v>
      </c>
      <c r="N522" s="10" t="s">
        <v>27</v>
      </c>
      <c r="O522" s="10" t="s">
        <v>28</v>
      </c>
      <c r="P522" s="13">
        <v>43876.685416666667</v>
      </c>
      <c r="Q522" t="s">
        <v>1769</v>
      </c>
    </row>
    <row r="523" spans="1:17">
      <c r="A523" s="8" t="s">
        <v>1770</v>
      </c>
      <c r="B523" s="8">
        <v>22938359</v>
      </c>
      <c r="C523" t="s">
        <v>1771</v>
      </c>
      <c r="D523" t="s">
        <v>1772</v>
      </c>
      <c r="E523" t="s">
        <v>33</v>
      </c>
      <c r="F523" t="s">
        <v>121</v>
      </c>
      <c r="G523" t="s">
        <v>21</v>
      </c>
      <c r="H523" t="s">
        <v>55</v>
      </c>
      <c r="I523" t="s">
        <v>127</v>
      </c>
      <c r="J523" t="s">
        <v>25</v>
      </c>
      <c r="K523" t="s">
        <v>46</v>
      </c>
      <c r="L523">
        <v>6063.54</v>
      </c>
      <c r="M523">
        <v>29</v>
      </c>
      <c r="N523" s="11" t="s">
        <v>27</v>
      </c>
      <c r="O523" s="11" t="s">
        <v>28</v>
      </c>
      <c r="P523" s="14">
        <v>45185.949305555558</v>
      </c>
      <c r="Q523" t="s">
        <v>1773</v>
      </c>
    </row>
    <row r="524" spans="1:17">
      <c r="A524" s="8" t="s">
        <v>1774</v>
      </c>
      <c r="B524" s="8">
        <v>0</v>
      </c>
      <c r="C524" t="s">
        <v>1775</v>
      </c>
      <c r="D524" t="s">
        <v>1605</v>
      </c>
      <c r="E524" t="s">
        <v>20</v>
      </c>
      <c r="F524" t="s">
        <v>92</v>
      </c>
      <c r="G524" t="s">
        <v>34</v>
      </c>
      <c r="H524" t="s">
        <v>36</v>
      </c>
      <c r="I524" t="s">
        <v>55</v>
      </c>
      <c r="J524" t="s">
        <v>56</v>
      </c>
      <c r="K524" t="s">
        <v>46</v>
      </c>
      <c r="L524">
        <v>729.8</v>
      </c>
      <c r="M524">
        <v>33</v>
      </c>
      <c r="N524" s="10" t="s">
        <v>47</v>
      </c>
      <c r="O524" s="10" t="s">
        <v>48</v>
      </c>
      <c r="P524" s="13">
        <v>45070.529166666667</v>
      </c>
      <c r="Q524" t="s">
        <v>1776</v>
      </c>
    </row>
    <row r="525" spans="1:17">
      <c r="A525" s="8" t="s">
        <v>1777</v>
      </c>
      <c r="B525" s="8">
        <v>56157714</v>
      </c>
      <c r="C525" t="s">
        <v>1322</v>
      </c>
      <c r="D525" t="s">
        <v>483</v>
      </c>
      <c r="E525" t="s">
        <v>20</v>
      </c>
      <c r="F525" t="s">
        <v>92</v>
      </c>
      <c r="G525" t="s">
        <v>44</v>
      </c>
      <c r="H525" t="s">
        <v>24</v>
      </c>
      <c r="I525" t="s">
        <v>54</v>
      </c>
      <c r="J525" t="s">
        <v>38</v>
      </c>
      <c r="K525" t="s">
        <v>63</v>
      </c>
      <c r="L525">
        <v>13859.05</v>
      </c>
      <c r="M525">
        <v>41</v>
      </c>
      <c r="N525" s="11" t="s">
        <v>57</v>
      </c>
      <c r="O525" s="11" t="s">
        <v>48</v>
      </c>
      <c r="P525" s="14">
        <v>44812.7</v>
      </c>
      <c r="Q525" t="s">
        <v>1778</v>
      </c>
    </row>
    <row r="526" spans="1:17">
      <c r="A526" s="8" t="s">
        <v>1779</v>
      </c>
      <c r="B526" s="8">
        <v>45280921</v>
      </c>
      <c r="C526" t="s">
        <v>1163</v>
      </c>
      <c r="D526" t="s">
        <v>1780</v>
      </c>
      <c r="E526" t="s">
        <v>20</v>
      </c>
      <c r="F526" t="s">
        <v>98</v>
      </c>
      <c r="G526" t="s">
        <v>21</v>
      </c>
      <c r="H526" t="s">
        <v>62</v>
      </c>
      <c r="I526" t="s">
        <v>36</v>
      </c>
      <c r="J526" t="s">
        <v>74</v>
      </c>
      <c r="K526" t="s">
        <v>69</v>
      </c>
      <c r="L526">
        <v>4612.3900000000003</v>
      </c>
      <c r="M526">
        <v>45</v>
      </c>
      <c r="N526" s="10" t="s">
        <v>39</v>
      </c>
      <c r="O526" s="10" t="s">
        <v>28</v>
      </c>
      <c r="P526" s="13">
        <v>44790.05</v>
      </c>
      <c r="Q526" t="s">
        <v>1781</v>
      </c>
    </row>
    <row r="527" spans="1:17">
      <c r="A527" s="8" t="s">
        <v>1782</v>
      </c>
      <c r="B527" s="8">
        <v>36665991</v>
      </c>
      <c r="C527" t="s">
        <v>366</v>
      </c>
      <c r="D527" t="s">
        <v>338</v>
      </c>
      <c r="E527" t="s">
        <v>20</v>
      </c>
      <c r="F527" t="s">
        <v>21</v>
      </c>
      <c r="G527" t="s">
        <v>116</v>
      </c>
      <c r="H527" t="s">
        <v>54</v>
      </c>
      <c r="I527" t="s">
        <v>23</v>
      </c>
      <c r="J527" t="s">
        <v>38</v>
      </c>
      <c r="K527" t="s">
        <v>26</v>
      </c>
      <c r="L527">
        <v>5623.34</v>
      </c>
      <c r="M527">
        <v>25</v>
      </c>
      <c r="N527" s="11" t="s">
        <v>86</v>
      </c>
      <c r="O527" s="11" t="s">
        <v>48</v>
      </c>
      <c r="P527" s="14">
        <v>45346.548611111109</v>
      </c>
      <c r="Q527" t="s">
        <v>1783</v>
      </c>
    </row>
    <row r="528" spans="1:17">
      <c r="A528" s="8" t="s">
        <v>1784</v>
      </c>
      <c r="B528" s="8">
        <v>63804242</v>
      </c>
      <c r="C528" t="s">
        <v>334</v>
      </c>
      <c r="D528" t="s">
        <v>358</v>
      </c>
      <c r="E528" t="s">
        <v>33</v>
      </c>
      <c r="F528" t="s">
        <v>44</v>
      </c>
      <c r="G528" t="s">
        <v>44</v>
      </c>
      <c r="H528" t="s">
        <v>55</v>
      </c>
      <c r="I528" t="s">
        <v>36</v>
      </c>
      <c r="J528" t="s">
        <v>38</v>
      </c>
      <c r="K528" t="s">
        <v>69</v>
      </c>
      <c r="L528">
        <v>3139.23</v>
      </c>
      <c r="M528">
        <v>53</v>
      </c>
      <c r="N528" s="10" t="s">
        <v>27</v>
      </c>
      <c r="O528" s="10" t="s">
        <v>28</v>
      </c>
      <c r="P528" s="13">
        <v>45667.396527777775</v>
      </c>
      <c r="Q528" t="s">
        <v>1785</v>
      </c>
    </row>
    <row r="529" spans="1:17">
      <c r="A529" s="8" t="s">
        <v>1786</v>
      </c>
      <c r="B529" s="8">
        <v>31400078</v>
      </c>
      <c r="C529" t="s">
        <v>1787</v>
      </c>
      <c r="D529" t="s">
        <v>559</v>
      </c>
      <c r="E529" t="s">
        <v>20</v>
      </c>
      <c r="F529" t="s">
        <v>34</v>
      </c>
      <c r="G529" t="s">
        <v>35</v>
      </c>
      <c r="H529" t="s">
        <v>36</v>
      </c>
      <c r="I529" t="s">
        <v>23</v>
      </c>
      <c r="J529" t="s">
        <v>38</v>
      </c>
      <c r="K529" t="s">
        <v>46</v>
      </c>
      <c r="L529">
        <v>2286.17</v>
      </c>
      <c r="M529">
        <v>25</v>
      </c>
      <c r="N529" s="11" t="s">
        <v>39</v>
      </c>
      <c r="O529" s="11" t="s">
        <v>48</v>
      </c>
      <c r="P529" s="14">
        <v>46327.123611111114</v>
      </c>
      <c r="Q529" t="s">
        <v>1788</v>
      </c>
    </row>
    <row r="530" spans="1:17">
      <c r="A530" s="8" t="s">
        <v>1789</v>
      </c>
      <c r="B530" s="8">
        <v>68823870</v>
      </c>
      <c r="C530" t="s">
        <v>1296</v>
      </c>
      <c r="D530" t="s">
        <v>1790</v>
      </c>
      <c r="E530" t="s">
        <v>20</v>
      </c>
      <c r="F530" t="s">
        <v>686</v>
      </c>
      <c r="G530" t="s">
        <v>21</v>
      </c>
      <c r="H530" t="s">
        <v>62</v>
      </c>
      <c r="I530" t="s">
        <v>36</v>
      </c>
      <c r="J530" t="s">
        <v>25</v>
      </c>
      <c r="K530" t="s">
        <v>26</v>
      </c>
      <c r="L530">
        <v>12571.28</v>
      </c>
      <c r="M530">
        <v>75</v>
      </c>
      <c r="N530" s="10" t="s">
        <v>57</v>
      </c>
      <c r="O530" s="10" t="s">
        <v>28</v>
      </c>
      <c r="P530" s="13">
        <v>45312.698611111111</v>
      </c>
      <c r="Q530" t="s">
        <v>1791</v>
      </c>
    </row>
    <row r="531" spans="1:17">
      <c r="A531" s="8" t="s">
        <v>1792</v>
      </c>
      <c r="B531" s="8">
        <v>21888060</v>
      </c>
      <c r="C531" t="s">
        <v>1758</v>
      </c>
      <c r="D531" t="s">
        <v>18</v>
      </c>
      <c r="E531" t="s">
        <v>20</v>
      </c>
      <c r="F531" t="s">
        <v>45</v>
      </c>
      <c r="G531" t="s">
        <v>44</v>
      </c>
      <c r="H531" t="s">
        <v>62</v>
      </c>
      <c r="I531" t="s">
        <v>23</v>
      </c>
      <c r="J531" t="s">
        <v>103</v>
      </c>
      <c r="K531" t="s">
        <v>46</v>
      </c>
      <c r="L531">
        <v>10989.32</v>
      </c>
      <c r="M531">
        <v>77</v>
      </c>
      <c r="N531" s="11" t="s">
        <v>57</v>
      </c>
      <c r="O531" s="11" t="s">
        <v>75</v>
      </c>
      <c r="P531" s="14">
        <v>45390.339583333334</v>
      </c>
      <c r="Q531" t="s">
        <v>1793</v>
      </c>
    </row>
    <row r="532" spans="1:17">
      <c r="A532" s="8" t="s">
        <v>1794</v>
      </c>
      <c r="B532" s="8">
        <v>39714212</v>
      </c>
      <c r="C532" t="s">
        <v>1014</v>
      </c>
      <c r="D532" t="s">
        <v>1445</v>
      </c>
      <c r="E532" t="s">
        <v>20</v>
      </c>
      <c r="F532" t="s">
        <v>22</v>
      </c>
      <c r="G532" t="s">
        <v>44</v>
      </c>
      <c r="H532" t="s">
        <v>36</v>
      </c>
      <c r="I532" t="s">
        <v>36</v>
      </c>
      <c r="J532" t="s">
        <v>56</v>
      </c>
      <c r="K532" t="s">
        <v>69</v>
      </c>
      <c r="L532">
        <v>9028.92</v>
      </c>
      <c r="M532">
        <v>67</v>
      </c>
      <c r="N532" s="10" t="s">
        <v>27</v>
      </c>
      <c r="O532" s="10" t="s">
        <v>28</v>
      </c>
      <c r="P532" s="13">
        <v>45338.305555555555</v>
      </c>
      <c r="Q532" t="s">
        <v>1795</v>
      </c>
    </row>
    <row r="533" spans="1:17">
      <c r="A533" s="8" t="s">
        <v>1796</v>
      </c>
      <c r="B533" s="8">
        <v>15350579</v>
      </c>
      <c r="C533" t="s">
        <v>146</v>
      </c>
      <c r="D533" t="s">
        <v>227</v>
      </c>
      <c r="E533" t="s">
        <v>33</v>
      </c>
      <c r="F533" t="s">
        <v>1084</v>
      </c>
      <c r="G533" t="s">
        <v>98</v>
      </c>
      <c r="H533" t="s">
        <v>68</v>
      </c>
      <c r="I533" t="s">
        <v>127</v>
      </c>
      <c r="J533" t="s">
        <v>25</v>
      </c>
      <c r="K533" t="s">
        <v>26</v>
      </c>
      <c r="L533">
        <v>8508.2800000000007</v>
      </c>
      <c r="M533">
        <v>45</v>
      </c>
      <c r="N533" s="11" t="s">
        <v>86</v>
      </c>
      <c r="O533" s="11" t="s">
        <v>75</v>
      </c>
      <c r="P533" s="14">
        <v>45894.540277777778</v>
      </c>
      <c r="Q533" t="s">
        <v>1797</v>
      </c>
    </row>
    <row r="534" spans="1:17">
      <c r="A534" s="8" t="s">
        <v>1798</v>
      </c>
      <c r="B534" s="8">
        <v>57295434</v>
      </c>
      <c r="C534" t="s">
        <v>604</v>
      </c>
      <c r="D534" t="s">
        <v>1665</v>
      </c>
      <c r="E534" t="s">
        <v>20</v>
      </c>
      <c r="F534" t="s">
        <v>44</v>
      </c>
      <c r="G534" t="s">
        <v>22</v>
      </c>
      <c r="H534" t="s">
        <v>24</v>
      </c>
      <c r="I534" t="s">
        <v>62</v>
      </c>
      <c r="J534" t="s">
        <v>38</v>
      </c>
      <c r="K534" t="s">
        <v>46</v>
      </c>
      <c r="L534">
        <v>4835</v>
      </c>
      <c r="M534">
        <v>58</v>
      </c>
      <c r="N534" s="10" t="s">
        <v>39</v>
      </c>
      <c r="O534" s="10" t="s">
        <v>75</v>
      </c>
      <c r="P534" s="13">
        <v>45831.711111111108</v>
      </c>
      <c r="Q534" t="s">
        <v>1799</v>
      </c>
    </row>
    <row r="535" spans="1:17">
      <c r="A535" s="8" t="s">
        <v>1800</v>
      </c>
      <c r="B535" s="8">
        <v>51048501</v>
      </c>
      <c r="C535" t="s">
        <v>1801</v>
      </c>
      <c r="D535" t="s">
        <v>442</v>
      </c>
      <c r="E535" t="s">
        <v>33</v>
      </c>
      <c r="F535" t="s">
        <v>34</v>
      </c>
      <c r="G535" t="s">
        <v>116</v>
      </c>
      <c r="H535" t="s">
        <v>127</v>
      </c>
      <c r="I535" t="s">
        <v>54</v>
      </c>
      <c r="J535" t="s">
        <v>103</v>
      </c>
      <c r="K535" t="s">
        <v>69</v>
      </c>
      <c r="L535">
        <v>12090.4</v>
      </c>
      <c r="M535">
        <v>81</v>
      </c>
      <c r="N535" s="11" t="s">
        <v>57</v>
      </c>
      <c r="O535" s="11" t="s">
        <v>48</v>
      </c>
      <c r="P535" s="14">
        <v>46121.228472222225</v>
      </c>
      <c r="Q535" t="s">
        <v>1802</v>
      </c>
    </row>
    <row r="536" spans="1:17">
      <c r="A536" s="8" t="s">
        <v>1803</v>
      </c>
      <c r="B536" s="8">
        <v>82243277</v>
      </c>
      <c r="C536" t="s">
        <v>767</v>
      </c>
      <c r="D536" t="s">
        <v>629</v>
      </c>
      <c r="E536" t="s">
        <v>20</v>
      </c>
      <c r="F536" t="s">
        <v>35</v>
      </c>
      <c r="G536" t="s">
        <v>35</v>
      </c>
      <c r="H536" t="s">
        <v>24</v>
      </c>
      <c r="I536" t="s">
        <v>24</v>
      </c>
      <c r="J536" t="s">
        <v>103</v>
      </c>
      <c r="K536" t="s">
        <v>63</v>
      </c>
      <c r="L536">
        <v>5313.46</v>
      </c>
      <c r="M536">
        <v>44</v>
      </c>
      <c r="N536" s="10" t="s">
        <v>47</v>
      </c>
      <c r="O536" s="10" t="s">
        <v>81</v>
      </c>
      <c r="P536" s="13">
        <v>45804.673611111109</v>
      </c>
      <c r="Q536" t="s">
        <v>1804</v>
      </c>
    </row>
    <row r="537" spans="1:17">
      <c r="A537" s="8" t="s">
        <v>1805</v>
      </c>
      <c r="B537" s="8">
        <v>15472438</v>
      </c>
      <c r="C537" t="s">
        <v>297</v>
      </c>
      <c r="D537" t="s">
        <v>256</v>
      </c>
      <c r="E537" t="s">
        <v>20</v>
      </c>
      <c r="F537" t="s">
        <v>80</v>
      </c>
      <c r="G537" t="s">
        <v>44</v>
      </c>
      <c r="H537" t="s">
        <v>36</v>
      </c>
      <c r="I537" t="s">
        <v>55</v>
      </c>
      <c r="J537" t="s">
        <v>74</v>
      </c>
      <c r="K537" t="s">
        <v>26</v>
      </c>
      <c r="L537">
        <v>196.15</v>
      </c>
      <c r="M537">
        <v>80</v>
      </c>
      <c r="N537" s="11" t="s">
        <v>47</v>
      </c>
      <c r="O537" s="11" t="s">
        <v>28</v>
      </c>
      <c r="P537" s="14">
        <v>44742.824305555558</v>
      </c>
      <c r="Q537" t="s">
        <v>1806</v>
      </c>
    </row>
    <row r="538" spans="1:17">
      <c r="A538" s="8" t="s">
        <v>1807</v>
      </c>
      <c r="B538" s="8">
        <v>87236512</v>
      </c>
      <c r="C538" t="s">
        <v>1808</v>
      </c>
      <c r="D538" t="s">
        <v>1809</v>
      </c>
      <c r="E538" t="s">
        <v>20</v>
      </c>
      <c r="F538" t="s">
        <v>34</v>
      </c>
      <c r="G538" t="s">
        <v>53</v>
      </c>
      <c r="H538" t="s">
        <v>54</v>
      </c>
      <c r="I538" t="s">
        <v>68</v>
      </c>
      <c r="J538" t="s">
        <v>25</v>
      </c>
      <c r="K538" t="s">
        <v>46</v>
      </c>
      <c r="L538">
        <v>2026.05</v>
      </c>
      <c r="M538">
        <v>34</v>
      </c>
      <c r="N538" s="10" t="s">
        <v>47</v>
      </c>
      <c r="O538" s="10" t="s">
        <v>48</v>
      </c>
      <c r="P538" s="13">
        <v>45125.334027777775</v>
      </c>
      <c r="Q538" t="s">
        <v>1810</v>
      </c>
    </row>
    <row r="539" spans="1:17">
      <c r="A539" s="8" t="s">
        <v>1811</v>
      </c>
      <c r="B539" s="8">
        <v>96565865</v>
      </c>
      <c r="C539" t="s">
        <v>1812</v>
      </c>
      <c r="D539" t="s">
        <v>1619</v>
      </c>
      <c r="E539" t="s">
        <v>33</v>
      </c>
      <c r="F539" t="s">
        <v>80</v>
      </c>
      <c r="G539" t="s">
        <v>44</v>
      </c>
      <c r="H539" t="s">
        <v>127</v>
      </c>
      <c r="I539" t="s">
        <v>93</v>
      </c>
      <c r="J539" t="s">
        <v>38</v>
      </c>
      <c r="K539" t="s">
        <v>26</v>
      </c>
      <c r="L539">
        <v>8389.35</v>
      </c>
      <c r="M539">
        <v>50</v>
      </c>
      <c r="N539" s="11" t="s">
        <v>86</v>
      </c>
      <c r="O539" s="11" t="s">
        <v>75</v>
      </c>
      <c r="P539" s="14">
        <v>45633.166666666664</v>
      </c>
      <c r="Q539" t="s">
        <v>1813</v>
      </c>
    </row>
    <row r="540" spans="1:17">
      <c r="A540" s="8" t="s">
        <v>1814</v>
      </c>
      <c r="B540" s="8">
        <v>13701318</v>
      </c>
      <c r="C540" t="s">
        <v>420</v>
      </c>
      <c r="D540" t="s">
        <v>1815</v>
      </c>
      <c r="E540" t="s">
        <v>20</v>
      </c>
      <c r="F540" t="s">
        <v>21</v>
      </c>
      <c r="G540" t="s">
        <v>92</v>
      </c>
      <c r="H540" t="s">
        <v>55</v>
      </c>
      <c r="I540" t="s">
        <v>24</v>
      </c>
      <c r="J540" t="s">
        <v>38</v>
      </c>
      <c r="K540" t="s">
        <v>63</v>
      </c>
      <c r="L540">
        <v>14194.55</v>
      </c>
      <c r="M540">
        <v>46</v>
      </c>
      <c r="N540" s="10" t="s">
        <v>47</v>
      </c>
      <c r="O540" s="10" t="s">
        <v>75</v>
      </c>
      <c r="P540" s="13">
        <v>45584.149305555555</v>
      </c>
      <c r="Q540" t="s">
        <v>1816</v>
      </c>
    </row>
    <row r="541" spans="1:17">
      <c r="A541" s="8" t="s">
        <v>1817</v>
      </c>
      <c r="B541" s="8">
        <v>31636866</v>
      </c>
      <c r="C541" t="s">
        <v>1818</v>
      </c>
      <c r="D541" t="s">
        <v>741</v>
      </c>
      <c r="E541" t="s">
        <v>20</v>
      </c>
      <c r="F541" t="s">
        <v>91</v>
      </c>
      <c r="G541" t="s">
        <v>21</v>
      </c>
      <c r="H541" t="s">
        <v>24</v>
      </c>
      <c r="I541" t="s">
        <v>93</v>
      </c>
      <c r="J541" t="s">
        <v>56</v>
      </c>
      <c r="K541" t="s">
        <v>63</v>
      </c>
      <c r="L541">
        <v>10516.92</v>
      </c>
      <c r="M541">
        <v>30</v>
      </c>
      <c r="N541" s="11" t="s">
        <v>39</v>
      </c>
      <c r="O541" s="11" t="s">
        <v>81</v>
      </c>
      <c r="P541" s="14">
        <v>43945.914583333331</v>
      </c>
      <c r="Q541" t="s">
        <v>1819</v>
      </c>
    </row>
    <row r="542" spans="1:17">
      <c r="A542" s="8" t="s">
        <v>1820</v>
      </c>
      <c r="B542" s="8">
        <v>77066159</v>
      </c>
      <c r="C542" t="s">
        <v>1821</v>
      </c>
      <c r="D542" t="s">
        <v>18</v>
      </c>
      <c r="E542" t="s">
        <v>20</v>
      </c>
      <c r="F542" t="s">
        <v>34</v>
      </c>
      <c r="G542" t="s">
        <v>45</v>
      </c>
      <c r="H542" t="s">
        <v>36</v>
      </c>
      <c r="I542" t="s">
        <v>54</v>
      </c>
      <c r="J542" t="s">
        <v>38</v>
      </c>
      <c r="K542" t="s">
        <v>69</v>
      </c>
      <c r="L542">
        <v>14730.33</v>
      </c>
      <c r="M542">
        <v>63</v>
      </c>
      <c r="N542" s="10" t="s">
        <v>86</v>
      </c>
      <c r="O542" s="10" t="s">
        <v>75</v>
      </c>
      <c r="P542" s="13">
        <v>45434.088888888888</v>
      </c>
      <c r="Q542" t="s">
        <v>1822</v>
      </c>
    </row>
    <row r="543" spans="1:17">
      <c r="A543" s="8" t="s">
        <v>1823</v>
      </c>
      <c r="B543" s="8">
        <v>85613530</v>
      </c>
      <c r="C543" t="s">
        <v>829</v>
      </c>
      <c r="D543" t="s">
        <v>1821</v>
      </c>
      <c r="E543" t="s">
        <v>20</v>
      </c>
      <c r="F543" t="s">
        <v>116</v>
      </c>
      <c r="G543" t="s">
        <v>44</v>
      </c>
      <c r="H543" t="s">
        <v>24</v>
      </c>
      <c r="I543" t="s">
        <v>24</v>
      </c>
      <c r="J543" t="s">
        <v>38</v>
      </c>
      <c r="K543" t="s">
        <v>69</v>
      </c>
      <c r="L543">
        <v>8614.0400000000009</v>
      </c>
      <c r="M543">
        <v>52</v>
      </c>
      <c r="N543" s="11" t="s">
        <v>39</v>
      </c>
      <c r="O543" s="11" t="s">
        <v>48</v>
      </c>
      <c r="P543" s="14">
        <v>45153.890277777777</v>
      </c>
      <c r="Q543" t="s">
        <v>1824</v>
      </c>
    </row>
    <row r="544" spans="1:17">
      <c r="A544" s="8" t="s">
        <v>1825</v>
      </c>
      <c r="B544" s="8">
        <v>51831014</v>
      </c>
      <c r="C544" t="s">
        <v>314</v>
      </c>
      <c r="D544" t="s">
        <v>1314</v>
      </c>
      <c r="E544" t="s">
        <v>20</v>
      </c>
      <c r="F544" t="s">
        <v>116</v>
      </c>
      <c r="G544" t="s">
        <v>98</v>
      </c>
      <c r="H544" t="s">
        <v>127</v>
      </c>
      <c r="I544" t="s">
        <v>36</v>
      </c>
      <c r="J544" t="s">
        <v>103</v>
      </c>
      <c r="K544" t="s">
        <v>26</v>
      </c>
      <c r="L544">
        <v>13929.81</v>
      </c>
      <c r="M544">
        <v>23</v>
      </c>
      <c r="N544" s="10" t="s">
        <v>27</v>
      </c>
      <c r="O544" s="10" t="s">
        <v>81</v>
      </c>
      <c r="P544" s="13">
        <v>45691.464583333334</v>
      </c>
      <c r="Q544" t="s">
        <v>1826</v>
      </c>
    </row>
    <row r="545" spans="1:17">
      <c r="A545" s="8" t="s">
        <v>1827</v>
      </c>
      <c r="B545" s="8">
        <v>64262173</v>
      </c>
      <c r="C545" t="s">
        <v>282</v>
      </c>
      <c r="D545" t="s">
        <v>1309</v>
      </c>
      <c r="E545" t="s">
        <v>20</v>
      </c>
      <c r="F545" t="s">
        <v>44</v>
      </c>
      <c r="G545" t="s">
        <v>45</v>
      </c>
      <c r="H545" t="s">
        <v>37</v>
      </c>
      <c r="I545" t="s">
        <v>36</v>
      </c>
      <c r="J545" t="s">
        <v>103</v>
      </c>
      <c r="K545" t="s">
        <v>63</v>
      </c>
      <c r="L545">
        <v>8449.32</v>
      </c>
      <c r="M545">
        <v>64</v>
      </c>
      <c r="N545" s="11" t="s">
        <v>27</v>
      </c>
      <c r="O545" s="11" t="s">
        <v>81</v>
      </c>
      <c r="P545" s="14">
        <v>46275.070833333331</v>
      </c>
      <c r="Q545" t="s">
        <v>1828</v>
      </c>
    </row>
    <row r="546" spans="1:17">
      <c r="A546" s="8" t="s">
        <v>1829</v>
      </c>
      <c r="B546" s="8">
        <v>75829144</v>
      </c>
      <c r="C546" t="s">
        <v>167</v>
      </c>
      <c r="D546" t="s">
        <v>500</v>
      </c>
      <c r="E546" t="s">
        <v>20</v>
      </c>
      <c r="F546" t="s">
        <v>116</v>
      </c>
      <c r="G546" t="s">
        <v>92</v>
      </c>
      <c r="H546" t="s">
        <v>23</v>
      </c>
      <c r="I546" t="s">
        <v>68</v>
      </c>
      <c r="J546" t="s">
        <v>38</v>
      </c>
      <c r="K546" t="s">
        <v>69</v>
      </c>
      <c r="L546">
        <v>2829.3</v>
      </c>
      <c r="M546">
        <v>42</v>
      </c>
      <c r="N546" s="10" t="s">
        <v>86</v>
      </c>
      <c r="O546" s="10" t="s">
        <v>75</v>
      </c>
      <c r="P546" s="13">
        <v>46272.395138888889</v>
      </c>
      <c r="Q546" t="s">
        <v>1830</v>
      </c>
    </row>
    <row r="547" spans="1:17">
      <c r="A547" s="8" t="s">
        <v>1831</v>
      </c>
      <c r="B547" s="8">
        <v>17037740</v>
      </c>
      <c r="C547" t="s">
        <v>1832</v>
      </c>
      <c r="D547" t="s">
        <v>886</v>
      </c>
      <c r="E547" t="s">
        <v>20</v>
      </c>
      <c r="F547" t="s">
        <v>98</v>
      </c>
      <c r="G547" t="s">
        <v>98</v>
      </c>
      <c r="H547" t="s">
        <v>24</v>
      </c>
      <c r="I547" t="s">
        <v>93</v>
      </c>
      <c r="J547" t="s">
        <v>56</v>
      </c>
      <c r="K547" t="s">
        <v>26</v>
      </c>
      <c r="L547">
        <v>13386.42</v>
      </c>
      <c r="M547">
        <v>83</v>
      </c>
      <c r="N547" s="11" t="s">
        <v>57</v>
      </c>
      <c r="O547" s="11" t="s">
        <v>28</v>
      </c>
      <c r="P547" s="14">
        <v>44929.878472222219</v>
      </c>
      <c r="Q547" t="s">
        <v>1833</v>
      </c>
    </row>
    <row r="548" spans="1:17">
      <c r="A548" s="8" t="s">
        <v>1834</v>
      </c>
      <c r="B548" s="8">
        <v>48982422</v>
      </c>
      <c r="C548" t="s">
        <v>220</v>
      </c>
      <c r="D548" t="s">
        <v>1835</v>
      </c>
      <c r="E548" t="s">
        <v>20</v>
      </c>
      <c r="F548" t="s">
        <v>34</v>
      </c>
      <c r="G548" t="s">
        <v>21</v>
      </c>
      <c r="H548" t="s">
        <v>55</v>
      </c>
      <c r="I548" t="s">
        <v>55</v>
      </c>
      <c r="J548" t="s">
        <v>38</v>
      </c>
      <c r="K548" t="s">
        <v>63</v>
      </c>
      <c r="L548">
        <v>3700.14</v>
      </c>
      <c r="M548">
        <v>27</v>
      </c>
      <c r="N548" s="10" t="s">
        <v>57</v>
      </c>
      <c r="O548" s="10" t="s">
        <v>81</v>
      </c>
      <c r="P548" s="13">
        <v>44808.709027777775</v>
      </c>
      <c r="Q548" t="s">
        <v>1836</v>
      </c>
    </row>
    <row r="549" spans="1:17">
      <c r="A549" s="8" t="s">
        <v>1837</v>
      </c>
      <c r="B549" s="8">
        <v>35433791</v>
      </c>
      <c r="C549" t="s">
        <v>196</v>
      </c>
      <c r="D549" t="s">
        <v>362</v>
      </c>
      <c r="E549" t="s">
        <v>20</v>
      </c>
      <c r="F549" t="s">
        <v>45</v>
      </c>
      <c r="G549" t="s">
        <v>22</v>
      </c>
      <c r="H549" t="s">
        <v>55</v>
      </c>
      <c r="I549" t="s">
        <v>54</v>
      </c>
      <c r="J549" t="s">
        <v>38</v>
      </c>
      <c r="K549" t="s">
        <v>69</v>
      </c>
      <c r="L549">
        <v>1738.02</v>
      </c>
      <c r="M549">
        <v>73</v>
      </c>
      <c r="N549" s="11" t="s">
        <v>39</v>
      </c>
      <c r="O549" s="11" t="s">
        <v>28</v>
      </c>
      <c r="P549" s="14">
        <v>45336.063194444447</v>
      </c>
      <c r="Q549" t="s">
        <v>1838</v>
      </c>
    </row>
    <row r="550" spans="1:17">
      <c r="A550" s="8" t="s">
        <v>1839</v>
      </c>
      <c r="B550" s="8">
        <v>0</v>
      </c>
      <c r="C550" t="s">
        <v>293</v>
      </c>
      <c r="D550" t="s">
        <v>343</v>
      </c>
      <c r="E550" t="s">
        <v>20</v>
      </c>
      <c r="F550" t="s">
        <v>35</v>
      </c>
      <c r="G550" t="s">
        <v>92</v>
      </c>
      <c r="H550" t="s">
        <v>93</v>
      </c>
      <c r="I550" t="s">
        <v>36</v>
      </c>
      <c r="J550" t="s">
        <v>74</v>
      </c>
      <c r="K550" t="s">
        <v>63</v>
      </c>
      <c r="L550">
        <v>14933.42</v>
      </c>
      <c r="M550">
        <v>47</v>
      </c>
      <c r="N550" s="10" t="s">
        <v>39</v>
      </c>
      <c r="O550" s="10" t="s">
        <v>81</v>
      </c>
      <c r="P550" s="13">
        <v>44957.385416666664</v>
      </c>
      <c r="Q550" t="s">
        <v>1840</v>
      </c>
    </row>
    <row r="551" spans="1:17">
      <c r="A551" s="8" t="s">
        <v>1841</v>
      </c>
      <c r="B551" s="8">
        <v>59781610</v>
      </c>
      <c r="C551" t="s">
        <v>1578</v>
      </c>
      <c r="D551" t="s">
        <v>708</v>
      </c>
      <c r="E551" t="s">
        <v>20</v>
      </c>
      <c r="F551" t="s">
        <v>80</v>
      </c>
      <c r="G551" t="s">
        <v>45</v>
      </c>
      <c r="H551" t="s">
        <v>24</v>
      </c>
      <c r="I551" t="s">
        <v>62</v>
      </c>
      <c r="J551" t="s">
        <v>38</v>
      </c>
      <c r="K551" t="s">
        <v>69</v>
      </c>
      <c r="L551">
        <v>14229.36</v>
      </c>
      <c r="M551">
        <v>22</v>
      </c>
      <c r="N551" s="11" t="s">
        <v>57</v>
      </c>
      <c r="O551" s="11" t="s">
        <v>75</v>
      </c>
      <c r="P551" s="14">
        <v>44127.458333333336</v>
      </c>
      <c r="Q551" t="s">
        <v>1842</v>
      </c>
    </row>
    <row r="552" spans="1:17">
      <c r="A552" s="8" t="s">
        <v>1843</v>
      </c>
      <c r="B552" s="8">
        <v>34691117</v>
      </c>
      <c r="C552" t="s">
        <v>184</v>
      </c>
      <c r="D552" t="s">
        <v>1844</v>
      </c>
      <c r="E552" t="s">
        <v>33</v>
      </c>
      <c r="F552" t="s">
        <v>112</v>
      </c>
      <c r="G552" t="s">
        <v>44</v>
      </c>
      <c r="H552" t="s">
        <v>23</v>
      </c>
      <c r="I552" t="s">
        <v>127</v>
      </c>
      <c r="J552" t="s">
        <v>103</v>
      </c>
      <c r="K552" t="s">
        <v>69</v>
      </c>
      <c r="L552">
        <v>1679.37</v>
      </c>
      <c r="M552">
        <v>50</v>
      </c>
      <c r="N552" s="10" t="s">
        <v>86</v>
      </c>
      <c r="O552" s="10" t="s">
        <v>81</v>
      </c>
      <c r="P552" s="13">
        <v>46056.838194444441</v>
      </c>
      <c r="Q552" t="s">
        <v>1845</v>
      </c>
    </row>
    <row r="553" spans="1:17">
      <c r="A553" s="8" t="s">
        <v>1846</v>
      </c>
      <c r="B553" s="8">
        <v>61165595</v>
      </c>
      <c r="C553" t="s">
        <v>224</v>
      </c>
      <c r="D553" t="s">
        <v>1847</v>
      </c>
      <c r="E553" t="s">
        <v>20</v>
      </c>
      <c r="F553" t="s">
        <v>116</v>
      </c>
      <c r="G553" t="s">
        <v>99</v>
      </c>
      <c r="H553" t="s">
        <v>68</v>
      </c>
      <c r="I553" t="s">
        <v>127</v>
      </c>
      <c r="J553" t="s">
        <v>56</v>
      </c>
      <c r="K553" t="s">
        <v>63</v>
      </c>
      <c r="L553">
        <v>9675.4</v>
      </c>
      <c r="M553">
        <v>82</v>
      </c>
      <c r="N553" s="11" t="s">
        <v>57</v>
      </c>
      <c r="O553" s="11" t="s">
        <v>81</v>
      </c>
      <c r="P553" s="14">
        <v>46193.65902777778</v>
      </c>
      <c r="Q553" t="s">
        <v>1848</v>
      </c>
    </row>
    <row r="554" spans="1:17">
      <c r="A554" s="8" t="s">
        <v>1849</v>
      </c>
      <c r="B554" s="8">
        <v>30553823</v>
      </c>
      <c r="C554" t="s">
        <v>1850</v>
      </c>
      <c r="D554" t="s">
        <v>1851</v>
      </c>
      <c r="E554" t="s">
        <v>20</v>
      </c>
      <c r="F554" t="s">
        <v>53</v>
      </c>
      <c r="G554" t="s">
        <v>45</v>
      </c>
      <c r="H554" t="s">
        <v>62</v>
      </c>
      <c r="I554" t="s">
        <v>23</v>
      </c>
      <c r="J554" t="s">
        <v>38</v>
      </c>
      <c r="K554" t="s">
        <v>69</v>
      </c>
      <c r="L554">
        <v>6481.73</v>
      </c>
      <c r="M554">
        <v>35</v>
      </c>
      <c r="N554" s="10" t="s">
        <v>57</v>
      </c>
      <c r="O554" s="10" t="s">
        <v>48</v>
      </c>
      <c r="P554" s="13">
        <v>44893.509722222225</v>
      </c>
      <c r="Q554" t="s">
        <v>1852</v>
      </c>
    </row>
    <row r="555" spans="1:17">
      <c r="A555" s="8" t="s">
        <v>1853</v>
      </c>
      <c r="B555" s="8">
        <v>64464528</v>
      </c>
      <c r="C555" t="s">
        <v>1462</v>
      </c>
      <c r="D555" t="s">
        <v>861</v>
      </c>
      <c r="E555" t="s">
        <v>20</v>
      </c>
      <c r="F555" t="s">
        <v>44</v>
      </c>
      <c r="G555" t="s">
        <v>92</v>
      </c>
      <c r="H555" t="s">
        <v>23</v>
      </c>
      <c r="I555" t="s">
        <v>55</v>
      </c>
      <c r="J555" t="s">
        <v>74</v>
      </c>
      <c r="K555" t="s">
        <v>26</v>
      </c>
      <c r="L555">
        <v>10691.72</v>
      </c>
      <c r="M555">
        <v>66</v>
      </c>
      <c r="N555" s="11" t="s">
        <v>27</v>
      </c>
      <c r="O555" s="11" t="s">
        <v>48</v>
      </c>
      <c r="P555" s="14">
        <v>44089.863194444442</v>
      </c>
      <c r="Q555" t="s">
        <v>1854</v>
      </c>
    </row>
    <row r="556" spans="1:17">
      <c r="A556" s="8" t="s">
        <v>1855</v>
      </c>
      <c r="B556" s="8">
        <v>82857235</v>
      </c>
      <c r="C556" t="s">
        <v>1079</v>
      </c>
      <c r="D556" t="s">
        <v>1160</v>
      </c>
      <c r="E556" t="s">
        <v>20</v>
      </c>
      <c r="F556" t="s">
        <v>1084</v>
      </c>
      <c r="G556" t="s">
        <v>92</v>
      </c>
      <c r="H556" t="s">
        <v>62</v>
      </c>
      <c r="I556" t="s">
        <v>127</v>
      </c>
      <c r="J556" t="s">
        <v>38</v>
      </c>
      <c r="K556" t="s">
        <v>26</v>
      </c>
      <c r="L556">
        <v>2712.93</v>
      </c>
      <c r="M556">
        <v>28</v>
      </c>
      <c r="N556" s="10" t="s">
        <v>39</v>
      </c>
      <c r="O556" s="10" t="s">
        <v>28</v>
      </c>
      <c r="P556" s="13">
        <v>45885.29791666667</v>
      </c>
      <c r="Q556" t="s">
        <v>1856</v>
      </c>
    </row>
    <row r="557" spans="1:17">
      <c r="A557" s="8" t="s">
        <v>1857</v>
      </c>
      <c r="B557" s="8">
        <v>36549575</v>
      </c>
      <c r="C557" t="s">
        <v>630</v>
      </c>
      <c r="D557" t="s">
        <v>1858</v>
      </c>
      <c r="E557" t="s">
        <v>20</v>
      </c>
      <c r="F557" t="s">
        <v>22</v>
      </c>
      <c r="G557" t="s">
        <v>21</v>
      </c>
      <c r="H557" t="s">
        <v>62</v>
      </c>
      <c r="I557" t="s">
        <v>23</v>
      </c>
      <c r="J557" t="s">
        <v>38</v>
      </c>
      <c r="K557" t="s">
        <v>69</v>
      </c>
      <c r="L557">
        <v>10146.08</v>
      </c>
      <c r="M557">
        <v>43</v>
      </c>
      <c r="N557" s="11" t="s">
        <v>86</v>
      </c>
      <c r="O557" s="11" t="s">
        <v>28</v>
      </c>
      <c r="P557" s="14">
        <v>45927.544444444444</v>
      </c>
      <c r="Q557" t="s">
        <v>1859</v>
      </c>
    </row>
    <row r="558" spans="1:17">
      <c r="A558" s="8" t="s">
        <v>1860</v>
      </c>
      <c r="B558" s="8">
        <v>30213583</v>
      </c>
      <c r="C558" t="s">
        <v>1861</v>
      </c>
      <c r="D558" t="s">
        <v>72</v>
      </c>
      <c r="E558" t="s">
        <v>33</v>
      </c>
      <c r="F558" t="s">
        <v>34</v>
      </c>
      <c r="G558" t="s">
        <v>116</v>
      </c>
      <c r="H558" t="s">
        <v>37</v>
      </c>
      <c r="I558" t="s">
        <v>93</v>
      </c>
      <c r="J558" t="s">
        <v>38</v>
      </c>
      <c r="K558" t="s">
        <v>26</v>
      </c>
      <c r="L558">
        <v>13513.25</v>
      </c>
      <c r="M558">
        <v>80</v>
      </c>
      <c r="N558" s="10" t="s">
        <v>47</v>
      </c>
      <c r="O558" s="10" t="s">
        <v>48</v>
      </c>
      <c r="P558" s="13">
        <v>46039.720833333333</v>
      </c>
      <c r="Q558" t="s">
        <v>1862</v>
      </c>
    </row>
    <row r="559" spans="1:17">
      <c r="A559" s="8" t="s">
        <v>1863</v>
      </c>
      <c r="B559" s="8">
        <v>43472531</v>
      </c>
      <c r="C559" t="s">
        <v>1864</v>
      </c>
      <c r="D559" t="s">
        <v>1865</v>
      </c>
      <c r="E559" t="s">
        <v>20</v>
      </c>
      <c r="F559" t="s">
        <v>80</v>
      </c>
      <c r="G559" t="s">
        <v>21</v>
      </c>
      <c r="H559" t="s">
        <v>93</v>
      </c>
      <c r="I559" t="s">
        <v>36</v>
      </c>
      <c r="J559" t="s">
        <v>103</v>
      </c>
      <c r="K559" t="s">
        <v>26</v>
      </c>
      <c r="L559">
        <v>8777.52</v>
      </c>
      <c r="M559">
        <v>76</v>
      </c>
      <c r="N559" s="11" t="s">
        <v>47</v>
      </c>
      <c r="O559" s="11" t="s">
        <v>81</v>
      </c>
      <c r="P559" s="14">
        <v>45723.609027777777</v>
      </c>
      <c r="Q559" t="s">
        <v>1866</v>
      </c>
    </row>
    <row r="560" spans="1:17">
      <c r="A560" s="8" t="s">
        <v>1867</v>
      </c>
      <c r="B560" s="8">
        <v>50279349</v>
      </c>
      <c r="C560" t="s">
        <v>195</v>
      </c>
      <c r="D560" t="s">
        <v>150</v>
      </c>
      <c r="E560" t="s">
        <v>20</v>
      </c>
      <c r="F560" t="s">
        <v>45</v>
      </c>
      <c r="G560" t="s">
        <v>121</v>
      </c>
      <c r="H560" t="s">
        <v>23</v>
      </c>
      <c r="I560" t="s">
        <v>36</v>
      </c>
      <c r="J560" t="s">
        <v>38</v>
      </c>
      <c r="K560" t="s">
        <v>26</v>
      </c>
      <c r="L560">
        <v>249.17</v>
      </c>
      <c r="M560">
        <v>44</v>
      </c>
      <c r="N560" s="10" t="s">
        <v>27</v>
      </c>
      <c r="O560" s="10" t="s">
        <v>81</v>
      </c>
      <c r="P560" s="13">
        <v>44006.452777777777</v>
      </c>
      <c r="Q560" t="s">
        <v>1868</v>
      </c>
    </row>
    <row r="561" spans="1:17">
      <c r="A561" s="8" t="s">
        <v>1869</v>
      </c>
      <c r="B561" s="8">
        <v>32398512</v>
      </c>
      <c r="C561" t="s">
        <v>943</v>
      </c>
      <c r="D561" t="s">
        <v>435</v>
      </c>
      <c r="E561" t="s">
        <v>33</v>
      </c>
      <c r="F561" t="s">
        <v>44</v>
      </c>
      <c r="G561" t="s">
        <v>92</v>
      </c>
      <c r="H561" t="s">
        <v>23</v>
      </c>
      <c r="I561" t="s">
        <v>62</v>
      </c>
      <c r="J561" t="s">
        <v>103</v>
      </c>
      <c r="K561" t="s">
        <v>63</v>
      </c>
      <c r="L561">
        <v>480.29</v>
      </c>
      <c r="M561">
        <v>66</v>
      </c>
      <c r="N561" s="11" t="s">
        <v>27</v>
      </c>
      <c r="O561" s="11" t="s">
        <v>28</v>
      </c>
      <c r="P561" s="14">
        <v>44831.429861111108</v>
      </c>
      <c r="Q561" t="s">
        <v>1870</v>
      </c>
    </row>
    <row r="562" spans="1:17">
      <c r="A562" s="8" t="s">
        <v>1871</v>
      </c>
      <c r="B562" s="8">
        <v>59230243</v>
      </c>
      <c r="C562" t="s">
        <v>1872</v>
      </c>
      <c r="D562" t="s">
        <v>390</v>
      </c>
      <c r="E562" t="s">
        <v>20</v>
      </c>
      <c r="F562" t="s">
        <v>22</v>
      </c>
      <c r="G562" t="s">
        <v>34</v>
      </c>
      <c r="H562" t="s">
        <v>37</v>
      </c>
      <c r="I562" t="s">
        <v>24</v>
      </c>
      <c r="J562" t="s">
        <v>25</v>
      </c>
      <c r="K562" t="s">
        <v>26</v>
      </c>
      <c r="L562">
        <v>13782.45</v>
      </c>
      <c r="M562">
        <v>50</v>
      </c>
      <c r="N562" s="10" t="s">
        <v>86</v>
      </c>
      <c r="O562" s="10" t="s">
        <v>75</v>
      </c>
      <c r="P562" s="13">
        <v>45749.805555555555</v>
      </c>
      <c r="Q562" t="s">
        <v>1873</v>
      </c>
    </row>
    <row r="563" spans="1:17">
      <c r="A563" s="8" t="s">
        <v>1874</v>
      </c>
      <c r="B563" s="8">
        <v>41802263</v>
      </c>
      <c r="C563" t="s">
        <v>1278</v>
      </c>
      <c r="D563" t="s">
        <v>1875</v>
      </c>
      <c r="E563" t="s">
        <v>20</v>
      </c>
      <c r="F563" t="s">
        <v>80</v>
      </c>
      <c r="G563" t="s">
        <v>523</v>
      </c>
      <c r="H563" t="s">
        <v>24</v>
      </c>
      <c r="I563" t="s">
        <v>127</v>
      </c>
      <c r="J563" t="s">
        <v>56</v>
      </c>
      <c r="K563" t="s">
        <v>46</v>
      </c>
      <c r="L563">
        <v>13102.29</v>
      </c>
      <c r="M563">
        <v>18</v>
      </c>
      <c r="N563" s="11" t="s">
        <v>86</v>
      </c>
      <c r="O563" s="11" t="s">
        <v>28</v>
      </c>
      <c r="P563" s="14">
        <v>46333.74722222222</v>
      </c>
      <c r="Q563" t="s">
        <v>1876</v>
      </c>
    </row>
    <row r="564" spans="1:17">
      <c r="A564" s="8" t="s">
        <v>1877</v>
      </c>
      <c r="B564" s="8">
        <v>0</v>
      </c>
      <c r="C564" t="s">
        <v>1878</v>
      </c>
      <c r="D564" t="s">
        <v>331</v>
      </c>
      <c r="E564" t="s">
        <v>20</v>
      </c>
      <c r="F564" t="s">
        <v>45</v>
      </c>
      <c r="G564" t="s">
        <v>98</v>
      </c>
      <c r="H564" t="s">
        <v>24</v>
      </c>
      <c r="I564" t="s">
        <v>93</v>
      </c>
      <c r="J564" t="s">
        <v>56</v>
      </c>
      <c r="K564" t="s">
        <v>69</v>
      </c>
      <c r="L564">
        <v>10976.16</v>
      </c>
      <c r="M564">
        <v>38</v>
      </c>
      <c r="N564" s="10" t="s">
        <v>27</v>
      </c>
      <c r="O564" s="10" t="s">
        <v>28</v>
      </c>
      <c r="P564" s="13">
        <v>45498.714583333334</v>
      </c>
      <c r="Q564" t="s">
        <v>1879</v>
      </c>
    </row>
    <row r="565" spans="1:17">
      <c r="A565" s="8" t="s">
        <v>1880</v>
      </c>
      <c r="B565" s="8">
        <v>26644381</v>
      </c>
      <c r="C565" t="s">
        <v>1881</v>
      </c>
      <c r="D565" t="s">
        <v>1882</v>
      </c>
      <c r="E565" t="s">
        <v>20</v>
      </c>
      <c r="F565" t="s">
        <v>34</v>
      </c>
      <c r="G565" t="s">
        <v>121</v>
      </c>
      <c r="H565" t="s">
        <v>24</v>
      </c>
      <c r="I565" t="s">
        <v>37</v>
      </c>
      <c r="J565" t="s">
        <v>103</v>
      </c>
      <c r="K565" t="s">
        <v>26</v>
      </c>
      <c r="L565">
        <v>6403.58</v>
      </c>
      <c r="M565">
        <v>72</v>
      </c>
      <c r="N565" s="11" t="s">
        <v>57</v>
      </c>
      <c r="O565" s="11" t="s">
        <v>48</v>
      </c>
      <c r="P565" s="14">
        <v>44106.059027777781</v>
      </c>
      <c r="Q565" t="s">
        <v>1883</v>
      </c>
    </row>
    <row r="566" spans="1:17">
      <c r="A566" s="8" t="s">
        <v>1884</v>
      </c>
      <c r="B566" s="8">
        <v>18107284</v>
      </c>
      <c r="C566" t="s">
        <v>1258</v>
      </c>
      <c r="D566" t="s">
        <v>1154</v>
      </c>
      <c r="E566" t="s">
        <v>33</v>
      </c>
      <c r="F566" t="s">
        <v>392</v>
      </c>
      <c r="G566" t="s">
        <v>44</v>
      </c>
      <c r="H566" t="s">
        <v>54</v>
      </c>
      <c r="I566" t="s">
        <v>127</v>
      </c>
      <c r="J566" t="s">
        <v>103</v>
      </c>
      <c r="K566" t="s">
        <v>46</v>
      </c>
      <c r="L566">
        <v>10219.4</v>
      </c>
      <c r="M566">
        <v>23</v>
      </c>
      <c r="N566" s="10" t="s">
        <v>86</v>
      </c>
      <c r="O566" s="10" t="s">
        <v>75</v>
      </c>
      <c r="P566" s="13">
        <v>46376.364583333336</v>
      </c>
      <c r="Q566" t="s">
        <v>1885</v>
      </c>
    </row>
    <row r="567" spans="1:17">
      <c r="A567" s="8" t="s">
        <v>1886</v>
      </c>
      <c r="B567" s="8">
        <v>35539627</v>
      </c>
      <c r="C567" t="s">
        <v>78</v>
      </c>
      <c r="D567" t="s">
        <v>286</v>
      </c>
      <c r="E567" t="s">
        <v>20</v>
      </c>
      <c r="F567" t="s">
        <v>523</v>
      </c>
      <c r="G567" t="s">
        <v>44</v>
      </c>
      <c r="H567" t="s">
        <v>62</v>
      </c>
      <c r="I567" t="s">
        <v>55</v>
      </c>
      <c r="J567" t="s">
        <v>56</v>
      </c>
      <c r="K567" t="s">
        <v>26</v>
      </c>
      <c r="L567">
        <v>2298.75</v>
      </c>
      <c r="M567">
        <v>22</v>
      </c>
      <c r="N567" s="11" t="s">
        <v>39</v>
      </c>
      <c r="O567" s="11" t="s">
        <v>81</v>
      </c>
      <c r="P567" s="14">
        <v>44506.770833333336</v>
      </c>
      <c r="Q567" t="s">
        <v>1887</v>
      </c>
    </row>
    <row r="568" spans="1:17">
      <c r="A568" s="8" t="s">
        <v>1888</v>
      </c>
      <c r="B568" s="8">
        <v>98821543</v>
      </c>
      <c r="C568" t="s">
        <v>1531</v>
      </c>
      <c r="D568" t="s">
        <v>700</v>
      </c>
      <c r="E568" t="s">
        <v>20</v>
      </c>
      <c r="F568" t="s">
        <v>126</v>
      </c>
      <c r="G568" t="s">
        <v>35</v>
      </c>
      <c r="H568" t="s">
        <v>54</v>
      </c>
      <c r="I568" t="s">
        <v>24</v>
      </c>
      <c r="J568" t="s">
        <v>74</v>
      </c>
      <c r="K568" t="s">
        <v>69</v>
      </c>
      <c r="L568">
        <v>12448.37</v>
      </c>
      <c r="M568">
        <v>20</v>
      </c>
      <c r="N568" s="10" t="s">
        <v>27</v>
      </c>
      <c r="O568" s="10" t="s">
        <v>75</v>
      </c>
      <c r="P568" s="13">
        <v>45654.412499999999</v>
      </c>
      <c r="Q568" t="s">
        <v>1889</v>
      </c>
    </row>
    <row r="569" spans="1:17">
      <c r="A569" s="8" t="s">
        <v>1890</v>
      </c>
      <c r="B569" s="8">
        <v>57428438</v>
      </c>
      <c r="C569" t="s">
        <v>569</v>
      </c>
      <c r="D569" t="s">
        <v>1891</v>
      </c>
      <c r="E569" t="s">
        <v>33</v>
      </c>
      <c r="F569" t="s">
        <v>53</v>
      </c>
      <c r="G569" t="s">
        <v>21</v>
      </c>
      <c r="H569" t="s">
        <v>93</v>
      </c>
      <c r="I569" t="s">
        <v>127</v>
      </c>
      <c r="J569" t="s">
        <v>103</v>
      </c>
      <c r="K569" t="s">
        <v>46</v>
      </c>
      <c r="L569">
        <v>2387.4499999999998</v>
      </c>
      <c r="M569">
        <v>70</v>
      </c>
      <c r="N569" s="11" t="s">
        <v>57</v>
      </c>
      <c r="O569" s="11" t="s">
        <v>81</v>
      </c>
      <c r="P569" s="14">
        <v>44882.128472222219</v>
      </c>
      <c r="Q569" t="s">
        <v>1892</v>
      </c>
    </row>
    <row r="570" spans="1:17">
      <c r="A570" s="8" t="s">
        <v>1893</v>
      </c>
      <c r="B570" s="8">
        <v>73555187</v>
      </c>
      <c r="C570" t="s">
        <v>1894</v>
      </c>
      <c r="D570" t="s">
        <v>404</v>
      </c>
      <c r="E570" t="s">
        <v>20</v>
      </c>
      <c r="F570" t="s">
        <v>121</v>
      </c>
      <c r="G570" t="s">
        <v>34</v>
      </c>
      <c r="H570" t="s">
        <v>37</v>
      </c>
      <c r="I570" t="s">
        <v>93</v>
      </c>
      <c r="J570" t="s">
        <v>56</v>
      </c>
      <c r="K570" t="s">
        <v>69</v>
      </c>
      <c r="L570">
        <v>8329.39</v>
      </c>
      <c r="M570">
        <v>40</v>
      </c>
      <c r="N570" s="10" t="s">
        <v>27</v>
      </c>
      <c r="O570" s="10" t="s">
        <v>75</v>
      </c>
      <c r="P570" s="13">
        <v>45187.543749999997</v>
      </c>
      <c r="Q570" t="s">
        <v>1895</v>
      </c>
    </row>
    <row r="571" spans="1:17">
      <c r="A571" s="8" t="s">
        <v>1896</v>
      </c>
      <c r="B571" s="8">
        <v>43433510</v>
      </c>
      <c r="C571" t="s">
        <v>456</v>
      </c>
      <c r="D571" t="s">
        <v>1897</v>
      </c>
      <c r="E571" t="s">
        <v>20</v>
      </c>
      <c r="F571" t="s">
        <v>523</v>
      </c>
      <c r="G571" t="s">
        <v>35</v>
      </c>
      <c r="H571" t="s">
        <v>23</v>
      </c>
      <c r="I571" t="s">
        <v>127</v>
      </c>
      <c r="J571" t="s">
        <v>38</v>
      </c>
      <c r="K571" t="s">
        <v>69</v>
      </c>
      <c r="L571">
        <v>1013.21</v>
      </c>
      <c r="M571">
        <v>70</v>
      </c>
      <c r="N571" s="11" t="s">
        <v>39</v>
      </c>
      <c r="O571" s="11" t="s">
        <v>48</v>
      </c>
      <c r="P571" s="14">
        <v>45934.615972222222</v>
      </c>
      <c r="Q571" t="s">
        <v>1898</v>
      </c>
    </row>
    <row r="572" spans="1:17">
      <c r="A572" s="8" t="s">
        <v>1899</v>
      </c>
      <c r="B572" s="8">
        <v>93302571</v>
      </c>
      <c r="C572" t="s">
        <v>1900</v>
      </c>
      <c r="D572" t="s">
        <v>244</v>
      </c>
      <c r="E572" t="s">
        <v>20</v>
      </c>
      <c r="F572" t="s">
        <v>34</v>
      </c>
      <c r="G572" t="s">
        <v>44</v>
      </c>
      <c r="H572" t="s">
        <v>62</v>
      </c>
      <c r="I572" t="s">
        <v>55</v>
      </c>
      <c r="J572" t="s">
        <v>38</v>
      </c>
      <c r="K572" t="s">
        <v>63</v>
      </c>
      <c r="L572">
        <v>1814.23</v>
      </c>
      <c r="M572">
        <v>54</v>
      </c>
      <c r="N572" s="10" t="s">
        <v>86</v>
      </c>
      <c r="O572" s="10" t="s">
        <v>48</v>
      </c>
      <c r="P572" s="13">
        <v>44377.261111111111</v>
      </c>
      <c r="Q572" t="s">
        <v>1901</v>
      </c>
    </row>
    <row r="573" spans="1:17">
      <c r="A573" s="8" t="s">
        <v>1902</v>
      </c>
      <c r="B573" s="8">
        <v>13393520</v>
      </c>
      <c r="C573" t="s">
        <v>307</v>
      </c>
      <c r="D573" t="s">
        <v>342</v>
      </c>
      <c r="E573" t="s">
        <v>20</v>
      </c>
      <c r="F573" t="s">
        <v>523</v>
      </c>
      <c r="G573" t="s">
        <v>44</v>
      </c>
      <c r="H573" t="s">
        <v>54</v>
      </c>
      <c r="I573" t="s">
        <v>37</v>
      </c>
      <c r="J573" t="s">
        <v>56</v>
      </c>
      <c r="K573" t="s">
        <v>69</v>
      </c>
      <c r="L573">
        <v>1625.1</v>
      </c>
      <c r="M573">
        <v>34</v>
      </c>
      <c r="N573" s="11" t="s">
        <v>57</v>
      </c>
      <c r="O573" s="11" t="s">
        <v>81</v>
      </c>
      <c r="P573" s="14">
        <v>44966.784722222219</v>
      </c>
      <c r="Q573" t="s">
        <v>1903</v>
      </c>
    </row>
    <row r="574" spans="1:17">
      <c r="A574" s="8" t="s">
        <v>1904</v>
      </c>
      <c r="B574" s="8">
        <v>53827193</v>
      </c>
      <c r="C574" t="s">
        <v>1905</v>
      </c>
      <c r="D574" t="s">
        <v>995</v>
      </c>
      <c r="E574" t="s">
        <v>20</v>
      </c>
      <c r="F574" t="s">
        <v>22</v>
      </c>
      <c r="G574" t="s">
        <v>92</v>
      </c>
      <c r="H574" t="s">
        <v>54</v>
      </c>
      <c r="I574" t="s">
        <v>54</v>
      </c>
      <c r="J574" t="s">
        <v>25</v>
      </c>
      <c r="K574" t="s">
        <v>46</v>
      </c>
      <c r="L574">
        <v>4250.8</v>
      </c>
      <c r="M574">
        <v>18</v>
      </c>
      <c r="N574" s="10" t="s">
        <v>27</v>
      </c>
      <c r="O574" s="10" t="s">
        <v>28</v>
      </c>
      <c r="P574" s="13">
        <v>45914.670138888891</v>
      </c>
      <c r="Q574" t="s">
        <v>1906</v>
      </c>
    </row>
    <row r="575" spans="1:17">
      <c r="A575" s="8" t="s">
        <v>1907</v>
      </c>
      <c r="B575" s="8">
        <v>41542991</v>
      </c>
      <c r="C575" t="s">
        <v>61</v>
      </c>
      <c r="D575" t="s">
        <v>601</v>
      </c>
      <c r="E575" t="s">
        <v>20</v>
      </c>
      <c r="F575" t="s">
        <v>92</v>
      </c>
      <c r="G575" t="s">
        <v>34</v>
      </c>
      <c r="H575" t="s">
        <v>36</v>
      </c>
      <c r="I575" t="s">
        <v>68</v>
      </c>
      <c r="J575" t="s">
        <v>56</v>
      </c>
      <c r="K575" t="s">
        <v>46</v>
      </c>
      <c r="L575">
        <v>2333.21</v>
      </c>
      <c r="M575">
        <v>68</v>
      </c>
      <c r="N575" s="11" t="s">
        <v>86</v>
      </c>
      <c r="O575" s="11" t="s">
        <v>48</v>
      </c>
      <c r="P575" s="14">
        <v>45871.427083333336</v>
      </c>
      <c r="Q575" t="s">
        <v>1908</v>
      </c>
    </row>
    <row r="576" spans="1:17">
      <c r="A576" s="8" t="s">
        <v>1909</v>
      </c>
      <c r="B576" s="8">
        <v>96288920</v>
      </c>
      <c r="C576" t="s">
        <v>1910</v>
      </c>
      <c r="D576" t="s">
        <v>1911</v>
      </c>
      <c r="E576" t="s">
        <v>33</v>
      </c>
      <c r="F576" t="s">
        <v>121</v>
      </c>
      <c r="G576" t="s">
        <v>121</v>
      </c>
      <c r="H576" t="s">
        <v>54</v>
      </c>
      <c r="I576" t="s">
        <v>37</v>
      </c>
      <c r="J576" t="s">
        <v>38</v>
      </c>
      <c r="K576" t="s">
        <v>46</v>
      </c>
      <c r="L576">
        <v>5943.17</v>
      </c>
      <c r="M576">
        <v>62</v>
      </c>
      <c r="N576" s="10" t="s">
        <v>27</v>
      </c>
      <c r="O576" s="10" t="s">
        <v>75</v>
      </c>
      <c r="P576" s="13">
        <v>44269.298611111109</v>
      </c>
      <c r="Q576" t="s">
        <v>1912</v>
      </c>
    </row>
    <row r="577" spans="1:17">
      <c r="A577" s="8" t="s">
        <v>1913</v>
      </c>
      <c r="B577" s="8">
        <v>75963322</v>
      </c>
      <c r="C577" t="s">
        <v>1350</v>
      </c>
      <c r="D577" t="s">
        <v>331</v>
      </c>
      <c r="E577" t="s">
        <v>20</v>
      </c>
      <c r="F577" t="s">
        <v>34</v>
      </c>
      <c r="G577" t="s">
        <v>98</v>
      </c>
      <c r="H577" t="s">
        <v>68</v>
      </c>
      <c r="I577" t="s">
        <v>23</v>
      </c>
      <c r="J577" t="s">
        <v>38</v>
      </c>
      <c r="K577" t="s">
        <v>63</v>
      </c>
      <c r="L577">
        <v>4228.4399999999996</v>
      </c>
      <c r="M577">
        <v>21</v>
      </c>
      <c r="N577" s="11" t="s">
        <v>27</v>
      </c>
      <c r="O577" s="11" t="s">
        <v>75</v>
      </c>
      <c r="P577" s="14">
        <v>45583.267361111109</v>
      </c>
      <c r="Q577" t="s">
        <v>1914</v>
      </c>
    </row>
    <row r="578" spans="1:17">
      <c r="A578" s="8" t="s">
        <v>1915</v>
      </c>
      <c r="B578" s="8">
        <v>97303617</v>
      </c>
      <c r="C578" t="s">
        <v>1916</v>
      </c>
      <c r="D578" t="s">
        <v>1917</v>
      </c>
      <c r="E578" t="s">
        <v>20</v>
      </c>
      <c r="F578" t="s">
        <v>45</v>
      </c>
      <c r="G578" t="s">
        <v>45</v>
      </c>
      <c r="H578" t="s">
        <v>23</v>
      </c>
      <c r="I578" t="s">
        <v>127</v>
      </c>
      <c r="J578" t="s">
        <v>38</v>
      </c>
      <c r="K578" t="s">
        <v>26</v>
      </c>
      <c r="L578">
        <v>3010.14</v>
      </c>
      <c r="M578">
        <v>79</v>
      </c>
      <c r="N578" s="10" t="s">
        <v>27</v>
      </c>
      <c r="O578" s="10" t="s">
        <v>75</v>
      </c>
      <c r="P578" s="13">
        <v>45446.972916666666</v>
      </c>
      <c r="Q578" t="s">
        <v>1918</v>
      </c>
    </row>
    <row r="579" spans="1:17">
      <c r="A579" s="8" t="s">
        <v>1919</v>
      </c>
      <c r="B579" s="8">
        <v>39099216</v>
      </c>
      <c r="C579" t="s">
        <v>146</v>
      </c>
      <c r="D579" t="s">
        <v>1022</v>
      </c>
      <c r="E579" t="s">
        <v>20</v>
      </c>
      <c r="F579" t="s">
        <v>523</v>
      </c>
      <c r="G579" t="s">
        <v>34</v>
      </c>
      <c r="H579" t="s">
        <v>68</v>
      </c>
      <c r="I579" t="s">
        <v>36</v>
      </c>
      <c r="J579" t="s">
        <v>38</v>
      </c>
      <c r="K579" t="s">
        <v>26</v>
      </c>
      <c r="L579">
        <v>13813.08</v>
      </c>
      <c r="M579">
        <v>82</v>
      </c>
      <c r="N579" s="11" t="s">
        <v>39</v>
      </c>
      <c r="O579" s="11" t="s">
        <v>75</v>
      </c>
      <c r="P579" s="14">
        <v>45680.770833333336</v>
      </c>
      <c r="Q579" t="s">
        <v>1920</v>
      </c>
    </row>
    <row r="580" spans="1:17">
      <c r="A580" s="8" t="s">
        <v>1921</v>
      </c>
      <c r="B580" s="8">
        <v>10001272</v>
      </c>
      <c r="C580" t="s">
        <v>102</v>
      </c>
      <c r="D580" t="s">
        <v>1809</v>
      </c>
      <c r="E580" t="s">
        <v>20</v>
      </c>
      <c r="F580" t="s">
        <v>91</v>
      </c>
      <c r="G580" t="s">
        <v>35</v>
      </c>
      <c r="H580" t="s">
        <v>23</v>
      </c>
      <c r="I580" t="s">
        <v>62</v>
      </c>
      <c r="J580" t="s">
        <v>25</v>
      </c>
      <c r="K580" t="s">
        <v>69</v>
      </c>
      <c r="L580">
        <v>6268.13</v>
      </c>
      <c r="M580">
        <v>49</v>
      </c>
      <c r="N580" s="10" t="s">
        <v>86</v>
      </c>
      <c r="O580" s="10" t="s">
        <v>75</v>
      </c>
      <c r="P580" s="13">
        <v>45431.402777777781</v>
      </c>
      <c r="Q580" t="s">
        <v>1922</v>
      </c>
    </row>
    <row r="581" spans="1:17">
      <c r="A581" s="8" t="s">
        <v>1923</v>
      </c>
      <c r="B581" s="8">
        <v>95457740</v>
      </c>
      <c r="C581" t="s">
        <v>232</v>
      </c>
      <c r="D581" t="s">
        <v>1924</v>
      </c>
      <c r="E581" t="s">
        <v>20</v>
      </c>
      <c r="F581" t="s">
        <v>686</v>
      </c>
      <c r="G581" t="s">
        <v>21</v>
      </c>
      <c r="H581" t="s">
        <v>37</v>
      </c>
      <c r="I581" t="s">
        <v>36</v>
      </c>
      <c r="J581" t="s">
        <v>38</v>
      </c>
      <c r="K581" t="s">
        <v>69</v>
      </c>
      <c r="L581">
        <v>4058.3</v>
      </c>
      <c r="M581">
        <v>51</v>
      </c>
      <c r="N581" s="11" t="s">
        <v>27</v>
      </c>
      <c r="O581" s="11" t="s">
        <v>81</v>
      </c>
      <c r="P581" s="14">
        <v>45494.140277777777</v>
      </c>
      <c r="Q581" t="s">
        <v>1925</v>
      </c>
    </row>
    <row r="582" spans="1:17">
      <c r="A582" s="8" t="s">
        <v>1926</v>
      </c>
      <c r="B582" s="8">
        <v>65354646</v>
      </c>
      <c r="C582" t="s">
        <v>1050</v>
      </c>
      <c r="D582" t="s">
        <v>618</v>
      </c>
      <c r="E582" t="s">
        <v>20</v>
      </c>
      <c r="F582" t="s">
        <v>35</v>
      </c>
      <c r="G582" t="s">
        <v>53</v>
      </c>
      <c r="H582" t="s">
        <v>23</v>
      </c>
      <c r="I582" t="s">
        <v>37</v>
      </c>
      <c r="J582" t="s">
        <v>74</v>
      </c>
      <c r="K582" t="s">
        <v>26</v>
      </c>
      <c r="L582">
        <v>10348.23</v>
      </c>
      <c r="M582">
        <v>56</v>
      </c>
      <c r="N582" s="10" t="s">
        <v>86</v>
      </c>
      <c r="O582" s="10" t="s">
        <v>28</v>
      </c>
      <c r="P582" s="13">
        <v>44137.591666666667</v>
      </c>
      <c r="Q582" t="s">
        <v>1927</v>
      </c>
    </row>
    <row r="583" spans="1:17">
      <c r="A583" s="8" t="s">
        <v>1928</v>
      </c>
      <c r="B583" s="8">
        <v>71237842</v>
      </c>
      <c r="C583" t="s">
        <v>593</v>
      </c>
      <c r="D583" t="s">
        <v>865</v>
      </c>
      <c r="E583" t="s">
        <v>20</v>
      </c>
      <c r="F583" t="s">
        <v>34</v>
      </c>
      <c r="G583" t="s">
        <v>22</v>
      </c>
      <c r="H583" t="s">
        <v>68</v>
      </c>
      <c r="I583" t="s">
        <v>36</v>
      </c>
      <c r="J583" t="s">
        <v>56</v>
      </c>
      <c r="K583" t="s">
        <v>69</v>
      </c>
      <c r="L583">
        <v>7017.59</v>
      </c>
      <c r="M583">
        <v>43</v>
      </c>
      <c r="N583" s="11" t="s">
        <v>57</v>
      </c>
      <c r="O583" s="11" t="s">
        <v>75</v>
      </c>
      <c r="P583" s="14">
        <v>44449.042361111111</v>
      </c>
      <c r="Q583" t="s">
        <v>1929</v>
      </c>
    </row>
    <row r="584" spans="1:17">
      <c r="A584" s="8" t="s">
        <v>1930</v>
      </c>
      <c r="B584" s="8">
        <v>28473928</v>
      </c>
      <c r="C584" t="s">
        <v>1686</v>
      </c>
      <c r="D584" t="s">
        <v>790</v>
      </c>
      <c r="E584" t="s">
        <v>20</v>
      </c>
      <c r="F584" t="s">
        <v>98</v>
      </c>
      <c r="G584" t="s">
        <v>45</v>
      </c>
      <c r="H584" t="s">
        <v>23</v>
      </c>
      <c r="I584" t="s">
        <v>93</v>
      </c>
      <c r="J584" t="s">
        <v>38</v>
      </c>
      <c r="K584" t="s">
        <v>69</v>
      </c>
      <c r="L584">
        <v>8107.76</v>
      </c>
      <c r="M584">
        <v>51</v>
      </c>
      <c r="N584" s="10" t="s">
        <v>47</v>
      </c>
      <c r="O584" s="10" t="s">
        <v>48</v>
      </c>
      <c r="P584" s="13">
        <v>44963.630555555559</v>
      </c>
      <c r="Q584" t="s">
        <v>1931</v>
      </c>
    </row>
    <row r="585" spans="1:17">
      <c r="A585" s="8" t="s">
        <v>1932</v>
      </c>
      <c r="B585" s="8">
        <v>10542306</v>
      </c>
      <c r="C585" t="s">
        <v>1933</v>
      </c>
      <c r="D585" t="s">
        <v>1045</v>
      </c>
      <c r="E585" t="s">
        <v>20</v>
      </c>
      <c r="F585" t="s">
        <v>22</v>
      </c>
      <c r="G585" t="s">
        <v>121</v>
      </c>
      <c r="H585" t="s">
        <v>37</v>
      </c>
      <c r="I585" t="s">
        <v>36</v>
      </c>
      <c r="J585" t="s">
        <v>103</v>
      </c>
      <c r="K585" t="s">
        <v>63</v>
      </c>
      <c r="L585">
        <v>14054.55</v>
      </c>
      <c r="M585">
        <v>71</v>
      </c>
      <c r="N585" s="11" t="s">
        <v>27</v>
      </c>
      <c r="O585" s="11" t="s">
        <v>81</v>
      </c>
      <c r="P585" s="14">
        <v>45226.523611111108</v>
      </c>
      <c r="Q585" t="s">
        <v>1934</v>
      </c>
    </row>
    <row r="586" spans="1:17">
      <c r="A586" s="8" t="s">
        <v>1935</v>
      </c>
      <c r="B586" s="8">
        <v>35277376</v>
      </c>
      <c r="C586" t="s">
        <v>1404</v>
      </c>
      <c r="D586" t="s">
        <v>1479</v>
      </c>
      <c r="E586" t="s">
        <v>20</v>
      </c>
      <c r="F586" t="s">
        <v>35</v>
      </c>
      <c r="G586" t="s">
        <v>44</v>
      </c>
      <c r="H586" t="s">
        <v>37</v>
      </c>
      <c r="I586" t="s">
        <v>24</v>
      </c>
      <c r="J586" t="s">
        <v>74</v>
      </c>
      <c r="K586" t="s">
        <v>63</v>
      </c>
      <c r="L586">
        <v>9577.35</v>
      </c>
      <c r="M586">
        <v>20</v>
      </c>
      <c r="N586" s="10" t="s">
        <v>47</v>
      </c>
      <c r="O586" s="10" t="s">
        <v>28</v>
      </c>
      <c r="P586" s="13">
        <v>46235.341666666667</v>
      </c>
      <c r="Q586" t="s">
        <v>1936</v>
      </c>
    </row>
    <row r="587" spans="1:17">
      <c r="A587" s="8" t="s">
        <v>1937</v>
      </c>
      <c r="B587" s="8">
        <v>0</v>
      </c>
      <c r="C587" t="s">
        <v>1505</v>
      </c>
      <c r="D587" t="s">
        <v>1938</v>
      </c>
      <c r="E587" t="s">
        <v>20</v>
      </c>
      <c r="F587" t="s">
        <v>53</v>
      </c>
      <c r="G587" t="s">
        <v>34</v>
      </c>
      <c r="H587" t="s">
        <v>93</v>
      </c>
      <c r="I587" t="s">
        <v>54</v>
      </c>
      <c r="J587" t="s">
        <v>38</v>
      </c>
      <c r="K587" t="s">
        <v>63</v>
      </c>
      <c r="L587">
        <v>637.70000000000005</v>
      </c>
      <c r="M587">
        <v>67</v>
      </c>
      <c r="N587" s="11" t="s">
        <v>39</v>
      </c>
      <c r="O587" s="11" t="s">
        <v>28</v>
      </c>
      <c r="P587" s="14">
        <v>46059.854861111111</v>
      </c>
      <c r="Q587" t="s">
        <v>1939</v>
      </c>
    </row>
    <row r="588" spans="1:17">
      <c r="A588" s="8" t="s">
        <v>1940</v>
      </c>
      <c r="B588" s="8">
        <v>88802545</v>
      </c>
      <c r="C588" t="s">
        <v>1469</v>
      </c>
      <c r="D588" t="s">
        <v>1505</v>
      </c>
      <c r="E588" t="s">
        <v>20</v>
      </c>
      <c r="F588" t="s">
        <v>112</v>
      </c>
      <c r="G588" t="s">
        <v>92</v>
      </c>
      <c r="H588" t="s">
        <v>23</v>
      </c>
      <c r="I588" t="s">
        <v>127</v>
      </c>
      <c r="J588" t="s">
        <v>25</v>
      </c>
      <c r="K588" t="s">
        <v>26</v>
      </c>
      <c r="L588">
        <v>10866.94</v>
      </c>
      <c r="M588">
        <v>29</v>
      </c>
      <c r="N588" s="10" t="s">
        <v>86</v>
      </c>
      <c r="O588" s="10" t="s">
        <v>81</v>
      </c>
      <c r="P588" s="13">
        <v>45210.897916666669</v>
      </c>
      <c r="Q588" t="s">
        <v>1941</v>
      </c>
    </row>
    <row r="589" spans="1:17">
      <c r="A589" s="8" t="s">
        <v>1942</v>
      </c>
      <c r="B589" s="8">
        <v>39065567</v>
      </c>
      <c r="C589" t="s">
        <v>1943</v>
      </c>
      <c r="D589" t="s">
        <v>18</v>
      </c>
      <c r="E589" t="s">
        <v>20</v>
      </c>
      <c r="F589" t="s">
        <v>116</v>
      </c>
      <c r="G589" t="s">
        <v>45</v>
      </c>
      <c r="H589" t="s">
        <v>36</v>
      </c>
      <c r="I589" t="s">
        <v>36</v>
      </c>
      <c r="J589" t="s">
        <v>38</v>
      </c>
      <c r="K589" t="s">
        <v>63</v>
      </c>
      <c r="L589">
        <v>5828.79</v>
      </c>
      <c r="M589">
        <v>82</v>
      </c>
      <c r="N589" s="11" t="s">
        <v>27</v>
      </c>
      <c r="O589" s="11" t="s">
        <v>28</v>
      </c>
      <c r="P589" s="14">
        <v>45530.331944444442</v>
      </c>
      <c r="Q589" t="s">
        <v>1944</v>
      </c>
    </row>
    <row r="590" spans="1:17">
      <c r="A590" s="8" t="s">
        <v>1945</v>
      </c>
      <c r="B590" s="8">
        <v>54481849</v>
      </c>
      <c r="C590" t="s">
        <v>761</v>
      </c>
      <c r="D590" t="s">
        <v>290</v>
      </c>
      <c r="E590" t="s">
        <v>20</v>
      </c>
      <c r="F590" t="s">
        <v>35</v>
      </c>
      <c r="G590" t="s">
        <v>121</v>
      </c>
      <c r="H590" t="s">
        <v>24</v>
      </c>
      <c r="I590" t="s">
        <v>55</v>
      </c>
      <c r="J590" t="s">
        <v>74</v>
      </c>
      <c r="K590" t="s">
        <v>26</v>
      </c>
      <c r="L590">
        <v>667.68</v>
      </c>
      <c r="M590">
        <v>71</v>
      </c>
      <c r="N590" s="10" t="s">
        <v>47</v>
      </c>
      <c r="O590" s="10" t="s">
        <v>48</v>
      </c>
      <c r="P590" s="13">
        <v>45946.365972222222</v>
      </c>
      <c r="Q590" t="s">
        <v>1946</v>
      </c>
    </row>
    <row r="591" spans="1:17">
      <c r="A591" s="8" t="s">
        <v>1947</v>
      </c>
      <c r="B591" s="8">
        <v>28683820</v>
      </c>
      <c r="C591" t="s">
        <v>264</v>
      </c>
      <c r="D591" t="s">
        <v>764</v>
      </c>
      <c r="E591" t="s">
        <v>20</v>
      </c>
      <c r="F591" t="s">
        <v>44</v>
      </c>
      <c r="G591" t="s">
        <v>34</v>
      </c>
      <c r="H591" t="s">
        <v>55</v>
      </c>
      <c r="I591" t="s">
        <v>54</v>
      </c>
      <c r="J591" t="s">
        <v>38</v>
      </c>
      <c r="K591" t="s">
        <v>69</v>
      </c>
      <c r="L591">
        <v>6285.18</v>
      </c>
      <c r="M591">
        <v>22</v>
      </c>
      <c r="N591" s="11" t="s">
        <v>86</v>
      </c>
      <c r="O591" s="11" t="s">
        <v>75</v>
      </c>
      <c r="P591" s="14">
        <v>46170.067361111112</v>
      </c>
      <c r="Q591" t="s">
        <v>1948</v>
      </c>
    </row>
    <row r="592" spans="1:17">
      <c r="A592" s="8" t="s">
        <v>1949</v>
      </c>
      <c r="B592" s="8">
        <v>42646040</v>
      </c>
      <c r="C592" t="s">
        <v>1088</v>
      </c>
      <c r="D592" t="s">
        <v>1950</v>
      </c>
      <c r="E592" t="s">
        <v>20</v>
      </c>
      <c r="F592" t="s">
        <v>523</v>
      </c>
      <c r="G592" t="s">
        <v>35</v>
      </c>
      <c r="H592" t="s">
        <v>37</v>
      </c>
      <c r="I592" t="s">
        <v>54</v>
      </c>
      <c r="J592" t="s">
        <v>103</v>
      </c>
      <c r="K592" t="s">
        <v>26</v>
      </c>
      <c r="L592">
        <v>1011.62</v>
      </c>
      <c r="M592">
        <v>74</v>
      </c>
      <c r="N592" s="10" t="s">
        <v>47</v>
      </c>
      <c r="O592" s="10" t="s">
        <v>81</v>
      </c>
      <c r="P592" s="13">
        <v>44011.902083333334</v>
      </c>
      <c r="Q592" t="s">
        <v>1951</v>
      </c>
    </row>
    <row r="593" spans="1:17">
      <c r="A593" s="8" t="s">
        <v>1952</v>
      </c>
      <c r="B593" s="8">
        <v>11632815</v>
      </c>
      <c r="C593" t="s">
        <v>1662</v>
      </c>
      <c r="D593" t="s">
        <v>1445</v>
      </c>
      <c r="E593" t="s">
        <v>20</v>
      </c>
      <c r="F593" t="s">
        <v>80</v>
      </c>
      <c r="G593" t="s">
        <v>53</v>
      </c>
      <c r="H593" t="s">
        <v>127</v>
      </c>
      <c r="I593" t="s">
        <v>36</v>
      </c>
      <c r="J593" t="s">
        <v>74</v>
      </c>
      <c r="K593" t="s">
        <v>46</v>
      </c>
      <c r="L593">
        <v>7126.65</v>
      </c>
      <c r="M593">
        <v>34</v>
      </c>
      <c r="N593" s="11" t="s">
        <v>39</v>
      </c>
      <c r="O593" s="11" t="s">
        <v>48</v>
      </c>
      <c r="P593" s="14">
        <v>46312.194444444445</v>
      </c>
      <c r="Q593" t="s">
        <v>1953</v>
      </c>
    </row>
    <row r="594" spans="1:17">
      <c r="A594" s="8" t="s">
        <v>1954</v>
      </c>
      <c r="B594" s="8">
        <v>29515608</v>
      </c>
      <c r="C594" t="s">
        <v>139</v>
      </c>
      <c r="D594" t="s">
        <v>1955</v>
      </c>
      <c r="E594" t="s">
        <v>20</v>
      </c>
      <c r="F594" t="s">
        <v>35</v>
      </c>
      <c r="G594" t="s">
        <v>116</v>
      </c>
      <c r="H594" t="s">
        <v>24</v>
      </c>
      <c r="I594" t="s">
        <v>54</v>
      </c>
      <c r="J594" t="s">
        <v>103</v>
      </c>
      <c r="K594" t="s">
        <v>26</v>
      </c>
      <c r="L594">
        <v>904.5</v>
      </c>
      <c r="M594">
        <v>64</v>
      </c>
      <c r="N594" s="10" t="s">
        <v>39</v>
      </c>
      <c r="O594" s="10" t="s">
        <v>28</v>
      </c>
      <c r="P594" s="13">
        <v>45318.027777777781</v>
      </c>
      <c r="Q594" t="s">
        <v>1956</v>
      </c>
    </row>
    <row r="595" spans="1:17">
      <c r="A595" s="8" t="s">
        <v>1957</v>
      </c>
      <c r="B595" s="8">
        <v>27089453</v>
      </c>
      <c r="C595" t="s">
        <v>1958</v>
      </c>
      <c r="D595" t="s">
        <v>1872</v>
      </c>
      <c r="E595" t="s">
        <v>20</v>
      </c>
      <c r="F595" t="s">
        <v>45</v>
      </c>
      <c r="G595" t="s">
        <v>45</v>
      </c>
      <c r="H595" t="s">
        <v>62</v>
      </c>
      <c r="I595" t="s">
        <v>62</v>
      </c>
      <c r="J595" t="s">
        <v>25</v>
      </c>
      <c r="K595" t="s">
        <v>26</v>
      </c>
      <c r="L595">
        <v>1004.35</v>
      </c>
      <c r="M595">
        <v>40</v>
      </c>
      <c r="N595" s="11" t="s">
        <v>86</v>
      </c>
      <c r="O595" s="11" t="s">
        <v>48</v>
      </c>
      <c r="P595" s="14">
        <v>44744.412499999999</v>
      </c>
      <c r="Q595" t="s">
        <v>1959</v>
      </c>
    </row>
    <row r="596" spans="1:17">
      <c r="A596" s="8" t="s">
        <v>1960</v>
      </c>
      <c r="B596" s="8">
        <v>53900976</v>
      </c>
      <c r="C596" t="s">
        <v>314</v>
      </c>
      <c r="D596" t="s">
        <v>771</v>
      </c>
      <c r="E596" t="s">
        <v>20</v>
      </c>
      <c r="F596" t="s">
        <v>92</v>
      </c>
      <c r="G596" t="s">
        <v>22</v>
      </c>
      <c r="H596" t="s">
        <v>23</v>
      </c>
      <c r="I596" t="s">
        <v>36</v>
      </c>
      <c r="J596" t="s">
        <v>74</v>
      </c>
      <c r="K596" t="s">
        <v>26</v>
      </c>
      <c r="L596">
        <v>5062.76</v>
      </c>
      <c r="M596">
        <v>31</v>
      </c>
      <c r="N596" s="10" t="s">
        <v>39</v>
      </c>
      <c r="O596" s="10" t="s">
        <v>75</v>
      </c>
      <c r="P596" s="13">
        <v>45388.148611111108</v>
      </c>
      <c r="Q596" t="s">
        <v>1961</v>
      </c>
    </row>
    <row r="597" spans="1:17">
      <c r="A597" s="8" t="s">
        <v>1962</v>
      </c>
      <c r="B597" s="8">
        <v>42133709</v>
      </c>
      <c r="C597" t="s">
        <v>1216</v>
      </c>
      <c r="D597" t="s">
        <v>1963</v>
      </c>
      <c r="E597" t="s">
        <v>20</v>
      </c>
      <c r="F597" t="s">
        <v>34</v>
      </c>
      <c r="G597" t="s">
        <v>98</v>
      </c>
      <c r="H597" t="s">
        <v>68</v>
      </c>
      <c r="I597" t="s">
        <v>93</v>
      </c>
      <c r="J597" t="s">
        <v>38</v>
      </c>
      <c r="K597" t="s">
        <v>26</v>
      </c>
      <c r="L597">
        <v>12035.64</v>
      </c>
      <c r="M597">
        <v>83</v>
      </c>
      <c r="N597" s="11" t="s">
        <v>57</v>
      </c>
      <c r="O597" s="11" t="s">
        <v>48</v>
      </c>
      <c r="P597" s="14">
        <v>45944.406944444447</v>
      </c>
      <c r="Q597" t="s">
        <v>1964</v>
      </c>
    </row>
    <row r="598" spans="1:17">
      <c r="A598" s="8" t="s">
        <v>1965</v>
      </c>
      <c r="B598" s="8">
        <v>49119248</v>
      </c>
      <c r="C598" t="s">
        <v>1966</v>
      </c>
      <c r="D598" t="s">
        <v>1967</v>
      </c>
      <c r="E598" t="s">
        <v>20</v>
      </c>
      <c r="F598" t="s">
        <v>34</v>
      </c>
      <c r="G598" t="s">
        <v>21</v>
      </c>
      <c r="H598" t="s">
        <v>55</v>
      </c>
      <c r="I598" t="s">
        <v>37</v>
      </c>
      <c r="J598" t="s">
        <v>38</v>
      </c>
      <c r="K598" t="s">
        <v>26</v>
      </c>
      <c r="L598">
        <v>8065.76</v>
      </c>
      <c r="M598">
        <v>68</v>
      </c>
      <c r="N598" s="10" t="s">
        <v>47</v>
      </c>
      <c r="O598" s="10" t="s">
        <v>75</v>
      </c>
      <c r="P598" s="13">
        <v>44875.425694444442</v>
      </c>
      <c r="Q598" t="s">
        <v>1968</v>
      </c>
    </row>
    <row r="599" spans="1:17">
      <c r="A599" s="8" t="s">
        <v>1969</v>
      </c>
      <c r="B599" s="8">
        <v>76445238</v>
      </c>
      <c r="C599" t="s">
        <v>1970</v>
      </c>
      <c r="D599" t="s">
        <v>1971</v>
      </c>
      <c r="E599" t="s">
        <v>20</v>
      </c>
      <c r="F599" t="s">
        <v>98</v>
      </c>
      <c r="G599" t="s">
        <v>116</v>
      </c>
      <c r="H599" t="s">
        <v>127</v>
      </c>
      <c r="I599" t="s">
        <v>24</v>
      </c>
      <c r="J599" t="s">
        <v>25</v>
      </c>
      <c r="K599" t="s">
        <v>26</v>
      </c>
      <c r="L599">
        <v>6563.21</v>
      </c>
      <c r="M599">
        <v>55</v>
      </c>
      <c r="N599" s="11" t="s">
        <v>57</v>
      </c>
      <c r="O599" s="11" t="s">
        <v>28</v>
      </c>
      <c r="P599" s="14">
        <v>45466.21597222222</v>
      </c>
      <c r="Q599" t="s">
        <v>1972</v>
      </c>
    </row>
    <row r="600" spans="1:17">
      <c r="A600" s="8" t="s">
        <v>1973</v>
      </c>
      <c r="B600" s="8">
        <v>46025956</v>
      </c>
      <c r="C600" t="s">
        <v>244</v>
      </c>
      <c r="D600" t="s">
        <v>1801</v>
      </c>
      <c r="E600" t="s">
        <v>20</v>
      </c>
      <c r="F600" t="s">
        <v>160</v>
      </c>
      <c r="G600" t="s">
        <v>126</v>
      </c>
      <c r="H600" t="s">
        <v>24</v>
      </c>
      <c r="I600" t="s">
        <v>68</v>
      </c>
      <c r="J600" t="s">
        <v>38</v>
      </c>
      <c r="K600" t="s">
        <v>69</v>
      </c>
      <c r="L600">
        <v>4269.9799999999996</v>
      </c>
      <c r="M600">
        <v>81</v>
      </c>
      <c r="N600" s="10" t="s">
        <v>47</v>
      </c>
      <c r="O600" s="10" t="s">
        <v>48</v>
      </c>
      <c r="P600" s="13">
        <v>46262.511111111111</v>
      </c>
      <c r="Q600" t="s">
        <v>1974</v>
      </c>
    </row>
    <row r="601" spans="1:17">
      <c r="A601" s="8" t="s">
        <v>1975</v>
      </c>
      <c r="B601" s="8">
        <v>52509142</v>
      </c>
      <c r="C601" t="s">
        <v>143</v>
      </c>
      <c r="D601" t="s">
        <v>536</v>
      </c>
      <c r="E601" t="s">
        <v>20</v>
      </c>
      <c r="F601" t="s">
        <v>523</v>
      </c>
      <c r="G601" t="s">
        <v>121</v>
      </c>
      <c r="H601" t="s">
        <v>23</v>
      </c>
      <c r="I601" t="s">
        <v>23</v>
      </c>
      <c r="J601" t="s">
        <v>103</v>
      </c>
      <c r="K601" t="s">
        <v>26</v>
      </c>
      <c r="L601">
        <v>1877.2</v>
      </c>
      <c r="M601">
        <v>55</v>
      </c>
      <c r="N601" s="11" t="s">
        <v>47</v>
      </c>
      <c r="O601" s="11" t="s">
        <v>81</v>
      </c>
      <c r="P601" s="14">
        <v>45469.648611111108</v>
      </c>
      <c r="Q601" t="s">
        <v>1976</v>
      </c>
    </row>
    <row r="602" spans="1:17">
      <c r="A602" s="8" t="s">
        <v>1977</v>
      </c>
      <c r="B602" s="8">
        <v>68410653</v>
      </c>
      <c r="C602" t="s">
        <v>1978</v>
      </c>
      <c r="D602" t="s">
        <v>1979</v>
      </c>
      <c r="E602" t="s">
        <v>20</v>
      </c>
      <c r="F602" t="s">
        <v>121</v>
      </c>
      <c r="G602" t="s">
        <v>121</v>
      </c>
      <c r="H602" t="s">
        <v>93</v>
      </c>
      <c r="I602" t="s">
        <v>54</v>
      </c>
      <c r="J602" t="s">
        <v>38</v>
      </c>
      <c r="K602" t="s">
        <v>63</v>
      </c>
      <c r="L602">
        <v>11262.91</v>
      </c>
      <c r="M602">
        <v>67</v>
      </c>
      <c r="N602" s="10" t="s">
        <v>86</v>
      </c>
      <c r="O602" s="10" t="s">
        <v>75</v>
      </c>
      <c r="P602" s="13">
        <v>45413.048611111109</v>
      </c>
      <c r="Q602" t="s">
        <v>1980</v>
      </c>
    </row>
    <row r="603" spans="1:17">
      <c r="A603" s="8" t="s">
        <v>1981</v>
      </c>
      <c r="B603" s="8">
        <v>69349666</v>
      </c>
      <c r="C603" t="s">
        <v>1130</v>
      </c>
      <c r="D603" t="s">
        <v>995</v>
      </c>
      <c r="E603" t="s">
        <v>20</v>
      </c>
      <c r="F603" t="s">
        <v>116</v>
      </c>
      <c r="G603" t="s">
        <v>22</v>
      </c>
      <c r="H603" t="s">
        <v>62</v>
      </c>
      <c r="I603" t="s">
        <v>93</v>
      </c>
      <c r="J603" t="s">
        <v>103</v>
      </c>
      <c r="K603" t="s">
        <v>26</v>
      </c>
      <c r="L603">
        <v>10726.86</v>
      </c>
      <c r="M603">
        <v>47</v>
      </c>
      <c r="N603" s="11" t="s">
        <v>47</v>
      </c>
      <c r="O603" s="11" t="s">
        <v>81</v>
      </c>
      <c r="P603" s="14">
        <v>45917.334722222222</v>
      </c>
      <c r="Q603" t="s">
        <v>1982</v>
      </c>
    </row>
    <row r="604" spans="1:17">
      <c r="A604" s="8" t="s">
        <v>1983</v>
      </c>
      <c r="B604" s="8">
        <v>56329832</v>
      </c>
      <c r="C604" t="s">
        <v>326</v>
      </c>
      <c r="D604" t="s">
        <v>167</v>
      </c>
      <c r="E604" t="s">
        <v>20</v>
      </c>
      <c r="F604" t="s">
        <v>44</v>
      </c>
      <c r="G604" t="s">
        <v>92</v>
      </c>
      <c r="H604" t="s">
        <v>55</v>
      </c>
      <c r="I604" t="s">
        <v>127</v>
      </c>
      <c r="J604" t="s">
        <v>56</v>
      </c>
      <c r="K604" t="s">
        <v>26</v>
      </c>
      <c r="L604">
        <v>2536.44</v>
      </c>
      <c r="M604">
        <v>68</v>
      </c>
      <c r="N604" s="10" t="s">
        <v>27</v>
      </c>
      <c r="O604" s="10" t="s">
        <v>48</v>
      </c>
      <c r="P604" s="13">
        <v>45139.72152777778</v>
      </c>
      <c r="Q604" t="s">
        <v>1984</v>
      </c>
    </row>
    <row r="605" spans="1:17">
      <c r="A605" s="8" t="s">
        <v>1985</v>
      </c>
      <c r="B605" s="8">
        <v>43606927</v>
      </c>
      <c r="C605" t="s">
        <v>391</v>
      </c>
      <c r="D605" t="s">
        <v>1986</v>
      </c>
      <c r="E605" t="s">
        <v>33</v>
      </c>
      <c r="F605" t="s">
        <v>53</v>
      </c>
      <c r="G605" t="s">
        <v>21</v>
      </c>
      <c r="H605" t="s">
        <v>36</v>
      </c>
      <c r="I605" t="s">
        <v>127</v>
      </c>
      <c r="J605" t="s">
        <v>38</v>
      </c>
      <c r="K605" t="s">
        <v>69</v>
      </c>
      <c r="L605">
        <v>3484.92</v>
      </c>
      <c r="M605">
        <v>80</v>
      </c>
      <c r="N605" s="11" t="s">
        <v>86</v>
      </c>
      <c r="O605" s="11" t="s">
        <v>28</v>
      </c>
      <c r="P605" s="14">
        <v>44652.592361111114</v>
      </c>
      <c r="Q605" t="s">
        <v>1987</v>
      </c>
    </row>
    <row r="606" spans="1:17">
      <c r="A606" s="8" t="s">
        <v>1988</v>
      </c>
      <c r="B606" s="8">
        <v>0</v>
      </c>
      <c r="C606" t="s">
        <v>61</v>
      </c>
      <c r="D606" t="s">
        <v>1989</v>
      </c>
      <c r="E606" t="s">
        <v>20</v>
      </c>
      <c r="F606" t="s">
        <v>21</v>
      </c>
      <c r="G606" t="s">
        <v>98</v>
      </c>
      <c r="H606" t="s">
        <v>93</v>
      </c>
      <c r="I606" t="s">
        <v>23</v>
      </c>
      <c r="J606" t="s">
        <v>74</v>
      </c>
      <c r="K606" t="s">
        <v>26</v>
      </c>
      <c r="L606">
        <v>11805.76</v>
      </c>
      <c r="M606">
        <v>69</v>
      </c>
      <c r="N606" s="10" t="s">
        <v>57</v>
      </c>
      <c r="O606" s="10" t="s">
        <v>48</v>
      </c>
      <c r="P606" s="13">
        <v>44432.074999999997</v>
      </c>
      <c r="Q606" t="s">
        <v>1990</v>
      </c>
    </row>
    <row r="607" spans="1:17">
      <c r="A607" s="8" t="s">
        <v>1991</v>
      </c>
      <c r="B607" s="8">
        <v>27755795</v>
      </c>
      <c r="C607" t="s">
        <v>208</v>
      </c>
      <c r="D607" t="s">
        <v>1992</v>
      </c>
      <c r="E607" t="s">
        <v>20</v>
      </c>
      <c r="F607" t="s">
        <v>53</v>
      </c>
      <c r="G607" t="s">
        <v>44</v>
      </c>
      <c r="H607" t="s">
        <v>127</v>
      </c>
      <c r="I607" t="s">
        <v>24</v>
      </c>
      <c r="J607" t="s">
        <v>25</v>
      </c>
      <c r="K607" t="s">
        <v>69</v>
      </c>
      <c r="L607">
        <v>14743.02</v>
      </c>
      <c r="M607">
        <v>55</v>
      </c>
      <c r="N607" s="11" t="s">
        <v>47</v>
      </c>
      <c r="O607" s="11" t="s">
        <v>28</v>
      </c>
      <c r="P607" s="14">
        <v>45451.895833333336</v>
      </c>
      <c r="Q607" t="s">
        <v>1993</v>
      </c>
    </row>
    <row r="608" spans="1:17">
      <c r="A608" s="8" t="s">
        <v>1994</v>
      </c>
      <c r="B608" s="8">
        <v>96886282</v>
      </c>
      <c r="C608" t="s">
        <v>517</v>
      </c>
      <c r="D608" t="s">
        <v>1995</v>
      </c>
      <c r="E608" t="s">
        <v>20</v>
      </c>
      <c r="F608" t="s">
        <v>22</v>
      </c>
      <c r="G608" t="s">
        <v>523</v>
      </c>
      <c r="H608" t="s">
        <v>55</v>
      </c>
      <c r="I608" t="s">
        <v>54</v>
      </c>
      <c r="J608" t="s">
        <v>25</v>
      </c>
      <c r="K608" t="s">
        <v>26</v>
      </c>
      <c r="L608">
        <v>1110.52</v>
      </c>
      <c r="M608">
        <v>47</v>
      </c>
      <c r="N608" s="10" t="s">
        <v>57</v>
      </c>
      <c r="O608" s="10" t="s">
        <v>75</v>
      </c>
      <c r="P608" s="13">
        <v>44615.320138888892</v>
      </c>
      <c r="Q608" t="s">
        <v>1996</v>
      </c>
    </row>
    <row r="609" spans="1:17">
      <c r="A609" s="8" t="s">
        <v>1997</v>
      </c>
      <c r="B609" s="8">
        <v>68456858</v>
      </c>
      <c r="C609" t="s">
        <v>1998</v>
      </c>
      <c r="D609" t="s">
        <v>1205</v>
      </c>
      <c r="E609" t="s">
        <v>20</v>
      </c>
      <c r="F609" t="s">
        <v>116</v>
      </c>
      <c r="G609" t="s">
        <v>22</v>
      </c>
      <c r="H609" t="s">
        <v>93</v>
      </c>
      <c r="I609" t="s">
        <v>62</v>
      </c>
      <c r="J609" t="s">
        <v>56</v>
      </c>
      <c r="K609" t="s">
        <v>69</v>
      </c>
      <c r="L609">
        <v>7306.77</v>
      </c>
      <c r="M609">
        <v>68</v>
      </c>
      <c r="N609" s="11" t="s">
        <v>39</v>
      </c>
      <c r="O609" s="11" t="s">
        <v>81</v>
      </c>
      <c r="P609" s="14">
        <v>45042.728472222225</v>
      </c>
      <c r="Q609" t="s">
        <v>1999</v>
      </c>
    </row>
    <row r="610" spans="1:17">
      <c r="A610" s="8" t="s">
        <v>2000</v>
      </c>
      <c r="B610" s="8">
        <v>60202214</v>
      </c>
      <c r="C610" t="s">
        <v>282</v>
      </c>
      <c r="D610" t="s">
        <v>2001</v>
      </c>
      <c r="E610" t="s">
        <v>20</v>
      </c>
      <c r="F610" t="s">
        <v>180</v>
      </c>
      <c r="G610" t="s">
        <v>92</v>
      </c>
      <c r="H610" t="s">
        <v>62</v>
      </c>
      <c r="I610" t="s">
        <v>23</v>
      </c>
      <c r="J610" t="s">
        <v>56</v>
      </c>
      <c r="K610" t="s">
        <v>69</v>
      </c>
      <c r="L610">
        <v>5293.71</v>
      </c>
      <c r="M610">
        <v>22</v>
      </c>
      <c r="N610" s="10" t="s">
        <v>47</v>
      </c>
      <c r="O610" s="10" t="s">
        <v>75</v>
      </c>
      <c r="P610" s="13">
        <v>44501.754861111112</v>
      </c>
      <c r="Q610" t="s">
        <v>2002</v>
      </c>
    </row>
    <row r="611" spans="1:17">
      <c r="A611" s="8" t="s">
        <v>2003</v>
      </c>
      <c r="B611" s="8">
        <v>79939654</v>
      </c>
      <c r="C611" t="s">
        <v>693</v>
      </c>
      <c r="D611" t="s">
        <v>2004</v>
      </c>
      <c r="E611" t="s">
        <v>20</v>
      </c>
      <c r="F611" t="s">
        <v>116</v>
      </c>
      <c r="G611" t="s">
        <v>44</v>
      </c>
      <c r="H611" t="s">
        <v>36</v>
      </c>
      <c r="I611" t="s">
        <v>24</v>
      </c>
      <c r="J611" t="s">
        <v>56</v>
      </c>
      <c r="K611" t="s">
        <v>26</v>
      </c>
      <c r="L611">
        <v>6506.79</v>
      </c>
      <c r="M611">
        <v>46</v>
      </c>
      <c r="N611" s="11" t="s">
        <v>27</v>
      </c>
      <c r="O611" s="11" t="s">
        <v>28</v>
      </c>
      <c r="P611" s="14">
        <v>45097.3125</v>
      </c>
      <c r="Q611" t="s">
        <v>2005</v>
      </c>
    </row>
    <row r="612" spans="1:17">
      <c r="A612" s="8" t="s">
        <v>2006</v>
      </c>
      <c r="B612" s="8">
        <v>29087269</v>
      </c>
      <c r="C612" t="s">
        <v>2007</v>
      </c>
      <c r="D612" t="s">
        <v>2008</v>
      </c>
      <c r="E612" t="s">
        <v>20</v>
      </c>
      <c r="F612" t="s">
        <v>53</v>
      </c>
      <c r="G612" t="s">
        <v>160</v>
      </c>
      <c r="H612" t="s">
        <v>93</v>
      </c>
      <c r="I612" t="s">
        <v>54</v>
      </c>
      <c r="J612" t="s">
        <v>74</v>
      </c>
      <c r="K612" t="s">
        <v>26</v>
      </c>
      <c r="L612">
        <v>11994.08</v>
      </c>
      <c r="M612">
        <v>21</v>
      </c>
      <c r="N612" s="10" t="s">
        <v>47</v>
      </c>
      <c r="O612" s="10" t="s">
        <v>81</v>
      </c>
      <c r="P612" s="13">
        <v>44927.084722222222</v>
      </c>
      <c r="Q612" t="s">
        <v>2009</v>
      </c>
    </row>
    <row r="613" spans="1:17">
      <c r="A613" s="8" t="s">
        <v>2010</v>
      </c>
      <c r="B613" s="8">
        <v>32226983</v>
      </c>
      <c r="C613" t="s">
        <v>1242</v>
      </c>
      <c r="D613" t="s">
        <v>745</v>
      </c>
      <c r="E613" t="s">
        <v>20</v>
      </c>
      <c r="F613" t="s">
        <v>44</v>
      </c>
      <c r="G613" t="s">
        <v>34</v>
      </c>
      <c r="H613" t="s">
        <v>54</v>
      </c>
      <c r="I613" t="s">
        <v>93</v>
      </c>
      <c r="J613" t="s">
        <v>38</v>
      </c>
      <c r="K613" t="s">
        <v>63</v>
      </c>
      <c r="L613">
        <v>13338.66</v>
      </c>
      <c r="M613">
        <v>27</v>
      </c>
      <c r="N613" s="11" t="s">
        <v>57</v>
      </c>
      <c r="O613" s="11" t="s">
        <v>75</v>
      </c>
      <c r="P613" s="14">
        <v>46357.472916666666</v>
      </c>
      <c r="Q613" t="s">
        <v>2011</v>
      </c>
    </row>
    <row r="614" spans="1:17">
      <c r="A614" s="8" t="s">
        <v>2012</v>
      </c>
      <c r="B614" s="8">
        <v>12983015</v>
      </c>
      <c r="C614" t="s">
        <v>1346</v>
      </c>
      <c r="D614" t="s">
        <v>1483</v>
      </c>
      <c r="E614" t="s">
        <v>20</v>
      </c>
      <c r="F614" t="s">
        <v>53</v>
      </c>
      <c r="G614" t="s">
        <v>686</v>
      </c>
      <c r="H614" t="s">
        <v>36</v>
      </c>
      <c r="I614" t="s">
        <v>37</v>
      </c>
      <c r="J614" t="s">
        <v>103</v>
      </c>
      <c r="K614" t="s">
        <v>69</v>
      </c>
      <c r="L614">
        <v>12362.79</v>
      </c>
      <c r="M614">
        <v>73</v>
      </c>
      <c r="N614" s="10" t="s">
        <v>27</v>
      </c>
      <c r="O614" s="10" t="s">
        <v>48</v>
      </c>
      <c r="P614" s="13">
        <v>45828.690972222219</v>
      </c>
      <c r="Q614" t="s">
        <v>2013</v>
      </c>
    </row>
    <row r="615" spans="1:17">
      <c r="A615" s="8" t="s">
        <v>2014</v>
      </c>
      <c r="B615" s="8">
        <v>86044123</v>
      </c>
      <c r="C615" t="s">
        <v>661</v>
      </c>
      <c r="D615" t="s">
        <v>2015</v>
      </c>
      <c r="E615" t="s">
        <v>20</v>
      </c>
      <c r="F615" t="s">
        <v>686</v>
      </c>
      <c r="G615" t="s">
        <v>45</v>
      </c>
      <c r="H615" t="s">
        <v>127</v>
      </c>
      <c r="I615" t="s">
        <v>62</v>
      </c>
      <c r="J615" t="s">
        <v>74</v>
      </c>
      <c r="K615" t="s">
        <v>26</v>
      </c>
      <c r="L615">
        <v>7102.88</v>
      </c>
      <c r="M615">
        <v>34</v>
      </c>
      <c r="N615" s="11" t="s">
        <v>86</v>
      </c>
      <c r="O615" s="11" t="s">
        <v>75</v>
      </c>
      <c r="P615" s="14">
        <v>43931.675694444442</v>
      </c>
      <c r="Q615" t="s">
        <v>2016</v>
      </c>
    </row>
    <row r="616" spans="1:17">
      <c r="A616" s="8" t="s">
        <v>2017</v>
      </c>
      <c r="B616" s="8">
        <v>41556108</v>
      </c>
      <c r="C616" t="s">
        <v>409</v>
      </c>
      <c r="D616" t="s">
        <v>449</v>
      </c>
      <c r="E616" t="s">
        <v>20</v>
      </c>
      <c r="F616" t="s">
        <v>21</v>
      </c>
      <c r="G616" t="s">
        <v>116</v>
      </c>
      <c r="H616" t="s">
        <v>62</v>
      </c>
      <c r="I616" t="s">
        <v>68</v>
      </c>
      <c r="J616" t="s">
        <v>25</v>
      </c>
      <c r="K616" t="s">
        <v>26</v>
      </c>
      <c r="L616">
        <v>8110.15</v>
      </c>
      <c r="M616">
        <v>34</v>
      </c>
      <c r="N616" s="10" t="s">
        <v>39</v>
      </c>
      <c r="O616" s="10" t="s">
        <v>28</v>
      </c>
      <c r="P616" s="13">
        <v>45610.755555555559</v>
      </c>
      <c r="Q616" t="s">
        <v>2018</v>
      </c>
    </row>
    <row r="617" spans="1:17">
      <c r="A617" s="8" t="s">
        <v>2019</v>
      </c>
      <c r="B617" s="8">
        <v>57949350</v>
      </c>
      <c r="C617" t="s">
        <v>2020</v>
      </c>
      <c r="D617" t="s">
        <v>2021</v>
      </c>
      <c r="E617" t="s">
        <v>20</v>
      </c>
      <c r="F617" t="s">
        <v>53</v>
      </c>
      <c r="G617" t="s">
        <v>34</v>
      </c>
      <c r="H617" t="s">
        <v>23</v>
      </c>
      <c r="I617" t="s">
        <v>127</v>
      </c>
      <c r="J617" t="s">
        <v>74</v>
      </c>
      <c r="K617" t="s">
        <v>26</v>
      </c>
      <c r="L617">
        <v>13456.87</v>
      </c>
      <c r="M617">
        <v>51</v>
      </c>
      <c r="N617" s="11" t="s">
        <v>39</v>
      </c>
      <c r="O617" s="11" t="s">
        <v>28</v>
      </c>
      <c r="P617" s="14">
        <v>44006.84097222222</v>
      </c>
      <c r="Q617" t="s">
        <v>2022</v>
      </c>
    </row>
    <row r="618" spans="1:17">
      <c r="A618" s="8" t="s">
        <v>2023</v>
      </c>
      <c r="B618" s="8">
        <v>44894223</v>
      </c>
      <c r="C618" t="s">
        <v>2024</v>
      </c>
      <c r="D618" t="s">
        <v>818</v>
      </c>
      <c r="E618" t="s">
        <v>20</v>
      </c>
      <c r="F618" t="s">
        <v>44</v>
      </c>
      <c r="G618" t="s">
        <v>116</v>
      </c>
      <c r="H618" t="s">
        <v>68</v>
      </c>
      <c r="I618" t="s">
        <v>55</v>
      </c>
      <c r="J618" t="s">
        <v>56</v>
      </c>
      <c r="K618" t="s">
        <v>26</v>
      </c>
      <c r="L618">
        <v>5387.69</v>
      </c>
      <c r="M618">
        <v>23</v>
      </c>
      <c r="N618" s="10" t="s">
        <v>27</v>
      </c>
      <c r="O618" s="10" t="s">
        <v>75</v>
      </c>
      <c r="P618" s="13">
        <v>44068.188194444447</v>
      </c>
      <c r="Q618" t="s">
        <v>2025</v>
      </c>
    </row>
    <row r="619" spans="1:17">
      <c r="A619" s="8" t="s">
        <v>2026</v>
      </c>
      <c r="B619" s="8">
        <v>38259178</v>
      </c>
      <c r="C619" t="s">
        <v>1619</v>
      </c>
      <c r="D619" t="s">
        <v>460</v>
      </c>
      <c r="E619" t="s">
        <v>20</v>
      </c>
      <c r="F619" t="s">
        <v>35</v>
      </c>
      <c r="G619" t="s">
        <v>80</v>
      </c>
      <c r="H619" t="s">
        <v>68</v>
      </c>
      <c r="I619" t="s">
        <v>93</v>
      </c>
      <c r="J619" t="s">
        <v>25</v>
      </c>
      <c r="K619" t="s">
        <v>69</v>
      </c>
      <c r="L619">
        <v>11557.8</v>
      </c>
      <c r="M619">
        <v>70</v>
      </c>
      <c r="N619" s="11" t="s">
        <v>57</v>
      </c>
      <c r="O619" s="11" t="s">
        <v>48</v>
      </c>
      <c r="P619" s="14">
        <v>44953.429861111108</v>
      </c>
      <c r="Q619" t="s">
        <v>2027</v>
      </c>
    </row>
    <row r="620" spans="1:17">
      <c r="A620" s="8" t="s">
        <v>2028</v>
      </c>
      <c r="B620" s="8">
        <v>38155104</v>
      </c>
      <c r="C620" t="s">
        <v>1380</v>
      </c>
      <c r="D620" t="s">
        <v>2029</v>
      </c>
      <c r="E620" t="s">
        <v>20</v>
      </c>
      <c r="F620" t="s">
        <v>92</v>
      </c>
      <c r="G620" t="s">
        <v>121</v>
      </c>
      <c r="H620" t="s">
        <v>68</v>
      </c>
      <c r="I620" t="s">
        <v>127</v>
      </c>
      <c r="J620" t="s">
        <v>56</v>
      </c>
      <c r="K620" t="s">
        <v>26</v>
      </c>
      <c r="L620">
        <v>9878.36</v>
      </c>
      <c r="M620">
        <v>83</v>
      </c>
      <c r="N620" s="10" t="s">
        <v>39</v>
      </c>
      <c r="O620" s="10" t="s">
        <v>75</v>
      </c>
      <c r="P620" s="13">
        <v>45808.119444444441</v>
      </c>
      <c r="Q620" t="s">
        <v>2030</v>
      </c>
    </row>
    <row r="621" spans="1:17">
      <c r="A621" s="8" t="s">
        <v>2031</v>
      </c>
      <c r="B621" s="8">
        <v>0</v>
      </c>
      <c r="C621" t="s">
        <v>637</v>
      </c>
      <c r="D621" t="s">
        <v>2032</v>
      </c>
      <c r="E621" t="s">
        <v>33</v>
      </c>
      <c r="F621" t="s">
        <v>92</v>
      </c>
      <c r="G621" t="s">
        <v>35</v>
      </c>
      <c r="H621" t="s">
        <v>55</v>
      </c>
      <c r="I621" t="s">
        <v>36</v>
      </c>
      <c r="J621" t="s">
        <v>38</v>
      </c>
      <c r="K621" t="s">
        <v>26</v>
      </c>
      <c r="L621">
        <v>14356.37</v>
      </c>
      <c r="M621">
        <v>60</v>
      </c>
      <c r="N621" s="11" t="s">
        <v>47</v>
      </c>
      <c r="O621" s="11" t="s">
        <v>48</v>
      </c>
      <c r="P621" s="14">
        <v>46373.614583333336</v>
      </c>
      <c r="Q621" t="s">
        <v>2033</v>
      </c>
    </row>
    <row r="622" spans="1:17">
      <c r="A622" s="8" t="s">
        <v>2034</v>
      </c>
      <c r="B622" s="8">
        <v>77253402</v>
      </c>
      <c r="C622" t="s">
        <v>2035</v>
      </c>
      <c r="D622" t="s">
        <v>18</v>
      </c>
      <c r="E622" t="s">
        <v>20</v>
      </c>
      <c r="F622" t="s">
        <v>22</v>
      </c>
      <c r="G622" t="s">
        <v>22</v>
      </c>
      <c r="H622" t="s">
        <v>127</v>
      </c>
      <c r="I622" t="s">
        <v>55</v>
      </c>
      <c r="J622" t="s">
        <v>38</v>
      </c>
      <c r="K622" t="s">
        <v>26</v>
      </c>
      <c r="L622">
        <v>6529.72</v>
      </c>
      <c r="M622">
        <v>40</v>
      </c>
      <c r="N622" s="10" t="s">
        <v>86</v>
      </c>
      <c r="O622" s="10" t="s">
        <v>81</v>
      </c>
      <c r="P622" s="13">
        <v>45834.45208333333</v>
      </c>
      <c r="Q622" t="s">
        <v>2036</v>
      </c>
    </row>
    <row r="623" spans="1:17">
      <c r="A623" s="8" t="s">
        <v>2037</v>
      </c>
      <c r="B623" s="8">
        <v>66001691</v>
      </c>
      <c r="C623" t="s">
        <v>712</v>
      </c>
      <c r="D623" t="s">
        <v>1159</v>
      </c>
      <c r="E623" t="s">
        <v>20</v>
      </c>
      <c r="F623" t="s">
        <v>523</v>
      </c>
      <c r="G623" t="s">
        <v>34</v>
      </c>
      <c r="H623" t="s">
        <v>62</v>
      </c>
      <c r="I623" t="s">
        <v>127</v>
      </c>
      <c r="J623" t="s">
        <v>74</v>
      </c>
      <c r="K623" t="s">
        <v>46</v>
      </c>
      <c r="L623">
        <v>13566.66</v>
      </c>
      <c r="M623">
        <v>72</v>
      </c>
      <c r="N623" s="11" t="s">
        <v>57</v>
      </c>
      <c r="O623" s="11" t="s">
        <v>81</v>
      </c>
      <c r="P623" s="14">
        <v>45368.293749999997</v>
      </c>
      <c r="Q623" t="s">
        <v>2038</v>
      </c>
    </row>
    <row r="624" spans="1:17">
      <c r="A624" s="8" t="s">
        <v>2039</v>
      </c>
      <c r="B624" s="8">
        <v>20214735</v>
      </c>
      <c r="C624" t="s">
        <v>2040</v>
      </c>
      <c r="D624" t="s">
        <v>551</v>
      </c>
      <c r="E624" t="s">
        <v>20</v>
      </c>
      <c r="F624" t="s">
        <v>294</v>
      </c>
      <c r="G624" t="s">
        <v>92</v>
      </c>
      <c r="H624" t="s">
        <v>36</v>
      </c>
      <c r="I624" t="s">
        <v>24</v>
      </c>
      <c r="J624" t="s">
        <v>38</v>
      </c>
      <c r="K624" t="s">
        <v>46</v>
      </c>
      <c r="L624">
        <v>777.42</v>
      </c>
      <c r="M624">
        <v>33</v>
      </c>
      <c r="N624" s="10" t="s">
        <v>27</v>
      </c>
      <c r="O624" s="10" t="s">
        <v>48</v>
      </c>
      <c r="P624" s="13">
        <v>44585.48541666667</v>
      </c>
      <c r="Q624" t="s">
        <v>2041</v>
      </c>
    </row>
    <row r="625" spans="1:17">
      <c r="A625" s="8" t="s">
        <v>2042</v>
      </c>
      <c r="B625" s="8">
        <v>67646579</v>
      </c>
      <c r="C625" t="s">
        <v>2043</v>
      </c>
      <c r="D625" t="s">
        <v>1966</v>
      </c>
      <c r="E625" t="s">
        <v>20</v>
      </c>
      <c r="F625" t="s">
        <v>80</v>
      </c>
      <c r="G625" t="s">
        <v>35</v>
      </c>
      <c r="H625" t="s">
        <v>55</v>
      </c>
      <c r="I625" t="s">
        <v>62</v>
      </c>
      <c r="J625" t="s">
        <v>56</v>
      </c>
      <c r="K625" t="s">
        <v>26</v>
      </c>
      <c r="L625">
        <v>13590.26</v>
      </c>
      <c r="M625">
        <v>25</v>
      </c>
      <c r="N625" s="11" t="s">
        <v>47</v>
      </c>
      <c r="O625" s="11" t="s">
        <v>48</v>
      </c>
      <c r="P625" s="14">
        <v>46089.240277777775</v>
      </c>
      <c r="Q625" t="s">
        <v>2044</v>
      </c>
    </row>
    <row r="626" spans="1:17">
      <c r="A626" s="8" t="s">
        <v>2045</v>
      </c>
      <c r="B626" s="8">
        <v>26299519</v>
      </c>
      <c r="C626" t="s">
        <v>2046</v>
      </c>
      <c r="D626" t="s">
        <v>2047</v>
      </c>
      <c r="E626" t="s">
        <v>20</v>
      </c>
      <c r="F626" t="s">
        <v>53</v>
      </c>
      <c r="G626" t="s">
        <v>523</v>
      </c>
      <c r="H626" t="s">
        <v>127</v>
      </c>
      <c r="I626" t="s">
        <v>127</v>
      </c>
      <c r="J626" t="s">
        <v>56</v>
      </c>
      <c r="K626" t="s">
        <v>63</v>
      </c>
      <c r="L626">
        <v>1840.24</v>
      </c>
      <c r="M626">
        <v>21</v>
      </c>
      <c r="N626" s="10" t="s">
        <v>27</v>
      </c>
      <c r="O626" s="10" t="s">
        <v>75</v>
      </c>
      <c r="P626" s="13">
        <v>44977.490972222222</v>
      </c>
      <c r="Q626" t="s">
        <v>2048</v>
      </c>
    </row>
    <row r="627" spans="1:17">
      <c r="A627" s="8" t="s">
        <v>2049</v>
      </c>
      <c r="B627" s="8">
        <v>93260889</v>
      </c>
      <c r="C627" t="s">
        <v>2040</v>
      </c>
      <c r="D627" t="s">
        <v>1278</v>
      </c>
      <c r="E627" t="s">
        <v>20</v>
      </c>
      <c r="F627" t="s">
        <v>21</v>
      </c>
      <c r="G627" t="s">
        <v>21</v>
      </c>
      <c r="H627" t="s">
        <v>23</v>
      </c>
      <c r="I627" t="s">
        <v>68</v>
      </c>
      <c r="J627" t="s">
        <v>38</v>
      </c>
      <c r="K627" t="s">
        <v>69</v>
      </c>
      <c r="L627">
        <v>456.54</v>
      </c>
      <c r="M627">
        <v>21</v>
      </c>
      <c r="N627" s="11" t="s">
        <v>39</v>
      </c>
      <c r="O627" s="11" t="s">
        <v>81</v>
      </c>
      <c r="P627" s="14">
        <v>45242.643055555556</v>
      </c>
      <c r="Q627" t="s">
        <v>2050</v>
      </c>
    </row>
    <row r="628" spans="1:17">
      <c r="A628" s="8" t="s">
        <v>2051</v>
      </c>
      <c r="B628" s="8">
        <v>18979241</v>
      </c>
      <c r="C628" t="s">
        <v>802</v>
      </c>
      <c r="D628" t="s">
        <v>2052</v>
      </c>
      <c r="E628" t="s">
        <v>20</v>
      </c>
      <c r="F628" t="s">
        <v>44</v>
      </c>
      <c r="G628" t="s">
        <v>98</v>
      </c>
      <c r="H628" t="s">
        <v>54</v>
      </c>
      <c r="I628" t="s">
        <v>37</v>
      </c>
      <c r="J628" t="s">
        <v>56</v>
      </c>
      <c r="K628" t="s">
        <v>26</v>
      </c>
      <c r="L628">
        <v>65.790000000000006</v>
      </c>
      <c r="M628">
        <v>73</v>
      </c>
      <c r="N628" s="10" t="s">
        <v>57</v>
      </c>
      <c r="O628" s="10" t="s">
        <v>28</v>
      </c>
      <c r="P628" s="13">
        <v>43970.868750000001</v>
      </c>
      <c r="Q628" t="s">
        <v>2053</v>
      </c>
    </row>
    <row r="629" spans="1:17">
      <c r="A629" s="8" t="s">
        <v>2054</v>
      </c>
      <c r="B629" s="8">
        <v>89812369</v>
      </c>
      <c r="C629" t="s">
        <v>270</v>
      </c>
      <c r="D629" t="s">
        <v>966</v>
      </c>
      <c r="E629" t="s">
        <v>20</v>
      </c>
      <c r="F629" t="s">
        <v>44</v>
      </c>
      <c r="G629" t="s">
        <v>44</v>
      </c>
      <c r="H629" t="s">
        <v>62</v>
      </c>
      <c r="I629" t="s">
        <v>24</v>
      </c>
      <c r="J629" t="s">
        <v>38</v>
      </c>
      <c r="K629" t="s">
        <v>69</v>
      </c>
      <c r="L629">
        <v>3698.1</v>
      </c>
      <c r="M629">
        <v>42</v>
      </c>
      <c r="N629" s="11" t="s">
        <v>27</v>
      </c>
      <c r="O629" s="11" t="s">
        <v>81</v>
      </c>
      <c r="P629" s="14">
        <v>44371.832638888889</v>
      </c>
      <c r="Q629" t="s">
        <v>2055</v>
      </c>
    </row>
    <row r="630" spans="1:17">
      <c r="A630" s="8" t="s">
        <v>2056</v>
      </c>
      <c r="B630" s="8">
        <v>30540246</v>
      </c>
      <c r="C630" t="s">
        <v>2057</v>
      </c>
      <c r="D630" t="s">
        <v>2058</v>
      </c>
      <c r="E630" t="s">
        <v>20</v>
      </c>
      <c r="F630" t="s">
        <v>294</v>
      </c>
      <c r="G630" t="s">
        <v>34</v>
      </c>
      <c r="H630" t="s">
        <v>68</v>
      </c>
      <c r="I630" t="s">
        <v>93</v>
      </c>
      <c r="J630" t="s">
        <v>103</v>
      </c>
      <c r="K630" t="s">
        <v>26</v>
      </c>
      <c r="L630">
        <v>10679.89</v>
      </c>
      <c r="M630">
        <v>84</v>
      </c>
      <c r="N630" s="10" t="s">
        <v>47</v>
      </c>
      <c r="O630" s="10" t="s">
        <v>28</v>
      </c>
      <c r="P630" s="13">
        <v>45245.131944444445</v>
      </c>
      <c r="Q630" t="s">
        <v>2059</v>
      </c>
    </row>
    <row r="631" spans="1:17">
      <c r="A631" s="8" t="s">
        <v>2060</v>
      </c>
      <c r="B631" s="8">
        <v>20581573</v>
      </c>
      <c r="C631" t="s">
        <v>2061</v>
      </c>
      <c r="D631" t="s">
        <v>2062</v>
      </c>
      <c r="E631" t="s">
        <v>20</v>
      </c>
      <c r="F631" t="s">
        <v>98</v>
      </c>
      <c r="G631" t="s">
        <v>98</v>
      </c>
      <c r="H631" t="s">
        <v>93</v>
      </c>
      <c r="I631" t="s">
        <v>93</v>
      </c>
      <c r="J631" t="s">
        <v>38</v>
      </c>
      <c r="K631" t="s">
        <v>69</v>
      </c>
      <c r="L631">
        <v>13595.73</v>
      </c>
      <c r="M631">
        <v>84</v>
      </c>
      <c r="N631" s="11" t="s">
        <v>57</v>
      </c>
      <c r="O631" s="11" t="s">
        <v>28</v>
      </c>
      <c r="P631" s="14">
        <v>44100.505555555559</v>
      </c>
      <c r="Q631" t="s">
        <v>2063</v>
      </c>
    </row>
    <row r="632" spans="1:17">
      <c r="A632" s="8" t="s">
        <v>2064</v>
      </c>
      <c r="B632" s="8">
        <v>88960861</v>
      </c>
      <c r="C632" t="s">
        <v>1465</v>
      </c>
      <c r="D632" t="s">
        <v>1380</v>
      </c>
      <c r="E632" t="s">
        <v>20</v>
      </c>
      <c r="F632" t="s">
        <v>34</v>
      </c>
      <c r="G632" t="s">
        <v>92</v>
      </c>
      <c r="H632" t="s">
        <v>62</v>
      </c>
      <c r="I632" t="s">
        <v>93</v>
      </c>
      <c r="J632" t="s">
        <v>25</v>
      </c>
      <c r="K632" t="s">
        <v>69</v>
      </c>
      <c r="L632">
        <v>2534.0100000000002</v>
      </c>
      <c r="M632">
        <v>44</v>
      </c>
      <c r="N632" s="10" t="s">
        <v>27</v>
      </c>
      <c r="O632" s="10" t="s">
        <v>28</v>
      </c>
      <c r="P632" s="13">
        <v>44866.132638888892</v>
      </c>
      <c r="Q632" t="s">
        <v>2065</v>
      </c>
    </row>
    <row r="633" spans="1:17">
      <c r="A633" s="8" t="s">
        <v>2066</v>
      </c>
      <c r="B633" s="8">
        <v>64748819</v>
      </c>
      <c r="C633" t="s">
        <v>2067</v>
      </c>
      <c r="D633" t="s">
        <v>2068</v>
      </c>
      <c r="E633" t="s">
        <v>20</v>
      </c>
      <c r="F633" t="s">
        <v>22</v>
      </c>
      <c r="G633" t="s">
        <v>523</v>
      </c>
      <c r="H633" t="s">
        <v>37</v>
      </c>
      <c r="I633" t="s">
        <v>93</v>
      </c>
      <c r="J633" t="s">
        <v>38</v>
      </c>
      <c r="K633" t="s">
        <v>69</v>
      </c>
      <c r="L633">
        <v>5170.58</v>
      </c>
      <c r="M633">
        <v>49</v>
      </c>
      <c r="N633" s="11" t="s">
        <v>39</v>
      </c>
      <c r="O633" s="11" t="s">
        <v>81</v>
      </c>
      <c r="P633" s="14">
        <v>45721.341666666667</v>
      </c>
      <c r="Q633" t="s">
        <v>2069</v>
      </c>
    </row>
    <row r="634" spans="1:17">
      <c r="A634" s="8" t="s">
        <v>2070</v>
      </c>
      <c r="B634" s="8">
        <v>25382790</v>
      </c>
      <c r="C634" t="s">
        <v>559</v>
      </c>
      <c r="D634" t="s">
        <v>18</v>
      </c>
      <c r="E634" t="s">
        <v>20</v>
      </c>
      <c r="F634" t="s">
        <v>21</v>
      </c>
      <c r="G634" t="s">
        <v>116</v>
      </c>
      <c r="H634" t="s">
        <v>127</v>
      </c>
      <c r="I634" t="s">
        <v>37</v>
      </c>
      <c r="J634" t="s">
        <v>25</v>
      </c>
      <c r="K634" t="s">
        <v>26</v>
      </c>
      <c r="L634">
        <v>14972.19</v>
      </c>
      <c r="M634">
        <v>67</v>
      </c>
      <c r="N634" s="10" t="s">
        <v>86</v>
      </c>
      <c r="O634" s="10" t="s">
        <v>28</v>
      </c>
      <c r="P634" s="13">
        <v>44336.642361111109</v>
      </c>
      <c r="Q634" t="s">
        <v>2071</v>
      </c>
    </row>
    <row r="635" spans="1:17">
      <c r="A635" s="8" t="s">
        <v>2072</v>
      </c>
      <c r="B635" s="8">
        <v>65479681</v>
      </c>
      <c r="C635" t="s">
        <v>500</v>
      </c>
      <c r="D635" t="s">
        <v>742</v>
      </c>
      <c r="E635" t="s">
        <v>33</v>
      </c>
      <c r="F635" t="s">
        <v>22</v>
      </c>
      <c r="G635" t="s">
        <v>45</v>
      </c>
      <c r="H635" t="s">
        <v>24</v>
      </c>
      <c r="I635" t="s">
        <v>127</v>
      </c>
      <c r="J635" t="s">
        <v>38</v>
      </c>
      <c r="K635" t="s">
        <v>69</v>
      </c>
      <c r="L635">
        <v>6656.74</v>
      </c>
      <c r="M635">
        <v>78</v>
      </c>
      <c r="N635" s="11" t="s">
        <v>47</v>
      </c>
      <c r="O635" s="11" t="s">
        <v>48</v>
      </c>
      <c r="P635" s="14">
        <v>44960.236805555556</v>
      </c>
      <c r="Q635" t="s">
        <v>2073</v>
      </c>
    </row>
    <row r="636" spans="1:17">
      <c r="A636" s="8" t="s">
        <v>2074</v>
      </c>
      <c r="B636" s="8">
        <v>16567733</v>
      </c>
      <c r="C636" t="s">
        <v>2075</v>
      </c>
      <c r="D636" t="s">
        <v>861</v>
      </c>
      <c r="E636" t="s">
        <v>20</v>
      </c>
      <c r="F636" t="s">
        <v>80</v>
      </c>
      <c r="G636" t="s">
        <v>22</v>
      </c>
      <c r="H636" t="s">
        <v>23</v>
      </c>
      <c r="I636" t="s">
        <v>54</v>
      </c>
      <c r="J636" t="s">
        <v>103</v>
      </c>
      <c r="K636" t="s">
        <v>26</v>
      </c>
      <c r="L636">
        <v>6398.02</v>
      </c>
      <c r="M636">
        <v>68</v>
      </c>
      <c r="N636" s="10" t="s">
        <v>86</v>
      </c>
      <c r="O636" s="10" t="s">
        <v>81</v>
      </c>
      <c r="P636" s="13">
        <v>45910.526388888888</v>
      </c>
      <c r="Q636" t="s">
        <v>2076</v>
      </c>
    </row>
    <row r="637" spans="1:17">
      <c r="A637" s="8" t="s">
        <v>2077</v>
      </c>
      <c r="B637" s="8">
        <v>62424760</v>
      </c>
      <c r="C637" t="s">
        <v>2078</v>
      </c>
      <c r="D637" t="s">
        <v>1197</v>
      </c>
      <c r="E637" t="s">
        <v>20</v>
      </c>
      <c r="F637" t="s">
        <v>21</v>
      </c>
      <c r="G637" t="s">
        <v>80</v>
      </c>
      <c r="H637" t="s">
        <v>54</v>
      </c>
      <c r="I637" t="s">
        <v>127</v>
      </c>
      <c r="J637" t="s">
        <v>38</v>
      </c>
      <c r="K637" t="s">
        <v>26</v>
      </c>
      <c r="L637">
        <v>1656.27</v>
      </c>
      <c r="M637">
        <v>36</v>
      </c>
      <c r="N637" s="11" t="s">
        <v>57</v>
      </c>
      <c r="O637" s="11" t="s">
        <v>75</v>
      </c>
      <c r="P637" s="14">
        <v>45703.765972222223</v>
      </c>
      <c r="Q637" t="s">
        <v>2079</v>
      </c>
    </row>
    <row r="638" spans="1:17">
      <c r="A638" s="8" t="s">
        <v>2080</v>
      </c>
      <c r="B638" s="8">
        <v>0</v>
      </c>
      <c r="C638" t="s">
        <v>339</v>
      </c>
      <c r="D638" t="s">
        <v>318</v>
      </c>
      <c r="E638" t="s">
        <v>20</v>
      </c>
      <c r="F638" t="s">
        <v>45</v>
      </c>
      <c r="G638" t="s">
        <v>98</v>
      </c>
      <c r="H638" t="s">
        <v>23</v>
      </c>
      <c r="I638" t="s">
        <v>36</v>
      </c>
      <c r="J638" t="s">
        <v>38</v>
      </c>
      <c r="K638" t="s">
        <v>69</v>
      </c>
      <c r="L638">
        <v>2244.9499999999998</v>
      </c>
      <c r="M638">
        <v>38</v>
      </c>
      <c r="N638" s="10" t="s">
        <v>86</v>
      </c>
      <c r="O638" s="10" t="s">
        <v>75</v>
      </c>
      <c r="P638" s="13">
        <v>44923.783333333333</v>
      </c>
      <c r="Q638" t="s">
        <v>2081</v>
      </c>
    </row>
    <row r="639" spans="1:17">
      <c r="A639" s="8" t="s">
        <v>2082</v>
      </c>
      <c r="B639" s="8">
        <v>46499378</v>
      </c>
      <c r="C639" t="s">
        <v>146</v>
      </c>
      <c r="D639" t="s">
        <v>323</v>
      </c>
      <c r="E639" t="s">
        <v>33</v>
      </c>
      <c r="F639" t="s">
        <v>116</v>
      </c>
      <c r="G639" t="s">
        <v>116</v>
      </c>
      <c r="H639" t="s">
        <v>62</v>
      </c>
      <c r="I639" t="s">
        <v>62</v>
      </c>
      <c r="J639" t="s">
        <v>25</v>
      </c>
      <c r="K639" t="s">
        <v>69</v>
      </c>
      <c r="L639">
        <v>5359.64</v>
      </c>
      <c r="M639">
        <v>22</v>
      </c>
      <c r="N639" s="11" t="s">
        <v>47</v>
      </c>
      <c r="O639" s="11" t="s">
        <v>75</v>
      </c>
      <c r="P639" s="14">
        <v>44643.508333333331</v>
      </c>
      <c r="Q639" t="s">
        <v>2083</v>
      </c>
    </row>
    <row r="640" spans="1:17">
      <c r="A640" s="8" t="s">
        <v>2084</v>
      </c>
      <c r="B640" s="8">
        <v>15889037</v>
      </c>
      <c r="C640" t="s">
        <v>742</v>
      </c>
      <c r="D640" t="s">
        <v>2085</v>
      </c>
      <c r="E640" t="s">
        <v>20</v>
      </c>
      <c r="F640" t="s">
        <v>35</v>
      </c>
      <c r="G640" t="s">
        <v>35</v>
      </c>
      <c r="H640" t="s">
        <v>24</v>
      </c>
      <c r="I640" t="s">
        <v>55</v>
      </c>
      <c r="J640" t="s">
        <v>74</v>
      </c>
      <c r="K640" t="s">
        <v>69</v>
      </c>
      <c r="L640">
        <v>1461.87</v>
      </c>
      <c r="M640">
        <v>59</v>
      </c>
      <c r="N640" s="10" t="s">
        <v>57</v>
      </c>
      <c r="O640" s="10" t="s">
        <v>28</v>
      </c>
      <c r="P640" s="13">
        <v>44192.834027777775</v>
      </c>
      <c r="Q640" t="s">
        <v>2086</v>
      </c>
    </row>
    <row r="641" spans="1:17">
      <c r="A641" s="8" t="s">
        <v>2087</v>
      </c>
      <c r="B641" s="8">
        <v>22550720</v>
      </c>
      <c r="C641" t="s">
        <v>2088</v>
      </c>
      <c r="D641" t="s">
        <v>1995</v>
      </c>
      <c r="E641" t="s">
        <v>33</v>
      </c>
      <c r="F641" t="s">
        <v>180</v>
      </c>
      <c r="G641" t="s">
        <v>121</v>
      </c>
      <c r="H641" t="s">
        <v>37</v>
      </c>
      <c r="I641" t="s">
        <v>54</v>
      </c>
      <c r="J641" t="s">
        <v>38</v>
      </c>
      <c r="K641" t="s">
        <v>26</v>
      </c>
      <c r="L641">
        <v>12257.81</v>
      </c>
      <c r="M641">
        <v>78</v>
      </c>
      <c r="N641" s="11" t="s">
        <v>47</v>
      </c>
      <c r="O641" s="11" t="s">
        <v>81</v>
      </c>
      <c r="P641" s="14">
        <v>45287.38958333333</v>
      </c>
      <c r="Q641" t="s">
        <v>2089</v>
      </c>
    </row>
    <row r="642" spans="1:17">
      <c r="A642" s="8" t="s">
        <v>2090</v>
      </c>
      <c r="B642" s="8">
        <v>70714168</v>
      </c>
      <c r="C642" t="s">
        <v>111</v>
      </c>
      <c r="D642" t="s">
        <v>1050</v>
      </c>
      <c r="E642" t="s">
        <v>20</v>
      </c>
      <c r="F642" t="s">
        <v>180</v>
      </c>
      <c r="G642" t="s">
        <v>116</v>
      </c>
      <c r="H642" t="s">
        <v>36</v>
      </c>
      <c r="I642" t="s">
        <v>54</v>
      </c>
      <c r="J642" t="s">
        <v>38</v>
      </c>
      <c r="K642" t="s">
        <v>26</v>
      </c>
      <c r="L642">
        <v>2945.88</v>
      </c>
      <c r="M642">
        <v>39</v>
      </c>
      <c r="N642" s="10" t="s">
        <v>47</v>
      </c>
      <c r="O642" s="10" t="s">
        <v>48</v>
      </c>
      <c r="P642" s="13">
        <v>44759.539583333331</v>
      </c>
      <c r="Q642" t="s">
        <v>2091</v>
      </c>
    </row>
    <row r="643" spans="1:17">
      <c r="A643" s="8" t="s">
        <v>2092</v>
      </c>
      <c r="B643" s="8">
        <v>59209911</v>
      </c>
      <c r="C643" t="s">
        <v>342</v>
      </c>
      <c r="D643" t="s">
        <v>2093</v>
      </c>
      <c r="E643" t="s">
        <v>20</v>
      </c>
      <c r="F643" t="s">
        <v>45</v>
      </c>
      <c r="G643" t="s">
        <v>92</v>
      </c>
      <c r="H643" t="s">
        <v>93</v>
      </c>
      <c r="I643" t="s">
        <v>127</v>
      </c>
      <c r="J643" t="s">
        <v>103</v>
      </c>
      <c r="K643" t="s">
        <v>69</v>
      </c>
      <c r="L643">
        <v>8000.11</v>
      </c>
      <c r="M643">
        <v>38</v>
      </c>
      <c r="N643" s="11" t="s">
        <v>39</v>
      </c>
      <c r="O643" s="11" t="s">
        <v>28</v>
      </c>
      <c r="P643" s="14">
        <v>43930.355555555558</v>
      </c>
      <c r="Q643" t="s">
        <v>2094</v>
      </c>
    </row>
    <row r="644" spans="1:17">
      <c r="A644" s="8" t="s">
        <v>2095</v>
      </c>
      <c r="B644" s="8">
        <v>84490480</v>
      </c>
      <c r="C644" t="s">
        <v>486</v>
      </c>
      <c r="D644" t="s">
        <v>2068</v>
      </c>
      <c r="E644" t="s">
        <v>20</v>
      </c>
      <c r="F644" t="s">
        <v>116</v>
      </c>
      <c r="G644" t="s">
        <v>34</v>
      </c>
      <c r="H644" t="s">
        <v>24</v>
      </c>
      <c r="I644" t="s">
        <v>54</v>
      </c>
      <c r="J644" t="s">
        <v>38</v>
      </c>
      <c r="K644" t="s">
        <v>26</v>
      </c>
      <c r="L644">
        <v>2590.3000000000002</v>
      </c>
      <c r="M644">
        <v>18</v>
      </c>
      <c r="N644" s="10" t="s">
        <v>39</v>
      </c>
      <c r="O644" s="10" t="s">
        <v>75</v>
      </c>
      <c r="P644" s="13">
        <v>45512.574305555558</v>
      </c>
      <c r="Q644" t="s">
        <v>2096</v>
      </c>
    </row>
    <row r="645" spans="1:17">
      <c r="A645" s="8" t="s">
        <v>2097</v>
      </c>
      <c r="B645" s="8">
        <v>81866578</v>
      </c>
      <c r="C645" t="s">
        <v>1970</v>
      </c>
      <c r="D645" t="s">
        <v>2098</v>
      </c>
      <c r="E645" t="s">
        <v>20</v>
      </c>
      <c r="F645" t="s">
        <v>22</v>
      </c>
      <c r="G645" t="s">
        <v>21</v>
      </c>
      <c r="H645" t="s">
        <v>127</v>
      </c>
      <c r="I645" t="s">
        <v>23</v>
      </c>
      <c r="J645" t="s">
        <v>56</v>
      </c>
      <c r="K645" t="s">
        <v>26</v>
      </c>
      <c r="L645">
        <v>13640.9</v>
      </c>
      <c r="M645">
        <v>22</v>
      </c>
      <c r="N645" s="11" t="s">
        <v>27</v>
      </c>
      <c r="O645" s="11" t="s">
        <v>48</v>
      </c>
      <c r="P645" s="14">
        <v>45887.801388888889</v>
      </c>
      <c r="Q645" t="s">
        <v>2099</v>
      </c>
    </row>
    <row r="646" spans="1:17">
      <c r="A646" s="8" t="s">
        <v>2100</v>
      </c>
      <c r="B646" s="8">
        <v>19955322</v>
      </c>
      <c r="C646" t="s">
        <v>297</v>
      </c>
      <c r="D646" t="s">
        <v>2101</v>
      </c>
      <c r="E646" t="s">
        <v>20</v>
      </c>
      <c r="F646" t="s">
        <v>98</v>
      </c>
      <c r="G646" t="s">
        <v>35</v>
      </c>
      <c r="H646" t="s">
        <v>68</v>
      </c>
      <c r="I646" t="s">
        <v>23</v>
      </c>
      <c r="J646" t="s">
        <v>74</v>
      </c>
      <c r="K646" t="s">
        <v>26</v>
      </c>
      <c r="L646">
        <v>12045.02</v>
      </c>
      <c r="M646">
        <v>29</v>
      </c>
      <c r="N646" s="10" t="s">
        <v>47</v>
      </c>
      <c r="O646" s="10" t="s">
        <v>28</v>
      </c>
      <c r="P646" s="13">
        <v>44883.011111111111</v>
      </c>
      <c r="Q646" t="s">
        <v>2102</v>
      </c>
    </row>
    <row r="647" spans="1:17">
      <c r="A647" s="8" t="s">
        <v>2103</v>
      </c>
      <c r="B647" s="8">
        <v>47085870</v>
      </c>
      <c r="C647" t="s">
        <v>168</v>
      </c>
      <c r="D647" t="s">
        <v>540</v>
      </c>
      <c r="E647" t="s">
        <v>33</v>
      </c>
      <c r="F647" t="s">
        <v>80</v>
      </c>
      <c r="G647" t="s">
        <v>45</v>
      </c>
      <c r="H647" t="s">
        <v>37</v>
      </c>
      <c r="I647" t="s">
        <v>36</v>
      </c>
      <c r="J647" t="s">
        <v>38</v>
      </c>
      <c r="K647" t="s">
        <v>46</v>
      </c>
      <c r="L647">
        <v>8791.75</v>
      </c>
      <c r="M647">
        <v>63</v>
      </c>
      <c r="N647" s="11" t="s">
        <v>86</v>
      </c>
      <c r="O647" s="11" t="s">
        <v>48</v>
      </c>
      <c r="P647" s="14">
        <v>46340.978472222225</v>
      </c>
      <c r="Q647" t="s">
        <v>2104</v>
      </c>
    </row>
    <row r="648" spans="1:17">
      <c r="A648" s="8" t="s">
        <v>2105</v>
      </c>
      <c r="B648" s="8">
        <v>30102493</v>
      </c>
      <c r="C648" t="s">
        <v>793</v>
      </c>
      <c r="D648" t="s">
        <v>387</v>
      </c>
      <c r="E648" t="s">
        <v>20</v>
      </c>
      <c r="F648" t="s">
        <v>98</v>
      </c>
      <c r="G648" t="s">
        <v>45</v>
      </c>
      <c r="H648" t="s">
        <v>93</v>
      </c>
      <c r="I648" t="s">
        <v>55</v>
      </c>
      <c r="J648" t="s">
        <v>38</v>
      </c>
      <c r="K648" t="s">
        <v>63</v>
      </c>
      <c r="L648">
        <v>8104.8</v>
      </c>
      <c r="M648">
        <v>51</v>
      </c>
      <c r="N648" s="10" t="s">
        <v>57</v>
      </c>
      <c r="O648" s="10" t="s">
        <v>81</v>
      </c>
      <c r="P648" s="13">
        <v>44751.540277777778</v>
      </c>
      <c r="Q648" t="s">
        <v>2106</v>
      </c>
    </row>
    <row r="649" spans="1:17">
      <c r="A649" s="8" t="s">
        <v>2107</v>
      </c>
      <c r="B649" s="8">
        <v>68343093</v>
      </c>
      <c r="C649" t="s">
        <v>2108</v>
      </c>
      <c r="D649" t="s">
        <v>1562</v>
      </c>
      <c r="E649" t="s">
        <v>20</v>
      </c>
      <c r="F649" t="s">
        <v>45</v>
      </c>
      <c r="G649" t="s">
        <v>53</v>
      </c>
      <c r="H649" t="s">
        <v>54</v>
      </c>
      <c r="I649" t="s">
        <v>68</v>
      </c>
      <c r="J649" t="s">
        <v>103</v>
      </c>
      <c r="K649" t="s">
        <v>63</v>
      </c>
      <c r="L649">
        <v>2257.88</v>
      </c>
      <c r="M649">
        <v>66</v>
      </c>
      <c r="N649" s="11" t="s">
        <v>39</v>
      </c>
      <c r="O649" s="11" t="s">
        <v>28</v>
      </c>
      <c r="P649" s="14">
        <v>46268.615972222222</v>
      </c>
      <c r="Q649" t="s">
        <v>2109</v>
      </c>
    </row>
    <row r="650" spans="1:17">
      <c r="A650" s="8" t="s">
        <v>2110</v>
      </c>
      <c r="B650" s="8">
        <v>32848643</v>
      </c>
      <c r="C650" t="s">
        <v>2111</v>
      </c>
      <c r="D650" t="s">
        <v>1809</v>
      </c>
      <c r="E650" t="s">
        <v>20</v>
      </c>
      <c r="F650" t="s">
        <v>22</v>
      </c>
      <c r="G650" t="s">
        <v>80</v>
      </c>
      <c r="H650" t="s">
        <v>68</v>
      </c>
      <c r="I650" t="s">
        <v>37</v>
      </c>
      <c r="J650" t="s">
        <v>38</v>
      </c>
      <c r="K650" t="s">
        <v>26</v>
      </c>
      <c r="L650">
        <v>9275.19</v>
      </c>
      <c r="M650">
        <v>62</v>
      </c>
      <c r="N650" s="10" t="s">
        <v>86</v>
      </c>
      <c r="O650" s="10" t="s">
        <v>48</v>
      </c>
      <c r="P650" s="13">
        <v>44462.625694444447</v>
      </c>
      <c r="Q650" t="s">
        <v>2112</v>
      </c>
    </row>
    <row r="651" spans="1:17">
      <c r="A651" s="8" t="s">
        <v>2113</v>
      </c>
      <c r="B651" s="8">
        <v>84597332</v>
      </c>
      <c r="C651" t="s">
        <v>2114</v>
      </c>
      <c r="D651" t="s">
        <v>839</v>
      </c>
      <c r="E651" t="s">
        <v>20</v>
      </c>
      <c r="F651" t="s">
        <v>22</v>
      </c>
      <c r="G651" t="s">
        <v>53</v>
      </c>
      <c r="H651" t="s">
        <v>62</v>
      </c>
      <c r="I651" t="s">
        <v>127</v>
      </c>
      <c r="J651" t="s">
        <v>74</v>
      </c>
      <c r="K651" t="s">
        <v>63</v>
      </c>
      <c r="L651">
        <v>2915.9</v>
      </c>
      <c r="M651">
        <v>44</v>
      </c>
      <c r="N651" s="11" t="s">
        <v>47</v>
      </c>
      <c r="O651" s="11" t="s">
        <v>28</v>
      </c>
      <c r="P651" s="14">
        <v>44512.688194444447</v>
      </c>
      <c r="Q651" t="s">
        <v>2115</v>
      </c>
    </row>
    <row r="652" spans="1:17">
      <c r="A652" s="8" t="s">
        <v>2116</v>
      </c>
      <c r="B652" s="8">
        <v>86694751</v>
      </c>
      <c r="C652" t="s">
        <v>412</v>
      </c>
      <c r="D652" t="s">
        <v>2117</v>
      </c>
      <c r="E652" t="s">
        <v>33</v>
      </c>
      <c r="F652" t="s">
        <v>176</v>
      </c>
      <c r="G652" t="s">
        <v>21</v>
      </c>
      <c r="H652" t="s">
        <v>24</v>
      </c>
      <c r="I652" t="s">
        <v>37</v>
      </c>
      <c r="J652" t="s">
        <v>38</v>
      </c>
      <c r="K652" t="s">
        <v>26</v>
      </c>
      <c r="L652">
        <v>3215.98</v>
      </c>
      <c r="M652">
        <v>43</v>
      </c>
      <c r="N652" s="10" t="s">
        <v>57</v>
      </c>
      <c r="O652" s="10" t="s">
        <v>75</v>
      </c>
      <c r="P652" s="13">
        <v>46035.421527777777</v>
      </c>
      <c r="Q652" t="s">
        <v>2118</v>
      </c>
    </row>
    <row r="653" spans="1:17">
      <c r="A653" s="8" t="s">
        <v>2119</v>
      </c>
      <c r="B653" s="8">
        <v>60152461</v>
      </c>
      <c r="C653" t="s">
        <v>2120</v>
      </c>
      <c r="D653" t="s">
        <v>365</v>
      </c>
      <c r="E653" t="s">
        <v>20</v>
      </c>
      <c r="F653" t="s">
        <v>92</v>
      </c>
      <c r="G653" t="s">
        <v>121</v>
      </c>
      <c r="H653" t="s">
        <v>93</v>
      </c>
      <c r="I653" t="s">
        <v>68</v>
      </c>
      <c r="J653" t="s">
        <v>38</v>
      </c>
      <c r="K653" t="s">
        <v>69</v>
      </c>
      <c r="L653">
        <v>10033.280000000001</v>
      </c>
      <c r="M653">
        <v>64</v>
      </c>
      <c r="N653" s="11" t="s">
        <v>39</v>
      </c>
      <c r="O653" s="11" t="s">
        <v>81</v>
      </c>
      <c r="P653" s="14">
        <v>46213.793055555558</v>
      </c>
      <c r="Q653" t="s">
        <v>2121</v>
      </c>
    </row>
    <row r="654" spans="1:17">
      <c r="A654" s="8" t="s">
        <v>2122</v>
      </c>
      <c r="B654" s="8">
        <v>40315274</v>
      </c>
      <c r="C654" t="s">
        <v>146</v>
      </c>
      <c r="D654" t="s">
        <v>311</v>
      </c>
      <c r="E654" t="s">
        <v>20</v>
      </c>
      <c r="F654" t="s">
        <v>98</v>
      </c>
      <c r="G654" t="s">
        <v>98</v>
      </c>
      <c r="H654" t="s">
        <v>55</v>
      </c>
      <c r="I654" t="s">
        <v>127</v>
      </c>
      <c r="J654" t="s">
        <v>38</v>
      </c>
      <c r="K654" t="s">
        <v>69</v>
      </c>
      <c r="L654">
        <v>10108.43</v>
      </c>
      <c r="M654">
        <v>73</v>
      </c>
      <c r="N654" s="10" t="s">
        <v>57</v>
      </c>
      <c r="O654" s="10" t="s">
        <v>28</v>
      </c>
      <c r="P654" s="13">
        <v>46138.47152777778</v>
      </c>
      <c r="Q654" t="s">
        <v>2123</v>
      </c>
    </row>
    <row r="655" spans="1:17">
      <c r="A655" s="8" t="s">
        <v>2124</v>
      </c>
      <c r="B655" s="8">
        <v>57655811</v>
      </c>
      <c r="C655" t="s">
        <v>585</v>
      </c>
      <c r="D655" t="s">
        <v>2125</v>
      </c>
      <c r="E655" t="s">
        <v>20</v>
      </c>
      <c r="F655" t="s">
        <v>22</v>
      </c>
      <c r="G655" t="s">
        <v>35</v>
      </c>
      <c r="H655" t="s">
        <v>36</v>
      </c>
      <c r="I655" t="s">
        <v>127</v>
      </c>
      <c r="J655" t="s">
        <v>38</v>
      </c>
      <c r="K655" t="s">
        <v>26</v>
      </c>
      <c r="L655">
        <v>7897.91</v>
      </c>
      <c r="M655">
        <v>80</v>
      </c>
      <c r="N655" s="11" t="s">
        <v>86</v>
      </c>
      <c r="O655" s="11" t="s">
        <v>28</v>
      </c>
      <c r="P655" s="14">
        <v>45960.634027777778</v>
      </c>
      <c r="Q655" t="s">
        <v>2126</v>
      </c>
    </row>
    <row r="656" spans="1:17">
      <c r="A656" s="8" t="s">
        <v>2127</v>
      </c>
      <c r="B656" s="8">
        <v>15262830</v>
      </c>
      <c r="C656" t="s">
        <v>1579</v>
      </c>
      <c r="D656" t="s">
        <v>18</v>
      </c>
      <c r="E656" t="s">
        <v>20</v>
      </c>
      <c r="F656" t="s">
        <v>35</v>
      </c>
      <c r="G656" t="s">
        <v>116</v>
      </c>
      <c r="H656" t="s">
        <v>36</v>
      </c>
      <c r="I656" t="s">
        <v>55</v>
      </c>
      <c r="J656" t="s">
        <v>38</v>
      </c>
      <c r="K656" t="s">
        <v>26</v>
      </c>
      <c r="L656">
        <v>11685.91</v>
      </c>
      <c r="M656">
        <v>65</v>
      </c>
      <c r="N656" s="10" t="s">
        <v>27</v>
      </c>
      <c r="O656" s="10" t="s">
        <v>28</v>
      </c>
      <c r="P656" s="13">
        <v>44584.665277777778</v>
      </c>
      <c r="Q656" t="s">
        <v>2128</v>
      </c>
    </row>
    <row r="657" spans="1:17">
      <c r="A657" s="8" t="s">
        <v>2129</v>
      </c>
      <c r="B657" s="8">
        <v>27167388</v>
      </c>
      <c r="C657" t="s">
        <v>2130</v>
      </c>
      <c r="D657" t="s">
        <v>96</v>
      </c>
      <c r="E657" t="s">
        <v>20</v>
      </c>
      <c r="F657" t="s">
        <v>22</v>
      </c>
      <c r="G657" t="s">
        <v>92</v>
      </c>
      <c r="H657" t="s">
        <v>37</v>
      </c>
      <c r="I657" t="s">
        <v>37</v>
      </c>
      <c r="J657" t="s">
        <v>38</v>
      </c>
      <c r="K657" t="s">
        <v>69</v>
      </c>
      <c r="L657">
        <v>14405.92</v>
      </c>
      <c r="M657">
        <v>78</v>
      </c>
      <c r="N657" s="11" t="s">
        <v>39</v>
      </c>
      <c r="O657" s="11" t="s">
        <v>28</v>
      </c>
      <c r="P657" s="14">
        <v>45295.866666666669</v>
      </c>
      <c r="Q657" t="s">
        <v>2131</v>
      </c>
    </row>
    <row r="658" spans="1:17">
      <c r="A658" s="8" t="s">
        <v>2132</v>
      </c>
      <c r="B658" s="8">
        <v>80593346</v>
      </c>
      <c r="C658" t="s">
        <v>2133</v>
      </c>
      <c r="D658" t="s">
        <v>2134</v>
      </c>
      <c r="E658" t="s">
        <v>20</v>
      </c>
      <c r="F658" t="s">
        <v>53</v>
      </c>
      <c r="G658" t="s">
        <v>121</v>
      </c>
      <c r="H658" t="s">
        <v>54</v>
      </c>
      <c r="I658" t="s">
        <v>23</v>
      </c>
      <c r="J658" t="s">
        <v>56</v>
      </c>
      <c r="K658" t="s">
        <v>26</v>
      </c>
      <c r="L658">
        <v>2567.3000000000002</v>
      </c>
      <c r="M658">
        <v>43</v>
      </c>
      <c r="N658" s="10" t="s">
        <v>47</v>
      </c>
      <c r="O658" s="10" t="s">
        <v>48</v>
      </c>
      <c r="P658" s="13">
        <v>44550.45</v>
      </c>
      <c r="Q658" t="s">
        <v>2135</v>
      </c>
    </row>
    <row r="659" spans="1:17">
      <c r="A659" s="8" t="s">
        <v>2136</v>
      </c>
      <c r="B659" s="8">
        <v>49453084</v>
      </c>
      <c r="C659" t="s">
        <v>408</v>
      </c>
      <c r="D659" t="s">
        <v>2137</v>
      </c>
      <c r="E659" t="s">
        <v>20</v>
      </c>
      <c r="F659" t="s">
        <v>80</v>
      </c>
      <c r="G659" t="s">
        <v>34</v>
      </c>
      <c r="H659" t="s">
        <v>37</v>
      </c>
      <c r="I659" t="s">
        <v>93</v>
      </c>
      <c r="J659" t="s">
        <v>56</v>
      </c>
      <c r="K659" t="s">
        <v>46</v>
      </c>
      <c r="L659">
        <v>704.91</v>
      </c>
      <c r="M659">
        <v>53</v>
      </c>
      <c r="N659" s="11" t="s">
        <v>86</v>
      </c>
      <c r="O659" s="11" t="s">
        <v>28</v>
      </c>
      <c r="P659" s="14">
        <v>43905.786805555559</v>
      </c>
      <c r="Q659" t="s">
        <v>2138</v>
      </c>
    </row>
    <row r="660" spans="1:17">
      <c r="A660" s="8" t="s">
        <v>2139</v>
      </c>
      <c r="B660" s="8">
        <v>58495831</v>
      </c>
      <c r="C660" t="s">
        <v>935</v>
      </c>
      <c r="D660" t="s">
        <v>1565</v>
      </c>
      <c r="E660" t="s">
        <v>20</v>
      </c>
      <c r="F660" t="s">
        <v>80</v>
      </c>
      <c r="G660" t="s">
        <v>92</v>
      </c>
      <c r="H660" t="s">
        <v>55</v>
      </c>
      <c r="I660" t="s">
        <v>37</v>
      </c>
      <c r="J660" t="s">
        <v>74</v>
      </c>
      <c r="K660" t="s">
        <v>26</v>
      </c>
      <c r="L660">
        <v>3817.86</v>
      </c>
      <c r="M660">
        <v>18</v>
      </c>
      <c r="N660" s="10" t="s">
        <v>57</v>
      </c>
      <c r="O660" s="10" t="s">
        <v>75</v>
      </c>
      <c r="P660" s="13">
        <v>45124.020138888889</v>
      </c>
      <c r="Q660" t="s">
        <v>2140</v>
      </c>
    </row>
    <row r="661" spans="1:17">
      <c r="A661" s="8" t="s">
        <v>2141</v>
      </c>
      <c r="B661" s="8">
        <v>96456474</v>
      </c>
      <c r="C661" t="s">
        <v>1950</v>
      </c>
      <c r="D661" t="s">
        <v>2142</v>
      </c>
      <c r="E661" t="s">
        <v>33</v>
      </c>
      <c r="F661" t="s">
        <v>53</v>
      </c>
      <c r="G661" t="s">
        <v>53</v>
      </c>
      <c r="H661" t="s">
        <v>127</v>
      </c>
      <c r="I661" t="s">
        <v>62</v>
      </c>
      <c r="J661" t="s">
        <v>38</v>
      </c>
      <c r="K661" t="s">
        <v>26</v>
      </c>
      <c r="L661">
        <v>11705.85</v>
      </c>
      <c r="M661">
        <v>25</v>
      </c>
      <c r="N661" s="11" t="s">
        <v>57</v>
      </c>
      <c r="O661" s="11" t="s">
        <v>75</v>
      </c>
      <c r="P661" s="14">
        <v>45753.468055555553</v>
      </c>
      <c r="Q661" t="s">
        <v>2143</v>
      </c>
    </row>
    <row r="662" spans="1:17">
      <c r="A662" s="8" t="s">
        <v>2144</v>
      </c>
      <c r="B662" s="8">
        <v>60238044</v>
      </c>
      <c r="C662" t="s">
        <v>1269</v>
      </c>
      <c r="D662" t="s">
        <v>2145</v>
      </c>
      <c r="E662" t="s">
        <v>20</v>
      </c>
      <c r="F662" t="s">
        <v>34</v>
      </c>
      <c r="G662" t="s">
        <v>44</v>
      </c>
      <c r="H662" t="s">
        <v>54</v>
      </c>
      <c r="I662" t="s">
        <v>62</v>
      </c>
      <c r="J662" t="s">
        <v>38</v>
      </c>
      <c r="K662" t="s">
        <v>46</v>
      </c>
      <c r="L662">
        <v>981.95</v>
      </c>
      <c r="M662">
        <v>69</v>
      </c>
      <c r="N662" s="10" t="s">
        <v>57</v>
      </c>
      <c r="O662" s="10" t="s">
        <v>75</v>
      </c>
      <c r="P662" s="13">
        <v>43892.727083333331</v>
      </c>
      <c r="Q662" t="s">
        <v>2146</v>
      </c>
    </row>
    <row r="663" spans="1:17">
      <c r="A663" s="8" t="s">
        <v>2147</v>
      </c>
      <c r="B663" s="8">
        <v>93721739</v>
      </c>
      <c r="C663" t="s">
        <v>1787</v>
      </c>
      <c r="D663" t="s">
        <v>1173</v>
      </c>
      <c r="E663" t="s">
        <v>33</v>
      </c>
      <c r="F663" t="s">
        <v>92</v>
      </c>
      <c r="G663" t="s">
        <v>45</v>
      </c>
      <c r="H663" t="s">
        <v>23</v>
      </c>
      <c r="I663" t="s">
        <v>127</v>
      </c>
      <c r="J663" t="s">
        <v>38</v>
      </c>
      <c r="K663" t="s">
        <v>26</v>
      </c>
      <c r="L663">
        <v>1353.92</v>
      </c>
      <c r="M663">
        <v>64</v>
      </c>
      <c r="N663" s="11" t="s">
        <v>27</v>
      </c>
      <c r="O663" s="11" t="s">
        <v>75</v>
      </c>
      <c r="P663" s="14">
        <v>44704.925694444442</v>
      </c>
      <c r="Q663" t="s">
        <v>2148</v>
      </c>
    </row>
    <row r="664" spans="1:17">
      <c r="A664" s="8" t="s">
        <v>2149</v>
      </c>
      <c r="B664" s="8">
        <v>0</v>
      </c>
      <c r="C664" t="s">
        <v>174</v>
      </c>
      <c r="D664" t="s">
        <v>339</v>
      </c>
      <c r="E664" t="s">
        <v>20</v>
      </c>
      <c r="F664" t="s">
        <v>121</v>
      </c>
      <c r="G664" t="s">
        <v>21</v>
      </c>
      <c r="H664" t="s">
        <v>127</v>
      </c>
      <c r="I664" t="s">
        <v>93</v>
      </c>
      <c r="J664" t="s">
        <v>74</v>
      </c>
      <c r="K664" t="s">
        <v>26</v>
      </c>
      <c r="L664">
        <v>6069.14</v>
      </c>
      <c r="M664">
        <v>73</v>
      </c>
      <c r="N664" s="10" t="s">
        <v>27</v>
      </c>
      <c r="O664" s="10" t="s">
        <v>28</v>
      </c>
      <c r="P664" s="13">
        <v>44150.030555555553</v>
      </c>
      <c r="Q664" t="s">
        <v>2150</v>
      </c>
    </row>
    <row r="665" spans="1:17">
      <c r="A665" s="8" t="s">
        <v>2151</v>
      </c>
      <c r="B665" s="8">
        <v>0</v>
      </c>
      <c r="C665" t="s">
        <v>1079</v>
      </c>
      <c r="D665" t="s">
        <v>2152</v>
      </c>
      <c r="E665" t="s">
        <v>20</v>
      </c>
      <c r="F665" t="s">
        <v>98</v>
      </c>
      <c r="G665" t="s">
        <v>22</v>
      </c>
      <c r="H665" t="s">
        <v>54</v>
      </c>
      <c r="I665" t="s">
        <v>24</v>
      </c>
      <c r="J665" t="s">
        <v>38</v>
      </c>
      <c r="K665" t="s">
        <v>26</v>
      </c>
      <c r="L665">
        <v>13478.84</v>
      </c>
      <c r="M665">
        <v>31</v>
      </c>
      <c r="N665" s="11" t="s">
        <v>27</v>
      </c>
      <c r="O665" s="11" t="s">
        <v>48</v>
      </c>
      <c r="P665" s="14">
        <v>45980.587500000001</v>
      </c>
      <c r="Q665" t="s">
        <v>2153</v>
      </c>
    </row>
    <row r="666" spans="1:17">
      <c r="A666" s="8" t="s">
        <v>2154</v>
      </c>
      <c r="B666" s="8">
        <v>86003182</v>
      </c>
      <c r="C666" t="s">
        <v>1943</v>
      </c>
      <c r="D666" t="s">
        <v>809</v>
      </c>
      <c r="E666" t="s">
        <v>20</v>
      </c>
      <c r="F666" t="s">
        <v>21</v>
      </c>
      <c r="G666" t="s">
        <v>92</v>
      </c>
      <c r="H666" t="s">
        <v>54</v>
      </c>
      <c r="I666" t="s">
        <v>68</v>
      </c>
      <c r="J666" t="s">
        <v>38</v>
      </c>
      <c r="K666" t="s">
        <v>26</v>
      </c>
      <c r="L666">
        <v>8597.9699999999993</v>
      </c>
      <c r="M666">
        <v>45</v>
      </c>
      <c r="N666" s="10" t="s">
        <v>57</v>
      </c>
      <c r="O666" s="10" t="s">
        <v>81</v>
      </c>
      <c r="P666" s="13">
        <v>45283.618750000001</v>
      </c>
      <c r="Q666" t="s">
        <v>2155</v>
      </c>
    </row>
    <row r="667" spans="1:17">
      <c r="A667" s="8" t="s">
        <v>2156</v>
      </c>
      <c r="B667" s="8">
        <v>80934691</v>
      </c>
      <c r="C667" t="s">
        <v>146</v>
      </c>
      <c r="D667" t="s">
        <v>1686</v>
      </c>
      <c r="E667" t="s">
        <v>20</v>
      </c>
      <c r="F667" t="s">
        <v>53</v>
      </c>
      <c r="G667" t="s">
        <v>121</v>
      </c>
      <c r="H667" t="s">
        <v>55</v>
      </c>
      <c r="I667" t="s">
        <v>36</v>
      </c>
      <c r="J667" t="s">
        <v>38</v>
      </c>
      <c r="K667" t="s">
        <v>69</v>
      </c>
      <c r="L667">
        <v>9394.36</v>
      </c>
      <c r="M667">
        <v>19</v>
      </c>
      <c r="N667" s="11" t="s">
        <v>86</v>
      </c>
      <c r="O667" s="11" t="s">
        <v>28</v>
      </c>
      <c r="P667" s="14">
        <v>44704.40625</v>
      </c>
      <c r="Q667" t="s">
        <v>2157</v>
      </c>
    </row>
    <row r="668" spans="1:17">
      <c r="A668" s="8" t="s">
        <v>2158</v>
      </c>
      <c r="B668" s="8">
        <v>18402695</v>
      </c>
      <c r="C668" t="s">
        <v>1480</v>
      </c>
      <c r="D668" t="s">
        <v>196</v>
      </c>
      <c r="E668" t="s">
        <v>20</v>
      </c>
      <c r="F668" t="s">
        <v>121</v>
      </c>
      <c r="G668" t="s">
        <v>35</v>
      </c>
      <c r="H668" t="s">
        <v>62</v>
      </c>
      <c r="I668" t="s">
        <v>93</v>
      </c>
      <c r="J668" t="s">
        <v>25</v>
      </c>
      <c r="K668" t="s">
        <v>69</v>
      </c>
      <c r="L668">
        <v>14180.7</v>
      </c>
      <c r="M668">
        <v>43</v>
      </c>
      <c r="N668" s="10" t="s">
        <v>39</v>
      </c>
      <c r="O668" s="10" t="s">
        <v>28</v>
      </c>
      <c r="P668" s="13">
        <v>45576.239583333336</v>
      </c>
      <c r="Q668" t="s">
        <v>2159</v>
      </c>
    </row>
    <row r="669" spans="1:17">
      <c r="A669" s="8" t="s">
        <v>2160</v>
      </c>
      <c r="B669" s="8">
        <v>94495057</v>
      </c>
      <c r="C669" t="s">
        <v>1029</v>
      </c>
      <c r="D669" t="s">
        <v>1473</v>
      </c>
      <c r="E669" t="s">
        <v>20</v>
      </c>
      <c r="F669" t="s">
        <v>45</v>
      </c>
      <c r="G669" t="s">
        <v>92</v>
      </c>
      <c r="H669" t="s">
        <v>55</v>
      </c>
      <c r="I669" t="s">
        <v>36</v>
      </c>
      <c r="J669" t="s">
        <v>56</v>
      </c>
      <c r="K669" t="s">
        <v>26</v>
      </c>
      <c r="L669">
        <v>6646</v>
      </c>
      <c r="M669">
        <v>31</v>
      </c>
      <c r="N669" s="11" t="s">
        <v>57</v>
      </c>
      <c r="O669" s="11" t="s">
        <v>81</v>
      </c>
      <c r="P669" s="14">
        <v>46133.99722222222</v>
      </c>
      <c r="Q669" t="s">
        <v>2161</v>
      </c>
    </row>
    <row r="670" spans="1:17">
      <c r="A670" s="8" t="s">
        <v>2162</v>
      </c>
      <c r="B670" s="8">
        <v>28413747</v>
      </c>
      <c r="C670" t="s">
        <v>2163</v>
      </c>
      <c r="D670" t="s">
        <v>1593</v>
      </c>
      <c r="E670" t="s">
        <v>20</v>
      </c>
      <c r="F670" t="s">
        <v>44</v>
      </c>
      <c r="G670" t="s">
        <v>22</v>
      </c>
      <c r="H670" t="s">
        <v>54</v>
      </c>
      <c r="I670" t="s">
        <v>37</v>
      </c>
      <c r="J670" t="s">
        <v>38</v>
      </c>
      <c r="K670" t="s">
        <v>63</v>
      </c>
      <c r="L670">
        <v>1011.24</v>
      </c>
      <c r="M670">
        <v>76</v>
      </c>
      <c r="N670" s="10" t="s">
        <v>57</v>
      </c>
      <c r="O670" s="10" t="s">
        <v>28</v>
      </c>
      <c r="P670" s="13">
        <v>45386.904861111114</v>
      </c>
      <c r="Q670" t="s">
        <v>2164</v>
      </c>
    </row>
    <row r="671" spans="1:17">
      <c r="A671" s="8" t="s">
        <v>2165</v>
      </c>
      <c r="B671" s="8">
        <v>52171230</v>
      </c>
      <c r="C671" t="s">
        <v>1100</v>
      </c>
      <c r="D671" t="s">
        <v>2166</v>
      </c>
      <c r="E671" t="s">
        <v>20</v>
      </c>
      <c r="F671" t="s">
        <v>92</v>
      </c>
      <c r="G671" t="s">
        <v>35</v>
      </c>
      <c r="H671" t="s">
        <v>93</v>
      </c>
      <c r="I671" t="s">
        <v>37</v>
      </c>
      <c r="J671" t="s">
        <v>74</v>
      </c>
      <c r="K671" t="s">
        <v>46</v>
      </c>
      <c r="L671">
        <v>1533.83</v>
      </c>
      <c r="M671">
        <v>73</v>
      </c>
      <c r="N671" s="11" t="s">
        <v>27</v>
      </c>
      <c r="O671" s="11" t="s">
        <v>48</v>
      </c>
      <c r="P671" s="14">
        <v>43942.436111111114</v>
      </c>
      <c r="Q671" t="s">
        <v>2167</v>
      </c>
    </row>
    <row r="672" spans="1:17">
      <c r="A672" s="8" t="s">
        <v>2168</v>
      </c>
      <c r="B672" s="8">
        <v>83298017</v>
      </c>
      <c r="C672" t="s">
        <v>701</v>
      </c>
      <c r="D672" t="s">
        <v>2169</v>
      </c>
      <c r="E672" t="s">
        <v>20</v>
      </c>
      <c r="F672" t="s">
        <v>44</v>
      </c>
      <c r="G672" t="s">
        <v>35</v>
      </c>
      <c r="H672" t="s">
        <v>127</v>
      </c>
      <c r="I672" t="s">
        <v>36</v>
      </c>
      <c r="J672" t="s">
        <v>74</v>
      </c>
      <c r="K672" t="s">
        <v>63</v>
      </c>
      <c r="L672">
        <v>4852.1099999999997</v>
      </c>
      <c r="M672">
        <v>24</v>
      </c>
      <c r="N672" s="10" t="s">
        <v>47</v>
      </c>
      <c r="O672" s="10" t="s">
        <v>81</v>
      </c>
      <c r="P672" s="13">
        <v>44291.828472222223</v>
      </c>
      <c r="Q672" t="s">
        <v>2170</v>
      </c>
    </row>
    <row r="673" spans="1:17">
      <c r="A673" s="8" t="s">
        <v>2171</v>
      </c>
      <c r="B673" s="8">
        <v>43571334</v>
      </c>
      <c r="C673" t="s">
        <v>487</v>
      </c>
      <c r="D673" t="s">
        <v>179</v>
      </c>
      <c r="E673" t="s">
        <v>20</v>
      </c>
      <c r="F673" t="s">
        <v>21</v>
      </c>
      <c r="G673" t="s">
        <v>44</v>
      </c>
      <c r="H673" t="s">
        <v>55</v>
      </c>
      <c r="I673" t="s">
        <v>68</v>
      </c>
      <c r="J673" t="s">
        <v>74</v>
      </c>
      <c r="K673" t="s">
        <v>46</v>
      </c>
      <c r="L673">
        <v>1393.11</v>
      </c>
      <c r="M673">
        <v>20</v>
      </c>
      <c r="N673" s="11" t="s">
        <v>39</v>
      </c>
      <c r="O673" s="11" t="s">
        <v>48</v>
      </c>
      <c r="P673" s="14">
        <v>44717.99722222222</v>
      </c>
      <c r="Q673" t="s">
        <v>2172</v>
      </c>
    </row>
    <row r="674" spans="1:17">
      <c r="A674" s="8" t="s">
        <v>2173</v>
      </c>
      <c r="B674" s="8">
        <v>91402258</v>
      </c>
      <c r="C674" t="s">
        <v>239</v>
      </c>
      <c r="D674" t="s">
        <v>2174</v>
      </c>
      <c r="E674" t="s">
        <v>20</v>
      </c>
      <c r="F674" t="s">
        <v>121</v>
      </c>
      <c r="G674" t="s">
        <v>98</v>
      </c>
      <c r="H674" t="s">
        <v>62</v>
      </c>
      <c r="I674" t="s">
        <v>93</v>
      </c>
      <c r="J674" t="s">
        <v>56</v>
      </c>
      <c r="K674" t="s">
        <v>69</v>
      </c>
      <c r="L674">
        <v>5083.68</v>
      </c>
      <c r="M674">
        <v>40</v>
      </c>
      <c r="N674" s="10" t="s">
        <v>27</v>
      </c>
      <c r="O674" s="10" t="s">
        <v>81</v>
      </c>
      <c r="P674" s="13">
        <v>44946.750694444447</v>
      </c>
      <c r="Q674" t="s">
        <v>2175</v>
      </c>
    </row>
    <row r="675" spans="1:17">
      <c r="A675" s="8" t="s">
        <v>2176</v>
      </c>
      <c r="B675" s="8">
        <v>74199191</v>
      </c>
      <c r="C675" t="s">
        <v>2177</v>
      </c>
      <c r="D675" t="s">
        <v>562</v>
      </c>
      <c r="E675" t="s">
        <v>20</v>
      </c>
      <c r="F675" t="s">
        <v>121</v>
      </c>
      <c r="G675" t="s">
        <v>523</v>
      </c>
      <c r="H675" t="s">
        <v>24</v>
      </c>
      <c r="I675" t="s">
        <v>24</v>
      </c>
      <c r="J675" t="s">
        <v>56</v>
      </c>
      <c r="K675" t="s">
        <v>63</v>
      </c>
      <c r="L675">
        <v>2163.0100000000002</v>
      </c>
      <c r="M675">
        <v>35</v>
      </c>
      <c r="N675" s="11" t="s">
        <v>47</v>
      </c>
      <c r="O675" s="11" t="s">
        <v>48</v>
      </c>
      <c r="P675" s="14">
        <v>44906.888194444444</v>
      </c>
      <c r="Q675" t="s">
        <v>2178</v>
      </c>
    </row>
    <row r="676" spans="1:17">
      <c r="A676" s="8" t="s">
        <v>2179</v>
      </c>
      <c r="B676" s="8">
        <v>54969786</v>
      </c>
      <c r="C676" t="s">
        <v>897</v>
      </c>
      <c r="D676" t="s">
        <v>633</v>
      </c>
      <c r="E676" t="s">
        <v>20</v>
      </c>
      <c r="F676" t="s">
        <v>92</v>
      </c>
      <c r="G676" t="s">
        <v>116</v>
      </c>
      <c r="H676" t="s">
        <v>37</v>
      </c>
      <c r="I676" t="s">
        <v>127</v>
      </c>
      <c r="J676" t="s">
        <v>38</v>
      </c>
      <c r="K676" t="s">
        <v>26</v>
      </c>
      <c r="L676">
        <v>4917.6099999999997</v>
      </c>
      <c r="M676">
        <v>55</v>
      </c>
      <c r="N676" s="10" t="s">
        <v>39</v>
      </c>
      <c r="O676" s="10" t="s">
        <v>81</v>
      </c>
      <c r="P676" s="13">
        <v>44350.004861111112</v>
      </c>
      <c r="Q676" t="s">
        <v>2180</v>
      </c>
    </row>
    <row r="677" spans="1:17">
      <c r="A677" s="8" t="s">
        <v>2181</v>
      </c>
      <c r="B677" s="8">
        <v>12169801</v>
      </c>
      <c r="C677" t="s">
        <v>2182</v>
      </c>
      <c r="D677" t="s">
        <v>2183</v>
      </c>
      <c r="E677" t="s">
        <v>33</v>
      </c>
      <c r="F677" t="s">
        <v>34</v>
      </c>
      <c r="G677" t="s">
        <v>80</v>
      </c>
      <c r="H677" t="s">
        <v>54</v>
      </c>
      <c r="I677" t="s">
        <v>55</v>
      </c>
      <c r="J677" t="s">
        <v>38</v>
      </c>
      <c r="K677" t="s">
        <v>63</v>
      </c>
      <c r="L677">
        <v>10754.1</v>
      </c>
      <c r="M677">
        <v>32</v>
      </c>
      <c r="N677" s="11" t="s">
        <v>57</v>
      </c>
      <c r="O677" s="11" t="s">
        <v>75</v>
      </c>
      <c r="P677" s="14">
        <v>44642.547222222223</v>
      </c>
      <c r="Q677" t="s">
        <v>2184</v>
      </c>
    </row>
    <row r="678" spans="1:17">
      <c r="A678" s="8" t="s">
        <v>2185</v>
      </c>
      <c r="B678" s="8">
        <v>56543939</v>
      </c>
      <c r="C678" t="s">
        <v>2186</v>
      </c>
      <c r="D678" t="s">
        <v>825</v>
      </c>
      <c r="E678" t="s">
        <v>20</v>
      </c>
      <c r="F678" t="s">
        <v>80</v>
      </c>
      <c r="G678" t="s">
        <v>22</v>
      </c>
      <c r="H678" t="s">
        <v>23</v>
      </c>
      <c r="I678" t="s">
        <v>37</v>
      </c>
      <c r="J678" t="s">
        <v>56</v>
      </c>
      <c r="K678" t="s">
        <v>26</v>
      </c>
      <c r="L678">
        <v>7169.25</v>
      </c>
      <c r="M678">
        <v>81</v>
      </c>
      <c r="N678" s="10" t="s">
        <v>27</v>
      </c>
      <c r="O678" s="10" t="s">
        <v>48</v>
      </c>
      <c r="P678" s="13">
        <v>46114.080555555556</v>
      </c>
      <c r="Q678" t="s">
        <v>2187</v>
      </c>
    </row>
    <row r="679" spans="1:17">
      <c r="A679" s="8" t="s">
        <v>2188</v>
      </c>
      <c r="B679" s="8">
        <v>0</v>
      </c>
      <c r="C679" t="s">
        <v>151</v>
      </c>
      <c r="D679" t="s">
        <v>946</v>
      </c>
      <c r="E679" t="s">
        <v>20</v>
      </c>
      <c r="F679" t="s">
        <v>116</v>
      </c>
      <c r="G679" t="s">
        <v>116</v>
      </c>
      <c r="H679" t="s">
        <v>24</v>
      </c>
      <c r="I679" t="s">
        <v>62</v>
      </c>
      <c r="J679" t="s">
        <v>103</v>
      </c>
      <c r="K679" t="s">
        <v>63</v>
      </c>
      <c r="L679">
        <v>8656.2999999999993</v>
      </c>
      <c r="M679">
        <v>45</v>
      </c>
      <c r="N679" s="11" t="s">
        <v>39</v>
      </c>
      <c r="O679" s="11" t="s">
        <v>28</v>
      </c>
      <c r="P679" s="14">
        <v>45755.919444444444</v>
      </c>
      <c r="Q679" t="s">
        <v>2189</v>
      </c>
    </row>
    <row r="680" spans="1:17">
      <c r="A680" s="8" t="s">
        <v>2190</v>
      </c>
      <c r="B680" s="8">
        <v>14012808</v>
      </c>
      <c r="C680" t="s">
        <v>2191</v>
      </c>
      <c r="D680" t="s">
        <v>240</v>
      </c>
      <c r="E680" t="s">
        <v>33</v>
      </c>
      <c r="F680" t="s">
        <v>92</v>
      </c>
      <c r="G680" t="s">
        <v>92</v>
      </c>
      <c r="H680" t="s">
        <v>36</v>
      </c>
      <c r="I680" t="s">
        <v>68</v>
      </c>
      <c r="J680" t="s">
        <v>74</v>
      </c>
      <c r="K680" t="s">
        <v>69</v>
      </c>
      <c r="L680">
        <v>13497.5</v>
      </c>
      <c r="M680">
        <v>56</v>
      </c>
      <c r="N680" s="10" t="s">
        <v>47</v>
      </c>
      <c r="O680" s="10" t="s">
        <v>75</v>
      </c>
      <c r="P680" s="13">
        <v>45435.933333333334</v>
      </c>
      <c r="Q680" t="s">
        <v>2192</v>
      </c>
    </row>
    <row r="681" spans="1:17">
      <c r="A681" s="8" t="s">
        <v>2193</v>
      </c>
      <c r="B681" s="8">
        <v>92059030</v>
      </c>
      <c r="C681" t="s">
        <v>386</v>
      </c>
      <c r="D681" t="s">
        <v>1966</v>
      </c>
      <c r="E681" t="s">
        <v>20</v>
      </c>
      <c r="F681" t="s">
        <v>21</v>
      </c>
      <c r="G681" t="s">
        <v>45</v>
      </c>
      <c r="H681" t="s">
        <v>68</v>
      </c>
      <c r="I681" t="s">
        <v>55</v>
      </c>
      <c r="J681" t="s">
        <v>74</v>
      </c>
      <c r="K681" t="s">
        <v>63</v>
      </c>
      <c r="L681">
        <v>14407.52</v>
      </c>
      <c r="M681">
        <v>74</v>
      </c>
      <c r="N681" s="11" t="s">
        <v>27</v>
      </c>
      <c r="O681" s="11" t="s">
        <v>28</v>
      </c>
      <c r="P681" s="14">
        <v>44757.302083333336</v>
      </c>
      <c r="Q681" t="s">
        <v>2194</v>
      </c>
    </row>
    <row r="682" spans="1:17">
      <c r="A682" s="8" t="s">
        <v>2195</v>
      </c>
      <c r="B682" s="8">
        <v>0</v>
      </c>
      <c r="C682" t="s">
        <v>2196</v>
      </c>
      <c r="D682" t="s">
        <v>2197</v>
      </c>
      <c r="E682" t="s">
        <v>33</v>
      </c>
      <c r="F682" t="s">
        <v>116</v>
      </c>
      <c r="G682" t="s">
        <v>21</v>
      </c>
      <c r="H682" t="s">
        <v>62</v>
      </c>
      <c r="I682" t="s">
        <v>24</v>
      </c>
      <c r="J682" t="s">
        <v>38</v>
      </c>
      <c r="K682" t="s">
        <v>69</v>
      </c>
      <c r="L682">
        <v>1542.29</v>
      </c>
      <c r="M682">
        <v>34</v>
      </c>
      <c r="N682" s="10" t="s">
        <v>27</v>
      </c>
      <c r="O682" s="10" t="s">
        <v>28</v>
      </c>
      <c r="P682" s="13">
        <v>44387.907638888886</v>
      </c>
      <c r="Q682" t="s">
        <v>2198</v>
      </c>
    </row>
    <row r="683" spans="1:17">
      <c r="A683" s="8" t="s">
        <v>2199</v>
      </c>
      <c r="B683" s="8">
        <v>12098146</v>
      </c>
      <c r="C683" t="s">
        <v>836</v>
      </c>
      <c r="D683" t="s">
        <v>1167</v>
      </c>
      <c r="E683" t="s">
        <v>20</v>
      </c>
      <c r="F683" t="s">
        <v>53</v>
      </c>
      <c r="G683" t="s">
        <v>53</v>
      </c>
      <c r="H683" t="s">
        <v>23</v>
      </c>
      <c r="I683" t="s">
        <v>54</v>
      </c>
      <c r="J683" t="s">
        <v>38</v>
      </c>
      <c r="K683" t="s">
        <v>63</v>
      </c>
      <c r="L683">
        <v>1126.9000000000001</v>
      </c>
      <c r="M683">
        <v>61</v>
      </c>
      <c r="N683" s="11" t="s">
        <v>86</v>
      </c>
      <c r="O683" s="11" t="s">
        <v>81</v>
      </c>
      <c r="P683" s="14">
        <v>46112.535416666666</v>
      </c>
      <c r="Q683" t="s">
        <v>2200</v>
      </c>
    </row>
    <row r="684" spans="1:17">
      <c r="A684" s="8" t="s">
        <v>2201</v>
      </c>
      <c r="B684" s="8">
        <v>58885275</v>
      </c>
      <c r="C684" t="s">
        <v>2202</v>
      </c>
      <c r="D684" t="s">
        <v>354</v>
      </c>
      <c r="E684" t="s">
        <v>20</v>
      </c>
      <c r="F684" t="s">
        <v>44</v>
      </c>
      <c r="G684" t="s">
        <v>35</v>
      </c>
      <c r="H684" t="s">
        <v>68</v>
      </c>
      <c r="I684" t="s">
        <v>127</v>
      </c>
      <c r="J684" t="s">
        <v>74</v>
      </c>
      <c r="K684" t="s">
        <v>26</v>
      </c>
      <c r="L684">
        <v>7143.08</v>
      </c>
      <c r="M684">
        <v>42</v>
      </c>
      <c r="N684" s="10" t="s">
        <v>27</v>
      </c>
      <c r="O684" s="10" t="s">
        <v>28</v>
      </c>
      <c r="P684" s="13">
        <v>44886.583333333336</v>
      </c>
      <c r="Q684" t="s">
        <v>2203</v>
      </c>
    </row>
    <row r="685" spans="1:17">
      <c r="A685" s="8" t="s">
        <v>2204</v>
      </c>
      <c r="B685" s="8">
        <v>96343880</v>
      </c>
      <c r="C685" t="s">
        <v>1558</v>
      </c>
      <c r="D685" t="s">
        <v>2205</v>
      </c>
      <c r="E685" t="s">
        <v>20</v>
      </c>
      <c r="F685" t="s">
        <v>80</v>
      </c>
      <c r="G685" t="s">
        <v>34</v>
      </c>
      <c r="H685" t="s">
        <v>62</v>
      </c>
      <c r="I685" t="s">
        <v>37</v>
      </c>
      <c r="J685" t="s">
        <v>38</v>
      </c>
      <c r="K685" t="s">
        <v>26</v>
      </c>
      <c r="L685">
        <v>8426.67</v>
      </c>
      <c r="M685">
        <v>34</v>
      </c>
      <c r="N685" s="11" t="s">
        <v>27</v>
      </c>
      <c r="O685" s="11" t="s">
        <v>48</v>
      </c>
      <c r="P685" s="14">
        <v>44409.876388888886</v>
      </c>
      <c r="Q685" t="s">
        <v>2206</v>
      </c>
    </row>
    <row r="686" spans="1:17">
      <c r="A686" s="8" t="s">
        <v>2207</v>
      </c>
      <c r="B686" s="8">
        <v>28367664</v>
      </c>
      <c r="C686" t="s">
        <v>2208</v>
      </c>
      <c r="D686" t="s">
        <v>1593</v>
      </c>
      <c r="E686" t="s">
        <v>33</v>
      </c>
      <c r="F686" t="s">
        <v>160</v>
      </c>
      <c r="G686" t="s">
        <v>92</v>
      </c>
      <c r="H686" t="s">
        <v>93</v>
      </c>
      <c r="I686" t="s">
        <v>127</v>
      </c>
      <c r="J686" t="s">
        <v>56</v>
      </c>
      <c r="K686" t="s">
        <v>63</v>
      </c>
      <c r="L686">
        <v>6638.6</v>
      </c>
      <c r="M686">
        <v>30</v>
      </c>
      <c r="N686" s="10" t="s">
        <v>57</v>
      </c>
      <c r="O686" s="10" t="s">
        <v>48</v>
      </c>
      <c r="P686" s="13">
        <v>44372.245138888888</v>
      </c>
      <c r="Q686" t="s">
        <v>2209</v>
      </c>
    </row>
    <row r="687" spans="1:17">
      <c r="A687" s="8" t="s">
        <v>2210</v>
      </c>
      <c r="B687" s="8">
        <v>0</v>
      </c>
      <c r="C687" t="s">
        <v>163</v>
      </c>
      <c r="D687" t="s">
        <v>2211</v>
      </c>
      <c r="E687" t="s">
        <v>20</v>
      </c>
      <c r="F687" t="s">
        <v>22</v>
      </c>
      <c r="G687" t="s">
        <v>116</v>
      </c>
      <c r="H687" t="s">
        <v>37</v>
      </c>
      <c r="I687" t="s">
        <v>55</v>
      </c>
      <c r="J687" t="s">
        <v>25</v>
      </c>
      <c r="K687" t="s">
        <v>46</v>
      </c>
      <c r="L687">
        <v>6427.33</v>
      </c>
      <c r="M687">
        <v>42</v>
      </c>
      <c r="N687" s="11" t="s">
        <v>57</v>
      </c>
      <c r="O687" s="11" t="s">
        <v>28</v>
      </c>
      <c r="P687" s="14">
        <v>45992.565972222219</v>
      </c>
      <c r="Q687" t="s">
        <v>2212</v>
      </c>
    </row>
    <row r="688" spans="1:17">
      <c r="A688" s="8" t="s">
        <v>2213</v>
      </c>
      <c r="B688" s="8">
        <v>19764093</v>
      </c>
      <c r="C688" t="s">
        <v>2214</v>
      </c>
      <c r="D688" t="s">
        <v>2215</v>
      </c>
      <c r="E688" t="s">
        <v>33</v>
      </c>
      <c r="F688" t="s">
        <v>35</v>
      </c>
      <c r="G688" t="s">
        <v>393</v>
      </c>
      <c r="H688" t="s">
        <v>24</v>
      </c>
      <c r="I688" t="s">
        <v>127</v>
      </c>
      <c r="J688" t="s">
        <v>74</v>
      </c>
      <c r="K688" t="s">
        <v>46</v>
      </c>
      <c r="L688">
        <v>9498.75</v>
      </c>
      <c r="M688">
        <v>85</v>
      </c>
      <c r="N688" s="10" t="s">
        <v>27</v>
      </c>
      <c r="O688" s="10" t="s">
        <v>48</v>
      </c>
      <c r="P688" s="13">
        <v>46082.740277777775</v>
      </c>
      <c r="Q688" t="s">
        <v>2216</v>
      </c>
    </row>
    <row r="689" spans="1:17">
      <c r="A689" s="8" t="s">
        <v>2217</v>
      </c>
      <c r="B689" s="8">
        <v>29337067</v>
      </c>
      <c r="C689" t="s">
        <v>2218</v>
      </c>
      <c r="D689" t="s">
        <v>491</v>
      </c>
      <c r="E689" t="s">
        <v>20</v>
      </c>
      <c r="F689" t="s">
        <v>44</v>
      </c>
      <c r="G689" t="s">
        <v>45</v>
      </c>
      <c r="H689" t="s">
        <v>127</v>
      </c>
      <c r="I689" t="s">
        <v>54</v>
      </c>
      <c r="J689" t="s">
        <v>74</v>
      </c>
      <c r="K689" t="s">
        <v>69</v>
      </c>
      <c r="L689">
        <v>12690.99</v>
      </c>
      <c r="M689">
        <v>27</v>
      </c>
      <c r="N689" s="11" t="s">
        <v>47</v>
      </c>
      <c r="O689" s="11" t="s">
        <v>75</v>
      </c>
      <c r="P689" s="14">
        <v>44883.345138888886</v>
      </c>
      <c r="Q689" t="s">
        <v>2219</v>
      </c>
    </row>
    <row r="690" spans="1:17">
      <c r="A690" s="8" t="s">
        <v>2220</v>
      </c>
      <c r="B690" s="8">
        <v>35558238</v>
      </c>
      <c r="C690" t="s">
        <v>146</v>
      </c>
      <c r="D690" t="s">
        <v>2221</v>
      </c>
      <c r="E690" t="s">
        <v>20</v>
      </c>
      <c r="F690" t="s">
        <v>45</v>
      </c>
      <c r="G690" t="s">
        <v>112</v>
      </c>
      <c r="H690" t="s">
        <v>62</v>
      </c>
      <c r="I690" t="s">
        <v>55</v>
      </c>
      <c r="J690" t="s">
        <v>38</v>
      </c>
      <c r="K690" t="s">
        <v>26</v>
      </c>
      <c r="L690">
        <v>6236.37</v>
      </c>
      <c r="M690">
        <v>84</v>
      </c>
      <c r="N690" s="10" t="s">
        <v>39</v>
      </c>
      <c r="O690" s="10" t="s">
        <v>48</v>
      </c>
      <c r="P690" s="13">
        <v>44304.089583333334</v>
      </c>
      <c r="Q690" t="s">
        <v>2222</v>
      </c>
    </row>
    <row r="691" spans="1:17">
      <c r="A691" s="8" t="s">
        <v>2223</v>
      </c>
      <c r="B691" s="8">
        <v>71206971</v>
      </c>
      <c r="C691" t="s">
        <v>536</v>
      </c>
      <c r="D691" t="s">
        <v>2224</v>
      </c>
      <c r="E691" t="s">
        <v>33</v>
      </c>
      <c r="F691" t="s">
        <v>44</v>
      </c>
      <c r="G691" t="s">
        <v>34</v>
      </c>
      <c r="H691" t="s">
        <v>127</v>
      </c>
      <c r="I691" t="s">
        <v>37</v>
      </c>
      <c r="J691" t="s">
        <v>74</v>
      </c>
      <c r="K691" t="s">
        <v>63</v>
      </c>
      <c r="L691">
        <v>14132.64</v>
      </c>
      <c r="M691">
        <v>35</v>
      </c>
      <c r="N691" s="11" t="s">
        <v>57</v>
      </c>
      <c r="O691" s="11" t="s">
        <v>48</v>
      </c>
      <c r="P691" s="14">
        <v>46131.693055555559</v>
      </c>
      <c r="Q691" t="s">
        <v>2225</v>
      </c>
    </row>
    <row r="692" spans="1:17">
      <c r="A692" s="8" t="s">
        <v>2226</v>
      </c>
      <c r="B692" s="8">
        <v>62679863</v>
      </c>
      <c r="C692" t="s">
        <v>397</v>
      </c>
      <c r="D692" t="s">
        <v>640</v>
      </c>
      <c r="E692" t="s">
        <v>33</v>
      </c>
      <c r="F692" t="s">
        <v>35</v>
      </c>
      <c r="G692" t="s">
        <v>45</v>
      </c>
      <c r="H692" t="s">
        <v>37</v>
      </c>
      <c r="I692" t="s">
        <v>93</v>
      </c>
      <c r="J692" t="s">
        <v>38</v>
      </c>
      <c r="K692" t="s">
        <v>26</v>
      </c>
      <c r="L692">
        <v>13887.67</v>
      </c>
      <c r="M692">
        <v>51</v>
      </c>
      <c r="N692" s="10" t="s">
        <v>27</v>
      </c>
      <c r="O692" s="10" t="s">
        <v>48</v>
      </c>
      <c r="P692" s="13">
        <v>44735.583333333336</v>
      </c>
      <c r="Q692" t="s">
        <v>2227</v>
      </c>
    </row>
    <row r="693" spans="1:17">
      <c r="A693" s="8" t="s">
        <v>2228</v>
      </c>
      <c r="B693" s="8">
        <v>23530495</v>
      </c>
      <c r="C693" t="s">
        <v>1349</v>
      </c>
      <c r="D693" t="s">
        <v>494</v>
      </c>
      <c r="E693" t="s">
        <v>33</v>
      </c>
      <c r="F693" t="s">
        <v>116</v>
      </c>
      <c r="G693" t="s">
        <v>35</v>
      </c>
      <c r="H693" t="s">
        <v>54</v>
      </c>
      <c r="I693" t="s">
        <v>62</v>
      </c>
      <c r="J693" t="s">
        <v>38</v>
      </c>
      <c r="K693" t="s">
        <v>69</v>
      </c>
      <c r="L693">
        <v>10540.03</v>
      </c>
      <c r="M693">
        <v>25</v>
      </c>
      <c r="N693" s="11" t="s">
        <v>47</v>
      </c>
      <c r="O693" s="11" t="s">
        <v>48</v>
      </c>
      <c r="P693" s="14">
        <v>45776.45</v>
      </c>
      <c r="Q693" t="s">
        <v>2229</v>
      </c>
    </row>
    <row r="694" spans="1:17">
      <c r="A694" s="8" t="s">
        <v>2230</v>
      </c>
      <c r="B694" s="8">
        <v>31684442</v>
      </c>
      <c r="C694" t="s">
        <v>1762</v>
      </c>
      <c r="D694" t="s">
        <v>409</v>
      </c>
      <c r="E694" t="s">
        <v>20</v>
      </c>
      <c r="F694" t="s">
        <v>116</v>
      </c>
      <c r="G694" t="s">
        <v>34</v>
      </c>
      <c r="H694" t="s">
        <v>36</v>
      </c>
      <c r="I694" t="s">
        <v>55</v>
      </c>
      <c r="J694" t="s">
        <v>38</v>
      </c>
      <c r="K694" t="s">
        <v>69</v>
      </c>
      <c r="L694">
        <v>2715.1</v>
      </c>
      <c r="M694">
        <v>57</v>
      </c>
      <c r="N694" s="10" t="s">
        <v>39</v>
      </c>
      <c r="O694" s="10" t="s">
        <v>81</v>
      </c>
      <c r="P694" s="13">
        <v>44216.17083333333</v>
      </c>
      <c r="Q694" t="s">
        <v>2231</v>
      </c>
    </row>
    <row r="695" spans="1:17">
      <c r="A695" s="8" t="s">
        <v>2232</v>
      </c>
      <c r="B695" s="8">
        <v>80732751</v>
      </c>
      <c r="C695" t="s">
        <v>582</v>
      </c>
      <c r="D695" t="s">
        <v>146</v>
      </c>
      <c r="E695" t="s">
        <v>523</v>
      </c>
      <c r="F695" t="s">
        <v>22</v>
      </c>
      <c r="G695" t="s">
        <v>34</v>
      </c>
      <c r="H695" t="s">
        <v>24</v>
      </c>
      <c r="I695" t="s">
        <v>23</v>
      </c>
      <c r="J695" t="s">
        <v>25</v>
      </c>
      <c r="K695" t="s">
        <v>46</v>
      </c>
      <c r="L695">
        <v>11293.71</v>
      </c>
      <c r="M695">
        <v>59</v>
      </c>
      <c r="N695" s="11" t="s">
        <v>86</v>
      </c>
      <c r="O695" s="11" t="s">
        <v>48</v>
      </c>
      <c r="P695" s="14">
        <v>43892.788888888892</v>
      </c>
      <c r="Q695" t="s">
        <v>2233</v>
      </c>
    </row>
    <row r="696" spans="1:17">
      <c r="A696" s="8" t="s">
        <v>2234</v>
      </c>
      <c r="B696" s="8">
        <v>84384809</v>
      </c>
      <c r="C696" t="s">
        <v>1958</v>
      </c>
      <c r="D696" t="s">
        <v>1073</v>
      </c>
      <c r="E696" t="s">
        <v>523</v>
      </c>
      <c r="F696" t="s">
        <v>98</v>
      </c>
      <c r="G696" t="s">
        <v>98</v>
      </c>
      <c r="H696" t="s">
        <v>37</v>
      </c>
      <c r="I696" t="s">
        <v>54</v>
      </c>
      <c r="J696" t="s">
        <v>38</v>
      </c>
      <c r="K696" t="s">
        <v>69</v>
      </c>
      <c r="L696">
        <v>10013.549999999999</v>
      </c>
      <c r="M696">
        <v>58</v>
      </c>
      <c r="N696" s="10" t="s">
        <v>57</v>
      </c>
      <c r="O696" s="10" t="s">
        <v>48</v>
      </c>
      <c r="P696" s="13">
        <v>44345.977777777778</v>
      </c>
      <c r="Q696" t="s">
        <v>2235</v>
      </c>
    </row>
    <row r="697" spans="1:17">
      <c r="A697" s="8" t="s">
        <v>2236</v>
      </c>
      <c r="B697" s="8">
        <v>37111336</v>
      </c>
      <c r="C697" t="s">
        <v>423</v>
      </c>
      <c r="D697" t="s">
        <v>2237</v>
      </c>
      <c r="E697" t="s">
        <v>523</v>
      </c>
      <c r="F697" t="s">
        <v>45</v>
      </c>
      <c r="G697" t="s">
        <v>35</v>
      </c>
      <c r="H697" t="s">
        <v>37</v>
      </c>
      <c r="I697" t="s">
        <v>55</v>
      </c>
      <c r="J697" t="s">
        <v>74</v>
      </c>
      <c r="K697" t="s">
        <v>26</v>
      </c>
      <c r="L697">
        <v>13081.38</v>
      </c>
      <c r="M697">
        <v>23</v>
      </c>
      <c r="N697" s="11" t="s">
        <v>27</v>
      </c>
      <c r="O697" s="11" t="s">
        <v>28</v>
      </c>
      <c r="P697" s="14">
        <v>44260.606944444444</v>
      </c>
      <c r="Q697" t="s">
        <v>2238</v>
      </c>
    </row>
    <row r="698" spans="1:17">
      <c r="A698" s="8" t="s">
        <v>2239</v>
      </c>
      <c r="B698" s="8">
        <v>50639874</v>
      </c>
      <c r="C698" t="s">
        <v>2240</v>
      </c>
      <c r="D698" t="s">
        <v>2241</v>
      </c>
      <c r="E698" t="s">
        <v>523</v>
      </c>
      <c r="F698" t="s">
        <v>294</v>
      </c>
      <c r="G698" t="s">
        <v>121</v>
      </c>
      <c r="H698" t="s">
        <v>93</v>
      </c>
      <c r="I698" t="s">
        <v>55</v>
      </c>
      <c r="J698" t="s">
        <v>25</v>
      </c>
      <c r="K698" t="s">
        <v>26</v>
      </c>
      <c r="L698">
        <v>10304.74</v>
      </c>
      <c r="M698">
        <v>69</v>
      </c>
      <c r="N698" s="10" t="s">
        <v>39</v>
      </c>
      <c r="O698" s="10" t="s">
        <v>28</v>
      </c>
      <c r="P698" s="13">
        <v>44410.60833333333</v>
      </c>
      <c r="Q698" t="s">
        <v>2242</v>
      </c>
    </row>
    <row r="699" spans="1:17">
      <c r="A699" s="8" t="s">
        <v>2243</v>
      </c>
      <c r="B699" s="8">
        <v>71786427</v>
      </c>
      <c r="C699" t="s">
        <v>861</v>
      </c>
      <c r="D699" t="s">
        <v>2244</v>
      </c>
      <c r="E699" t="s">
        <v>523</v>
      </c>
      <c r="F699" t="s">
        <v>35</v>
      </c>
      <c r="G699" t="s">
        <v>116</v>
      </c>
      <c r="H699" t="s">
        <v>68</v>
      </c>
      <c r="I699" t="s">
        <v>23</v>
      </c>
      <c r="J699" t="s">
        <v>74</v>
      </c>
      <c r="K699" t="s">
        <v>69</v>
      </c>
      <c r="L699">
        <v>1823.14</v>
      </c>
      <c r="M699">
        <v>43</v>
      </c>
      <c r="N699" s="11" t="s">
        <v>86</v>
      </c>
      <c r="O699" s="11" t="s">
        <v>81</v>
      </c>
      <c r="P699" s="14">
        <v>45391.924305555556</v>
      </c>
      <c r="Q699" t="s">
        <v>2245</v>
      </c>
    </row>
    <row r="700" spans="1:17">
      <c r="A700" s="8" t="s">
        <v>2246</v>
      </c>
      <c r="B700" s="8">
        <v>0</v>
      </c>
      <c r="C700" t="s">
        <v>2247</v>
      </c>
      <c r="D700" t="s">
        <v>1216</v>
      </c>
      <c r="E700" t="s">
        <v>523</v>
      </c>
      <c r="F700" t="s">
        <v>34</v>
      </c>
      <c r="G700" t="s">
        <v>121</v>
      </c>
      <c r="H700" t="s">
        <v>36</v>
      </c>
      <c r="I700" t="s">
        <v>37</v>
      </c>
      <c r="J700" t="s">
        <v>38</v>
      </c>
      <c r="K700" t="s">
        <v>69</v>
      </c>
      <c r="L700">
        <v>2252.98</v>
      </c>
      <c r="M700">
        <v>81</v>
      </c>
      <c r="N700" s="10" t="s">
        <v>57</v>
      </c>
      <c r="O700" s="10" t="s">
        <v>48</v>
      </c>
      <c r="P700" s="13">
        <v>44995.816666666666</v>
      </c>
      <c r="Q700" t="s">
        <v>2248</v>
      </c>
    </row>
    <row r="701" spans="1:17">
      <c r="A701" s="8" t="s">
        <v>2249</v>
      </c>
      <c r="B701" s="8">
        <v>87367064</v>
      </c>
      <c r="C701" t="s">
        <v>994</v>
      </c>
      <c r="D701" t="s">
        <v>2250</v>
      </c>
      <c r="E701" t="s">
        <v>523</v>
      </c>
      <c r="F701" t="s">
        <v>160</v>
      </c>
      <c r="G701" t="s">
        <v>21</v>
      </c>
      <c r="H701" t="s">
        <v>24</v>
      </c>
      <c r="I701" t="s">
        <v>55</v>
      </c>
      <c r="J701" t="s">
        <v>103</v>
      </c>
      <c r="K701" t="s">
        <v>46</v>
      </c>
      <c r="L701">
        <v>5713.63</v>
      </c>
      <c r="M701">
        <v>76</v>
      </c>
      <c r="N701" s="11" t="s">
        <v>86</v>
      </c>
      <c r="O701" s="11" t="s">
        <v>28</v>
      </c>
      <c r="P701" s="14">
        <v>45154.088888888888</v>
      </c>
      <c r="Q701" t="s">
        <v>2251</v>
      </c>
    </row>
    <row r="702" spans="1:17">
      <c r="A702" s="8" t="s">
        <v>2252</v>
      </c>
      <c r="B702" s="8">
        <v>40717503</v>
      </c>
      <c r="C702" t="s">
        <v>1032</v>
      </c>
      <c r="D702" t="s">
        <v>405</v>
      </c>
      <c r="E702" t="s">
        <v>523</v>
      </c>
      <c r="F702" t="s">
        <v>34</v>
      </c>
      <c r="G702" t="s">
        <v>98</v>
      </c>
      <c r="H702" t="s">
        <v>54</v>
      </c>
      <c r="I702" t="s">
        <v>62</v>
      </c>
      <c r="J702" t="s">
        <v>25</v>
      </c>
      <c r="K702" t="s">
        <v>69</v>
      </c>
      <c r="L702">
        <v>14123.27</v>
      </c>
      <c r="M702">
        <v>73</v>
      </c>
      <c r="N702" s="10" t="s">
        <v>47</v>
      </c>
      <c r="O702" s="10" t="s">
        <v>28</v>
      </c>
      <c r="P702" s="13">
        <v>46189.359722222223</v>
      </c>
      <c r="Q702" t="s">
        <v>1836</v>
      </c>
    </row>
    <row r="703" spans="1:17">
      <c r="A703" s="8" t="s">
        <v>2253</v>
      </c>
      <c r="B703" s="8">
        <v>32327365</v>
      </c>
      <c r="C703" t="s">
        <v>1002</v>
      </c>
      <c r="D703" t="s">
        <v>1099</v>
      </c>
      <c r="E703" t="s">
        <v>523</v>
      </c>
      <c r="F703" t="s">
        <v>35</v>
      </c>
      <c r="G703" t="s">
        <v>92</v>
      </c>
      <c r="H703" t="s">
        <v>54</v>
      </c>
      <c r="I703" t="s">
        <v>127</v>
      </c>
      <c r="J703" t="s">
        <v>38</v>
      </c>
      <c r="K703" t="s">
        <v>46</v>
      </c>
      <c r="L703">
        <v>14177.84</v>
      </c>
      <c r="M703">
        <v>76</v>
      </c>
      <c r="N703" s="11" t="s">
        <v>86</v>
      </c>
      <c r="O703" s="11" t="s">
        <v>75</v>
      </c>
      <c r="P703" s="14">
        <v>44301.056944444441</v>
      </c>
      <c r="Q703" t="s">
        <v>2254</v>
      </c>
    </row>
    <row r="704" spans="1:17">
      <c r="A704" s="8" t="s">
        <v>2255</v>
      </c>
      <c r="B704" s="8">
        <v>14346370</v>
      </c>
      <c r="C704" t="s">
        <v>2061</v>
      </c>
      <c r="D704" t="s">
        <v>18</v>
      </c>
      <c r="E704" t="s">
        <v>523</v>
      </c>
      <c r="F704" t="s">
        <v>92</v>
      </c>
      <c r="G704" t="s">
        <v>44</v>
      </c>
      <c r="H704" t="s">
        <v>55</v>
      </c>
      <c r="I704" t="s">
        <v>37</v>
      </c>
      <c r="J704" t="s">
        <v>38</v>
      </c>
      <c r="K704" t="s">
        <v>69</v>
      </c>
      <c r="L704">
        <v>5569.61</v>
      </c>
      <c r="M704">
        <v>50</v>
      </c>
      <c r="N704" s="10" t="s">
        <v>27</v>
      </c>
      <c r="O704" s="10" t="s">
        <v>75</v>
      </c>
      <c r="P704" s="13">
        <v>45247.956944444442</v>
      </c>
      <c r="Q704" t="s">
        <v>2256</v>
      </c>
    </row>
    <row r="705" spans="1:17">
      <c r="A705" s="8" t="s">
        <v>2257</v>
      </c>
      <c r="B705" s="8">
        <v>71974482</v>
      </c>
      <c r="C705" t="s">
        <v>432</v>
      </c>
      <c r="D705" t="s">
        <v>2145</v>
      </c>
      <c r="E705" t="s">
        <v>523</v>
      </c>
      <c r="F705" t="s">
        <v>35</v>
      </c>
      <c r="G705" t="s">
        <v>98</v>
      </c>
      <c r="H705" t="s">
        <v>37</v>
      </c>
      <c r="I705" t="s">
        <v>62</v>
      </c>
      <c r="J705" t="s">
        <v>74</v>
      </c>
      <c r="K705" t="s">
        <v>69</v>
      </c>
      <c r="L705">
        <v>6745.39</v>
      </c>
      <c r="M705">
        <v>70</v>
      </c>
      <c r="N705" s="11" t="s">
        <v>57</v>
      </c>
      <c r="O705" s="11" t="s">
        <v>28</v>
      </c>
      <c r="P705" s="14">
        <v>45496.84375</v>
      </c>
      <c r="Q705" t="s">
        <v>2258</v>
      </c>
    </row>
    <row r="706" spans="1:17">
      <c r="A706" s="8" t="s">
        <v>2259</v>
      </c>
      <c r="B706" s="8">
        <v>29881959</v>
      </c>
      <c r="C706" t="s">
        <v>1549</v>
      </c>
      <c r="D706" t="s">
        <v>2260</v>
      </c>
      <c r="E706" t="s">
        <v>523</v>
      </c>
      <c r="F706" t="s">
        <v>393</v>
      </c>
      <c r="G706" t="s">
        <v>22</v>
      </c>
      <c r="H706" t="s">
        <v>62</v>
      </c>
      <c r="I706" t="s">
        <v>37</v>
      </c>
      <c r="J706" t="s">
        <v>25</v>
      </c>
      <c r="K706" t="s">
        <v>26</v>
      </c>
      <c r="L706">
        <v>10692.19</v>
      </c>
      <c r="M706">
        <v>39</v>
      </c>
      <c r="N706" s="10" t="s">
        <v>57</v>
      </c>
      <c r="O706" s="10" t="s">
        <v>28</v>
      </c>
      <c r="P706" s="13">
        <v>45299.341666666667</v>
      </c>
      <c r="Q706" t="s">
        <v>2261</v>
      </c>
    </row>
    <row r="707" spans="1:17">
      <c r="A707" s="8" t="s">
        <v>2262</v>
      </c>
      <c r="B707" s="8">
        <v>36380976</v>
      </c>
      <c r="C707" t="s">
        <v>1117</v>
      </c>
      <c r="D707" t="s">
        <v>1014</v>
      </c>
      <c r="E707" t="s">
        <v>523</v>
      </c>
      <c r="F707" t="s">
        <v>98</v>
      </c>
      <c r="G707" t="s">
        <v>98</v>
      </c>
      <c r="H707" t="s">
        <v>93</v>
      </c>
      <c r="I707" t="s">
        <v>62</v>
      </c>
      <c r="J707" t="s">
        <v>74</v>
      </c>
      <c r="K707" t="s">
        <v>69</v>
      </c>
      <c r="L707">
        <v>8423.26</v>
      </c>
      <c r="M707">
        <v>38</v>
      </c>
      <c r="N707" s="11" t="s">
        <v>57</v>
      </c>
      <c r="O707" s="11" t="s">
        <v>48</v>
      </c>
      <c r="P707" s="14">
        <v>44639.785416666666</v>
      </c>
      <c r="Q707" t="s">
        <v>2263</v>
      </c>
    </row>
    <row r="708" spans="1:17">
      <c r="A708" s="8" t="s">
        <v>2264</v>
      </c>
      <c r="B708" s="8">
        <v>68627491</v>
      </c>
      <c r="C708" t="s">
        <v>2265</v>
      </c>
      <c r="D708" t="s">
        <v>679</v>
      </c>
      <c r="E708" t="s">
        <v>523</v>
      </c>
      <c r="F708" t="s">
        <v>98</v>
      </c>
      <c r="G708" t="s">
        <v>121</v>
      </c>
      <c r="H708" t="s">
        <v>36</v>
      </c>
      <c r="I708" t="s">
        <v>54</v>
      </c>
      <c r="J708" t="s">
        <v>56</v>
      </c>
      <c r="K708" t="s">
        <v>26</v>
      </c>
      <c r="L708">
        <v>6389.2</v>
      </c>
      <c r="M708">
        <v>21</v>
      </c>
      <c r="N708" s="10" t="s">
        <v>57</v>
      </c>
      <c r="O708" s="10" t="s">
        <v>75</v>
      </c>
      <c r="P708" s="13">
        <v>44002.692361111112</v>
      </c>
      <c r="Q708" t="s">
        <v>2266</v>
      </c>
    </row>
    <row r="709" spans="1:17">
      <c r="A709" s="8" t="s">
        <v>2267</v>
      </c>
      <c r="B709" s="8">
        <v>97926462</v>
      </c>
      <c r="C709" t="s">
        <v>1590</v>
      </c>
      <c r="D709" t="s">
        <v>297</v>
      </c>
      <c r="E709" t="s">
        <v>523</v>
      </c>
      <c r="F709" t="s">
        <v>98</v>
      </c>
      <c r="G709" t="s">
        <v>35</v>
      </c>
      <c r="H709" t="s">
        <v>54</v>
      </c>
      <c r="I709" t="s">
        <v>62</v>
      </c>
      <c r="J709" t="s">
        <v>38</v>
      </c>
      <c r="K709" t="s">
        <v>69</v>
      </c>
      <c r="L709">
        <v>4732.55</v>
      </c>
      <c r="M709">
        <v>79</v>
      </c>
      <c r="N709" s="11" t="s">
        <v>86</v>
      </c>
      <c r="O709" s="11" t="s">
        <v>75</v>
      </c>
      <c r="P709" s="14">
        <v>43861.125</v>
      </c>
      <c r="Q709" t="s">
        <v>2268</v>
      </c>
    </row>
    <row r="710" spans="1:17">
      <c r="A710" s="8" t="s">
        <v>2269</v>
      </c>
      <c r="B710" s="8">
        <v>63016030</v>
      </c>
      <c r="C710" t="s">
        <v>1995</v>
      </c>
      <c r="D710" t="s">
        <v>1729</v>
      </c>
      <c r="E710" t="s">
        <v>523</v>
      </c>
      <c r="F710" t="s">
        <v>45</v>
      </c>
      <c r="G710" t="s">
        <v>35</v>
      </c>
      <c r="H710" t="s">
        <v>24</v>
      </c>
      <c r="I710" t="s">
        <v>36</v>
      </c>
      <c r="J710" t="s">
        <v>38</v>
      </c>
      <c r="K710" t="s">
        <v>46</v>
      </c>
      <c r="L710">
        <v>4396.3100000000004</v>
      </c>
      <c r="M710">
        <v>79</v>
      </c>
      <c r="N710" s="10" t="s">
        <v>39</v>
      </c>
      <c r="O710" s="10" t="s">
        <v>81</v>
      </c>
      <c r="P710" s="13">
        <v>43877.743055555555</v>
      </c>
      <c r="Q710" t="s">
        <v>2270</v>
      </c>
    </row>
    <row r="711" spans="1:17">
      <c r="A711" s="8" t="s">
        <v>2271</v>
      </c>
      <c r="B711" s="8">
        <v>0</v>
      </c>
      <c r="C711" t="s">
        <v>2272</v>
      </c>
      <c r="D711" t="s">
        <v>2273</v>
      </c>
      <c r="E711" t="s">
        <v>523</v>
      </c>
      <c r="F711" t="s">
        <v>98</v>
      </c>
      <c r="G711" t="s">
        <v>45</v>
      </c>
      <c r="H711" t="s">
        <v>55</v>
      </c>
      <c r="I711" t="s">
        <v>62</v>
      </c>
      <c r="J711" t="s">
        <v>25</v>
      </c>
      <c r="K711" t="s">
        <v>69</v>
      </c>
      <c r="L711">
        <v>10675.19</v>
      </c>
      <c r="M711">
        <v>41</v>
      </c>
      <c r="N711" s="11" t="s">
        <v>57</v>
      </c>
      <c r="O711" s="11" t="s">
        <v>48</v>
      </c>
      <c r="P711" s="14">
        <v>43960.341666666667</v>
      </c>
      <c r="Q711" t="s">
        <v>2274</v>
      </c>
    </row>
    <row r="712" spans="1:17">
      <c r="A712" s="8" t="s">
        <v>2275</v>
      </c>
      <c r="B712" s="8">
        <v>21948440</v>
      </c>
      <c r="C712" t="s">
        <v>1744</v>
      </c>
      <c r="D712" t="s">
        <v>875</v>
      </c>
      <c r="E712" t="s">
        <v>523</v>
      </c>
      <c r="F712" t="s">
        <v>45</v>
      </c>
      <c r="G712" t="s">
        <v>80</v>
      </c>
      <c r="H712" t="s">
        <v>24</v>
      </c>
      <c r="I712" t="s">
        <v>93</v>
      </c>
      <c r="J712" t="s">
        <v>38</v>
      </c>
      <c r="K712" t="s">
        <v>69</v>
      </c>
      <c r="L712">
        <v>3535.81</v>
      </c>
      <c r="M712">
        <v>72</v>
      </c>
      <c r="N712" s="10" t="s">
        <v>27</v>
      </c>
      <c r="O712" s="10" t="s">
        <v>81</v>
      </c>
      <c r="P712" s="13">
        <v>46230.32916666667</v>
      </c>
      <c r="Q712" t="s">
        <v>2276</v>
      </c>
    </row>
    <row r="713" spans="1:17">
      <c r="A713" s="8" t="s">
        <v>2277</v>
      </c>
      <c r="B713" s="8">
        <v>98783194</v>
      </c>
      <c r="C713" t="s">
        <v>2278</v>
      </c>
      <c r="D713" t="s">
        <v>1653</v>
      </c>
      <c r="E713" t="s">
        <v>523</v>
      </c>
      <c r="F713" t="s">
        <v>98</v>
      </c>
      <c r="G713" t="s">
        <v>92</v>
      </c>
      <c r="H713" t="s">
        <v>93</v>
      </c>
      <c r="I713" t="s">
        <v>93</v>
      </c>
      <c r="J713" t="s">
        <v>38</v>
      </c>
      <c r="K713" t="s">
        <v>63</v>
      </c>
      <c r="L713">
        <v>7702.05</v>
      </c>
      <c r="M713">
        <v>26</v>
      </c>
      <c r="N713" s="11" t="s">
        <v>47</v>
      </c>
      <c r="O713" s="11" t="s">
        <v>81</v>
      </c>
      <c r="P713" s="14">
        <v>44808.509722222225</v>
      </c>
      <c r="Q713" t="s">
        <v>2279</v>
      </c>
    </row>
    <row r="714" spans="1:17">
      <c r="A714" s="8" t="s">
        <v>2280</v>
      </c>
      <c r="B714" s="8">
        <v>52976267</v>
      </c>
      <c r="C714" t="s">
        <v>2281</v>
      </c>
      <c r="D714" t="s">
        <v>735</v>
      </c>
      <c r="E714" t="s">
        <v>523</v>
      </c>
      <c r="F714" t="s">
        <v>121</v>
      </c>
      <c r="G714" t="s">
        <v>92</v>
      </c>
      <c r="H714" t="s">
        <v>62</v>
      </c>
      <c r="I714" t="s">
        <v>68</v>
      </c>
      <c r="J714" t="s">
        <v>74</v>
      </c>
      <c r="K714" t="s">
        <v>63</v>
      </c>
      <c r="L714">
        <v>13365.94</v>
      </c>
      <c r="M714">
        <v>20</v>
      </c>
      <c r="N714" s="10" t="s">
        <v>27</v>
      </c>
      <c r="O714" s="10" t="s">
        <v>75</v>
      </c>
      <c r="P714" s="13">
        <v>45476.446527777778</v>
      </c>
      <c r="Q714" t="s">
        <v>2282</v>
      </c>
    </row>
    <row r="715" spans="1:17">
      <c r="A715" s="8" t="s">
        <v>2283</v>
      </c>
      <c r="B715" s="8">
        <v>99962943</v>
      </c>
      <c r="C715" t="s">
        <v>2284</v>
      </c>
      <c r="D715" t="s">
        <v>2281</v>
      </c>
      <c r="E715" t="s">
        <v>523</v>
      </c>
      <c r="F715" t="s">
        <v>53</v>
      </c>
      <c r="G715" t="s">
        <v>80</v>
      </c>
      <c r="H715" t="s">
        <v>55</v>
      </c>
      <c r="I715" t="s">
        <v>36</v>
      </c>
      <c r="J715" t="s">
        <v>38</v>
      </c>
      <c r="K715" t="s">
        <v>26</v>
      </c>
      <c r="L715">
        <v>1696.27</v>
      </c>
      <c r="M715">
        <v>48</v>
      </c>
      <c r="N715" s="11" t="s">
        <v>39</v>
      </c>
      <c r="O715" s="11" t="s">
        <v>28</v>
      </c>
      <c r="P715" s="14">
        <v>45435.543749999997</v>
      </c>
      <c r="Q715" t="s">
        <v>2285</v>
      </c>
    </row>
    <row r="716" spans="1:17">
      <c r="A716" s="8" t="s">
        <v>2286</v>
      </c>
      <c r="B716" s="8">
        <v>60652004</v>
      </c>
      <c r="C716" t="s">
        <v>259</v>
      </c>
      <c r="D716" t="s">
        <v>2007</v>
      </c>
      <c r="E716" t="s">
        <v>523</v>
      </c>
      <c r="F716" t="s">
        <v>45</v>
      </c>
      <c r="G716" t="s">
        <v>45</v>
      </c>
      <c r="H716" t="s">
        <v>55</v>
      </c>
      <c r="I716" t="s">
        <v>36</v>
      </c>
      <c r="J716" t="s">
        <v>38</v>
      </c>
      <c r="K716" t="s">
        <v>46</v>
      </c>
      <c r="L716">
        <v>4252.7700000000004</v>
      </c>
      <c r="M716">
        <v>57</v>
      </c>
      <c r="N716" s="10" t="s">
        <v>27</v>
      </c>
      <c r="O716" s="10" t="s">
        <v>81</v>
      </c>
      <c r="P716" s="13">
        <v>43888.015972222223</v>
      </c>
      <c r="Q716" t="s">
        <v>2287</v>
      </c>
    </row>
    <row r="717" spans="1:17">
      <c r="A717" s="8" t="s">
        <v>2288</v>
      </c>
      <c r="B717" s="8">
        <v>69585481</v>
      </c>
      <c r="C717" t="s">
        <v>1421</v>
      </c>
      <c r="D717" t="s">
        <v>1051</v>
      </c>
      <c r="E717" t="s">
        <v>523</v>
      </c>
      <c r="F717" t="s">
        <v>21</v>
      </c>
      <c r="G717" t="s">
        <v>21</v>
      </c>
      <c r="H717" t="s">
        <v>68</v>
      </c>
      <c r="I717" t="s">
        <v>127</v>
      </c>
      <c r="J717" t="s">
        <v>38</v>
      </c>
      <c r="K717" t="s">
        <v>63</v>
      </c>
      <c r="L717">
        <v>1884.61</v>
      </c>
      <c r="M717">
        <v>53</v>
      </c>
      <c r="N717" s="11" t="s">
        <v>27</v>
      </c>
      <c r="O717" s="11" t="s">
        <v>48</v>
      </c>
      <c r="P717" s="14">
        <v>44960.159722222219</v>
      </c>
      <c r="Q717" t="s">
        <v>2289</v>
      </c>
    </row>
    <row r="718" spans="1:17">
      <c r="A718" s="8" t="s">
        <v>2290</v>
      </c>
      <c r="B718" s="8">
        <v>74360568</v>
      </c>
      <c r="C718" t="s">
        <v>819</v>
      </c>
      <c r="D718" t="s">
        <v>2291</v>
      </c>
      <c r="E718" t="s">
        <v>523</v>
      </c>
      <c r="F718" t="s">
        <v>523</v>
      </c>
      <c r="G718" t="s">
        <v>92</v>
      </c>
      <c r="H718" t="s">
        <v>36</v>
      </c>
      <c r="I718" t="s">
        <v>36</v>
      </c>
      <c r="J718" t="s">
        <v>25</v>
      </c>
      <c r="K718" t="s">
        <v>63</v>
      </c>
      <c r="L718">
        <v>13441.94</v>
      </c>
      <c r="M718">
        <v>41</v>
      </c>
      <c r="N718" s="10" t="s">
        <v>47</v>
      </c>
      <c r="O718" s="10" t="s">
        <v>75</v>
      </c>
      <c r="P718" s="13">
        <v>45184.339583333334</v>
      </c>
      <c r="Q718" t="s">
        <v>2292</v>
      </c>
    </row>
    <row r="719" spans="1:17">
      <c r="A719" s="8" t="s">
        <v>2293</v>
      </c>
      <c r="B719" s="8">
        <v>43369932</v>
      </c>
      <c r="C719" t="s">
        <v>1309</v>
      </c>
      <c r="D719" t="s">
        <v>1483</v>
      </c>
      <c r="E719" t="s">
        <v>523</v>
      </c>
      <c r="F719" t="s">
        <v>35</v>
      </c>
      <c r="G719" t="s">
        <v>160</v>
      </c>
      <c r="H719" t="s">
        <v>55</v>
      </c>
      <c r="I719" t="s">
        <v>127</v>
      </c>
      <c r="J719" t="s">
        <v>103</v>
      </c>
      <c r="K719" t="s">
        <v>69</v>
      </c>
      <c r="L719">
        <v>7438.92</v>
      </c>
      <c r="M719">
        <v>23</v>
      </c>
      <c r="N719" s="11" t="s">
        <v>57</v>
      </c>
      <c r="O719" s="11" t="s">
        <v>28</v>
      </c>
      <c r="P719" s="14">
        <v>44598.138194444444</v>
      </c>
      <c r="Q719" t="s">
        <v>2294</v>
      </c>
    </row>
    <row r="720" spans="1:17">
      <c r="A720" s="8" t="s">
        <v>2295</v>
      </c>
      <c r="B720" s="8">
        <v>18479821</v>
      </c>
      <c r="C720" t="s">
        <v>2296</v>
      </c>
      <c r="D720" t="s">
        <v>1461</v>
      </c>
      <c r="E720" t="s">
        <v>523</v>
      </c>
      <c r="F720" t="s">
        <v>22</v>
      </c>
      <c r="G720" t="s">
        <v>35</v>
      </c>
      <c r="H720" t="s">
        <v>68</v>
      </c>
      <c r="I720" t="s">
        <v>68</v>
      </c>
      <c r="J720" t="s">
        <v>38</v>
      </c>
      <c r="K720" t="s">
        <v>69</v>
      </c>
      <c r="L720">
        <v>8205.1</v>
      </c>
      <c r="M720">
        <v>83</v>
      </c>
      <c r="N720" s="10" t="s">
        <v>86</v>
      </c>
      <c r="O720" s="10" t="s">
        <v>81</v>
      </c>
      <c r="P720" s="13">
        <v>44513.363888888889</v>
      </c>
      <c r="Q720" t="s">
        <v>2297</v>
      </c>
    </row>
    <row r="721" spans="1:17">
      <c r="A721" s="8" t="s">
        <v>2298</v>
      </c>
      <c r="B721" s="8">
        <v>53815113</v>
      </c>
      <c r="C721" t="s">
        <v>2299</v>
      </c>
      <c r="D721" t="s">
        <v>2300</v>
      </c>
      <c r="E721" t="s">
        <v>523</v>
      </c>
      <c r="F721" t="s">
        <v>53</v>
      </c>
      <c r="G721" t="s">
        <v>98</v>
      </c>
      <c r="H721" t="s">
        <v>68</v>
      </c>
      <c r="I721" t="s">
        <v>68</v>
      </c>
      <c r="J721" t="s">
        <v>38</v>
      </c>
      <c r="K721" t="s">
        <v>26</v>
      </c>
      <c r="L721">
        <v>10450.219999999999</v>
      </c>
      <c r="M721">
        <v>21</v>
      </c>
      <c r="N721" s="11" t="s">
        <v>27</v>
      </c>
      <c r="O721" s="11" t="s">
        <v>81</v>
      </c>
      <c r="P721" s="14">
        <v>45839.465277777781</v>
      </c>
      <c r="Q721" t="s">
        <v>2301</v>
      </c>
    </row>
    <row r="722" spans="1:17">
      <c r="A722" s="8" t="s">
        <v>2302</v>
      </c>
      <c r="B722" s="8">
        <v>98571165</v>
      </c>
      <c r="C722" t="s">
        <v>1480</v>
      </c>
      <c r="D722" t="s">
        <v>1254</v>
      </c>
      <c r="E722" t="s">
        <v>523</v>
      </c>
      <c r="F722" t="s">
        <v>116</v>
      </c>
      <c r="G722" t="s">
        <v>45</v>
      </c>
      <c r="H722" t="s">
        <v>93</v>
      </c>
      <c r="I722" t="s">
        <v>54</v>
      </c>
      <c r="J722" t="s">
        <v>56</v>
      </c>
      <c r="K722" t="s">
        <v>46</v>
      </c>
      <c r="L722">
        <v>676.88</v>
      </c>
      <c r="M722">
        <v>23</v>
      </c>
      <c r="N722" s="10" t="s">
        <v>86</v>
      </c>
      <c r="O722" s="10" t="s">
        <v>28</v>
      </c>
      <c r="P722" s="13">
        <v>46164.470138888886</v>
      </c>
      <c r="Q722" t="s">
        <v>2303</v>
      </c>
    </row>
    <row r="723" spans="1:17">
      <c r="A723" s="8" t="s">
        <v>2304</v>
      </c>
      <c r="B723" s="8">
        <v>37802066</v>
      </c>
      <c r="C723" t="s">
        <v>130</v>
      </c>
      <c r="D723" t="s">
        <v>274</v>
      </c>
      <c r="E723" t="s">
        <v>523</v>
      </c>
      <c r="F723" t="s">
        <v>45</v>
      </c>
      <c r="G723" t="s">
        <v>21</v>
      </c>
      <c r="H723" t="s">
        <v>127</v>
      </c>
      <c r="I723" t="s">
        <v>93</v>
      </c>
      <c r="J723" t="s">
        <v>25</v>
      </c>
      <c r="K723" t="s">
        <v>69</v>
      </c>
      <c r="L723">
        <v>381.35</v>
      </c>
      <c r="M723">
        <v>68</v>
      </c>
      <c r="N723" s="11" t="s">
        <v>27</v>
      </c>
      <c r="O723" s="11" t="s">
        <v>75</v>
      </c>
      <c r="P723" s="14">
        <v>45621.490972222222</v>
      </c>
      <c r="Q723" t="s">
        <v>2305</v>
      </c>
    </row>
    <row r="724" spans="1:17">
      <c r="A724" s="8" t="s">
        <v>2306</v>
      </c>
      <c r="B724" s="8">
        <v>46771858</v>
      </c>
      <c r="C724" t="s">
        <v>1433</v>
      </c>
      <c r="D724" t="s">
        <v>2307</v>
      </c>
      <c r="E724" t="s">
        <v>523</v>
      </c>
      <c r="F724" t="s">
        <v>92</v>
      </c>
      <c r="G724" t="s">
        <v>92</v>
      </c>
      <c r="H724" t="s">
        <v>24</v>
      </c>
      <c r="I724" t="s">
        <v>62</v>
      </c>
      <c r="J724" t="s">
        <v>103</v>
      </c>
      <c r="K724" t="s">
        <v>69</v>
      </c>
      <c r="L724">
        <v>6359.62</v>
      </c>
      <c r="M724">
        <v>79</v>
      </c>
      <c r="N724" s="10" t="s">
        <v>57</v>
      </c>
      <c r="O724" s="10" t="s">
        <v>81</v>
      </c>
      <c r="P724" s="13">
        <v>45308.179861111108</v>
      </c>
      <c r="Q724" t="s">
        <v>2308</v>
      </c>
    </row>
    <row r="725" spans="1:17">
      <c r="A725" s="8" t="s">
        <v>2309</v>
      </c>
      <c r="B725" s="8">
        <v>77970791</v>
      </c>
      <c r="C725" t="s">
        <v>1995</v>
      </c>
      <c r="D725" t="s">
        <v>1504</v>
      </c>
      <c r="E725" t="s">
        <v>523</v>
      </c>
      <c r="F725" t="s">
        <v>34</v>
      </c>
      <c r="G725" t="s">
        <v>53</v>
      </c>
      <c r="H725" t="s">
        <v>62</v>
      </c>
      <c r="I725" t="s">
        <v>62</v>
      </c>
      <c r="J725" t="s">
        <v>38</v>
      </c>
      <c r="K725" t="s">
        <v>69</v>
      </c>
      <c r="L725">
        <v>10511.97</v>
      </c>
      <c r="M725">
        <v>74</v>
      </c>
      <c r="N725" s="11" t="s">
        <v>86</v>
      </c>
      <c r="O725" s="11" t="s">
        <v>28</v>
      </c>
      <c r="P725" s="14">
        <v>44716.472222222219</v>
      </c>
      <c r="Q725" t="s">
        <v>2310</v>
      </c>
    </row>
    <row r="726" spans="1:17">
      <c r="A726" s="8" t="s">
        <v>2311</v>
      </c>
      <c r="B726" s="8">
        <v>35063557</v>
      </c>
      <c r="C726" t="s">
        <v>2312</v>
      </c>
      <c r="D726" t="s">
        <v>1042</v>
      </c>
      <c r="E726" t="s">
        <v>523</v>
      </c>
      <c r="F726" t="s">
        <v>44</v>
      </c>
      <c r="G726" t="s">
        <v>92</v>
      </c>
      <c r="H726" t="s">
        <v>23</v>
      </c>
      <c r="I726" t="s">
        <v>23</v>
      </c>
      <c r="J726" t="s">
        <v>103</v>
      </c>
      <c r="K726" t="s">
        <v>63</v>
      </c>
      <c r="L726">
        <v>1019.31</v>
      </c>
      <c r="M726">
        <v>83</v>
      </c>
      <c r="N726" s="10" t="s">
        <v>86</v>
      </c>
      <c r="O726" s="10" t="s">
        <v>28</v>
      </c>
      <c r="P726" s="13">
        <v>44227.422222222223</v>
      </c>
      <c r="Q726" t="s">
        <v>2313</v>
      </c>
    </row>
    <row r="727" spans="1:17">
      <c r="A727" s="8" t="s">
        <v>2314</v>
      </c>
      <c r="B727" s="8">
        <v>81592930</v>
      </c>
      <c r="C727" t="s">
        <v>146</v>
      </c>
      <c r="D727" t="s">
        <v>323</v>
      </c>
      <c r="E727" t="s">
        <v>523</v>
      </c>
      <c r="F727" t="s">
        <v>112</v>
      </c>
      <c r="G727" t="s">
        <v>98</v>
      </c>
      <c r="H727" t="s">
        <v>24</v>
      </c>
      <c r="I727" t="s">
        <v>23</v>
      </c>
      <c r="J727" t="s">
        <v>38</v>
      </c>
      <c r="K727" t="s">
        <v>26</v>
      </c>
      <c r="L727">
        <v>2946.3</v>
      </c>
      <c r="M727">
        <v>25</v>
      </c>
      <c r="N727" s="11" t="s">
        <v>86</v>
      </c>
      <c r="O727" s="11" t="s">
        <v>48</v>
      </c>
      <c r="P727" s="14">
        <v>45369.724999999999</v>
      </c>
      <c r="Q727" t="s">
        <v>2315</v>
      </c>
    </row>
    <row r="728" spans="1:17">
      <c r="A728" s="8" t="s">
        <v>2316</v>
      </c>
      <c r="B728" s="8">
        <v>45315666</v>
      </c>
      <c r="C728" t="s">
        <v>640</v>
      </c>
      <c r="D728" t="s">
        <v>1472</v>
      </c>
      <c r="E728" t="s">
        <v>523</v>
      </c>
      <c r="F728" t="s">
        <v>21</v>
      </c>
      <c r="G728" t="s">
        <v>22</v>
      </c>
      <c r="H728" t="s">
        <v>55</v>
      </c>
      <c r="I728" t="s">
        <v>24</v>
      </c>
      <c r="J728" t="s">
        <v>56</v>
      </c>
      <c r="K728" t="s">
        <v>69</v>
      </c>
      <c r="L728">
        <v>3427.36</v>
      </c>
      <c r="M728">
        <v>43</v>
      </c>
      <c r="N728" s="10" t="s">
        <v>57</v>
      </c>
      <c r="O728" s="10" t="s">
        <v>81</v>
      </c>
      <c r="P728" s="13">
        <v>45904.118750000001</v>
      </c>
      <c r="Q728" t="s">
        <v>2317</v>
      </c>
    </row>
    <row r="729" spans="1:17">
      <c r="A729" s="8" t="s">
        <v>2318</v>
      </c>
      <c r="B729" s="8">
        <v>27168689</v>
      </c>
      <c r="C729" t="s">
        <v>1864</v>
      </c>
      <c r="D729" t="s">
        <v>2319</v>
      </c>
      <c r="E729" t="s">
        <v>523</v>
      </c>
      <c r="F729" t="s">
        <v>98</v>
      </c>
      <c r="G729" t="s">
        <v>34</v>
      </c>
      <c r="H729" t="s">
        <v>62</v>
      </c>
      <c r="I729" t="s">
        <v>37</v>
      </c>
      <c r="J729" t="s">
        <v>38</v>
      </c>
      <c r="K729" t="s">
        <v>26</v>
      </c>
      <c r="L729">
        <v>3824.43</v>
      </c>
      <c r="M729">
        <v>68</v>
      </c>
      <c r="N729" s="11" t="s">
        <v>57</v>
      </c>
      <c r="O729" s="11" t="s">
        <v>75</v>
      </c>
      <c r="P729" s="14">
        <v>44143.675694444442</v>
      </c>
      <c r="Q729" t="s">
        <v>2320</v>
      </c>
    </row>
    <row r="730" spans="1:17">
      <c r="A730" s="8" t="s">
        <v>2321</v>
      </c>
      <c r="B730" s="8">
        <v>70055642</v>
      </c>
      <c r="C730" t="s">
        <v>2205</v>
      </c>
      <c r="D730" t="s">
        <v>1192</v>
      </c>
      <c r="E730" t="s">
        <v>523</v>
      </c>
      <c r="F730" t="s">
        <v>22</v>
      </c>
      <c r="G730" t="s">
        <v>44</v>
      </c>
      <c r="H730" t="s">
        <v>54</v>
      </c>
      <c r="I730" t="s">
        <v>54</v>
      </c>
      <c r="J730" t="s">
        <v>56</v>
      </c>
      <c r="K730" t="s">
        <v>26</v>
      </c>
      <c r="L730">
        <v>3651.01</v>
      </c>
      <c r="M730">
        <v>62</v>
      </c>
      <c r="N730" s="10" t="s">
        <v>57</v>
      </c>
      <c r="O730" s="10" t="s">
        <v>48</v>
      </c>
      <c r="P730" s="13">
        <v>46004.011111111111</v>
      </c>
      <c r="Q730" t="s">
        <v>2322</v>
      </c>
    </row>
    <row r="731" spans="1:17">
      <c r="A731" s="8" t="s">
        <v>2323</v>
      </c>
      <c r="B731" s="8">
        <v>57463440</v>
      </c>
      <c r="C731" t="s">
        <v>1404</v>
      </c>
      <c r="D731" t="s">
        <v>578</v>
      </c>
      <c r="E731" t="s">
        <v>523</v>
      </c>
      <c r="F731" t="s">
        <v>523</v>
      </c>
      <c r="G731" t="s">
        <v>116</v>
      </c>
      <c r="H731" t="s">
        <v>127</v>
      </c>
      <c r="I731" t="s">
        <v>24</v>
      </c>
      <c r="J731" t="s">
        <v>74</v>
      </c>
      <c r="K731" t="s">
        <v>69</v>
      </c>
      <c r="L731">
        <v>5805.33</v>
      </c>
      <c r="M731">
        <v>61</v>
      </c>
      <c r="N731" s="11" t="s">
        <v>47</v>
      </c>
      <c r="O731" s="11" t="s">
        <v>75</v>
      </c>
      <c r="P731" s="14">
        <v>45419.294444444444</v>
      </c>
      <c r="Q731" t="s">
        <v>2324</v>
      </c>
    </row>
    <row r="732" spans="1:17">
      <c r="A732" s="8" t="s">
        <v>2325</v>
      </c>
      <c r="B732" s="8">
        <v>95143591</v>
      </c>
      <c r="C732" t="s">
        <v>146</v>
      </c>
      <c r="D732" t="s">
        <v>2326</v>
      </c>
      <c r="E732" t="s">
        <v>523</v>
      </c>
      <c r="F732" t="s">
        <v>92</v>
      </c>
      <c r="G732" t="s">
        <v>44</v>
      </c>
      <c r="H732" t="s">
        <v>54</v>
      </c>
      <c r="I732" t="s">
        <v>24</v>
      </c>
      <c r="J732" t="s">
        <v>74</v>
      </c>
      <c r="K732" t="s">
        <v>69</v>
      </c>
      <c r="L732">
        <v>3819</v>
      </c>
      <c r="M732">
        <v>22</v>
      </c>
      <c r="N732" s="10" t="s">
        <v>57</v>
      </c>
      <c r="O732" s="10" t="s">
        <v>75</v>
      </c>
      <c r="P732" s="13">
        <v>45052.194444444445</v>
      </c>
      <c r="Q732" t="s">
        <v>2327</v>
      </c>
    </row>
    <row r="733" spans="1:17">
      <c r="A733" s="8" t="s">
        <v>2328</v>
      </c>
      <c r="B733" s="8">
        <v>39184664</v>
      </c>
      <c r="C733" t="s">
        <v>1511</v>
      </c>
      <c r="D733" t="s">
        <v>547</v>
      </c>
      <c r="E733" t="s">
        <v>523</v>
      </c>
      <c r="F733" t="s">
        <v>45</v>
      </c>
      <c r="G733" t="s">
        <v>45</v>
      </c>
      <c r="H733" t="s">
        <v>54</v>
      </c>
      <c r="I733" t="s">
        <v>55</v>
      </c>
      <c r="J733" t="s">
        <v>25</v>
      </c>
      <c r="K733" t="s">
        <v>26</v>
      </c>
      <c r="L733">
        <v>8054.1</v>
      </c>
      <c r="M733">
        <v>43</v>
      </c>
      <c r="N733" s="11" t="s">
        <v>27</v>
      </c>
      <c r="O733" s="11" t="s">
        <v>75</v>
      </c>
      <c r="P733" s="14">
        <v>44641.095833333333</v>
      </c>
      <c r="Q733" t="s">
        <v>2329</v>
      </c>
    </row>
    <row r="734" spans="1:17">
      <c r="A734" s="8" t="s">
        <v>2330</v>
      </c>
      <c r="B734" s="8">
        <v>90376344</v>
      </c>
      <c r="C734" t="s">
        <v>2247</v>
      </c>
      <c r="D734" t="s">
        <v>2331</v>
      </c>
      <c r="E734" t="s">
        <v>523</v>
      </c>
      <c r="F734" t="s">
        <v>21</v>
      </c>
      <c r="G734" t="s">
        <v>44</v>
      </c>
      <c r="H734" t="s">
        <v>36</v>
      </c>
      <c r="I734" t="s">
        <v>55</v>
      </c>
      <c r="J734" t="s">
        <v>25</v>
      </c>
      <c r="K734" t="s">
        <v>46</v>
      </c>
      <c r="L734">
        <v>14797.57</v>
      </c>
      <c r="M734">
        <v>85</v>
      </c>
      <c r="N734" s="10" t="s">
        <v>27</v>
      </c>
      <c r="O734" s="10" t="s">
        <v>81</v>
      </c>
      <c r="P734" s="13">
        <v>46066.922222222223</v>
      </c>
      <c r="Q734" t="s">
        <v>2332</v>
      </c>
    </row>
    <row r="735" spans="1:17">
      <c r="A735" s="8" t="s">
        <v>2333</v>
      </c>
      <c r="B735" s="8">
        <v>41979677</v>
      </c>
      <c r="C735" t="s">
        <v>864</v>
      </c>
      <c r="D735" t="s">
        <v>18</v>
      </c>
      <c r="E735" t="s">
        <v>523</v>
      </c>
      <c r="F735" t="s">
        <v>45</v>
      </c>
      <c r="G735" t="s">
        <v>523</v>
      </c>
      <c r="H735" t="s">
        <v>24</v>
      </c>
      <c r="I735" t="s">
        <v>24</v>
      </c>
      <c r="J735" t="s">
        <v>74</v>
      </c>
      <c r="K735" t="s">
        <v>26</v>
      </c>
      <c r="L735">
        <v>7761.05</v>
      </c>
      <c r="M735">
        <v>36</v>
      </c>
      <c r="N735" s="11" t="s">
        <v>27</v>
      </c>
      <c r="O735" s="11" t="s">
        <v>28</v>
      </c>
      <c r="P735" s="14">
        <v>45863.895138888889</v>
      </c>
      <c r="Q735" t="s">
        <v>2334</v>
      </c>
    </row>
    <row r="736" spans="1:17">
      <c r="A736" s="8" t="s">
        <v>2335</v>
      </c>
      <c r="B736" s="8">
        <v>80064547</v>
      </c>
      <c r="C736" t="s">
        <v>2336</v>
      </c>
      <c r="D736" t="s">
        <v>847</v>
      </c>
      <c r="E736" t="s">
        <v>523</v>
      </c>
      <c r="F736" t="s">
        <v>80</v>
      </c>
      <c r="G736" t="s">
        <v>98</v>
      </c>
      <c r="H736" t="s">
        <v>23</v>
      </c>
      <c r="I736" t="s">
        <v>36</v>
      </c>
      <c r="J736" t="s">
        <v>38</v>
      </c>
      <c r="K736" t="s">
        <v>26</v>
      </c>
      <c r="L736">
        <v>1834.32</v>
      </c>
      <c r="M736">
        <v>37</v>
      </c>
      <c r="N736" s="10" t="s">
        <v>27</v>
      </c>
      <c r="O736" s="10" t="s">
        <v>28</v>
      </c>
      <c r="P736" s="13">
        <v>45338.71875</v>
      </c>
      <c r="Q736" t="s">
        <v>2337</v>
      </c>
    </row>
    <row r="737" spans="1:17">
      <c r="A737" s="8" t="s">
        <v>2338</v>
      </c>
      <c r="B737" s="8">
        <v>52859035</v>
      </c>
      <c r="C737" t="s">
        <v>1966</v>
      </c>
      <c r="D737" t="s">
        <v>18</v>
      </c>
      <c r="E737" t="s">
        <v>523</v>
      </c>
      <c r="F737" t="s">
        <v>80</v>
      </c>
      <c r="G737" t="s">
        <v>44</v>
      </c>
      <c r="H737" t="s">
        <v>93</v>
      </c>
      <c r="I737" t="s">
        <v>37</v>
      </c>
      <c r="J737" t="s">
        <v>103</v>
      </c>
      <c r="K737" t="s">
        <v>69</v>
      </c>
      <c r="L737">
        <v>6135.93</v>
      </c>
      <c r="M737">
        <v>29</v>
      </c>
      <c r="N737" s="11" t="s">
        <v>27</v>
      </c>
      <c r="O737" s="11" t="s">
        <v>75</v>
      </c>
      <c r="P737" s="14">
        <v>44280.000694444447</v>
      </c>
      <c r="Q737" t="s">
        <v>2339</v>
      </c>
    </row>
    <row r="738" spans="1:17">
      <c r="A738" s="8" t="s">
        <v>2340</v>
      </c>
      <c r="B738" s="8">
        <v>59668381</v>
      </c>
      <c r="C738" t="s">
        <v>1653</v>
      </c>
      <c r="D738" t="s">
        <v>1483</v>
      </c>
      <c r="E738" t="s">
        <v>523</v>
      </c>
      <c r="F738" t="s">
        <v>116</v>
      </c>
      <c r="G738" t="s">
        <v>160</v>
      </c>
      <c r="H738" t="s">
        <v>23</v>
      </c>
      <c r="I738" t="s">
        <v>54</v>
      </c>
      <c r="J738" t="s">
        <v>38</v>
      </c>
      <c r="K738" t="s">
        <v>26</v>
      </c>
      <c r="L738">
        <v>6337.01</v>
      </c>
      <c r="M738">
        <v>64</v>
      </c>
      <c r="N738" s="10" t="s">
        <v>86</v>
      </c>
      <c r="O738" s="10" t="s">
        <v>28</v>
      </c>
      <c r="P738" s="13">
        <v>45725.572916666664</v>
      </c>
      <c r="Q738" t="s">
        <v>2341</v>
      </c>
    </row>
    <row r="739" spans="1:17">
      <c r="A739" s="8" t="s">
        <v>2342</v>
      </c>
      <c r="B739" s="8">
        <v>40171534</v>
      </c>
      <c r="C739" t="s">
        <v>1022</v>
      </c>
      <c r="D739" t="s">
        <v>227</v>
      </c>
      <c r="E739" t="s">
        <v>523</v>
      </c>
      <c r="F739" t="s">
        <v>35</v>
      </c>
      <c r="G739" t="s">
        <v>92</v>
      </c>
      <c r="H739" t="s">
        <v>54</v>
      </c>
      <c r="I739" t="s">
        <v>24</v>
      </c>
      <c r="J739" t="s">
        <v>38</v>
      </c>
      <c r="K739" t="s">
        <v>63</v>
      </c>
      <c r="L739">
        <v>235.52</v>
      </c>
      <c r="M739">
        <v>18</v>
      </c>
      <c r="N739" s="11" t="s">
        <v>27</v>
      </c>
      <c r="O739" s="11" t="s">
        <v>48</v>
      </c>
      <c r="P739" s="14">
        <v>45208.017361111109</v>
      </c>
      <c r="Q739" t="s">
        <v>2343</v>
      </c>
    </row>
    <row r="740" spans="1:17">
      <c r="A740" s="8" t="s">
        <v>2344</v>
      </c>
      <c r="B740" s="8">
        <v>62132081</v>
      </c>
      <c r="C740" t="s">
        <v>1091</v>
      </c>
      <c r="D740" t="s">
        <v>1924</v>
      </c>
      <c r="E740" t="s">
        <v>523</v>
      </c>
      <c r="F740" t="s">
        <v>98</v>
      </c>
      <c r="G740" t="s">
        <v>92</v>
      </c>
      <c r="H740" t="s">
        <v>55</v>
      </c>
      <c r="I740" t="s">
        <v>62</v>
      </c>
      <c r="J740" t="s">
        <v>38</v>
      </c>
      <c r="K740" t="s">
        <v>46</v>
      </c>
      <c r="L740">
        <v>9616.17</v>
      </c>
      <c r="M740">
        <v>31</v>
      </c>
      <c r="N740" s="10" t="s">
        <v>27</v>
      </c>
      <c r="O740" s="10" t="s">
        <v>28</v>
      </c>
      <c r="P740" s="13">
        <v>44427.634722222225</v>
      </c>
      <c r="Q740" t="s">
        <v>2345</v>
      </c>
    </row>
    <row r="741" spans="1:17">
      <c r="A741" s="8" t="s">
        <v>2346</v>
      </c>
      <c r="B741" s="8">
        <v>13137155</v>
      </c>
      <c r="C741" t="s">
        <v>146</v>
      </c>
      <c r="D741" t="s">
        <v>2214</v>
      </c>
      <c r="E741" t="s">
        <v>523</v>
      </c>
      <c r="F741" t="s">
        <v>35</v>
      </c>
      <c r="G741" t="s">
        <v>21</v>
      </c>
      <c r="H741" t="s">
        <v>127</v>
      </c>
      <c r="I741" t="s">
        <v>37</v>
      </c>
      <c r="J741" t="s">
        <v>38</v>
      </c>
      <c r="K741" t="s">
        <v>63</v>
      </c>
      <c r="L741">
        <v>8390.43</v>
      </c>
      <c r="M741">
        <v>81</v>
      </c>
      <c r="N741" s="11" t="s">
        <v>47</v>
      </c>
      <c r="O741" s="11" t="s">
        <v>81</v>
      </c>
      <c r="P741" s="14">
        <v>45978.613194444442</v>
      </c>
      <c r="Q741" t="s">
        <v>2347</v>
      </c>
    </row>
    <row r="742" spans="1:17">
      <c r="A742" s="8" t="s">
        <v>2348</v>
      </c>
      <c r="B742" s="8">
        <v>19776373</v>
      </c>
      <c r="C742" t="s">
        <v>227</v>
      </c>
      <c r="D742" t="s">
        <v>793</v>
      </c>
      <c r="E742" t="s">
        <v>523</v>
      </c>
      <c r="F742" t="s">
        <v>35</v>
      </c>
      <c r="G742" t="s">
        <v>44</v>
      </c>
      <c r="H742" t="s">
        <v>37</v>
      </c>
      <c r="I742" t="s">
        <v>55</v>
      </c>
      <c r="J742" t="s">
        <v>56</v>
      </c>
      <c r="K742" t="s">
        <v>63</v>
      </c>
      <c r="L742">
        <v>2781.32</v>
      </c>
      <c r="M742">
        <v>55</v>
      </c>
      <c r="N742" s="10" t="s">
        <v>86</v>
      </c>
      <c r="O742" s="10" t="s">
        <v>28</v>
      </c>
      <c r="P742" s="13">
        <v>44446.634027777778</v>
      </c>
      <c r="Q742" t="s">
        <v>2349</v>
      </c>
    </row>
    <row r="743" spans="1:17">
      <c r="A743" s="8" t="s">
        <v>2350</v>
      </c>
      <c r="B743" s="8">
        <v>0</v>
      </c>
      <c r="C743" t="s">
        <v>980</v>
      </c>
      <c r="D743" t="s">
        <v>2351</v>
      </c>
      <c r="E743" t="s">
        <v>523</v>
      </c>
      <c r="F743" t="s">
        <v>22</v>
      </c>
      <c r="G743" t="s">
        <v>523</v>
      </c>
      <c r="H743" t="s">
        <v>23</v>
      </c>
      <c r="I743" t="s">
        <v>62</v>
      </c>
      <c r="J743" t="s">
        <v>38</v>
      </c>
      <c r="K743" t="s">
        <v>69</v>
      </c>
      <c r="L743">
        <v>5599</v>
      </c>
      <c r="M743">
        <v>54</v>
      </c>
      <c r="N743" s="11" t="s">
        <v>86</v>
      </c>
      <c r="O743" s="11" t="s">
        <v>75</v>
      </c>
      <c r="P743" s="14">
        <v>44778.990277777775</v>
      </c>
      <c r="Q743" t="s">
        <v>2352</v>
      </c>
    </row>
    <row r="744" spans="1:17">
      <c r="A744" s="8" t="s">
        <v>2353</v>
      </c>
      <c r="B744" s="8">
        <v>87111120</v>
      </c>
      <c r="C744" t="s">
        <v>2354</v>
      </c>
      <c r="D744" t="s">
        <v>1025</v>
      </c>
      <c r="E744" t="s">
        <v>523</v>
      </c>
      <c r="F744" t="s">
        <v>523</v>
      </c>
      <c r="G744" t="s">
        <v>22</v>
      </c>
      <c r="H744" t="s">
        <v>54</v>
      </c>
      <c r="I744" t="s">
        <v>55</v>
      </c>
      <c r="J744" t="s">
        <v>74</v>
      </c>
      <c r="K744" t="s">
        <v>69</v>
      </c>
      <c r="L744">
        <v>12715.8</v>
      </c>
      <c r="M744">
        <v>28</v>
      </c>
      <c r="N744" s="10" t="s">
        <v>39</v>
      </c>
      <c r="O744" s="10" t="s">
        <v>48</v>
      </c>
      <c r="P744" s="13">
        <v>45412.926388888889</v>
      </c>
      <c r="Q744" t="s">
        <v>2355</v>
      </c>
    </row>
    <row r="745" spans="1:17">
      <c r="A745" s="8" t="s">
        <v>2356</v>
      </c>
      <c r="B745" s="8">
        <v>79816122</v>
      </c>
      <c r="C745" t="s">
        <v>2357</v>
      </c>
      <c r="D745" t="s">
        <v>1180</v>
      </c>
      <c r="E745" t="s">
        <v>523</v>
      </c>
      <c r="F745" t="s">
        <v>22</v>
      </c>
      <c r="G745" t="s">
        <v>53</v>
      </c>
      <c r="H745" t="s">
        <v>127</v>
      </c>
      <c r="I745" t="s">
        <v>55</v>
      </c>
      <c r="J745" t="s">
        <v>38</v>
      </c>
      <c r="K745" t="s">
        <v>69</v>
      </c>
      <c r="L745">
        <v>103.64</v>
      </c>
      <c r="M745">
        <v>20</v>
      </c>
      <c r="N745" s="11" t="s">
        <v>86</v>
      </c>
      <c r="O745" s="11" t="s">
        <v>28</v>
      </c>
      <c r="P745" s="14">
        <v>44386.754861111112</v>
      </c>
      <c r="Q745" t="s">
        <v>2358</v>
      </c>
    </row>
    <row r="746" spans="1:17">
      <c r="A746" s="8" t="s">
        <v>2359</v>
      </c>
      <c r="B746" s="8">
        <v>72253115</v>
      </c>
      <c r="C746" t="s">
        <v>1479</v>
      </c>
      <c r="D746" t="s">
        <v>2360</v>
      </c>
      <c r="E746" t="s">
        <v>523</v>
      </c>
      <c r="F746" t="s">
        <v>34</v>
      </c>
      <c r="G746" t="s">
        <v>91</v>
      </c>
      <c r="H746" t="s">
        <v>62</v>
      </c>
      <c r="I746" t="s">
        <v>37</v>
      </c>
      <c r="J746" t="s">
        <v>38</v>
      </c>
      <c r="K746" t="s">
        <v>69</v>
      </c>
      <c r="L746">
        <v>12314.02</v>
      </c>
      <c r="M746">
        <v>50</v>
      </c>
      <c r="N746" s="10" t="s">
        <v>47</v>
      </c>
      <c r="O746" s="10" t="s">
        <v>48</v>
      </c>
      <c r="P746" s="13">
        <v>44108.042361111111</v>
      </c>
      <c r="Q746" t="s">
        <v>2361</v>
      </c>
    </row>
    <row r="747" spans="1:17">
      <c r="A747" s="8" t="s">
        <v>2362</v>
      </c>
      <c r="B747" s="8">
        <v>97730855</v>
      </c>
      <c r="C747" t="s">
        <v>2363</v>
      </c>
      <c r="D747" t="s">
        <v>247</v>
      </c>
      <c r="E747" t="s">
        <v>523</v>
      </c>
      <c r="F747" t="s">
        <v>98</v>
      </c>
      <c r="G747" t="s">
        <v>22</v>
      </c>
      <c r="H747" t="s">
        <v>24</v>
      </c>
      <c r="I747" t="s">
        <v>55</v>
      </c>
      <c r="J747" t="s">
        <v>56</v>
      </c>
      <c r="K747" t="s">
        <v>26</v>
      </c>
      <c r="L747">
        <v>8900.5400000000009</v>
      </c>
      <c r="M747">
        <v>23</v>
      </c>
      <c r="N747" s="11" t="s">
        <v>27</v>
      </c>
      <c r="O747" s="11" t="s">
        <v>48</v>
      </c>
      <c r="P747" s="14">
        <v>45844.398611111108</v>
      </c>
      <c r="Q747" t="s">
        <v>2364</v>
      </c>
    </row>
    <row r="748" spans="1:17">
      <c r="A748" s="8" t="s">
        <v>2365</v>
      </c>
      <c r="B748" s="8">
        <v>93806250</v>
      </c>
      <c r="C748" t="s">
        <v>2366</v>
      </c>
      <c r="D748" t="s">
        <v>96</v>
      </c>
      <c r="E748" t="s">
        <v>523</v>
      </c>
      <c r="F748" t="s">
        <v>44</v>
      </c>
      <c r="G748" t="s">
        <v>121</v>
      </c>
      <c r="H748" t="s">
        <v>68</v>
      </c>
      <c r="I748" t="s">
        <v>68</v>
      </c>
      <c r="J748" t="s">
        <v>25</v>
      </c>
      <c r="K748" t="s">
        <v>69</v>
      </c>
      <c r="L748">
        <v>3874.68</v>
      </c>
      <c r="M748">
        <v>67</v>
      </c>
      <c r="N748" s="10" t="s">
        <v>86</v>
      </c>
      <c r="O748" s="10" t="s">
        <v>48</v>
      </c>
      <c r="P748" s="13">
        <v>44321.95</v>
      </c>
      <c r="Q748" t="s">
        <v>2367</v>
      </c>
    </row>
    <row r="749" spans="1:17">
      <c r="A749" s="8" t="s">
        <v>2368</v>
      </c>
      <c r="B749" s="8">
        <v>58310738</v>
      </c>
      <c r="C749" t="s">
        <v>142</v>
      </c>
      <c r="D749" t="s">
        <v>66</v>
      </c>
      <c r="E749" t="s">
        <v>523</v>
      </c>
      <c r="F749" t="s">
        <v>121</v>
      </c>
      <c r="G749" t="s">
        <v>34</v>
      </c>
      <c r="H749" t="s">
        <v>36</v>
      </c>
      <c r="I749" t="s">
        <v>93</v>
      </c>
      <c r="J749" t="s">
        <v>38</v>
      </c>
      <c r="K749" t="s">
        <v>26</v>
      </c>
      <c r="L749">
        <v>593.38</v>
      </c>
      <c r="M749">
        <v>27</v>
      </c>
      <c r="N749" s="11" t="s">
        <v>39</v>
      </c>
      <c r="O749" s="11" t="s">
        <v>81</v>
      </c>
      <c r="P749" s="14">
        <v>44085.310416666667</v>
      </c>
      <c r="Q749" t="s">
        <v>2369</v>
      </c>
    </row>
    <row r="750" spans="1:17">
      <c r="A750" s="8" t="s">
        <v>2370</v>
      </c>
      <c r="B750" s="8">
        <v>50753834</v>
      </c>
      <c r="C750" t="s">
        <v>2371</v>
      </c>
      <c r="D750" t="s">
        <v>457</v>
      </c>
      <c r="E750" t="s">
        <v>523</v>
      </c>
      <c r="F750" t="s">
        <v>45</v>
      </c>
      <c r="G750" t="s">
        <v>176</v>
      </c>
      <c r="H750" t="s">
        <v>127</v>
      </c>
      <c r="I750" t="s">
        <v>68</v>
      </c>
      <c r="J750" t="s">
        <v>56</v>
      </c>
      <c r="K750" t="s">
        <v>69</v>
      </c>
      <c r="L750">
        <v>10573.27</v>
      </c>
      <c r="M750">
        <v>22</v>
      </c>
      <c r="N750" s="10" t="s">
        <v>39</v>
      </c>
      <c r="O750" s="10" t="s">
        <v>75</v>
      </c>
      <c r="P750" s="13">
        <v>46259.918749999997</v>
      </c>
      <c r="Q750" t="s">
        <v>2372</v>
      </c>
    </row>
    <row r="751" spans="1:17">
      <c r="A751" s="8" t="s">
        <v>2373</v>
      </c>
      <c r="B751" s="8">
        <v>89734272</v>
      </c>
      <c r="C751" t="s">
        <v>2374</v>
      </c>
      <c r="D751" t="s">
        <v>18</v>
      </c>
      <c r="E751" t="s">
        <v>523</v>
      </c>
      <c r="F751" t="s">
        <v>393</v>
      </c>
      <c r="G751" t="s">
        <v>35</v>
      </c>
      <c r="H751" t="s">
        <v>55</v>
      </c>
      <c r="I751" t="s">
        <v>93</v>
      </c>
      <c r="J751" t="s">
        <v>25</v>
      </c>
      <c r="K751" t="s">
        <v>26</v>
      </c>
      <c r="L751">
        <v>1504.95</v>
      </c>
      <c r="M751">
        <v>40</v>
      </c>
      <c r="N751" s="11" t="s">
        <v>86</v>
      </c>
      <c r="O751" s="11" t="s">
        <v>28</v>
      </c>
      <c r="P751" s="14">
        <v>44722.577777777777</v>
      </c>
      <c r="Q751" t="s">
        <v>2375</v>
      </c>
    </row>
    <row r="752" spans="1:17">
      <c r="A752" s="8" t="s">
        <v>2376</v>
      </c>
      <c r="B752" s="8">
        <v>62219432</v>
      </c>
      <c r="C752" t="s">
        <v>2377</v>
      </c>
      <c r="D752" t="s">
        <v>1418</v>
      </c>
      <c r="E752" t="s">
        <v>523</v>
      </c>
      <c r="F752" t="s">
        <v>80</v>
      </c>
      <c r="G752" t="s">
        <v>523</v>
      </c>
      <c r="H752" t="s">
        <v>55</v>
      </c>
      <c r="I752" t="s">
        <v>23</v>
      </c>
      <c r="J752" t="s">
        <v>38</v>
      </c>
      <c r="K752" t="s">
        <v>69</v>
      </c>
      <c r="L752">
        <v>10241.99</v>
      </c>
      <c r="M752">
        <v>27</v>
      </c>
      <c r="N752" s="10" t="s">
        <v>86</v>
      </c>
      <c r="O752" s="10" t="s">
        <v>28</v>
      </c>
      <c r="P752" s="13">
        <v>44372.394444444442</v>
      </c>
      <c r="Q752" t="s">
        <v>2378</v>
      </c>
    </row>
    <row r="753" spans="1:17">
      <c r="A753" s="8" t="s">
        <v>2379</v>
      </c>
      <c r="B753" s="8">
        <v>66060162</v>
      </c>
      <c r="C753" t="s">
        <v>1039</v>
      </c>
      <c r="D753" t="s">
        <v>491</v>
      </c>
      <c r="E753" t="s">
        <v>523</v>
      </c>
      <c r="F753" t="s">
        <v>34</v>
      </c>
      <c r="G753" t="s">
        <v>35</v>
      </c>
      <c r="H753" t="s">
        <v>127</v>
      </c>
      <c r="I753" t="s">
        <v>23</v>
      </c>
      <c r="J753" t="s">
        <v>38</v>
      </c>
      <c r="K753" t="s">
        <v>46</v>
      </c>
      <c r="L753">
        <v>10299.040000000001</v>
      </c>
      <c r="M753">
        <v>61</v>
      </c>
      <c r="N753" s="11" t="s">
        <v>57</v>
      </c>
      <c r="O753" s="11" t="s">
        <v>81</v>
      </c>
      <c r="P753" s="14">
        <v>45118.002083333333</v>
      </c>
      <c r="Q753" t="s">
        <v>2380</v>
      </c>
    </row>
    <row r="754" spans="1:17">
      <c r="A754" s="8" t="s">
        <v>2381</v>
      </c>
      <c r="B754" s="8">
        <v>72236168</v>
      </c>
      <c r="C754" t="s">
        <v>151</v>
      </c>
      <c r="D754" t="s">
        <v>1309</v>
      </c>
      <c r="E754" t="s">
        <v>523</v>
      </c>
      <c r="F754" t="s">
        <v>22</v>
      </c>
      <c r="G754" t="s">
        <v>116</v>
      </c>
      <c r="H754" t="s">
        <v>55</v>
      </c>
      <c r="I754" t="s">
        <v>55</v>
      </c>
      <c r="J754" t="s">
        <v>25</v>
      </c>
      <c r="K754" t="s">
        <v>69</v>
      </c>
      <c r="L754">
        <v>14738.68</v>
      </c>
      <c r="M754">
        <v>19</v>
      </c>
      <c r="N754" s="10" t="s">
        <v>57</v>
      </c>
      <c r="O754" s="10" t="s">
        <v>48</v>
      </c>
      <c r="P754" s="13">
        <v>45464.033333333333</v>
      </c>
      <c r="Q754" t="s">
        <v>2382</v>
      </c>
    </row>
    <row r="755" spans="1:17">
      <c r="A755" s="8" t="s">
        <v>2383</v>
      </c>
      <c r="B755" s="8">
        <v>38791442</v>
      </c>
      <c r="C755" t="s">
        <v>1744</v>
      </c>
      <c r="D755" t="s">
        <v>2384</v>
      </c>
      <c r="E755" t="s">
        <v>523</v>
      </c>
      <c r="F755" t="s">
        <v>176</v>
      </c>
      <c r="G755" t="s">
        <v>35</v>
      </c>
      <c r="H755" t="s">
        <v>24</v>
      </c>
      <c r="I755" t="s">
        <v>54</v>
      </c>
      <c r="J755" t="s">
        <v>38</v>
      </c>
      <c r="K755" t="s">
        <v>69</v>
      </c>
      <c r="L755">
        <v>13208.7</v>
      </c>
      <c r="M755">
        <v>30</v>
      </c>
      <c r="N755" s="11" t="s">
        <v>27</v>
      </c>
      <c r="O755" s="11" t="s">
        <v>48</v>
      </c>
      <c r="P755" s="14">
        <v>44655.693055555559</v>
      </c>
      <c r="Q755" t="s">
        <v>2385</v>
      </c>
    </row>
    <row r="756" spans="1:17">
      <c r="A756" s="8" t="s">
        <v>2386</v>
      </c>
      <c r="B756" s="8">
        <v>14463768</v>
      </c>
      <c r="C756" t="s">
        <v>2387</v>
      </c>
      <c r="D756" t="s">
        <v>456</v>
      </c>
      <c r="E756" t="s">
        <v>523</v>
      </c>
      <c r="F756" t="s">
        <v>112</v>
      </c>
      <c r="G756" t="s">
        <v>45</v>
      </c>
      <c r="H756" t="s">
        <v>55</v>
      </c>
      <c r="I756" t="s">
        <v>54</v>
      </c>
      <c r="J756" t="s">
        <v>25</v>
      </c>
      <c r="K756" t="s">
        <v>63</v>
      </c>
      <c r="L756">
        <v>5808.99</v>
      </c>
      <c r="M756">
        <v>57</v>
      </c>
      <c r="N756" s="10" t="s">
        <v>39</v>
      </c>
      <c r="O756" s="10" t="s">
        <v>81</v>
      </c>
      <c r="P756" s="13">
        <v>45183.938194444447</v>
      </c>
      <c r="Q756" t="s">
        <v>2388</v>
      </c>
    </row>
    <row r="757" spans="1:17">
      <c r="A757" s="8" t="s">
        <v>2389</v>
      </c>
      <c r="B757" s="8">
        <v>39233152</v>
      </c>
      <c r="C757" t="s">
        <v>2390</v>
      </c>
      <c r="D757" t="s">
        <v>1978</v>
      </c>
      <c r="E757" t="s">
        <v>523</v>
      </c>
      <c r="F757" t="s">
        <v>116</v>
      </c>
      <c r="G757" t="s">
        <v>22</v>
      </c>
      <c r="H757" t="s">
        <v>23</v>
      </c>
      <c r="I757" t="s">
        <v>93</v>
      </c>
      <c r="J757" t="s">
        <v>56</v>
      </c>
      <c r="K757" t="s">
        <v>26</v>
      </c>
      <c r="L757">
        <v>5019.2700000000004</v>
      </c>
      <c r="M757">
        <v>19</v>
      </c>
      <c r="N757" s="11" t="s">
        <v>86</v>
      </c>
      <c r="O757" s="11" t="s">
        <v>48</v>
      </c>
      <c r="P757" s="14">
        <v>44111.801388888889</v>
      </c>
      <c r="Q757" t="s">
        <v>2391</v>
      </c>
    </row>
    <row r="758" spans="1:17">
      <c r="A758" s="8" t="s">
        <v>2392</v>
      </c>
      <c r="B758" s="8">
        <v>0</v>
      </c>
      <c r="C758" t="s">
        <v>1405</v>
      </c>
      <c r="D758" t="s">
        <v>1850</v>
      </c>
      <c r="E758" t="s">
        <v>523</v>
      </c>
      <c r="F758" t="s">
        <v>116</v>
      </c>
      <c r="G758" t="s">
        <v>80</v>
      </c>
      <c r="H758" t="s">
        <v>68</v>
      </c>
      <c r="I758" t="s">
        <v>62</v>
      </c>
      <c r="J758" t="s">
        <v>74</v>
      </c>
      <c r="K758" t="s">
        <v>69</v>
      </c>
      <c r="L758">
        <v>4972.1400000000003</v>
      </c>
      <c r="M758">
        <v>82</v>
      </c>
      <c r="N758" s="10" t="s">
        <v>86</v>
      </c>
      <c r="O758" s="10" t="s">
        <v>28</v>
      </c>
      <c r="P758" s="13">
        <v>45129.540972222225</v>
      </c>
      <c r="Q758" t="s">
        <v>2393</v>
      </c>
    </row>
    <row r="759" spans="1:17">
      <c r="A759" s="8" t="s">
        <v>2394</v>
      </c>
      <c r="B759" s="8">
        <v>10754115</v>
      </c>
      <c r="C759" t="s">
        <v>342</v>
      </c>
      <c r="D759" t="s">
        <v>431</v>
      </c>
      <c r="E759" t="s">
        <v>523</v>
      </c>
      <c r="F759" t="s">
        <v>98</v>
      </c>
      <c r="G759" t="s">
        <v>53</v>
      </c>
      <c r="H759" t="s">
        <v>55</v>
      </c>
      <c r="I759" t="s">
        <v>37</v>
      </c>
      <c r="J759" t="s">
        <v>74</v>
      </c>
      <c r="K759" t="s">
        <v>26</v>
      </c>
      <c r="L759">
        <v>9247.83</v>
      </c>
      <c r="M759">
        <v>80</v>
      </c>
      <c r="N759" s="11" t="s">
        <v>86</v>
      </c>
      <c r="O759" s="11" t="s">
        <v>75</v>
      </c>
      <c r="P759" s="14">
        <v>44603.082638888889</v>
      </c>
      <c r="Q759" t="s">
        <v>2395</v>
      </c>
    </row>
    <row r="760" spans="1:17">
      <c r="A760" s="8" t="s">
        <v>2396</v>
      </c>
      <c r="B760" s="8">
        <v>34973630</v>
      </c>
      <c r="C760" t="s">
        <v>1821</v>
      </c>
      <c r="D760" t="s">
        <v>868</v>
      </c>
      <c r="E760" t="s">
        <v>523</v>
      </c>
      <c r="F760" t="s">
        <v>92</v>
      </c>
      <c r="G760" t="s">
        <v>53</v>
      </c>
      <c r="H760" t="s">
        <v>68</v>
      </c>
      <c r="I760" t="s">
        <v>55</v>
      </c>
      <c r="J760" t="s">
        <v>74</v>
      </c>
      <c r="K760" t="s">
        <v>69</v>
      </c>
      <c r="L760">
        <v>13272.32</v>
      </c>
      <c r="M760">
        <v>34</v>
      </c>
      <c r="N760" s="10" t="s">
        <v>47</v>
      </c>
      <c r="O760" s="10" t="s">
        <v>81</v>
      </c>
      <c r="P760" s="13">
        <v>44158.765972222223</v>
      </c>
      <c r="Q760" t="s">
        <v>2397</v>
      </c>
    </row>
    <row r="761" spans="1:17">
      <c r="A761" s="8" t="s">
        <v>2398</v>
      </c>
      <c r="B761" s="8">
        <v>69715838</v>
      </c>
      <c r="C761" t="s">
        <v>569</v>
      </c>
      <c r="D761" t="s">
        <v>2399</v>
      </c>
      <c r="E761" t="s">
        <v>523</v>
      </c>
      <c r="F761" t="s">
        <v>121</v>
      </c>
      <c r="G761" t="s">
        <v>22</v>
      </c>
      <c r="H761" t="s">
        <v>54</v>
      </c>
      <c r="I761" t="s">
        <v>37</v>
      </c>
      <c r="J761" t="s">
        <v>38</v>
      </c>
      <c r="K761" t="s">
        <v>63</v>
      </c>
      <c r="L761">
        <v>10886.1</v>
      </c>
      <c r="M761">
        <v>26</v>
      </c>
      <c r="N761" s="11" t="s">
        <v>47</v>
      </c>
      <c r="O761" s="11" t="s">
        <v>28</v>
      </c>
      <c r="P761" s="14">
        <v>46089.515972222223</v>
      </c>
      <c r="Q761" t="s">
        <v>2400</v>
      </c>
    </row>
    <row r="762" spans="1:17">
      <c r="A762" s="8" t="s">
        <v>2401</v>
      </c>
      <c r="B762" s="8">
        <v>24282914</v>
      </c>
      <c r="C762" t="s">
        <v>966</v>
      </c>
      <c r="D762" t="s">
        <v>2402</v>
      </c>
      <c r="E762" t="s">
        <v>523</v>
      </c>
      <c r="F762" t="s">
        <v>34</v>
      </c>
      <c r="G762" t="s">
        <v>34</v>
      </c>
      <c r="H762" t="s">
        <v>93</v>
      </c>
      <c r="I762" t="s">
        <v>68</v>
      </c>
      <c r="J762" t="s">
        <v>38</v>
      </c>
      <c r="K762" t="s">
        <v>26</v>
      </c>
      <c r="L762">
        <v>2520.52</v>
      </c>
      <c r="M762">
        <v>32</v>
      </c>
      <c r="N762" s="10" t="s">
        <v>86</v>
      </c>
      <c r="O762" s="10" t="s">
        <v>81</v>
      </c>
      <c r="P762" s="13">
        <v>44753.456944444442</v>
      </c>
      <c r="Q762" t="s">
        <v>2403</v>
      </c>
    </row>
    <row r="763" spans="1:17">
      <c r="A763" s="8" t="s">
        <v>2404</v>
      </c>
      <c r="B763" s="8">
        <v>38983946</v>
      </c>
      <c r="C763" t="s">
        <v>146</v>
      </c>
      <c r="D763" t="s">
        <v>2405</v>
      </c>
      <c r="E763" t="s">
        <v>523</v>
      </c>
      <c r="F763" t="s">
        <v>98</v>
      </c>
      <c r="G763" t="s">
        <v>116</v>
      </c>
      <c r="H763" t="s">
        <v>24</v>
      </c>
      <c r="I763" t="s">
        <v>54</v>
      </c>
      <c r="J763" t="s">
        <v>25</v>
      </c>
      <c r="K763" t="s">
        <v>46</v>
      </c>
      <c r="L763">
        <v>1448.66</v>
      </c>
      <c r="M763">
        <v>41</v>
      </c>
      <c r="N763" s="11" t="s">
        <v>27</v>
      </c>
      <c r="O763" s="11" t="s">
        <v>48</v>
      </c>
      <c r="P763" s="14">
        <v>44382.884722222225</v>
      </c>
      <c r="Q763" t="s">
        <v>2406</v>
      </c>
    </row>
    <row r="764" spans="1:17">
      <c r="A764" s="8" t="s">
        <v>2407</v>
      </c>
      <c r="B764" s="8">
        <v>40687335</v>
      </c>
      <c r="C764" t="s">
        <v>256</v>
      </c>
      <c r="D764" t="s">
        <v>2408</v>
      </c>
      <c r="E764" t="s">
        <v>523</v>
      </c>
      <c r="F764" t="s">
        <v>53</v>
      </c>
      <c r="G764" t="s">
        <v>53</v>
      </c>
      <c r="H764" t="s">
        <v>93</v>
      </c>
      <c r="I764" t="s">
        <v>36</v>
      </c>
      <c r="J764" t="s">
        <v>38</v>
      </c>
      <c r="K764" t="s">
        <v>46</v>
      </c>
      <c r="L764">
        <v>1654.5</v>
      </c>
      <c r="M764">
        <v>55</v>
      </c>
      <c r="N764" s="10" t="s">
        <v>39</v>
      </c>
      <c r="O764" s="10" t="s">
        <v>75</v>
      </c>
      <c r="P764" s="13">
        <v>45904.402777777781</v>
      </c>
      <c r="Q764" t="s">
        <v>2409</v>
      </c>
    </row>
    <row r="765" spans="1:17">
      <c r="A765" s="8" t="s">
        <v>2410</v>
      </c>
      <c r="B765" s="8">
        <v>47178071</v>
      </c>
      <c r="C765" t="s">
        <v>236</v>
      </c>
      <c r="D765" t="s">
        <v>1604</v>
      </c>
      <c r="E765" t="s">
        <v>523</v>
      </c>
      <c r="F765" t="s">
        <v>21</v>
      </c>
      <c r="G765" t="s">
        <v>21</v>
      </c>
      <c r="H765" t="s">
        <v>54</v>
      </c>
      <c r="I765" t="s">
        <v>68</v>
      </c>
      <c r="J765" t="s">
        <v>74</v>
      </c>
      <c r="K765" t="s">
        <v>69</v>
      </c>
      <c r="L765">
        <v>10770.61</v>
      </c>
      <c r="M765">
        <v>52</v>
      </c>
      <c r="N765" s="11" t="s">
        <v>86</v>
      </c>
      <c r="O765" s="11" t="s">
        <v>48</v>
      </c>
      <c r="P765" s="14">
        <v>45905.368750000001</v>
      </c>
      <c r="Q765" t="s">
        <v>2411</v>
      </c>
    </row>
    <row r="766" spans="1:17">
      <c r="A766" s="8" t="s">
        <v>2412</v>
      </c>
      <c r="B766" s="8">
        <v>56229195</v>
      </c>
      <c r="C766" t="s">
        <v>2413</v>
      </c>
      <c r="D766" t="s">
        <v>1135</v>
      </c>
      <c r="E766" t="s">
        <v>523</v>
      </c>
      <c r="F766" t="s">
        <v>44</v>
      </c>
      <c r="G766" t="s">
        <v>44</v>
      </c>
      <c r="H766" t="s">
        <v>24</v>
      </c>
      <c r="I766" t="s">
        <v>68</v>
      </c>
      <c r="J766" t="s">
        <v>25</v>
      </c>
      <c r="K766" t="s">
        <v>46</v>
      </c>
      <c r="L766">
        <v>353.54</v>
      </c>
      <c r="M766">
        <v>66</v>
      </c>
      <c r="N766" s="10" t="s">
        <v>47</v>
      </c>
      <c r="O766" s="10" t="s">
        <v>28</v>
      </c>
      <c r="P766" s="13">
        <v>44532.011111111111</v>
      </c>
      <c r="Q766" t="s">
        <v>2414</v>
      </c>
    </row>
    <row r="767" spans="1:17">
      <c r="A767" s="8" t="s">
        <v>2415</v>
      </c>
      <c r="B767" s="8">
        <v>0</v>
      </c>
      <c r="C767" t="s">
        <v>868</v>
      </c>
      <c r="D767" t="s">
        <v>1029</v>
      </c>
      <c r="E767" t="s">
        <v>523</v>
      </c>
      <c r="F767" t="s">
        <v>80</v>
      </c>
      <c r="G767" t="s">
        <v>53</v>
      </c>
      <c r="H767" t="s">
        <v>127</v>
      </c>
      <c r="I767" t="s">
        <v>93</v>
      </c>
      <c r="J767" t="s">
        <v>56</v>
      </c>
      <c r="K767" t="s">
        <v>26</v>
      </c>
      <c r="L767">
        <v>2271.0300000000002</v>
      </c>
      <c r="M767">
        <v>79</v>
      </c>
      <c r="N767" s="11" t="s">
        <v>86</v>
      </c>
      <c r="O767" s="11" t="s">
        <v>48</v>
      </c>
      <c r="P767" s="14">
        <v>45750.464583333334</v>
      </c>
      <c r="Q767" t="s">
        <v>2416</v>
      </c>
    </row>
    <row r="768" spans="1:17">
      <c r="A768" s="8" t="s">
        <v>2417</v>
      </c>
      <c r="B768" s="8">
        <v>62781957</v>
      </c>
      <c r="C768" t="s">
        <v>2418</v>
      </c>
      <c r="D768" t="s">
        <v>1808</v>
      </c>
      <c r="E768" t="s">
        <v>523</v>
      </c>
      <c r="F768" t="s">
        <v>121</v>
      </c>
      <c r="G768" t="s">
        <v>22</v>
      </c>
      <c r="H768" t="s">
        <v>127</v>
      </c>
      <c r="I768" t="s">
        <v>127</v>
      </c>
      <c r="J768" t="s">
        <v>25</v>
      </c>
      <c r="K768" t="s">
        <v>69</v>
      </c>
      <c r="L768">
        <v>8722.39</v>
      </c>
      <c r="M768">
        <v>77</v>
      </c>
      <c r="N768" s="10" t="s">
        <v>57</v>
      </c>
      <c r="O768" s="10" t="s">
        <v>75</v>
      </c>
      <c r="P768" s="13">
        <v>46291.186111111114</v>
      </c>
      <c r="Q768" t="s">
        <v>2419</v>
      </c>
    </row>
    <row r="769" spans="1:17">
      <c r="A769" s="8" t="s">
        <v>2420</v>
      </c>
      <c r="B769" s="8">
        <v>56142700</v>
      </c>
      <c r="C769" t="s">
        <v>2421</v>
      </c>
      <c r="D769" t="s">
        <v>1455</v>
      </c>
      <c r="E769" t="s">
        <v>523</v>
      </c>
      <c r="F769" t="s">
        <v>44</v>
      </c>
      <c r="G769" t="s">
        <v>121</v>
      </c>
      <c r="H769" t="s">
        <v>68</v>
      </c>
      <c r="I769" t="s">
        <v>68</v>
      </c>
      <c r="J769" t="s">
        <v>103</v>
      </c>
      <c r="K769" t="s">
        <v>26</v>
      </c>
      <c r="L769">
        <v>3843.34</v>
      </c>
      <c r="M769">
        <v>67</v>
      </c>
      <c r="N769" s="11" t="s">
        <v>39</v>
      </c>
      <c r="O769" s="11" t="s">
        <v>48</v>
      </c>
      <c r="P769" s="14">
        <v>43997.740277777775</v>
      </c>
      <c r="Q769" t="s">
        <v>2422</v>
      </c>
    </row>
    <row r="770" spans="1:17">
      <c r="A770" s="8" t="s">
        <v>2423</v>
      </c>
      <c r="B770" s="8">
        <v>15273520</v>
      </c>
      <c r="C770" t="s">
        <v>682</v>
      </c>
      <c r="D770" t="s">
        <v>1958</v>
      </c>
      <c r="E770" t="s">
        <v>523</v>
      </c>
      <c r="F770" t="s">
        <v>116</v>
      </c>
      <c r="G770" t="s">
        <v>35</v>
      </c>
      <c r="H770" t="s">
        <v>54</v>
      </c>
      <c r="I770" t="s">
        <v>55</v>
      </c>
      <c r="J770" t="s">
        <v>38</v>
      </c>
      <c r="K770" t="s">
        <v>69</v>
      </c>
      <c r="L770">
        <v>9873.64</v>
      </c>
      <c r="M770">
        <v>26</v>
      </c>
      <c r="N770" s="10" t="s">
        <v>27</v>
      </c>
      <c r="O770" s="10" t="s">
        <v>81</v>
      </c>
      <c r="P770" s="13">
        <v>43999.234722222223</v>
      </c>
      <c r="Q770" t="s">
        <v>2424</v>
      </c>
    </row>
    <row r="771" spans="1:17">
      <c r="A771" s="8" t="s">
        <v>2425</v>
      </c>
      <c r="B771" s="8">
        <v>71865387</v>
      </c>
      <c r="C771" t="s">
        <v>2224</v>
      </c>
      <c r="D771" t="s">
        <v>1505</v>
      </c>
      <c r="E771" t="s">
        <v>523</v>
      </c>
      <c r="F771" t="s">
        <v>98</v>
      </c>
      <c r="G771" t="s">
        <v>121</v>
      </c>
      <c r="H771" t="s">
        <v>68</v>
      </c>
      <c r="I771" t="s">
        <v>24</v>
      </c>
      <c r="J771" t="s">
        <v>74</v>
      </c>
      <c r="K771" t="s">
        <v>69</v>
      </c>
      <c r="L771">
        <v>1189.5</v>
      </c>
      <c r="M771">
        <v>51</v>
      </c>
      <c r="N771" s="11" t="s">
        <v>57</v>
      </c>
      <c r="O771" s="11" t="s">
        <v>81</v>
      </c>
      <c r="P771" s="14">
        <v>44059.670138888891</v>
      </c>
      <c r="Q771" t="s">
        <v>2426</v>
      </c>
    </row>
    <row r="772" spans="1:17">
      <c r="A772" s="8" t="s">
        <v>2427</v>
      </c>
      <c r="B772" s="8">
        <v>46045914</v>
      </c>
      <c r="C772" t="s">
        <v>1001</v>
      </c>
      <c r="D772" t="s">
        <v>227</v>
      </c>
      <c r="E772" t="s">
        <v>523</v>
      </c>
      <c r="F772" t="s">
        <v>22</v>
      </c>
      <c r="G772" t="s">
        <v>22</v>
      </c>
      <c r="H772" t="s">
        <v>36</v>
      </c>
      <c r="I772" t="s">
        <v>24</v>
      </c>
      <c r="J772" t="s">
        <v>74</v>
      </c>
      <c r="K772" t="s">
        <v>69</v>
      </c>
      <c r="L772">
        <v>14506.14</v>
      </c>
      <c r="M772">
        <v>52</v>
      </c>
      <c r="N772" s="10" t="s">
        <v>39</v>
      </c>
      <c r="O772" s="10" t="s">
        <v>75</v>
      </c>
      <c r="P772" s="13">
        <v>45833.299305555556</v>
      </c>
      <c r="Q772" t="s">
        <v>2428</v>
      </c>
    </row>
    <row r="773" spans="1:17">
      <c r="A773" s="8" t="s">
        <v>2429</v>
      </c>
      <c r="B773" s="8">
        <v>47628906</v>
      </c>
      <c r="C773" t="s">
        <v>212</v>
      </c>
      <c r="D773" t="s">
        <v>2371</v>
      </c>
      <c r="E773" t="s">
        <v>523</v>
      </c>
      <c r="F773" t="s">
        <v>556</v>
      </c>
      <c r="G773" t="s">
        <v>98</v>
      </c>
      <c r="H773" t="s">
        <v>55</v>
      </c>
      <c r="I773" t="s">
        <v>55</v>
      </c>
      <c r="J773" t="s">
        <v>103</v>
      </c>
      <c r="K773" t="s">
        <v>63</v>
      </c>
      <c r="L773">
        <v>1322.2</v>
      </c>
      <c r="M773">
        <v>18</v>
      </c>
      <c r="N773" s="11" t="s">
        <v>57</v>
      </c>
      <c r="O773" s="11" t="s">
        <v>48</v>
      </c>
      <c r="P773" s="14">
        <v>44197.842361111114</v>
      </c>
      <c r="Q773" t="s">
        <v>2430</v>
      </c>
    </row>
    <row r="774" spans="1:17">
      <c r="A774" s="8" t="s">
        <v>2431</v>
      </c>
      <c r="B774" s="8">
        <v>42149055</v>
      </c>
      <c r="C774" t="s">
        <v>1917</v>
      </c>
      <c r="D774" t="s">
        <v>2432</v>
      </c>
      <c r="E774" t="s">
        <v>523</v>
      </c>
      <c r="F774" t="s">
        <v>34</v>
      </c>
      <c r="G774" t="s">
        <v>22</v>
      </c>
      <c r="H774" t="s">
        <v>37</v>
      </c>
      <c r="I774" t="s">
        <v>127</v>
      </c>
      <c r="J774" t="s">
        <v>25</v>
      </c>
      <c r="K774" t="s">
        <v>46</v>
      </c>
      <c r="L774">
        <v>14305.32</v>
      </c>
      <c r="M774">
        <v>57</v>
      </c>
      <c r="N774" s="10" t="s">
        <v>27</v>
      </c>
      <c r="O774" s="10" t="s">
        <v>48</v>
      </c>
      <c r="P774" s="13">
        <v>44358.495833333334</v>
      </c>
      <c r="Q774" t="s">
        <v>2433</v>
      </c>
    </row>
    <row r="775" spans="1:17">
      <c r="A775" s="8" t="s">
        <v>2434</v>
      </c>
      <c r="B775" s="8">
        <v>86043905</v>
      </c>
      <c r="C775" t="s">
        <v>521</v>
      </c>
      <c r="D775" t="s">
        <v>2435</v>
      </c>
      <c r="E775" t="s">
        <v>523</v>
      </c>
      <c r="F775" t="s">
        <v>35</v>
      </c>
      <c r="G775" t="s">
        <v>45</v>
      </c>
      <c r="H775" t="s">
        <v>36</v>
      </c>
      <c r="I775" t="s">
        <v>127</v>
      </c>
      <c r="J775" t="s">
        <v>38</v>
      </c>
      <c r="K775" t="s">
        <v>69</v>
      </c>
      <c r="L775">
        <v>13797.09</v>
      </c>
      <c r="M775">
        <v>81</v>
      </c>
      <c r="N775" s="11" t="s">
        <v>47</v>
      </c>
      <c r="O775" s="11" t="s">
        <v>28</v>
      </c>
      <c r="P775" s="14">
        <v>44621.411805555559</v>
      </c>
      <c r="Q775" t="s">
        <v>2436</v>
      </c>
    </row>
    <row r="776" spans="1:17">
      <c r="A776" s="8" t="s">
        <v>2437</v>
      </c>
      <c r="B776" s="8">
        <v>98307414</v>
      </c>
      <c r="C776" t="s">
        <v>1096</v>
      </c>
      <c r="D776" t="s">
        <v>2438</v>
      </c>
      <c r="E776" t="s">
        <v>523</v>
      </c>
      <c r="F776" t="s">
        <v>98</v>
      </c>
      <c r="G776" t="s">
        <v>44</v>
      </c>
      <c r="H776" t="s">
        <v>55</v>
      </c>
      <c r="I776" t="s">
        <v>93</v>
      </c>
      <c r="J776" t="s">
        <v>56</v>
      </c>
      <c r="K776" t="s">
        <v>26</v>
      </c>
      <c r="L776">
        <v>9645.81</v>
      </c>
      <c r="M776">
        <v>39</v>
      </c>
      <c r="N776" s="10" t="s">
        <v>47</v>
      </c>
      <c r="O776" s="10" t="s">
        <v>28</v>
      </c>
      <c r="P776" s="13">
        <v>44354.801388888889</v>
      </c>
      <c r="Q776" t="s">
        <v>2439</v>
      </c>
    </row>
    <row r="777" spans="1:17">
      <c r="A777" s="8" t="s">
        <v>2440</v>
      </c>
      <c r="B777" s="8">
        <v>53474974</v>
      </c>
      <c r="C777" t="s">
        <v>976</v>
      </c>
      <c r="D777" t="s">
        <v>742</v>
      </c>
      <c r="E777" t="s">
        <v>523</v>
      </c>
      <c r="F777" t="s">
        <v>53</v>
      </c>
      <c r="G777" t="s">
        <v>80</v>
      </c>
      <c r="H777" t="s">
        <v>24</v>
      </c>
      <c r="I777" t="s">
        <v>54</v>
      </c>
      <c r="J777" t="s">
        <v>56</v>
      </c>
      <c r="K777" t="s">
        <v>63</v>
      </c>
      <c r="L777">
        <v>952.6</v>
      </c>
      <c r="M777">
        <v>77</v>
      </c>
      <c r="N777" s="11" t="s">
        <v>57</v>
      </c>
      <c r="O777" s="11" t="s">
        <v>75</v>
      </c>
      <c r="P777" s="14">
        <v>44926.289583333331</v>
      </c>
      <c r="Q777" t="s">
        <v>2441</v>
      </c>
    </row>
    <row r="778" spans="1:17">
      <c r="A778" s="8" t="s">
        <v>2442</v>
      </c>
      <c r="B778" s="8">
        <v>72158202</v>
      </c>
      <c r="C778" t="s">
        <v>886</v>
      </c>
      <c r="D778" t="s">
        <v>787</v>
      </c>
      <c r="E778" t="s">
        <v>523</v>
      </c>
      <c r="F778" t="s">
        <v>116</v>
      </c>
      <c r="G778" t="s">
        <v>53</v>
      </c>
      <c r="H778" t="s">
        <v>68</v>
      </c>
      <c r="I778" t="s">
        <v>37</v>
      </c>
      <c r="J778" t="s">
        <v>56</v>
      </c>
      <c r="K778" t="s">
        <v>63</v>
      </c>
      <c r="L778">
        <v>12093.78</v>
      </c>
      <c r="M778">
        <v>81</v>
      </c>
      <c r="N778" s="10" t="s">
        <v>86</v>
      </c>
      <c r="O778" s="10" t="s">
        <v>81</v>
      </c>
      <c r="P778" s="13">
        <v>45499.339583333334</v>
      </c>
      <c r="Q778" t="s">
        <v>2443</v>
      </c>
    </row>
    <row r="779" spans="1:17">
      <c r="A779" s="8" t="s">
        <v>2444</v>
      </c>
      <c r="B779" s="8">
        <v>13595556</v>
      </c>
      <c r="C779" t="s">
        <v>1126</v>
      </c>
      <c r="D779" t="s">
        <v>1265</v>
      </c>
      <c r="E779" t="s">
        <v>523</v>
      </c>
      <c r="F779" t="s">
        <v>44</v>
      </c>
      <c r="G779" t="s">
        <v>121</v>
      </c>
      <c r="H779" t="s">
        <v>24</v>
      </c>
      <c r="I779" t="s">
        <v>127</v>
      </c>
      <c r="J779" t="s">
        <v>38</v>
      </c>
      <c r="K779" t="s">
        <v>46</v>
      </c>
      <c r="L779">
        <v>3206</v>
      </c>
      <c r="M779">
        <v>28</v>
      </c>
      <c r="N779" s="11" t="s">
        <v>47</v>
      </c>
      <c r="O779" s="11" t="s">
        <v>48</v>
      </c>
      <c r="P779" s="14">
        <v>45984.407638888886</v>
      </c>
      <c r="Q779" t="s">
        <v>2445</v>
      </c>
    </row>
    <row r="780" spans="1:17">
      <c r="A780" s="8" t="s">
        <v>2446</v>
      </c>
      <c r="B780" s="8">
        <v>33395000</v>
      </c>
      <c r="C780" t="s">
        <v>2421</v>
      </c>
      <c r="D780" t="s">
        <v>829</v>
      </c>
      <c r="E780" t="s">
        <v>523</v>
      </c>
      <c r="F780" t="s">
        <v>22</v>
      </c>
      <c r="G780" t="s">
        <v>121</v>
      </c>
      <c r="H780" t="s">
        <v>24</v>
      </c>
      <c r="I780" t="s">
        <v>36</v>
      </c>
      <c r="J780" t="s">
        <v>25</v>
      </c>
      <c r="K780" t="s">
        <v>26</v>
      </c>
      <c r="L780">
        <v>5962.47</v>
      </c>
      <c r="M780">
        <v>31</v>
      </c>
      <c r="N780" s="10" t="s">
        <v>86</v>
      </c>
      <c r="O780" s="10" t="s">
        <v>81</v>
      </c>
      <c r="P780" s="13">
        <v>45739.268750000003</v>
      </c>
      <c r="Q780" t="s">
        <v>2447</v>
      </c>
    </row>
    <row r="781" spans="1:17">
      <c r="A781" s="8" t="s">
        <v>2448</v>
      </c>
      <c r="B781" s="8">
        <v>36830566</v>
      </c>
      <c r="C781" t="s">
        <v>1519</v>
      </c>
      <c r="D781" t="s">
        <v>18</v>
      </c>
      <c r="E781" t="s">
        <v>523</v>
      </c>
      <c r="F781" t="s">
        <v>21</v>
      </c>
      <c r="G781" t="s">
        <v>92</v>
      </c>
      <c r="H781" t="s">
        <v>55</v>
      </c>
      <c r="I781" t="s">
        <v>93</v>
      </c>
      <c r="J781" t="s">
        <v>38</v>
      </c>
      <c r="K781" t="s">
        <v>46</v>
      </c>
      <c r="L781">
        <v>8407.7099999999991</v>
      </c>
      <c r="M781">
        <v>77</v>
      </c>
      <c r="N781" s="11" t="s">
        <v>47</v>
      </c>
      <c r="O781" s="11" t="s">
        <v>28</v>
      </c>
      <c r="P781" s="14">
        <v>45136.20416666667</v>
      </c>
      <c r="Q781" t="s">
        <v>2449</v>
      </c>
    </row>
    <row r="782" spans="1:17">
      <c r="A782" s="8" t="s">
        <v>2450</v>
      </c>
      <c r="B782" s="8">
        <v>74220011</v>
      </c>
      <c r="C782" t="s">
        <v>2451</v>
      </c>
      <c r="D782" t="s">
        <v>2418</v>
      </c>
      <c r="E782" t="s">
        <v>523</v>
      </c>
      <c r="F782" t="s">
        <v>21</v>
      </c>
      <c r="G782" t="s">
        <v>121</v>
      </c>
      <c r="H782" t="s">
        <v>54</v>
      </c>
      <c r="I782" t="s">
        <v>23</v>
      </c>
      <c r="J782" t="s">
        <v>74</v>
      </c>
      <c r="K782" t="s">
        <v>46</v>
      </c>
      <c r="L782">
        <v>7630.29</v>
      </c>
      <c r="M782">
        <v>47</v>
      </c>
      <c r="N782" s="10" t="s">
        <v>86</v>
      </c>
      <c r="O782" s="10" t="s">
        <v>75</v>
      </c>
      <c r="P782" s="13">
        <v>43963.117361111108</v>
      </c>
      <c r="Q782" t="s">
        <v>2452</v>
      </c>
    </row>
    <row r="783" spans="1:17">
      <c r="A783" s="8" t="s">
        <v>2453</v>
      </c>
      <c r="B783" s="8">
        <v>94736386</v>
      </c>
      <c r="C783" t="s">
        <v>640</v>
      </c>
      <c r="D783" t="s">
        <v>2152</v>
      </c>
      <c r="E783" t="s">
        <v>523</v>
      </c>
      <c r="F783" t="s">
        <v>92</v>
      </c>
      <c r="G783" t="s">
        <v>80</v>
      </c>
      <c r="H783" t="s">
        <v>55</v>
      </c>
      <c r="I783" t="s">
        <v>62</v>
      </c>
      <c r="J783" t="s">
        <v>38</v>
      </c>
      <c r="K783" t="s">
        <v>69</v>
      </c>
      <c r="L783">
        <v>13504.27</v>
      </c>
      <c r="M783">
        <v>52</v>
      </c>
      <c r="N783" s="11" t="s">
        <v>47</v>
      </c>
      <c r="O783" s="11" t="s">
        <v>81</v>
      </c>
      <c r="P783" s="14">
        <v>46147.426388888889</v>
      </c>
      <c r="Q783" t="s">
        <v>2454</v>
      </c>
    </row>
    <row r="784" spans="1:17">
      <c r="A784" s="8" t="s">
        <v>2455</v>
      </c>
      <c r="B784" s="8">
        <v>41717630</v>
      </c>
      <c r="C784" t="s">
        <v>2456</v>
      </c>
      <c r="D784" t="s">
        <v>994</v>
      </c>
      <c r="E784" t="s">
        <v>523</v>
      </c>
      <c r="F784" t="s">
        <v>98</v>
      </c>
      <c r="G784" t="s">
        <v>53</v>
      </c>
      <c r="H784" t="s">
        <v>62</v>
      </c>
      <c r="I784" t="s">
        <v>23</v>
      </c>
      <c r="J784" t="s">
        <v>74</v>
      </c>
      <c r="K784" t="s">
        <v>26</v>
      </c>
      <c r="L784">
        <v>2625.98</v>
      </c>
      <c r="M784">
        <v>54</v>
      </c>
      <c r="N784" s="10" t="s">
        <v>86</v>
      </c>
      <c r="O784" s="10" t="s">
        <v>75</v>
      </c>
      <c r="P784" s="13">
        <v>45473.868750000001</v>
      </c>
      <c r="Q784" t="s">
        <v>2457</v>
      </c>
    </row>
    <row r="785" spans="1:17">
      <c r="A785" s="8" t="s">
        <v>2458</v>
      </c>
      <c r="B785" s="8">
        <v>16044217</v>
      </c>
      <c r="C785" t="s">
        <v>793</v>
      </c>
      <c r="D785" t="s">
        <v>1590</v>
      </c>
      <c r="E785" t="s">
        <v>523</v>
      </c>
      <c r="F785" t="s">
        <v>21</v>
      </c>
      <c r="G785" t="s">
        <v>45</v>
      </c>
      <c r="H785" t="s">
        <v>127</v>
      </c>
      <c r="I785" t="s">
        <v>93</v>
      </c>
      <c r="J785" t="s">
        <v>38</v>
      </c>
      <c r="K785" t="s">
        <v>46</v>
      </c>
      <c r="L785">
        <v>5139.8900000000003</v>
      </c>
      <c r="M785">
        <v>22</v>
      </c>
      <c r="N785" s="11" t="s">
        <v>39</v>
      </c>
      <c r="O785" s="11" t="s">
        <v>75</v>
      </c>
      <c r="P785" s="14">
        <v>45719.204861111109</v>
      </c>
      <c r="Q785" t="s">
        <v>2459</v>
      </c>
    </row>
    <row r="786" spans="1:17">
      <c r="A786" s="8" t="s">
        <v>2460</v>
      </c>
      <c r="B786" s="8">
        <v>76659389</v>
      </c>
      <c r="C786" t="s">
        <v>2461</v>
      </c>
      <c r="D786" t="s">
        <v>286</v>
      </c>
      <c r="E786" t="s">
        <v>523</v>
      </c>
      <c r="F786" t="s">
        <v>112</v>
      </c>
      <c r="G786" t="s">
        <v>21</v>
      </c>
      <c r="H786" t="s">
        <v>127</v>
      </c>
      <c r="I786" t="s">
        <v>68</v>
      </c>
      <c r="J786" t="s">
        <v>38</v>
      </c>
      <c r="K786" t="s">
        <v>26</v>
      </c>
      <c r="L786">
        <v>1450.45</v>
      </c>
      <c r="M786">
        <v>43</v>
      </c>
      <c r="N786" s="10" t="s">
        <v>86</v>
      </c>
      <c r="O786" s="10" t="s">
        <v>48</v>
      </c>
      <c r="P786" s="13">
        <v>45601.460416666669</v>
      </c>
      <c r="Q786" t="s">
        <v>2462</v>
      </c>
    </row>
    <row r="787" spans="1:17">
      <c r="A787" s="8" t="s">
        <v>2463</v>
      </c>
      <c r="B787" s="8">
        <v>96874609</v>
      </c>
      <c r="C787" t="s">
        <v>2004</v>
      </c>
      <c r="D787" t="s">
        <v>228</v>
      </c>
      <c r="E787" t="s">
        <v>523</v>
      </c>
      <c r="F787" t="s">
        <v>686</v>
      </c>
      <c r="G787" t="s">
        <v>121</v>
      </c>
      <c r="H787" t="s">
        <v>36</v>
      </c>
      <c r="I787" t="s">
        <v>37</v>
      </c>
      <c r="J787" t="s">
        <v>74</v>
      </c>
      <c r="K787" t="s">
        <v>26</v>
      </c>
      <c r="L787">
        <v>6573.36</v>
      </c>
      <c r="M787">
        <v>79</v>
      </c>
      <c r="N787" s="11" t="s">
        <v>39</v>
      </c>
      <c r="O787" s="11" t="s">
        <v>28</v>
      </c>
      <c r="P787" s="14">
        <v>43848.588888888888</v>
      </c>
      <c r="Q787" t="s">
        <v>2464</v>
      </c>
    </row>
    <row r="788" spans="1:17">
      <c r="A788" s="8" t="s">
        <v>2465</v>
      </c>
      <c r="B788" s="8">
        <v>95550709</v>
      </c>
      <c r="C788" t="s">
        <v>1272</v>
      </c>
      <c r="D788" t="s">
        <v>412</v>
      </c>
      <c r="E788" t="s">
        <v>523</v>
      </c>
      <c r="F788" t="s">
        <v>22</v>
      </c>
      <c r="G788" t="s">
        <v>22</v>
      </c>
      <c r="H788" t="s">
        <v>127</v>
      </c>
      <c r="I788" t="s">
        <v>62</v>
      </c>
      <c r="J788" t="s">
        <v>74</v>
      </c>
      <c r="K788" t="s">
        <v>69</v>
      </c>
      <c r="L788">
        <v>14307.66</v>
      </c>
      <c r="M788">
        <v>21</v>
      </c>
      <c r="N788" s="10" t="s">
        <v>27</v>
      </c>
      <c r="O788" s="10" t="s">
        <v>75</v>
      </c>
      <c r="P788" s="13">
        <v>45608.27847222222</v>
      </c>
      <c r="Q788" t="s">
        <v>2466</v>
      </c>
    </row>
    <row r="789" spans="1:17">
      <c r="A789" s="8" t="s">
        <v>2467</v>
      </c>
      <c r="B789" s="8">
        <v>60752545</v>
      </c>
      <c r="C789" t="s">
        <v>2062</v>
      </c>
      <c r="D789" t="s">
        <v>1575</v>
      </c>
      <c r="E789" t="s">
        <v>523</v>
      </c>
      <c r="F789" t="s">
        <v>176</v>
      </c>
      <c r="G789" t="s">
        <v>44</v>
      </c>
      <c r="H789" t="s">
        <v>55</v>
      </c>
      <c r="I789" t="s">
        <v>23</v>
      </c>
      <c r="J789" t="s">
        <v>103</v>
      </c>
      <c r="K789" t="s">
        <v>69</v>
      </c>
      <c r="L789">
        <v>8175.89</v>
      </c>
      <c r="M789">
        <v>59</v>
      </c>
      <c r="N789" s="11" t="s">
        <v>39</v>
      </c>
      <c r="O789" s="11" t="s">
        <v>81</v>
      </c>
      <c r="P789" s="14">
        <v>43947.947222222225</v>
      </c>
      <c r="Q789" t="s">
        <v>2468</v>
      </c>
    </row>
    <row r="790" spans="1:17">
      <c r="A790" s="8" t="s">
        <v>2469</v>
      </c>
      <c r="B790" s="8">
        <v>56648543</v>
      </c>
      <c r="C790" t="s">
        <v>2470</v>
      </c>
      <c r="D790" t="s">
        <v>2471</v>
      </c>
      <c r="E790" t="s">
        <v>523</v>
      </c>
      <c r="F790" t="s">
        <v>80</v>
      </c>
      <c r="G790" t="s">
        <v>80</v>
      </c>
      <c r="H790" t="s">
        <v>23</v>
      </c>
      <c r="I790" t="s">
        <v>62</v>
      </c>
      <c r="J790" t="s">
        <v>38</v>
      </c>
      <c r="K790" t="s">
        <v>26</v>
      </c>
      <c r="L790">
        <v>14626.02</v>
      </c>
      <c r="M790">
        <v>35</v>
      </c>
      <c r="N790" s="10" t="s">
        <v>27</v>
      </c>
      <c r="O790" s="10" t="s">
        <v>81</v>
      </c>
      <c r="P790" s="13">
        <v>44628.321527777778</v>
      </c>
      <c r="Q790" t="s">
        <v>2472</v>
      </c>
    </row>
    <row r="791" spans="1:17">
      <c r="A791" s="8" t="s">
        <v>2473</v>
      </c>
      <c r="B791" s="8">
        <v>53096805</v>
      </c>
      <c r="C791" t="s">
        <v>1878</v>
      </c>
      <c r="D791" t="s">
        <v>913</v>
      </c>
      <c r="E791" t="s">
        <v>523</v>
      </c>
      <c r="F791" t="s">
        <v>22</v>
      </c>
      <c r="G791" t="s">
        <v>80</v>
      </c>
      <c r="H791" t="s">
        <v>68</v>
      </c>
      <c r="I791" t="s">
        <v>36</v>
      </c>
      <c r="J791" t="s">
        <v>74</v>
      </c>
      <c r="K791" t="s">
        <v>26</v>
      </c>
      <c r="L791">
        <v>4502.6499999999996</v>
      </c>
      <c r="M791">
        <v>57</v>
      </c>
      <c r="N791" s="11" t="s">
        <v>86</v>
      </c>
      <c r="O791" s="11" t="s">
        <v>75</v>
      </c>
      <c r="P791" s="14">
        <v>45542.890972222223</v>
      </c>
      <c r="Q791" t="s">
        <v>2474</v>
      </c>
    </row>
    <row r="792" spans="1:17">
      <c r="A792" s="8" t="s">
        <v>2475</v>
      </c>
      <c r="B792" s="8">
        <v>98242667</v>
      </c>
      <c r="C792" t="s">
        <v>521</v>
      </c>
      <c r="D792" t="s">
        <v>2476</v>
      </c>
      <c r="E792" t="s">
        <v>523</v>
      </c>
      <c r="F792" t="s">
        <v>53</v>
      </c>
      <c r="G792" t="s">
        <v>22</v>
      </c>
      <c r="H792" t="s">
        <v>55</v>
      </c>
      <c r="I792" t="s">
        <v>36</v>
      </c>
      <c r="J792" t="s">
        <v>25</v>
      </c>
      <c r="K792" t="s">
        <v>26</v>
      </c>
      <c r="L792">
        <v>8545.09</v>
      </c>
      <c r="M792">
        <v>56</v>
      </c>
      <c r="N792" s="10" t="s">
        <v>27</v>
      </c>
      <c r="O792" s="10" t="s">
        <v>48</v>
      </c>
      <c r="P792" s="13">
        <v>44583.789583333331</v>
      </c>
      <c r="Q792" t="s">
        <v>2477</v>
      </c>
    </row>
    <row r="793" spans="1:17">
      <c r="A793" s="8" t="s">
        <v>2478</v>
      </c>
      <c r="B793" s="8">
        <v>12305350</v>
      </c>
      <c r="C793" t="s">
        <v>146</v>
      </c>
      <c r="D793" t="s">
        <v>2479</v>
      </c>
      <c r="E793" t="s">
        <v>523</v>
      </c>
      <c r="F793" t="s">
        <v>98</v>
      </c>
      <c r="G793" t="s">
        <v>21</v>
      </c>
      <c r="H793" t="s">
        <v>55</v>
      </c>
      <c r="I793" t="s">
        <v>36</v>
      </c>
      <c r="J793" t="s">
        <v>56</v>
      </c>
      <c r="K793" t="s">
        <v>46</v>
      </c>
      <c r="L793">
        <v>14028.34</v>
      </c>
      <c r="M793">
        <v>31</v>
      </c>
      <c r="N793" s="11" t="s">
        <v>27</v>
      </c>
      <c r="O793" s="11" t="s">
        <v>75</v>
      </c>
      <c r="P793" s="14">
        <v>46300.010416666664</v>
      </c>
      <c r="Q793" t="s">
        <v>2480</v>
      </c>
    </row>
    <row r="794" spans="1:17">
      <c r="A794" s="8" t="s">
        <v>2481</v>
      </c>
      <c r="B794" s="8">
        <v>25454302</v>
      </c>
      <c r="C794" t="s">
        <v>771</v>
      </c>
      <c r="D794" t="s">
        <v>848</v>
      </c>
      <c r="E794" t="s">
        <v>523</v>
      </c>
      <c r="F794" t="s">
        <v>53</v>
      </c>
      <c r="G794" t="s">
        <v>98</v>
      </c>
      <c r="H794" t="s">
        <v>37</v>
      </c>
      <c r="I794" t="s">
        <v>93</v>
      </c>
      <c r="J794" t="s">
        <v>38</v>
      </c>
      <c r="K794" t="s">
        <v>26</v>
      </c>
      <c r="L794">
        <v>12888.56</v>
      </c>
      <c r="M794">
        <v>49</v>
      </c>
      <c r="N794" s="10" t="s">
        <v>47</v>
      </c>
      <c r="O794" s="10" t="s">
        <v>28</v>
      </c>
      <c r="P794" s="13">
        <v>45223.908333333333</v>
      </c>
      <c r="Q794" t="s">
        <v>2482</v>
      </c>
    </row>
    <row r="795" spans="1:17">
      <c r="A795" s="8" t="s">
        <v>2483</v>
      </c>
      <c r="B795" s="8">
        <v>39990423</v>
      </c>
      <c r="C795" t="s">
        <v>690</v>
      </c>
      <c r="D795" t="s">
        <v>783</v>
      </c>
      <c r="E795" t="s">
        <v>523</v>
      </c>
      <c r="F795" t="s">
        <v>22</v>
      </c>
      <c r="G795" t="s">
        <v>34</v>
      </c>
      <c r="H795" t="s">
        <v>68</v>
      </c>
      <c r="I795" t="s">
        <v>37</v>
      </c>
      <c r="J795" t="s">
        <v>38</v>
      </c>
      <c r="K795" t="s">
        <v>69</v>
      </c>
      <c r="L795">
        <v>7936.19</v>
      </c>
      <c r="M795">
        <v>68</v>
      </c>
      <c r="N795" s="11" t="s">
        <v>27</v>
      </c>
      <c r="O795" s="11" t="s">
        <v>81</v>
      </c>
      <c r="P795" s="14">
        <v>45928.737500000003</v>
      </c>
      <c r="Q795" t="s">
        <v>2484</v>
      </c>
    </row>
    <row r="796" spans="1:17">
      <c r="A796" s="8" t="s">
        <v>2485</v>
      </c>
      <c r="B796" s="8">
        <v>20587268</v>
      </c>
      <c r="C796" t="s">
        <v>1059</v>
      </c>
      <c r="D796" t="s">
        <v>1130</v>
      </c>
      <c r="E796" t="s">
        <v>523</v>
      </c>
      <c r="F796" t="s">
        <v>53</v>
      </c>
      <c r="G796" t="s">
        <v>22</v>
      </c>
      <c r="H796" t="s">
        <v>62</v>
      </c>
      <c r="I796" t="s">
        <v>93</v>
      </c>
      <c r="J796" t="s">
        <v>25</v>
      </c>
      <c r="K796" t="s">
        <v>69</v>
      </c>
      <c r="L796">
        <v>3350.11</v>
      </c>
      <c r="M796">
        <v>55</v>
      </c>
      <c r="N796" s="10" t="s">
        <v>27</v>
      </c>
      <c r="O796" s="10" t="s">
        <v>75</v>
      </c>
      <c r="P796" s="13">
        <v>44508.712500000001</v>
      </c>
      <c r="Q796" t="s">
        <v>2486</v>
      </c>
    </row>
    <row r="797" spans="1:17">
      <c r="A797" s="8" t="s">
        <v>2487</v>
      </c>
      <c r="B797" s="8">
        <v>43374719</v>
      </c>
      <c r="C797" t="s">
        <v>1861</v>
      </c>
      <c r="D797" t="s">
        <v>2488</v>
      </c>
      <c r="E797" t="s">
        <v>523</v>
      </c>
      <c r="F797" t="s">
        <v>92</v>
      </c>
      <c r="G797" t="s">
        <v>121</v>
      </c>
      <c r="H797" t="s">
        <v>127</v>
      </c>
      <c r="I797" t="s">
        <v>24</v>
      </c>
      <c r="J797" t="s">
        <v>38</v>
      </c>
      <c r="K797" t="s">
        <v>46</v>
      </c>
      <c r="L797">
        <v>10400.27</v>
      </c>
      <c r="M797">
        <v>40</v>
      </c>
      <c r="N797" s="11" t="s">
        <v>39</v>
      </c>
      <c r="O797" s="11" t="s">
        <v>28</v>
      </c>
      <c r="P797" s="14">
        <v>43936.725694444445</v>
      </c>
      <c r="Q797" t="s">
        <v>2489</v>
      </c>
    </row>
    <row r="798" spans="1:17">
      <c r="A798" s="8" t="s">
        <v>2490</v>
      </c>
      <c r="B798" s="8">
        <v>61194546</v>
      </c>
      <c r="C798" t="s">
        <v>563</v>
      </c>
      <c r="D798" t="s">
        <v>719</v>
      </c>
      <c r="E798" t="s">
        <v>523</v>
      </c>
      <c r="F798" t="s">
        <v>45</v>
      </c>
      <c r="G798" t="s">
        <v>35</v>
      </c>
      <c r="H798" t="s">
        <v>68</v>
      </c>
      <c r="I798" t="s">
        <v>68</v>
      </c>
      <c r="J798" t="s">
        <v>74</v>
      </c>
      <c r="K798" t="s">
        <v>69</v>
      </c>
      <c r="L798">
        <v>4538.45</v>
      </c>
      <c r="M798">
        <v>80</v>
      </c>
      <c r="N798" s="10" t="s">
        <v>57</v>
      </c>
      <c r="O798" s="10" t="s">
        <v>28</v>
      </c>
      <c r="P798" s="13">
        <v>44488.295138888891</v>
      </c>
      <c r="Q798" t="s">
        <v>2491</v>
      </c>
    </row>
    <row r="799" spans="1:17">
      <c r="A799" s="8" t="s">
        <v>2492</v>
      </c>
      <c r="B799" s="8">
        <v>47625379</v>
      </c>
      <c r="C799" t="s">
        <v>847</v>
      </c>
      <c r="D799" t="s">
        <v>570</v>
      </c>
      <c r="E799" t="s">
        <v>523</v>
      </c>
      <c r="F799" t="s">
        <v>34</v>
      </c>
      <c r="G799" t="s">
        <v>22</v>
      </c>
      <c r="H799" t="s">
        <v>127</v>
      </c>
      <c r="I799" t="s">
        <v>68</v>
      </c>
      <c r="J799" t="s">
        <v>74</v>
      </c>
      <c r="K799" t="s">
        <v>63</v>
      </c>
      <c r="L799">
        <v>11900.19</v>
      </c>
      <c r="M799">
        <v>32</v>
      </c>
      <c r="N799" s="11" t="s">
        <v>86</v>
      </c>
      <c r="O799" s="11" t="s">
        <v>48</v>
      </c>
      <c r="P799" s="14">
        <v>45777.265277777777</v>
      </c>
      <c r="Q799" t="s">
        <v>2493</v>
      </c>
    </row>
    <row r="800" spans="1:17">
      <c r="A800" s="8" t="s">
        <v>2494</v>
      </c>
      <c r="B800" s="8">
        <v>44042835</v>
      </c>
      <c r="C800" t="s">
        <v>861</v>
      </c>
      <c r="D800" t="s">
        <v>1176</v>
      </c>
      <c r="E800" t="s">
        <v>523</v>
      </c>
      <c r="F800" t="s">
        <v>35</v>
      </c>
      <c r="G800" t="s">
        <v>45</v>
      </c>
      <c r="H800" t="s">
        <v>36</v>
      </c>
      <c r="I800" t="s">
        <v>36</v>
      </c>
      <c r="J800" t="s">
        <v>56</v>
      </c>
      <c r="K800" t="s">
        <v>26</v>
      </c>
      <c r="L800">
        <v>11640.83</v>
      </c>
      <c r="M800">
        <v>42</v>
      </c>
      <c r="N800" s="10" t="s">
        <v>27</v>
      </c>
      <c r="O800" s="10" t="s">
        <v>75</v>
      </c>
      <c r="P800" s="13">
        <v>45279.90347222222</v>
      </c>
      <c r="Q800" t="s">
        <v>2495</v>
      </c>
    </row>
    <row r="801" spans="1:17">
      <c r="A801" s="8" t="s">
        <v>2496</v>
      </c>
      <c r="B801" s="8">
        <v>40981524</v>
      </c>
      <c r="C801" t="s">
        <v>644</v>
      </c>
      <c r="D801" t="s">
        <v>916</v>
      </c>
      <c r="E801" t="s">
        <v>523</v>
      </c>
      <c r="F801" t="s">
        <v>44</v>
      </c>
      <c r="G801" t="s">
        <v>21</v>
      </c>
      <c r="H801" t="s">
        <v>68</v>
      </c>
      <c r="I801" t="s">
        <v>24</v>
      </c>
      <c r="J801" t="s">
        <v>74</v>
      </c>
      <c r="K801" t="s">
        <v>63</v>
      </c>
      <c r="L801">
        <v>4447.12</v>
      </c>
      <c r="M801">
        <v>34</v>
      </c>
      <c r="N801" s="11" t="s">
        <v>86</v>
      </c>
      <c r="O801" s="11" t="s">
        <v>28</v>
      </c>
      <c r="P801" s="14">
        <v>44926.455555555556</v>
      </c>
      <c r="Q801" t="s">
        <v>2497</v>
      </c>
    </row>
    <row r="802" spans="1:17">
      <c r="A802" s="8" t="s">
        <v>2498</v>
      </c>
      <c r="B802" s="8">
        <v>65510726</v>
      </c>
      <c r="C802" t="s">
        <v>304</v>
      </c>
      <c r="D802" t="s">
        <v>219</v>
      </c>
      <c r="E802" t="s">
        <v>523</v>
      </c>
      <c r="F802" t="s">
        <v>44</v>
      </c>
      <c r="G802" t="s">
        <v>22</v>
      </c>
      <c r="H802" t="s">
        <v>127</v>
      </c>
      <c r="I802" t="s">
        <v>127</v>
      </c>
      <c r="J802" t="s">
        <v>103</v>
      </c>
      <c r="K802" t="s">
        <v>69</v>
      </c>
      <c r="L802">
        <v>6214.66</v>
      </c>
      <c r="M802">
        <v>83</v>
      </c>
      <c r="N802" s="10" t="s">
        <v>27</v>
      </c>
      <c r="O802" s="10" t="s">
        <v>48</v>
      </c>
      <c r="P802" s="13">
        <v>44818.505555555559</v>
      </c>
      <c r="Q802" t="s">
        <v>2499</v>
      </c>
    </row>
    <row r="803" spans="1:17">
      <c r="A803" s="8" t="s">
        <v>2500</v>
      </c>
      <c r="B803" s="8">
        <v>94412523</v>
      </c>
      <c r="C803" t="s">
        <v>983</v>
      </c>
      <c r="D803" t="s">
        <v>843</v>
      </c>
      <c r="E803" t="s">
        <v>523</v>
      </c>
      <c r="F803" t="s">
        <v>21</v>
      </c>
      <c r="G803" t="s">
        <v>21</v>
      </c>
      <c r="H803" t="s">
        <v>62</v>
      </c>
      <c r="I803" t="s">
        <v>127</v>
      </c>
      <c r="J803" t="s">
        <v>56</v>
      </c>
      <c r="K803" t="s">
        <v>63</v>
      </c>
      <c r="L803">
        <v>4233.3900000000003</v>
      </c>
      <c r="M803">
        <v>70</v>
      </c>
      <c r="N803" s="11" t="s">
        <v>57</v>
      </c>
      <c r="O803" s="11" t="s">
        <v>48</v>
      </c>
      <c r="P803" s="14">
        <v>45639.255555555559</v>
      </c>
      <c r="Q803" t="s">
        <v>2501</v>
      </c>
    </row>
    <row r="804" spans="1:17">
      <c r="A804" s="8" t="s">
        <v>2502</v>
      </c>
      <c r="B804" s="8">
        <v>21536372</v>
      </c>
      <c r="C804" t="s">
        <v>1480</v>
      </c>
      <c r="D804" t="s">
        <v>2291</v>
      </c>
      <c r="E804" t="s">
        <v>523</v>
      </c>
      <c r="F804" t="s">
        <v>80</v>
      </c>
      <c r="G804" t="s">
        <v>121</v>
      </c>
      <c r="H804" t="s">
        <v>93</v>
      </c>
      <c r="I804" t="s">
        <v>36</v>
      </c>
      <c r="J804" t="s">
        <v>25</v>
      </c>
      <c r="K804" t="s">
        <v>46</v>
      </c>
      <c r="L804">
        <v>13745.8</v>
      </c>
      <c r="M804">
        <v>68</v>
      </c>
      <c r="N804" s="10" t="s">
        <v>86</v>
      </c>
      <c r="O804" s="10" t="s">
        <v>81</v>
      </c>
      <c r="P804" s="13">
        <v>45613.539583333331</v>
      </c>
      <c r="Q804" t="s">
        <v>2503</v>
      </c>
    </row>
    <row r="805" spans="1:17">
      <c r="A805" s="8" t="s">
        <v>2504</v>
      </c>
      <c r="B805" s="8">
        <v>0</v>
      </c>
      <c r="C805" t="s">
        <v>2505</v>
      </c>
      <c r="D805" t="s">
        <v>913</v>
      </c>
      <c r="E805" t="s">
        <v>523</v>
      </c>
      <c r="F805" t="s">
        <v>34</v>
      </c>
      <c r="G805" t="s">
        <v>22</v>
      </c>
      <c r="H805" t="s">
        <v>24</v>
      </c>
      <c r="I805" t="s">
        <v>23</v>
      </c>
      <c r="J805" t="s">
        <v>56</v>
      </c>
      <c r="K805" t="s">
        <v>26</v>
      </c>
      <c r="L805">
        <v>11229.09</v>
      </c>
      <c r="M805">
        <v>56</v>
      </c>
      <c r="N805" s="11" t="s">
        <v>47</v>
      </c>
      <c r="O805" s="11" t="s">
        <v>48</v>
      </c>
      <c r="P805" s="14">
        <v>44276.106944444444</v>
      </c>
      <c r="Q805" t="s">
        <v>2506</v>
      </c>
    </row>
    <row r="806" spans="1:17">
      <c r="A806" s="8" t="s">
        <v>2507</v>
      </c>
      <c r="B806" s="8">
        <v>44986948</v>
      </c>
      <c r="C806" t="s">
        <v>618</v>
      </c>
      <c r="D806" t="s">
        <v>323</v>
      </c>
      <c r="E806" t="s">
        <v>523</v>
      </c>
      <c r="F806" t="s">
        <v>121</v>
      </c>
      <c r="G806" t="s">
        <v>121</v>
      </c>
      <c r="H806" t="s">
        <v>24</v>
      </c>
      <c r="I806" t="s">
        <v>93</v>
      </c>
      <c r="J806" t="s">
        <v>103</v>
      </c>
      <c r="K806" t="s">
        <v>69</v>
      </c>
      <c r="L806">
        <v>6647.85</v>
      </c>
      <c r="M806">
        <v>68</v>
      </c>
      <c r="N806" s="10" t="s">
        <v>86</v>
      </c>
      <c r="O806" s="10" t="s">
        <v>75</v>
      </c>
      <c r="P806" s="13">
        <v>45779.013888888891</v>
      </c>
      <c r="Q806" t="s">
        <v>2508</v>
      </c>
    </row>
    <row r="807" spans="1:17">
      <c r="A807" s="8" t="s">
        <v>2509</v>
      </c>
      <c r="B807" s="8">
        <v>60223068</v>
      </c>
      <c r="C807" t="s">
        <v>1164</v>
      </c>
      <c r="D807" t="s">
        <v>1618</v>
      </c>
      <c r="E807" t="s">
        <v>523</v>
      </c>
      <c r="F807" t="s">
        <v>34</v>
      </c>
      <c r="G807" t="s">
        <v>35</v>
      </c>
      <c r="H807" t="s">
        <v>62</v>
      </c>
      <c r="I807" t="s">
        <v>36</v>
      </c>
      <c r="J807" t="s">
        <v>38</v>
      </c>
      <c r="K807" t="s">
        <v>46</v>
      </c>
      <c r="L807">
        <v>13557.57</v>
      </c>
      <c r="M807">
        <v>23</v>
      </c>
      <c r="N807" s="11" t="s">
        <v>39</v>
      </c>
      <c r="O807" s="11" t="s">
        <v>81</v>
      </c>
      <c r="P807" s="14">
        <v>45948.814583333333</v>
      </c>
      <c r="Q807" t="s">
        <v>2510</v>
      </c>
    </row>
    <row r="808" spans="1:17">
      <c r="A808" s="8" t="s">
        <v>2511</v>
      </c>
      <c r="B808" s="8">
        <v>32883633</v>
      </c>
      <c r="C808" t="s">
        <v>2196</v>
      </c>
      <c r="D808" t="s">
        <v>2512</v>
      </c>
      <c r="E808" t="s">
        <v>523</v>
      </c>
      <c r="F808" t="s">
        <v>92</v>
      </c>
      <c r="G808" t="s">
        <v>35</v>
      </c>
      <c r="H808" t="s">
        <v>37</v>
      </c>
      <c r="I808" t="s">
        <v>54</v>
      </c>
      <c r="J808" t="s">
        <v>38</v>
      </c>
      <c r="K808" t="s">
        <v>69</v>
      </c>
      <c r="L808">
        <v>8594.84</v>
      </c>
      <c r="M808">
        <v>84</v>
      </c>
      <c r="N808" s="10" t="s">
        <v>47</v>
      </c>
      <c r="O808" s="10" t="s">
        <v>48</v>
      </c>
      <c r="P808" s="13">
        <v>45828.093055555553</v>
      </c>
      <c r="Q808" t="s">
        <v>2513</v>
      </c>
    </row>
    <row r="809" spans="1:17">
      <c r="A809" s="8" t="s">
        <v>2514</v>
      </c>
      <c r="B809" s="8">
        <v>52386580</v>
      </c>
      <c r="C809" t="s">
        <v>2244</v>
      </c>
      <c r="D809" t="s">
        <v>2515</v>
      </c>
      <c r="E809" t="s">
        <v>523</v>
      </c>
      <c r="F809" t="s">
        <v>92</v>
      </c>
      <c r="G809" t="s">
        <v>121</v>
      </c>
      <c r="H809" t="s">
        <v>93</v>
      </c>
      <c r="I809" t="s">
        <v>62</v>
      </c>
      <c r="J809" t="s">
        <v>38</v>
      </c>
      <c r="K809" t="s">
        <v>69</v>
      </c>
      <c r="L809">
        <v>9964.56</v>
      </c>
      <c r="M809">
        <v>24</v>
      </c>
      <c r="N809" s="11" t="s">
        <v>47</v>
      </c>
      <c r="O809" s="11" t="s">
        <v>28</v>
      </c>
      <c r="P809" s="14">
        <v>46028.979861111111</v>
      </c>
      <c r="Q809" t="s">
        <v>2516</v>
      </c>
    </row>
    <row r="810" spans="1:17">
      <c r="A810" s="8" t="s">
        <v>2517</v>
      </c>
      <c r="B810" s="8">
        <v>37482786</v>
      </c>
      <c r="C810" t="s">
        <v>146</v>
      </c>
      <c r="D810" t="s">
        <v>155</v>
      </c>
      <c r="E810" t="s">
        <v>523</v>
      </c>
      <c r="F810" t="s">
        <v>80</v>
      </c>
      <c r="G810" t="s">
        <v>80</v>
      </c>
      <c r="H810" t="s">
        <v>36</v>
      </c>
      <c r="I810" t="s">
        <v>68</v>
      </c>
      <c r="J810" t="s">
        <v>38</v>
      </c>
      <c r="K810" t="s">
        <v>69</v>
      </c>
      <c r="L810">
        <v>2659.94</v>
      </c>
      <c r="M810">
        <v>68</v>
      </c>
      <c r="N810" s="10" t="s">
        <v>47</v>
      </c>
      <c r="O810" s="10" t="s">
        <v>28</v>
      </c>
      <c r="P810" s="13">
        <v>44604.238888888889</v>
      </c>
      <c r="Q810" t="s">
        <v>2518</v>
      </c>
    </row>
    <row r="811" spans="1:17">
      <c r="A811" s="8" t="s">
        <v>2519</v>
      </c>
      <c r="B811" s="8">
        <v>68443796</v>
      </c>
      <c r="C811" t="s">
        <v>2137</v>
      </c>
      <c r="D811" t="s">
        <v>1905</v>
      </c>
      <c r="E811" t="s">
        <v>523</v>
      </c>
      <c r="F811" t="s">
        <v>53</v>
      </c>
      <c r="G811" t="s">
        <v>80</v>
      </c>
      <c r="H811" t="s">
        <v>62</v>
      </c>
      <c r="I811" t="s">
        <v>127</v>
      </c>
      <c r="J811" t="s">
        <v>56</v>
      </c>
      <c r="K811" t="s">
        <v>69</v>
      </c>
      <c r="L811">
        <v>14832.44</v>
      </c>
      <c r="M811">
        <v>59</v>
      </c>
      <c r="N811" s="11" t="s">
        <v>47</v>
      </c>
      <c r="O811" s="11" t="s">
        <v>28</v>
      </c>
      <c r="P811" s="14">
        <v>45392.855555555558</v>
      </c>
      <c r="Q811" t="s">
        <v>2520</v>
      </c>
    </row>
    <row r="812" spans="1:17">
      <c r="A812" s="8" t="s">
        <v>2521</v>
      </c>
      <c r="B812" s="8">
        <v>52101199</v>
      </c>
      <c r="C812" t="s">
        <v>929</v>
      </c>
      <c r="D812" t="s">
        <v>689</v>
      </c>
      <c r="E812" t="s">
        <v>523</v>
      </c>
      <c r="F812" t="s">
        <v>45</v>
      </c>
      <c r="G812" t="s">
        <v>92</v>
      </c>
      <c r="H812" t="s">
        <v>24</v>
      </c>
      <c r="I812" t="s">
        <v>55</v>
      </c>
      <c r="J812" t="s">
        <v>56</v>
      </c>
      <c r="K812" t="s">
        <v>46</v>
      </c>
      <c r="L812">
        <v>1948.22</v>
      </c>
      <c r="M812">
        <v>81</v>
      </c>
      <c r="N812" s="10" t="s">
        <v>57</v>
      </c>
      <c r="O812" s="10" t="s">
        <v>48</v>
      </c>
      <c r="P812" s="13">
        <v>45506.804166666669</v>
      </c>
      <c r="Q812" t="s">
        <v>2522</v>
      </c>
    </row>
    <row r="813" spans="1:17">
      <c r="A813" s="8" t="s">
        <v>2523</v>
      </c>
      <c r="B813" s="8">
        <v>18585082</v>
      </c>
      <c r="C813" t="s">
        <v>2247</v>
      </c>
      <c r="D813" t="s">
        <v>383</v>
      </c>
      <c r="E813" t="s">
        <v>523</v>
      </c>
      <c r="F813" t="s">
        <v>121</v>
      </c>
      <c r="G813" t="s">
        <v>35</v>
      </c>
      <c r="H813" t="s">
        <v>24</v>
      </c>
      <c r="I813" t="s">
        <v>127</v>
      </c>
      <c r="J813" t="s">
        <v>38</v>
      </c>
      <c r="K813" t="s">
        <v>69</v>
      </c>
      <c r="L813">
        <v>1359.81</v>
      </c>
      <c r="M813">
        <v>32</v>
      </c>
      <c r="N813" s="11" t="s">
        <v>27</v>
      </c>
      <c r="O813" s="11" t="s">
        <v>81</v>
      </c>
      <c r="P813" s="14">
        <v>44953.018750000003</v>
      </c>
      <c r="Q813" t="s">
        <v>2524</v>
      </c>
    </row>
    <row r="814" spans="1:17">
      <c r="A814" s="8" t="s">
        <v>2525</v>
      </c>
      <c r="B814" s="8">
        <v>36731136</v>
      </c>
      <c r="C814" t="s">
        <v>998</v>
      </c>
      <c r="D814" t="s">
        <v>2526</v>
      </c>
      <c r="E814" t="s">
        <v>523</v>
      </c>
      <c r="F814" t="s">
        <v>92</v>
      </c>
      <c r="G814" t="s">
        <v>92</v>
      </c>
      <c r="H814" t="s">
        <v>24</v>
      </c>
      <c r="I814" t="s">
        <v>68</v>
      </c>
      <c r="J814" t="s">
        <v>103</v>
      </c>
      <c r="K814" t="s">
        <v>26</v>
      </c>
      <c r="L814">
        <v>11222.46</v>
      </c>
      <c r="M814">
        <v>46</v>
      </c>
      <c r="N814" s="10" t="s">
        <v>27</v>
      </c>
      <c r="O814" s="10" t="s">
        <v>75</v>
      </c>
      <c r="P814" s="13">
        <v>45132.870138888888</v>
      </c>
      <c r="Q814" t="s">
        <v>2527</v>
      </c>
    </row>
    <row r="815" spans="1:17">
      <c r="A815" s="8" t="s">
        <v>2528</v>
      </c>
      <c r="B815" s="8">
        <v>81062939</v>
      </c>
      <c r="C815" t="s">
        <v>2529</v>
      </c>
      <c r="D815" t="s">
        <v>111</v>
      </c>
      <c r="E815" t="s">
        <v>523</v>
      </c>
      <c r="F815" t="s">
        <v>34</v>
      </c>
      <c r="G815" t="s">
        <v>98</v>
      </c>
      <c r="H815" t="s">
        <v>54</v>
      </c>
      <c r="I815" t="s">
        <v>62</v>
      </c>
      <c r="J815" t="s">
        <v>38</v>
      </c>
      <c r="K815" t="s">
        <v>63</v>
      </c>
      <c r="L815">
        <v>946.09</v>
      </c>
      <c r="M815">
        <v>50</v>
      </c>
      <c r="N815" s="11" t="s">
        <v>39</v>
      </c>
      <c r="O815" s="11" t="s">
        <v>81</v>
      </c>
      <c r="P815" s="14">
        <v>45417.051388888889</v>
      </c>
      <c r="Q815" t="s">
        <v>2530</v>
      </c>
    </row>
    <row r="816" spans="1:17">
      <c r="A816" s="8" t="s">
        <v>2531</v>
      </c>
      <c r="B816" s="8">
        <v>37757450</v>
      </c>
      <c r="C816" t="s">
        <v>115</v>
      </c>
      <c r="D816" t="s">
        <v>2384</v>
      </c>
      <c r="E816" t="s">
        <v>523</v>
      </c>
      <c r="F816" t="s">
        <v>45</v>
      </c>
      <c r="G816" t="s">
        <v>121</v>
      </c>
      <c r="H816" t="s">
        <v>62</v>
      </c>
      <c r="I816" t="s">
        <v>68</v>
      </c>
      <c r="J816" t="s">
        <v>25</v>
      </c>
      <c r="K816" t="s">
        <v>46</v>
      </c>
      <c r="L816">
        <v>14452.49</v>
      </c>
      <c r="M816">
        <v>44</v>
      </c>
      <c r="N816" s="10" t="s">
        <v>39</v>
      </c>
      <c r="O816" s="10" t="s">
        <v>48</v>
      </c>
      <c r="P816" s="13">
        <v>45517.554166666669</v>
      </c>
      <c r="Q816" t="s">
        <v>2532</v>
      </c>
    </row>
    <row r="817" spans="1:17">
      <c r="A817" s="8" t="s">
        <v>2533</v>
      </c>
      <c r="B817" s="8">
        <v>99096950</v>
      </c>
      <c r="C817" t="s">
        <v>1261</v>
      </c>
      <c r="D817" t="s">
        <v>1284</v>
      </c>
      <c r="E817" t="s">
        <v>523</v>
      </c>
      <c r="F817" t="s">
        <v>22</v>
      </c>
      <c r="G817" t="s">
        <v>116</v>
      </c>
      <c r="H817" t="s">
        <v>55</v>
      </c>
      <c r="I817" t="s">
        <v>55</v>
      </c>
      <c r="J817" t="s">
        <v>74</v>
      </c>
      <c r="K817" t="s">
        <v>26</v>
      </c>
      <c r="L817">
        <v>11060.23</v>
      </c>
      <c r="M817">
        <v>53</v>
      </c>
      <c r="N817" s="11" t="s">
        <v>86</v>
      </c>
      <c r="O817" s="11" t="s">
        <v>81</v>
      </c>
      <c r="P817" s="14">
        <v>44774.426388888889</v>
      </c>
      <c r="Q817" t="s">
        <v>2534</v>
      </c>
    </row>
    <row r="818" spans="1:17">
      <c r="A818" s="8" t="s">
        <v>2535</v>
      </c>
      <c r="B818" s="8">
        <v>15831593</v>
      </c>
      <c r="C818" t="s">
        <v>1087</v>
      </c>
      <c r="D818" t="s">
        <v>1652</v>
      </c>
      <c r="E818" t="s">
        <v>523</v>
      </c>
      <c r="F818" t="s">
        <v>1084</v>
      </c>
      <c r="G818" t="s">
        <v>21</v>
      </c>
      <c r="H818" t="s">
        <v>36</v>
      </c>
      <c r="I818" t="s">
        <v>36</v>
      </c>
      <c r="J818" t="s">
        <v>103</v>
      </c>
      <c r="K818" t="s">
        <v>26</v>
      </c>
      <c r="L818">
        <v>11557.16</v>
      </c>
      <c r="M818">
        <v>46</v>
      </c>
      <c r="N818" s="10" t="s">
        <v>27</v>
      </c>
      <c r="O818" s="10" t="s">
        <v>48</v>
      </c>
      <c r="P818" s="13">
        <v>44285.243750000001</v>
      </c>
      <c r="Q818" t="s">
        <v>2536</v>
      </c>
    </row>
    <row r="819" spans="1:17">
      <c r="A819" s="8" t="s">
        <v>2537</v>
      </c>
      <c r="B819" s="8">
        <v>87786608</v>
      </c>
      <c r="C819" t="s">
        <v>589</v>
      </c>
      <c r="D819" t="s">
        <v>1966</v>
      </c>
      <c r="E819" t="s">
        <v>523</v>
      </c>
      <c r="F819" t="s">
        <v>53</v>
      </c>
      <c r="G819" t="s">
        <v>34</v>
      </c>
      <c r="H819" t="s">
        <v>24</v>
      </c>
      <c r="I819" t="s">
        <v>24</v>
      </c>
      <c r="J819" t="s">
        <v>74</v>
      </c>
      <c r="K819" t="s">
        <v>46</v>
      </c>
      <c r="L819">
        <v>5867.93</v>
      </c>
      <c r="M819">
        <v>55</v>
      </c>
      <c r="N819" s="11" t="s">
        <v>57</v>
      </c>
      <c r="O819" s="11" t="s">
        <v>81</v>
      </c>
      <c r="P819" s="14">
        <v>44958.35833333333</v>
      </c>
      <c r="Q819" t="s">
        <v>2538</v>
      </c>
    </row>
    <row r="820" spans="1:17">
      <c r="A820" s="8" t="s">
        <v>2539</v>
      </c>
      <c r="B820" s="8">
        <v>89614817</v>
      </c>
      <c r="C820" t="s">
        <v>618</v>
      </c>
      <c r="D820" t="s">
        <v>2371</v>
      </c>
      <c r="E820" t="s">
        <v>523</v>
      </c>
      <c r="F820" t="s">
        <v>116</v>
      </c>
      <c r="G820" t="s">
        <v>176</v>
      </c>
      <c r="H820" t="s">
        <v>127</v>
      </c>
      <c r="I820" t="s">
        <v>55</v>
      </c>
      <c r="J820" t="s">
        <v>74</v>
      </c>
      <c r="K820" t="s">
        <v>63</v>
      </c>
      <c r="L820">
        <v>12926.18</v>
      </c>
      <c r="M820">
        <v>74</v>
      </c>
      <c r="N820" s="10" t="s">
        <v>86</v>
      </c>
      <c r="O820" s="10" t="s">
        <v>81</v>
      </c>
      <c r="P820" s="13">
        <v>44776.814583333333</v>
      </c>
      <c r="Q820" t="s">
        <v>2540</v>
      </c>
    </row>
    <row r="821" spans="1:17">
      <c r="A821" s="8" t="s">
        <v>2541</v>
      </c>
      <c r="B821" s="8">
        <v>87053633</v>
      </c>
      <c r="C821" t="s">
        <v>473</v>
      </c>
      <c r="D821" t="s">
        <v>350</v>
      </c>
      <c r="E821" t="s">
        <v>523</v>
      </c>
      <c r="F821" t="s">
        <v>98</v>
      </c>
      <c r="G821" t="s">
        <v>116</v>
      </c>
      <c r="H821" t="s">
        <v>62</v>
      </c>
      <c r="I821" t="s">
        <v>68</v>
      </c>
      <c r="J821" t="s">
        <v>38</v>
      </c>
      <c r="K821" t="s">
        <v>69</v>
      </c>
      <c r="L821">
        <v>6090.37</v>
      </c>
      <c r="M821">
        <v>44</v>
      </c>
      <c r="N821" s="11" t="s">
        <v>86</v>
      </c>
      <c r="O821" s="11" t="s">
        <v>48</v>
      </c>
      <c r="P821" s="14">
        <v>44431.225694444445</v>
      </c>
      <c r="Q821" t="s">
        <v>2542</v>
      </c>
    </row>
    <row r="822" spans="1:17">
      <c r="A822" s="8" t="s">
        <v>2543</v>
      </c>
      <c r="B822" s="8">
        <v>88050960</v>
      </c>
      <c r="C822" t="s">
        <v>1593</v>
      </c>
      <c r="D822" t="s">
        <v>900</v>
      </c>
      <c r="E822" t="s">
        <v>523</v>
      </c>
      <c r="F822" t="s">
        <v>53</v>
      </c>
      <c r="G822" t="s">
        <v>116</v>
      </c>
      <c r="H822" t="s">
        <v>54</v>
      </c>
      <c r="I822" t="s">
        <v>68</v>
      </c>
      <c r="J822" t="s">
        <v>38</v>
      </c>
      <c r="K822" t="s">
        <v>63</v>
      </c>
      <c r="L822">
        <v>12094.99</v>
      </c>
      <c r="M822">
        <v>72</v>
      </c>
      <c r="N822" s="10" t="s">
        <v>86</v>
      </c>
      <c r="O822" s="10" t="s">
        <v>75</v>
      </c>
      <c r="P822" s="13">
        <v>44555.727083333331</v>
      </c>
      <c r="Q822" t="s">
        <v>2544</v>
      </c>
    </row>
    <row r="823" spans="1:17">
      <c r="A823" s="8" t="s">
        <v>2545</v>
      </c>
      <c r="B823" s="8">
        <v>84205887</v>
      </c>
      <c r="C823" t="s">
        <v>1469</v>
      </c>
      <c r="D823" t="s">
        <v>2546</v>
      </c>
      <c r="E823" t="s">
        <v>523</v>
      </c>
      <c r="F823" t="s">
        <v>21</v>
      </c>
      <c r="G823" t="s">
        <v>53</v>
      </c>
      <c r="H823" t="s">
        <v>62</v>
      </c>
      <c r="I823" t="s">
        <v>54</v>
      </c>
      <c r="J823" t="s">
        <v>38</v>
      </c>
      <c r="K823" t="s">
        <v>63</v>
      </c>
      <c r="L823">
        <v>8337.61</v>
      </c>
      <c r="M823">
        <v>50</v>
      </c>
      <c r="N823" s="11" t="s">
        <v>86</v>
      </c>
      <c r="O823" s="11" t="s">
        <v>75</v>
      </c>
      <c r="P823" s="14">
        <v>46111.951388888891</v>
      </c>
      <c r="Q823" t="s">
        <v>2547</v>
      </c>
    </row>
    <row r="824" spans="1:17">
      <c r="A824" s="8" t="s">
        <v>2548</v>
      </c>
      <c r="B824" s="8">
        <v>0</v>
      </c>
      <c r="C824" t="s">
        <v>2549</v>
      </c>
      <c r="D824" t="s">
        <v>2550</v>
      </c>
      <c r="E824" t="s">
        <v>523</v>
      </c>
      <c r="F824" t="s">
        <v>21</v>
      </c>
      <c r="G824" t="s">
        <v>686</v>
      </c>
      <c r="H824" t="s">
        <v>36</v>
      </c>
      <c r="I824" t="s">
        <v>54</v>
      </c>
      <c r="J824" t="s">
        <v>38</v>
      </c>
      <c r="K824" t="s">
        <v>26</v>
      </c>
      <c r="L824">
        <v>11398.99</v>
      </c>
      <c r="M824">
        <v>85</v>
      </c>
      <c r="N824" s="10" t="s">
        <v>39</v>
      </c>
      <c r="O824" s="10" t="s">
        <v>28</v>
      </c>
      <c r="P824" s="13">
        <v>45248.354861111111</v>
      </c>
      <c r="Q824" t="s">
        <v>2551</v>
      </c>
    </row>
    <row r="825" spans="1:17">
      <c r="A825" s="8" t="s">
        <v>2552</v>
      </c>
      <c r="B825" s="8">
        <v>35713686</v>
      </c>
      <c r="C825" t="s">
        <v>235</v>
      </c>
      <c r="D825" t="s">
        <v>1045</v>
      </c>
      <c r="E825" t="s">
        <v>523</v>
      </c>
      <c r="F825" t="s">
        <v>53</v>
      </c>
      <c r="G825" t="s">
        <v>92</v>
      </c>
      <c r="H825" t="s">
        <v>54</v>
      </c>
      <c r="I825" t="s">
        <v>37</v>
      </c>
      <c r="J825" t="s">
        <v>38</v>
      </c>
      <c r="K825" t="s">
        <v>69</v>
      </c>
      <c r="L825">
        <v>7966.98</v>
      </c>
      <c r="M825">
        <v>83</v>
      </c>
      <c r="N825" s="11" t="s">
        <v>47</v>
      </c>
      <c r="O825" s="11" t="s">
        <v>81</v>
      </c>
      <c r="P825" s="14">
        <v>45355.871527777781</v>
      </c>
      <c r="Q825" t="s">
        <v>2553</v>
      </c>
    </row>
    <row r="826" spans="1:17">
      <c r="A826" s="8" t="s">
        <v>2554</v>
      </c>
      <c r="B826" s="8">
        <v>49678304</v>
      </c>
      <c r="C826" t="s">
        <v>592</v>
      </c>
      <c r="D826" t="s">
        <v>357</v>
      </c>
      <c r="E826" t="s">
        <v>523</v>
      </c>
      <c r="F826" t="s">
        <v>80</v>
      </c>
      <c r="G826" t="s">
        <v>92</v>
      </c>
      <c r="H826" t="s">
        <v>36</v>
      </c>
      <c r="I826" t="s">
        <v>54</v>
      </c>
      <c r="J826" t="s">
        <v>103</v>
      </c>
      <c r="K826" t="s">
        <v>26</v>
      </c>
      <c r="L826">
        <v>4520.24</v>
      </c>
      <c r="M826">
        <v>27</v>
      </c>
      <c r="N826" s="10" t="s">
        <v>86</v>
      </c>
      <c r="O826" s="10" t="s">
        <v>81</v>
      </c>
      <c r="P826" s="13">
        <v>44081.217361111114</v>
      </c>
      <c r="Q826" t="s">
        <v>2555</v>
      </c>
    </row>
    <row r="827" spans="1:17">
      <c r="A827" s="8" t="s">
        <v>2556</v>
      </c>
      <c r="B827" s="8">
        <v>33925710</v>
      </c>
      <c r="C827" t="s">
        <v>2557</v>
      </c>
      <c r="D827" t="s">
        <v>2558</v>
      </c>
      <c r="E827" t="s">
        <v>523</v>
      </c>
      <c r="F827" t="s">
        <v>34</v>
      </c>
      <c r="G827" t="s">
        <v>121</v>
      </c>
      <c r="H827" t="s">
        <v>62</v>
      </c>
      <c r="I827" t="s">
        <v>93</v>
      </c>
      <c r="J827" t="s">
        <v>56</v>
      </c>
      <c r="K827" t="s">
        <v>69</v>
      </c>
      <c r="L827">
        <v>7211.2</v>
      </c>
      <c r="M827">
        <v>22</v>
      </c>
      <c r="N827" s="11" t="s">
        <v>39</v>
      </c>
      <c r="O827" s="11" t="s">
        <v>75</v>
      </c>
      <c r="P827" s="14">
        <v>45375.966666666667</v>
      </c>
      <c r="Q827" t="s">
        <v>2559</v>
      </c>
    </row>
    <row r="828" spans="1:17">
      <c r="A828" s="8" t="s">
        <v>2560</v>
      </c>
      <c r="B828" s="8">
        <v>41106335</v>
      </c>
      <c r="C828" t="s">
        <v>187</v>
      </c>
      <c r="D828" t="s">
        <v>809</v>
      </c>
      <c r="E828" t="s">
        <v>523</v>
      </c>
      <c r="F828" t="s">
        <v>35</v>
      </c>
      <c r="G828" t="s">
        <v>21</v>
      </c>
      <c r="H828" t="s">
        <v>55</v>
      </c>
      <c r="I828" t="s">
        <v>24</v>
      </c>
      <c r="J828" t="s">
        <v>38</v>
      </c>
      <c r="K828" t="s">
        <v>69</v>
      </c>
      <c r="L828">
        <v>59.83</v>
      </c>
      <c r="M828">
        <v>55</v>
      </c>
      <c r="N828" s="10" t="s">
        <v>47</v>
      </c>
      <c r="O828" s="10" t="s">
        <v>81</v>
      </c>
      <c r="P828" s="13">
        <v>43909.424305555556</v>
      </c>
      <c r="Q828" t="s">
        <v>2561</v>
      </c>
    </row>
    <row r="829" spans="1:17">
      <c r="A829" s="8" t="s">
        <v>2562</v>
      </c>
      <c r="B829" s="8">
        <v>95911762</v>
      </c>
      <c r="C829" t="s">
        <v>939</v>
      </c>
      <c r="D829" t="s">
        <v>1476</v>
      </c>
      <c r="E829" t="s">
        <v>523</v>
      </c>
      <c r="F829" t="s">
        <v>53</v>
      </c>
      <c r="G829" t="s">
        <v>98</v>
      </c>
      <c r="H829" t="s">
        <v>36</v>
      </c>
      <c r="I829" t="s">
        <v>62</v>
      </c>
      <c r="J829" t="s">
        <v>103</v>
      </c>
      <c r="K829" t="s">
        <v>63</v>
      </c>
      <c r="L829">
        <v>4877.6099999999997</v>
      </c>
      <c r="M829">
        <v>30</v>
      </c>
      <c r="N829" s="11" t="s">
        <v>47</v>
      </c>
      <c r="O829" s="11" t="s">
        <v>75</v>
      </c>
      <c r="P829" s="14">
        <v>44728.762499999997</v>
      </c>
      <c r="Q829" t="s">
        <v>2563</v>
      </c>
    </row>
    <row r="830" spans="1:17">
      <c r="A830" s="8" t="s">
        <v>2564</v>
      </c>
      <c r="B830" s="8">
        <v>59424791</v>
      </c>
      <c r="C830" t="s">
        <v>960</v>
      </c>
      <c r="D830" t="s">
        <v>1176</v>
      </c>
      <c r="E830" t="s">
        <v>523</v>
      </c>
      <c r="F830" t="s">
        <v>556</v>
      </c>
      <c r="G830" t="s">
        <v>98</v>
      </c>
      <c r="H830" t="s">
        <v>54</v>
      </c>
      <c r="I830" t="s">
        <v>55</v>
      </c>
      <c r="J830" t="s">
        <v>103</v>
      </c>
      <c r="K830" t="s">
        <v>69</v>
      </c>
      <c r="L830">
        <v>7079.52</v>
      </c>
      <c r="M830">
        <v>48</v>
      </c>
      <c r="N830" s="10" t="s">
        <v>57</v>
      </c>
      <c r="O830" s="10" t="s">
        <v>48</v>
      </c>
      <c r="P830" s="13">
        <v>44611.851388888892</v>
      </c>
      <c r="Q830" t="s">
        <v>2565</v>
      </c>
    </row>
    <row r="831" spans="1:17">
      <c r="A831" s="8" t="s">
        <v>2566</v>
      </c>
      <c r="B831" s="8">
        <v>71907135</v>
      </c>
      <c r="C831" t="s">
        <v>1314</v>
      </c>
      <c r="D831" t="s">
        <v>2134</v>
      </c>
      <c r="E831" t="s">
        <v>523</v>
      </c>
      <c r="F831" t="s">
        <v>116</v>
      </c>
      <c r="G831" t="s">
        <v>44</v>
      </c>
      <c r="H831" t="s">
        <v>54</v>
      </c>
      <c r="I831" t="s">
        <v>68</v>
      </c>
      <c r="J831" t="s">
        <v>56</v>
      </c>
      <c r="K831" t="s">
        <v>63</v>
      </c>
      <c r="L831">
        <v>8019.39</v>
      </c>
      <c r="M831">
        <v>64</v>
      </c>
      <c r="N831" s="11" t="s">
        <v>47</v>
      </c>
      <c r="O831" s="11" t="s">
        <v>48</v>
      </c>
      <c r="P831" s="14">
        <v>44056.765972222223</v>
      </c>
      <c r="Q831" t="s">
        <v>2567</v>
      </c>
    </row>
    <row r="832" spans="1:17">
      <c r="A832" s="8" t="s">
        <v>2568</v>
      </c>
      <c r="B832" s="8">
        <v>90648127</v>
      </c>
      <c r="C832" t="s">
        <v>2569</v>
      </c>
      <c r="D832" t="s">
        <v>885</v>
      </c>
      <c r="E832" t="s">
        <v>523</v>
      </c>
      <c r="F832" t="s">
        <v>98</v>
      </c>
      <c r="G832" t="s">
        <v>98</v>
      </c>
      <c r="H832" t="s">
        <v>36</v>
      </c>
      <c r="I832" t="s">
        <v>37</v>
      </c>
      <c r="J832" t="s">
        <v>38</v>
      </c>
      <c r="K832" t="s">
        <v>26</v>
      </c>
      <c r="L832">
        <v>2952.53</v>
      </c>
      <c r="M832">
        <v>69</v>
      </c>
      <c r="N832" s="10" t="s">
        <v>57</v>
      </c>
      <c r="O832" s="10" t="s">
        <v>81</v>
      </c>
      <c r="P832" s="13">
        <v>44905.518750000003</v>
      </c>
      <c r="Q832" t="s">
        <v>2570</v>
      </c>
    </row>
    <row r="833" spans="1:17">
      <c r="A833" s="8" t="s">
        <v>2571</v>
      </c>
      <c r="B833" s="8">
        <v>53947932</v>
      </c>
      <c r="C833" t="s">
        <v>802</v>
      </c>
      <c r="D833" t="s">
        <v>757</v>
      </c>
      <c r="E833" t="s">
        <v>523</v>
      </c>
      <c r="F833" t="s">
        <v>98</v>
      </c>
      <c r="G833" t="s">
        <v>80</v>
      </c>
      <c r="H833" t="s">
        <v>23</v>
      </c>
      <c r="I833" t="s">
        <v>37</v>
      </c>
      <c r="J833" t="s">
        <v>103</v>
      </c>
      <c r="K833" t="s">
        <v>69</v>
      </c>
      <c r="L833">
        <v>13041.65</v>
      </c>
      <c r="M833">
        <v>73</v>
      </c>
      <c r="N833" s="11" t="s">
        <v>39</v>
      </c>
      <c r="O833" s="11" t="s">
        <v>28</v>
      </c>
      <c r="P833" s="14">
        <v>45040.579861111109</v>
      </c>
      <c r="Q833" t="s">
        <v>2572</v>
      </c>
    </row>
    <row r="834" spans="1:17">
      <c r="A834" s="8" t="s">
        <v>2573</v>
      </c>
      <c r="B834" s="8">
        <v>38172320</v>
      </c>
      <c r="C834" t="s">
        <v>2574</v>
      </c>
      <c r="D834" t="s">
        <v>700</v>
      </c>
      <c r="E834" t="s">
        <v>523</v>
      </c>
      <c r="F834" t="s">
        <v>53</v>
      </c>
      <c r="G834" t="s">
        <v>92</v>
      </c>
      <c r="H834" t="s">
        <v>62</v>
      </c>
      <c r="I834" t="s">
        <v>62</v>
      </c>
      <c r="J834" t="s">
        <v>38</v>
      </c>
      <c r="K834" t="s">
        <v>63</v>
      </c>
      <c r="L834">
        <v>11856.55</v>
      </c>
      <c r="M834">
        <v>32</v>
      </c>
      <c r="N834" s="10" t="s">
        <v>86</v>
      </c>
      <c r="O834" s="10" t="s">
        <v>28</v>
      </c>
      <c r="P834" s="13">
        <v>44888.738194444442</v>
      </c>
      <c r="Q834" t="s">
        <v>2575</v>
      </c>
    </row>
    <row r="835" spans="1:17">
      <c r="A835" s="8" t="s">
        <v>2576</v>
      </c>
      <c r="B835" s="8">
        <v>55685117</v>
      </c>
      <c r="C835" t="s">
        <v>2577</v>
      </c>
      <c r="D835" t="s">
        <v>331</v>
      </c>
      <c r="E835" t="s">
        <v>523</v>
      </c>
      <c r="F835" t="s">
        <v>92</v>
      </c>
      <c r="G835" t="s">
        <v>45</v>
      </c>
      <c r="H835" t="s">
        <v>23</v>
      </c>
      <c r="I835" t="s">
        <v>24</v>
      </c>
      <c r="J835" t="s">
        <v>38</v>
      </c>
      <c r="K835" t="s">
        <v>63</v>
      </c>
      <c r="L835">
        <v>4470.1400000000003</v>
      </c>
      <c r="M835">
        <v>46</v>
      </c>
      <c r="N835" s="11" t="s">
        <v>27</v>
      </c>
      <c r="O835" s="11" t="s">
        <v>81</v>
      </c>
      <c r="P835" s="14">
        <v>44633.15347222222</v>
      </c>
      <c r="Q835" t="s">
        <v>2578</v>
      </c>
    </row>
    <row r="836" spans="1:17">
      <c r="A836" s="8" t="s">
        <v>2579</v>
      </c>
      <c r="B836" s="8">
        <v>56778834</v>
      </c>
      <c r="C836" t="s">
        <v>174</v>
      </c>
      <c r="D836" t="s">
        <v>408</v>
      </c>
      <c r="E836" t="s">
        <v>523</v>
      </c>
      <c r="F836" t="s">
        <v>116</v>
      </c>
      <c r="G836" t="s">
        <v>80</v>
      </c>
      <c r="H836" t="s">
        <v>37</v>
      </c>
      <c r="I836" t="s">
        <v>55</v>
      </c>
      <c r="J836" t="s">
        <v>38</v>
      </c>
      <c r="K836" t="s">
        <v>46</v>
      </c>
      <c r="L836">
        <v>12687.47</v>
      </c>
      <c r="M836">
        <v>25</v>
      </c>
      <c r="N836" s="10" t="s">
        <v>86</v>
      </c>
      <c r="O836" s="10" t="s">
        <v>48</v>
      </c>
      <c r="P836" s="13">
        <v>44572.668749999997</v>
      </c>
      <c r="Q836" t="s">
        <v>2580</v>
      </c>
    </row>
    <row r="837" spans="1:17">
      <c r="A837" s="8" t="s">
        <v>2581</v>
      </c>
      <c r="B837" s="8">
        <v>87926745</v>
      </c>
      <c r="C837" t="s">
        <v>1361</v>
      </c>
      <c r="D837" t="s">
        <v>1986</v>
      </c>
      <c r="E837" t="s">
        <v>523</v>
      </c>
      <c r="F837" t="s">
        <v>35</v>
      </c>
      <c r="G837" t="s">
        <v>53</v>
      </c>
      <c r="H837" t="s">
        <v>62</v>
      </c>
      <c r="I837" t="s">
        <v>127</v>
      </c>
      <c r="J837" t="s">
        <v>56</v>
      </c>
      <c r="K837" t="s">
        <v>63</v>
      </c>
      <c r="L837">
        <v>1581.12</v>
      </c>
      <c r="M837">
        <v>22</v>
      </c>
      <c r="N837" s="11" t="s">
        <v>47</v>
      </c>
      <c r="O837" s="11" t="s">
        <v>48</v>
      </c>
      <c r="P837" s="14">
        <v>46009.488888888889</v>
      </c>
      <c r="Q837" t="s">
        <v>2582</v>
      </c>
    </row>
    <row r="838" spans="1:17">
      <c r="A838" s="8" t="s">
        <v>2583</v>
      </c>
      <c r="B838" s="8">
        <v>75992723</v>
      </c>
      <c r="C838" t="s">
        <v>106</v>
      </c>
      <c r="D838" t="s">
        <v>854</v>
      </c>
      <c r="E838" t="s">
        <v>523</v>
      </c>
      <c r="F838" t="s">
        <v>393</v>
      </c>
      <c r="G838" t="s">
        <v>116</v>
      </c>
      <c r="H838" t="s">
        <v>36</v>
      </c>
      <c r="I838" t="s">
        <v>54</v>
      </c>
      <c r="J838" t="s">
        <v>38</v>
      </c>
      <c r="K838" t="s">
        <v>63</v>
      </c>
      <c r="L838">
        <v>9457.82</v>
      </c>
      <c r="M838">
        <v>46</v>
      </c>
      <c r="N838" s="10" t="s">
        <v>47</v>
      </c>
      <c r="O838" s="10" t="s">
        <v>28</v>
      </c>
      <c r="P838" s="13">
        <v>44534.131249999999</v>
      </c>
      <c r="Q838" t="s">
        <v>2584</v>
      </c>
    </row>
    <row r="839" spans="1:17">
      <c r="A839" s="8" t="s">
        <v>2585</v>
      </c>
      <c r="B839" s="8">
        <v>60152980</v>
      </c>
      <c r="C839" t="s">
        <v>511</v>
      </c>
      <c r="D839" t="s">
        <v>18</v>
      </c>
      <c r="E839" t="s">
        <v>523</v>
      </c>
      <c r="F839" t="s">
        <v>98</v>
      </c>
      <c r="G839" t="s">
        <v>98</v>
      </c>
      <c r="H839" t="s">
        <v>93</v>
      </c>
      <c r="I839" t="s">
        <v>36</v>
      </c>
      <c r="J839" t="s">
        <v>38</v>
      </c>
      <c r="K839" t="s">
        <v>69</v>
      </c>
      <c r="L839">
        <v>2935.43</v>
      </c>
      <c r="M839">
        <v>64</v>
      </c>
      <c r="N839" s="11" t="s">
        <v>39</v>
      </c>
      <c r="O839" s="11" t="s">
        <v>28</v>
      </c>
      <c r="P839" s="14">
        <v>46375.115277777775</v>
      </c>
      <c r="Q839" t="s">
        <v>2586</v>
      </c>
    </row>
    <row r="840" spans="1:17">
      <c r="A840" s="8" t="s">
        <v>2587</v>
      </c>
      <c r="B840" s="8">
        <v>73660887</v>
      </c>
      <c r="C840" t="s">
        <v>1306</v>
      </c>
      <c r="D840" t="s">
        <v>2588</v>
      </c>
      <c r="E840" t="s">
        <v>523</v>
      </c>
      <c r="F840" t="s">
        <v>35</v>
      </c>
      <c r="G840" t="s">
        <v>126</v>
      </c>
      <c r="H840" t="s">
        <v>36</v>
      </c>
      <c r="I840" t="s">
        <v>37</v>
      </c>
      <c r="J840" t="s">
        <v>25</v>
      </c>
      <c r="K840" t="s">
        <v>63</v>
      </c>
      <c r="L840">
        <v>10760.51</v>
      </c>
      <c r="M840">
        <v>85</v>
      </c>
      <c r="N840" s="10" t="s">
        <v>86</v>
      </c>
      <c r="O840" s="10" t="s">
        <v>75</v>
      </c>
      <c r="P840" s="13">
        <v>45257.080555555556</v>
      </c>
      <c r="Q840" t="s">
        <v>2589</v>
      </c>
    </row>
    <row r="841" spans="1:17">
      <c r="A841" s="8" t="s">
        <v>2590</v>
      </c>
      <c r="B841" s="8">
        <v>81260169</v>
      </c>
      <c r="C841" t="s">
        <v>89</v>
      </c>
      <c r="D841" t="s">
        <v>1618</v>
      </c>
      <c r="E841" t="s">
        <v>523</v>
      </c>
      <c r="F841" t="s">
        <v>44</v>
      </c>
      <c r="G841" t="s">
        <v>35</v>
      </c>
      <c r="H841" t="s">
        <v>23</v>
      </c>
      <c r="I841" t="s">
        <v>54</v>
      </c>
      <c r="J841" t="s">
        <v>103</v>
      </c>
      <c r="K841" t="s">
        <v>26</v>
      </c>
      <c r="L841">
        <v>11979.2</v>
      </c>
      <c r="M841">
        <v>62</v>
      </c>
      <c r="N841" s="11" t="s">
        <v>86</v>
      </c>
      <c r="O841" s="11" t="s">
        <v>28</v>
      </c>
      <c r="P841" s="14">
        <v>46201.670138888891</v>
      </c>
      <c r="Q841" t="s">
        <v>2591</v>
      </c>
    </row>
    <row r="842" spans="1:17">
      <c r="A842" s="8" t="s">
        <v>2592</v>
      </c>
      <c r="B842" s="8">
        <v>70446666</v>
      </c>
      <c r="C842" t="s">
        <v>550</v>
      </c>
      <c r="D842" t="s">
        <v>511</v>
      </c>
      <c r="E842" t="s">
        <v>523</v>
      </c>
      <c r="F842" t="s">
        <v>92</v>
      </c>
      <c r="G842" t="s">
        <v>92</v>
      </c>
      <c r="H842" t="s">
        <v>55</v>
      </c>
      <c r="I842" t="s">
        <v>54</v>
      </c>
      <c r="J842" t="s">
        <v>25</v>
      </c>
      <c r="K842" t="s">
        <v>26</v>
      </c>
      <c r="L842">
        <v>4359.76</v>
      </c>
      <c r="M842">
        <v>19</v>
      </c>
      <c r="N842" s="10" t="s">
        <v>39</v>
      </c>
      <c r="O842" s="10" t="s">
        <v>28</v>
      </c>
      <c r="P842" s="13">
        <v>44445.31527777778</v>
      </c>
      <c r="Q842" t="s">
        <v>2593</v>
      </c>
    </row>
    <row r="843" spans="1:17">
      <c r="A843" s="8" t="s">
        <v>2594</v>
      </c>
      <c r="B843" s="8">
        <v>97262584</v>
      </c>
      <c r="C843" t="s">
        <v>2595</v>
      </c>
      <c r="D843" t="s">
        <v>2596</v>
      </c>
      <c r="E843" t="s">
        <v>523</v>
      </c>
      <c r="F843" t="s">
        <v>53</v>
      </c>
      <c r="G843" t="s">
        <v>21</v>
      </c>
      <c r="H843" t="s">
        <v>36</v>
      </c>
      <c r="I843" t="s">
        <v>93</v>
      </c>
      <c r="J843" t="s">
        <v>56</v>
      </c>
      <c r="K843" t="s">
        <v>69</v>
      </c>
      <c r="L843">
        <v>534.08000000000004</v>
      </c>
      <c r="M843">
        <v>44</v>
      </c>
      <c r="N843" s="11" t="s">
        <v>86</v>
      </c>
      <c r="O843" s="11" t="s">
        <v>81</v>
      </c>
      <c r="P843" s="14">
        <v>44159.745138888888</v>
      </c>
      <c r="Q843" t="s">
        <v>2597</v>
      </c>
    </row>
    <row r="844" spans="1:17">
      <c r="A844" s="8" t="s">
        <v>2598</v>
      </c>
      <c r="B844" s="8">
        <v>60104145</v>
      </c>
      <c r="C844" t="s">
        <v>2145</v>
      </c>
      <c r="D844" t="s">
        <v>2599</v>
      </c>
      <c r="E844" t="s">
        <v>523</v>
      </c>
      <c r="F844" t="s">
        <v>80</v>
      </c>
      <c r="G844" t="s">
        <v>21</v>
      </c>
      <c r="H844" t="s">
        <v>36</v>
      </c>
      <c r="I844" t="s">
        <v>24</v>
      </c>
      <c r="J844" t="s">
        <v>74</v>
      </c>
      <c r="K844" t="s">
        <v>63</v>
      </c>
      <c r="L844">
        <v>13086.71</v>
      </c>
      <c r="M844">
        <v>53</v>
      </c>
      <c r="N844" s="10" t="s">
        <v>57</v>
      </c>
      <c r="O844" s="10" t="s">
        <v>75</v>
      </c>
      <c r="P844" s="13">
        <v>45226.032638888886</v>
      </c>
      <c r="Q844" t="s">
        <v>2600</v>
      </c>
    </row>
    <row r="845" spans="1:17">
      <c r="A845" s="8" t="s">
        <v>2601</v>
      </c>
      <c r="B845" s="8">
        <v>87193004</v>
      </c>
      <c r="C845" t="s">
        <v>2602</v>
      </c>
      <c r="D845" t="s">
        <v>1346</v>
      </c>
      <c r="E845" t="s">
        <v>523</v>
      </c>
      <c r="F845" t="s">
        <v>22</v>
      </c>
      <c r="G845" t="s">
        <v>45</v>
      </c>
      <c r="H845" t="s">
        <v>55</v>
      </c>
      <c r="I845" t="s">
        <v>36</v>
      </c>
      <c r="J845" t="s">
        <v>38</v>
      </c>
      <c r="K845" t="s">
        <v>63</v>
      </c>
      <c r="L845">
        <v>11455.34</v>
      </c>
      <c r="M845">
        <v>53</v>
      </c>
      <c r="N845" s="11" t="s">
        <v>57</v>
      </c>
      <c r="O845" s="11" t="s">
        <v>81</v>
      </c>
      <c r="P845" s="14">
        <v>45314.251388888886</v>
      </c>
      <c r="Q845" t="s">
        <v>2603</v>
      </c>
    </row>
    <row r="846" spans="1:17">
      <c r="A846" s="8" t="s">
        <v>2604</v>
      </c>
      <c r="B846" s="8">
        <v>70891160</v>
      </c>
      <c r="C846" t="s">
        <v>1303</v>
      </c>
      <c r="D846" t="s">
        <v>745</v>
      </c>
      <c r="E846" t="s">
        <v>523</v>
      </c>
      <c r="F846" t="s">
        <v>121</v>
      </c>
      <c r="G846" t="s">
        <v>80</v>
      </c>
      <c r="H846" t="s">
        <v>36</v>
      </c>
      <c r="I846" t="s">
        <v>127</v>
      </c>
      <c r="J846" t="s">
        <v>25</v>
      </c>
      <c r="K846" t="s">
        <v>26</v>
      </c>
      <c r="L846">
        <v>12588.76</v>
      </c>
      <c r="M846">
        <v>43</v>
      </c>
      <c r="N846" s="10" t="s">
        <v>57</v>
      </c>
      <c r="O846" s="10" t="s">
        <v>28</v>
      </c>
      <c r="P846" s="13">
        <v>43963.918749999997</v>
      </c>
      <c r="Q846" t="s">
        <v>2605</v>
      </c>
    </row>
    <row r="847" spans="1:17">
      <c r="A847" s="8" t="s">
        <v>2606</v>
      </c>
      <c r="B847" s="8">
        <v>97496479</v>
      </c>
      <c r="C847" t="s">
        <v>1414</v>
      </c>
      <c r="D847" t="s">
        <v>18</v>
      </c>
      <c r="E847" t="s">
        <v>523</v>
      </c>
      <c r="F847" t="s">
        <v>121</v>
      </c>
      <c r="G847" t="s">
        <v>160</v>
      </c>
      <c r="H847" t="s">
        <v>24</v>
      </c>
      <c r="I847" t="s">
        <v>68</v>
      </c>
      <c r="J847" t="s">
        <v>25</v>
      </c>
      <c r="K847" t="s">
        <v>63</v>
      </c>
      <c r="L847">
        <v>196.72</v>
      </c>
      <c r="M847">
        <v>60</v>
      </c>
      <c r="N847" s="11" t="s">
        <v>86</v>
      </c>
      <c r="O847" s="11" t="s">
        <v>75</v>
      </c>
      <c r="P847" s="14">
        <v>44665.35833333333</v>
      </c>
      <c r="Q847" t="s">
        <v>2607</v>
      </c>
    </row>
    <row r="848" spans="1:17">
      <c r="A848" s="8" t="s">
        <v>2608</v>
      </c>
      <c r="B848" s="8">
        <v>32395401</v>
      </c>
      <c r="C848" t="s">
        <v>1309</v>
      </c>
      <c r="D848" t="s">
        <v>577</v>
      </c>
      <c r="E848" t="s">
        <v>523</v>
      </c>
      <c r="F848" t="s">
        <v>21</v>
      </c>
      <c r="G848" t="s">
        <v>121</v>
      </c>
      <c r="H848" t="s">
        <v>93</v>
      </c>
      <c r="I848" t="s">
        <v>93</v>
      </c>
      <c r="J848" t="s">
        <v>25</v>
      </c>
      <c r="K848" t="s">
        <v>69</v>
      </c>
      <c r="L848">
        <v>11371.85</v>
      </c>
      <c r="M848">
        <v>44</v>
      </c>
      <c r="N848" s="10" t="s">
        <v>86</v>
      </c>
      <c r="O848" s="10" t="s">
        <v>28</v>
      </c>
      <c r="P848" s="13">
        <v>43951.759722222225</v>
      </c>
      <c r="Q848" t="s">
        <v>2609</v>
      </c>
    </row>
    <row r="849" spans="1:17">
      <c r="A849" s="8" t="s">
        <v>2610</v>
      </c>
      <c r="B849" s="8">
        <v>42238832</v>
      </c>
      <c r="C849" t="s">
        <v>106</v>
      </c>
      <c r="D849" t="s">
        <v>278</v>
      </c>
      <c r="E849" t="s">
        <v>523</v>
      </c>
      <c r="F849" t="s">
        <v>44</v>
      </c>
      <c r="G849" t="s">
        <v>22</v>
      </c>
      <c r="H849" t="s">
        <v>127</v>
      </c>
      <c r="I849" t="s">
        <v>54</v>
      </c>
      <c r="J849" t="s">
        <v>38</v>
      </c>
      <c r="K849" t="s">
        <v>26</v>
      </c>
      <c r="L849">
        <v>432.14</v>
      </c>
      <c r="M849">
        <v>37</v>
      </c>
      <c r="N849" s="11" t="s">
        <v>27</v>
      </c>
      <c r="O849" s="11" t="s">
        <v>81</v>
      </c>
      <c r="P849" s="14">
        <v>45306.317361111112</v>
      </c>
      <c r="Q849" t="s">
        <v>2611</v>
      </c>
    </row>
    <row r="850" spans="1:17">
      <c r="A850" s="8" t="s">
        <v>2612</v>
      </c>
      <c r="B850" s="8">
        <v>76573189</v>
      </c>
      <c r="C850" t="s">
        <v>1010</v>
      </c>
      <c r="D850" t="s">
        <v>504</v>
      </c>
      <c r="E850" t="s">
        <v>523</v>
      </c>
      <c r="F850" t="s">
        <v>80</v>
      </c>
      <c r="G850" t="s">
        <v>53</v>
      </c>
      <c r="H850" t="s">
        <v>93</v>
      </c>
      <c r="I850" t="s">
        <v>54</v>
      </c>
      <c r="J850" t="s">
        <v>38</v>
      </c>
      <c r="K850" t="s">
        <v>63</v>
      </c>
      <c r="L850">
        <v>783.75</v>
      </c>
      <c r="M850">
        <v>28</v>
      </c>
      <c r="N850" s="10" t="s">
        <v>47</v>
      </c>
      <c r="O850" s="10" t="s">
        <v>75</v>
      </c>
      <c r="P850" s="13">
        <v>44795.720833333333</v>
      </c>
      <c r="Q850" t="s">
        <v>2613</v>
      </c>
    </row>
    <row r="851" spans="1:17">
      <c r="A851" s="8" t="s">
        <v>2614</v>
      </c>
      <c r="B851" s="8">
        <v>97617026</v>
      </c>
      <c r="C851" t="s">
        <v>286</v>
      </c>
      <c r="D851" t="s">
        <v>1088</v>
      </c>
      <c r="E851" t="s">
        <v>523</v>
      </c>
      <c r="F851" t="s">
        <v>80</v>
      </c>
      <c r="G851" t="s">
        <v>80</v>
      </c>
      <c r="H851" t="s">
        <v>36</v>
      </c>
      <c r="I851" t="s">
        <v>23</v>
      </c>
      <c r="J851" t="s">
        <v>74</v>
      </c>
      <c r="K851" t="s">
        <v>69</v>
      </c>
      <c r="L851">
        <v>8572.91</v>
      </c>
      <c r="M851">
        <v>55</v>
      </c>
      <c r="N851" s="11" t="s">
        <v>47</v>
      </c>
      <c r="O851" s="11" t="s">
        <v>81</v>
      </c>
      <c r="P851" s="14">
        <v>43959.990277777775</v>
      </c>
      <c r="Q851" t="s">
        <v>2615</v>
      </c>
    </row>
    <row r="852" spans="1:17">
      <c r="A852" s="8" t="s">
        <v>2616</v>
      </c>
      <c r="B852" s="8">
        <v>85576096</v>
      </c>
      <c r="C852" t="s">
        <v>1117</v>
      </c>
      <c r="D852" t="s">
        <v>227</v>
      </c>
      <c r="E852" t="s">
        <v>523</v>
      </c>
      <c r="F852" t="s">
        <v>44</v>
      </c>
      <c r="G852" t="s">
        <v>35</v>
      </c>
      <c r="H852" t="s">
        <v>24</v>
      </c>
      <c r="I852" t="s">
        <v>36</v>
      </c>
      <c r="J852" t="s">
        <v>74</v>
      </c>
      <c r="K852" t="s">
        <v>63</v>
      </c>
      <c r="L852">
        <v>12196.82</v>
      </c>
      <c r="M852">
        <v>23</v>
      </c>
      <c r="N852" s="10" t="s">
        <v>27</v>
      </c>
      <c r="O852" s="10" t="s">
        <v>28</v>
      </c>
      <c r="P852" s="13">
        <v>45429.256249999999</v>
      </c>
      <c r="Q852" t="s">
        <v>2617</v>
      </c>
    </row>
    <row r="853" spans="1:17">
      <c r="A853" s="8" t="s">
        <v>2618</v>
      </c>
      <c r="B853" s="8">
        <v>47490735</v>
      </c>
      <c r="C853" t="s">
        <v>1349</v>
      </c>
      <c r="D853" t="s">
        <v>2619</v>
      </c>
      <c r="E853" t="s">
        <v>523</v>
      </c>
      <c r="F853" t="s">
        <v>35</v>
      </c>
      <c r="G853" t="s">
        <v>116</v>
      </c>
      <c r="H853" t="s">
        <v>62</v>
      </c>
      <c r="I853" t="s">
        <v>36</v>
      </c>
      <c r="J853" t="s">
        <v>103</v>
      </c>
      <c r="K853" t="s">
        <v>69</v>
      </c>
      <c r="L853">
        <v>3680.73</v>
      </c>
      <c r="M853">
        <v>40</v>
      </c>
      <c r="N853" s="11" t="s">
        <v>86</v>
      </c>
      <c r="O853" s="11" t="s">
        <v>48</v>
      </c>
      <c r="P853" s="14">
        <v>45907.217361111114</v>
      </c>
      <c r="Q853" t="s">
        <v>2620</v>
      </c>
    </row>
    <row r="854" spans="1:17">
      <c r="A854" s="8" t="s">
        <v>2621</v>
      </c>
      <c r="B854" s="8">
        <v>29336846</v>
      </c>
      <c r="C854" t="s">
        <v>2622</v>
      </c>
      <c r="D854" t="s">
        <v>203</v>
      </c>
      <c r="E854" t="s">
        <v>523</v>
      </c>
      <c r="F854" t="s">
        <v>35</v>
      </c>
      <c r="G854" t="s">
        <v>21</v>
      </c>
      <c r="H854" t="s">
        <v>36</v>
      </c>
      <c r="I854" t="s">
        <v>23</v>
      </c>
      <c r="J854" t="s">
        <v>38</v>
      </c>
      <c r="K854" t="s">
        <v>26</v>
      </c>
      <c r="L854">
        <v>11969.57</v>
      </c>
      <c r="M854">
        <v>64</v>
      </c>
      <c r="N854" s="10" t="s">
        <v>39</v>
      </c>
      <c r="O854" s="10" t="s">
        <v>48</v>
      </c>
      <c r="P854" s="13">
        <v>45378.694444444445</v>
      </c>
      <c r="Q854" t="s">
        <v>2623</v>
      </c>
    </row>
    <row r="855" spans="1:17">
      <c r="A855" s="8" t="s">
        <v>2624</v>
      </c>
      <c r="B855" s="8">
        <v>73125920</v>
      </c>
      <c r="C855" t="s">
        <v>1200</v>
      </c>
      <c r="D855" t="s">
        <v>1079</v>
      </c>
      <c r="E855" t="s">
        <v>523</v>
      </c>
      <c r="F855" t="s">
        <v>53</v>
      </c>
      <c r="G855" t="s">
        <v>22</v>
      </c>
      <c r="H855" t="s">
        <v>23</v>
      </c>
      <c r="I855" t="s">
        <v>36</v>
      </c>
      <c r="J855" t="s">
        <v>38</v>
      </c>
      <c r="K855" t="s">
        <v>69</v>
      </c>
      <c r="L855">
        <v>8769.35</v>
      </c>
      <c r="M855">
        <v>63</v>
      </c>
      <c r="N855" s="11" t="s">
        <v>57</v>
      </c>
      <c r="O855" s="11" t="s">
        <v>28</v>
      </c>
      <c r="P855" s="14">
        <v>44163.770138888889</v>
      </c>
      <c r="Q855" t="s">
        <v>2625</v>
      </c>
    </row>
    <row r="856" spans="1:17">
      <c r="A856" s="8" t="s">
        <v>2626</v>
      </c>
      <c r="B856" s="8">
        <v>0</v>
      </c>
      <c r="C856" t="s">
        <v>536</v>
      </c>
      <c r="D856" t="s">
        <v>2085</v>
      </c>
      <c r="E856" t="s">
        <v>523</v>
      </c>
      <c r="F856" t="s">
        <v>22</v>
      </c>
      <c r="G856" t="s">
        <v>53</v>
      </c>
      <c r="H856" t="s">
        <v>24</v>
      </c>
      <c r="I856" t="s">
        <v>54</v>
      </c>
      <c r="J856" t="s">
        <v>38</v>
      </c>
      <c r="K856" t="s">
        <v>46</v>
      </c>
      <c r="L856">
        <v>6325.3</v>
      </c>
      <c r="M856">
        <v>29</v>
      </c>
      <c r="N856" s="10" t="s">
        <v>47</v>
      </c>
      <c r="O856" s="10" t="s">
        <v>81</v>
      </c>
      <c r="P856" s="13">
        <v>44984.20416666667</v>
      </c>
      <c r="Q856" t="s">
        <v>2627</v>
      </c>
    </row>
    <row r="857" spans="1:17">
      <c r="A857" s="8" t="s">
        <v>2628</v>
      </c>
      <c r="B857" s="8">
        <v>98227915</v>
      </c>
      <c r="C857" t="s">
        <v>2101</v>
      </c>
      <c r="D857" t="s">
        <v>2629</v>
      </c>
      <c r="E857" t="s">
        <v>523</v>
      </c>
      <c r="F857" t="s">
        <v>44</v>
      </c>
      <c r="G857" t="s">
        <v>53</v>
      </c>
      <c r="H857" t="s">
        <v>55</v>
      </c>
      <c r="I857" t="s">
        <v>37</v>
      </c>
      <c r="J857" t="s">
        <v>38</v>
      </c>
      <c r="K857" t="s">
        <v>46</v>
      </c>
      <c r="L857">
        <v>10894.23</v>
      </c>
      <c r="M857">
        <v>30</v>
      </c>
      <c r="N857" s="11" t="s">
        <v>27</v>
      </c>
      <c r="O857" s="11" t="s">
        <v>48</v>
      </c>
      <c r="P857" s="14">
        <v>45147.262499999997</v>
      </c>
      <c r="Q857" t="s">
        <v>2630</v>
      </c>
    </row>
    <row r="858" spans="1:17">
      <c r="A858" s="8" t="s">
        <v>2631</v>
      </c>
      <c r="B858" s="8">
        <v>68659357</v>
      </c>
      <c r="C858" t="s">
        <v>146</v>
      </c>
      <c r="D858" t="s">
        <v>647</v>
      </c>
      <c r="E858" t="s">
        <v>523</v>
      </c>
      <c r="F858" t="s">
        <v>121</v>
      </c>
      <c r="G858" t="s">
        <v>116</v>
      </c>
      <c r="H858" t="s">
        <v>24</v>
      </c>
      <c r="I858" t="s">
        <v>55</v>
      </c>
      <c r="J858" t="s">
        <v>38</v>
      </c>
      <c r="K858" t="s">
        <v>26</v>
      </c>
      <c r="L858">
        <v>998.11</v>
      </c>
      <c r="M858">
        <v>79</v>
      </c>
      <c r="N858" s="10" t="s">
        <v>47</v>
      </c>
      <c r="O858" s="10" t="s">
        <v>48</v>
      </c>
      <c r="P858" s="13">
        <v>45027.831250000003</v>
      </c>
      <c r="Q858" t="s">
        <v>2632</v>
      </c>
    </row>
    <row r="859" spans="1:17">
      <c r="A859" s="8" t="s">
        <v>2633</v>
      </c>
      <c r="B859" s="8">
        <v>18181846</v>
      </c>
      <c r="C859" t="s">
        <v>146</v>
      </c>
      <c r="D859" t="s">
        <v>2634</v>
      </c>
      <c r="E859" t="s">
        <v>523</v>
      </c>
      <c r="F859" t="s">
        <v>53</v>
      </c>
      <c r="G859" t="s">
        <v>22</v>
      </c>
      <c r="H859" t="s">
        <v>55</v>
      </c>
      <c r="I859" t="s">
        <v>54</v>
      </c>
      <c r="J859" t="s">
        <v>38</v>
      </c>
      <c r="K859" t="s">
        <v>63</v>
      </c>
      <c r="L859">
        <v>8580.34</v>
      </c>
      <c r="M859">
        <v>77</v>
      </c>
      <c r="N859" s="11" t="s">
        <v>27</v>
      </c>
      <c r="O859" s="11" t="s">
        <v>28</v>
      </c>
      <c r="P859" s="14">
        <v>45260.265972222223</v>
      </c>
      <c r="Q859" t="s">
        <v>2635</v>
      </c>
    </row>
    <row r="860" spans="1:17">
      <c r="A860" s="8" t="s">
        <v>2636</v>
      </c>
      <c r="B860" s="8">
        <v>94258614</v>
      </c>
      <c r="C860" t="s">
        <v>667</v>
      </c>
      <c r="D860" t="s">
        <v>2214</v>
      </c>
      <c r="E860" t="s">
        <v>523</v>
      </c>
      <c r="F860" t="s">
        <v>121</v>
      </c>
      <c r="G860" t="s">
        <v>44</v>
      </c>
      <c r="H860" t="s">
        <v>37</v>
      </c>
      <c r="I860" t="s">
        <v>93</v>
      </c>
      <c r="J860" t="s">
        <v>38</v>
      </c>
      <c r="K860" t="s">
        <v>46</v>
      </c>
      <c r="L860">
        <v>9270.4599999999991</v>
      </c>
      <c r="M860">
        <v>60</v>
      </c>
      <c r="N860" s="10" t="s">
        <v>39</v>
      </c>
      <c r="O860" s="10" t="s">
        <v>28</v>
      </c>
      <c r="P860" s="13">
        <v>44186.080555555556</v>
      </c>
      <c r="Q860" t="s">
        <v>2637</v>
      </c>
    </row>
    <row r="861" spans="1:17">
      <c r="A861" s="8" t="s">
        <v>2638</v>
      </c>
      <c r="B861" s="8">
        <v>44629948</v>
      </c>
      <c r="C861" t="s">
        <v>2639</v>
      </c>
      <c r="D861" t="s">
        <v>2640</v>
      </c>
      <c r="E861" t="s">
        <v>523</v>
      </c>
      <c r="F861" t="s">
        <v>116</v>
      </c>
      <c r="G861" t="s">
        <v>116</v>
      </c>
      <c r="H861" t="s">
        <v>127</v>
      </c>
      <c r="I861" t="s">
        <v>24</v>
      </c>
      <c r="J861" t="s">
        <v>74</v>
      </c>
      <c r="K861" t="s">
        <v>26</v>
      </c>
      <c r="L861">
        <v>1246.4000000000001</v>
      </c>
      <c r="M861">
        <v>85</v>
      </c>
      <c r="N861" s="11" t="s">
        <v>86</v>
      </c>
      <c r="O861" s="11" t="s">
        <v>28</v>
      </c>
      <c r="P861" s="14">
        <v>43969.949305555558</v>
      </c>
      <c r="Q861" t="s">
        <v>2641</v>
      </c>
    </row>
    <row r="862" spans="1:17">
      <c r="A862" s="8" t="s">
        <v>2642</v>
      </c>
      <c r="B862" s="8">
        <v>51479441</v>
      </c>
      <c r="C862" t="s">
        <v>2643</v>
      </c>
      <c r="D862" t="s">
        <v>1322</v>
      </c>
      <c r="E862" t="s">
        <v>523</v>
      </c>
      <c r="F862" t="s">
        <v>180</v>
      </c>
      <c r="G862" t="s">
        <v>80</v>
      </c>
      <c r="H862" t="s">
        <v>68</v>
      </c>
      <c r="I862" t="s">
        <v>23</v>
      </c>
      <c r="J862" t="s">
        <v>56</v>
      </c>
      <c r="K862" t="s">
        <v>69</v>
      </c>
      <c r="L862">
        <v>5632.18</v>
      </c>
      <c r="M862">
        <v>22</v>
      </c>
      <c r="N862" s="10" t="s">
        <v>27</v>
      </c>
      <c r="O862" s="10" t="s">
        <v>75</v>
      </c>
      <c r="P862" s="13">
        <v>45357.527083333334</v>
      </c>
      <c r="Q862" t="s">
        <v>2644</v>
      </c>
    </row>
    <row r="863" spans="1:17">
      <c r="A863" s="8" t="s">
        <v>2645</v>
      </c>
      <c r="B863" s="8">
        <v>0</v>
      </c>
      <c r="C863" t="s">
        <v>1710</v>
      </c>
      <c r="D863" t="s">
        <v>1652</v>
      </c>
      <c r="E863" t="s">
        <v>523</v>
      </c>
      <c r="F863" t="s">
        <v>21</v>
      </c>
      <c r="G863" t="s">
        <v>22</v>
      </c>
      <c r="H863" t="s">
        <v>24</v>
      </c>
      <c r="I863" t="s">
        <v>127</v>
      </c>
      <c r="J863" t="s">
        <v>74</v>
      </c>
      <c r="K863" t="s">
        <v>63</v>
      </c>
      <c r="L863">
        <v>6706.61</v>
      </c>
      <c r="M863">
        <v>54</v>
      </c>
      <c r="N863" s="11" t="s">
        <v>57</v>
      </c>
      <c r="O863" s="11" t="s">
        <v>28</v>
      </c>
      <c r="P863" s="14">
        <v>45028.234027777777</v>
      </c>
      <c r="Q863" t="s">
        <v>2646</v>
      </c>
    </row>
    <row r="864" spans="1:17">
      <c r="A864" s="8" t="s">
        <v>2647</v>
      </c>
      <c r="B864" s="8">
        <v>72756047</v>
      </c>
      <c r="C864" t="s">
        <v>1062</v>
      </c>
      <c r="D864" t="s">
        <v>2648</v>
      </c>
      <c r="E864" t="s">
        <v>523</v>
      </c>
      <c r="F864" t="s">
        <v>121</v>
      </c>
      <c r="G864" t="s">
        <v>92</v>
      </c>
      <c r="H864" t="s">
        <v>54</v>
      </c>
      <c r="I864" t="s">
        <v>68</v>
      </c>
      <c r="J864" t="s">
        <v>103</v>
      </c>
      <c r="K864" t="s">
        <v>69</v>
      </c>
      <c r="L864">
        <v>2400.46</v>
      </c>
      <c r="M864">
        <v>48</v>
      </c>
      <c r="N864" s="10" t="s">
        <v>86</v>
      </c>
      <c r="O864" s="10" t="s">
        <v>48</v>
      </c>
      <c r="P864" s="13">
        <v>43859.357638888891</v>
      </c>
      <c r="Q864" t="s">
        <v>2649</v>
      </c>
    </row>
    <row r="865" spans="1:17">
      <c r="A865" s="8" t="s">
        <v>2650</v>
      </c>
      <c r="B865" s="8">
        <v>85760648</v>
      </c>
      <c r="C865" t="s">
        <v>2421</v>
      </c>
      <c r="D865" t="s">
        <v>886</v>
      </c>
      <c r="E865" t="s">
        <v>523</v>
      </c>
      <c r="F865" t="s">
        <v>99</v>
      </c>
      <c r="G865" t="s">
        <v>80</v>
      </c>
      <c r="H865" t="s">
        <v>23</v>
      </c>
      <c r="I865" t="s">
        <v>127</v>
      </c>
      <c r="J865" t="s">
        <v>25</v>
      </c>
      <c r="K865" t="s">
        <v>69</v>
      </c>
      <c r="L865">
        <v>1925.52</v>
      </c>
      <c r="M865">
        <v>26</v>
      </c>
      <c r="N865" s="11" t="s">
        <v>47</v>
      </c>
      <c r="O865" s="11" t="s">
        <v>48</v>
      </c>
      <c r="P865" s="14">
        <v>44761.419444444444</v>
      </c>
      <c r="Q865" t="s">
        <v>2651</v>
      </c>
    </row>
    <row r="866" spans="1:17">
      <c r="A866" s="8" t="s">
        <v>2652</v>
      </c>
      <c r="B866" s="8">
        <v>94174205</v>
      </c>
      <c r="C866" t="s">
        <v>1200</v>
      </c>
      <c r="D866" t="s">
        <v>2653</v>
      </c>
      <c r="E866" t="s">
        <v>523</v>
      </c>
      <c r="F866" t="s">
        <v>45</v>
      </c>
      <c r="G866" t="s">
        <v>176</v>
      </c>
      <c r="H866" t="s">
        <v>36</v>
      </c>
      <c r="I866" t="s">
        <v>54</v>
      </c>
      <c r="J866" t="s">
        <v>103</v>
      </c>
      <c r="K866" t="s">
        <v>26</v>
      </c>
      <c r="L866">
        <v>14336.25</v>
      </c>
      <c r="M866">
        <v>68</v>
      </c>
      <c r="N866" s="10" t="s">
        <v>57</v>
      </c>
      <c r="O866" s="10" t="s">
        <v>75</v>
      </c>
      <c r="P866" s="13">
        <v>46374.70208333333</v>
      </c>
      <c r="Q866" t="s">
        <v>2654</v>
      </c>
    </row>
    <row r="867" spans="1:17">
      <c r="A867" s="8" t="s">
        <v>2655</v>
      </c>
      <c r="B867" s="8">
        <v>95095796</v>
      </c>
      <c r="C867" t="s">
        <v>334</v>
      </c>
      <c r="D867" t="s">
        <v>783</v>
      </c>
      <c r="E867" t="s">
        <v>523</v>
      </c>
      <c r="F867" t="s">
        <v>35</v>
      </c>
      <c r="G867" t="s">
        <v>34</v>
      </c>
      <c r="H867" t="s">
        <v>23</v>
      </c>
      <c r="I867" t="s">
        <v>93</v>
      </c>
      <c r="J867" t="s">
        <v>38</v>
      </c>
      <c r="K867" t="s">
        <v>69</v>
      </c>
      <c r="L867">
        <v>7382.35</v>
      </c>
      <c r="M867">
        <v>46</v>
      </c>
      <c r="N867" s="11" t="s">
        <v>47</v>
      </c>
      <c r="O867" s="11" t="s">
        <v>75</v>
      </c>
      <c r="P867" s="14">
        <v>44844.268055555556</v>
      </c>
      <c r="Q867" t="s">
        <v>2656</v>
      </c>
    </row>
    <row r="868" spans="1:17">
      <c r="A868" s="8" t="s">
        <v>2657</v>
      </c>
      <c r="B868" s="8">
        <v>23630720</v>
      </c>
      <c r="C868" t="s">
        <v>232</v>
      </c>
      <c r="D868" t="s">
        <v>667</v>
      </c>
      <c r="E868" t="s">
        <v>523</v>
      </c>
      <c r="F868" t="s">
        <v>21</v>
      </c>
      <c r="G868" t="s">
        <v>92</v>
      </c>
      <c r="H868" t="s">
        <v>93</v>
      </c>
      <c r="I868" t="s">
        <v>54</v>
      </c>
      <c r="J868" t="s">
        <v>103</v>
      </c>
      <c r="K868" t="s">
        <v>46</v>
      </c>
      <c r="L868">
        <v>11749.74</v>
      </c>
      <c r="M868">
        <v>57</v>
      </c>
      <c r="N868" s="10" t="s">
        <v>47</v>
      </c>
      <c r="O868" s="10" t="s">
        <v>48</v>
      </c>
      <c r="P868" s="13">
        <v>44658.62222222222</v>
      </c>
      <c r="Q868" t="s">
        <v>2658</v>
      </c>
    </row>
    <row r="869" spans="1:17">
      <c r="A869" s="8" t="s">
        <v>2659</v>
      </c>
      <c r="B869" s="8">
        <v>46180065</v>
      </c>
      <c r="C869" t="s">
        <v>2660</v>
      </c>
      <c r="D869" t="s">
        <v>2661</v>
      </c>
      <c r="E869" t="s">
        <v>523</v>
      </c>
      <c r="F869" t="s">
        <v>35</v>
      </c>
      <c r="G869" t="s">
        <v>45</v>
      </c>
      <c r="H869" t="s">
        <v>68</v>
      </c>
      <c r="I869" t="s">
        <v>24</v>
      </c>
      <c r="J869" t="s">
        <v>25</v>
      </c>
      <c r="K869" t="s">
        <v>63</v>
      </c>
      <c r="L869">
        <v>4556.59</v>
      </c>
      <c r="M869">
        <v>58</v>
      </c>
      <c r="N869" s="11" t="s">
        <v>27</v>
      </c>
      <c r="O869" s="11" t="s">
        <v>81</v>
      </c>
      <c r="P869" s="14">
        <v>44181.614583333336</v>
      </c>
      <c r="Q869" t="s">
        <v>2662</v>
      </c>
    </row>
    <row r="870" spans="1:17">
      <c r="A870" s="8" t="s">
        <v>2663</v>
      </c>
      <c r="B870" s="8">
        <v>60788484</v>
      </c>
      <c r="C870" t="s">
        <v>2664</v>
      </c>
      <c r="D870" t="s">
        <v>2665</v>
      </c>
      <c r="E870" t="s">
        <v>523</v>
      </c>
      <c r="F870" t="s">
        <v>45</v>
      </c>
      <c r="G870" t="s">
        <v>92</v>
      </c>
      <c r="H870" t="s">
        <v>93</v>
      </c>
      <c r="I870" t="s">
        <v>37</v>
      </c>
      <c r="J870" t="s">
        <v>74</v>
      </c>
      <c r="K870" t="s">
        <v>69</v>
      </c>
      <c r="L870">
        <v>14548.75</v>
      </c>
      <c r="M870">
        <v>28</v>
      </c>
      <c r="N870" s="10" t="s">
        <v>57</v>
      </c>
      <c r="O870" s="10" t="s">
        <v>75</v>
      </c>
      <c r="P870" s="13">
        <v>45855.506944444445</v>
      </c>
      <c r="Q870" t="s">
        <v>2666</v>
      </c>
    </row>
    <row r="871" spans="1:17">
      <c r="A871" s="8" t="s">
        <v>2667</v>
      </c>
      <c r="B871" s="8">
        <v>43430634</v>
      </c>
      <c r="C871" t="s">
        <v>637</v>
      </c>
      <c r="D871" t="s">
        <v>1327</v>
      </c>
      <c r="E871" t="s">
        <v>523</v>
      </c>
      <c r="F871" t="s">
        <v>121</v>
      </c>
      <c r="G871" t="s">
        <v>34</v>
      </c>
      <c r="H871" t="s">
        <v>37</v>
      </c>
      <c r="I871" t="s">
        <v>68</v>
      </c>
      <c r="J871" t="s">
        <v>38</v>
      </c>
      <c r="K871" t="s">
        <v>69</v>
      </c>
      <c r="L871">
        <v>7928.24</v>
      </c>
      <c r="M871">
        <v>40</v>
      </c>
      <c r="N871" s="11" t="s">
        <v>57</v>
      </c>
      <c r="O871" s="11" t="s">
        <v>81</v>
      </c>
      <c r="P871" s="14">
        <v>44129.517361111109</v>
      </c>
      <c r="Q871" t="s">
        <v>2668</v>
      </c>
    </row>
    <row r="872" spans="1:17">
      <c r="A872" s="8" t="s">
        <v>2669</v>
      </c>
      <c r="B872" s="8">
        <v>22228312</v>
      </c>
      <c r="C872" t="s">
        <v>1247</v>
      </c>
      <c r="D872" t="s">
        <v>1851</v>
      </c>
      <c r="E872" t="s">
        <v>523</v>
      </c>
      <c r="F872" t="s">
        <v>45</v>
      </c>
      <c r="G872" t="s">
        <v>22</v>
      </c>
      <c r="H872" t="s">
        <v>68</v>
      </c>
      <c r="I872" t="s">
        <v>24</v>
      </c>
      <c r="J872" t="s">
        <v>56</v>
      </c>
      <c r="K872" t="s">
        <v>69</v>
      </c>
      <c r="L872">
        <v>4671.22</v>
      </c>
      <c r="M872">
        <v>18</v>
      </c>
      <c r="N872" s="10" t="s">
        <v>27</v>
      </c>
      <c r="O872" s="10" t="s">
        <v>81</v>
      </c>
      <c r="P872" s="13">
        <v>45574.893750000003</v>
      </c>
      <c r="Q872" t="s">
        <v>2670</v>
      </c>
    </row>
    <row r="873" spans="1:17">
      <c r="A873" s="8" t="s">
        <v>2671</v>
      </c>
      <c r="B873" s="8">
        <v>31898382</v>
      </c>
      <c r="C873" t="s">
        <v>668</v>
      </c>
      <c r="D873" t="s">
        <v>787</v>
      </c>
      <c r="E873" t="s">
        <v>523</v>
      </c>
      <c r="F873" t="s">
        <v>98</v>
      </c>
      <c r="G873" t="s">
        <v>1084</v>
      </c>
      <c r="H873" t="s">
        <v>68</v>
      </c>
      <c r="I873" t="s">
        <v>23</v>
      </c>
      <c r="J873" t="s">
        <v>25</v>
      </c>
      <c r="K873" t="s">
        <v>26</v>
      </c>
      <c r="L873">
        <v>4474.2299999999996</v>
      </c>
      <c r="M873">
        <v>63</v>
      </c>
      <c r="N873" s="11" t="s">
        <v>39</v>
      </c>
      <c r="O873" s="11" t="s">
        <v>28</v>
      </c>
      <c r="P873" s="14">
        <v>45696.977777777778</v>
      </c>
      <c r="Q873" t="s">
        <v>2672</v>
      </c>
    </row>
    <row r="874" spans="1:17">
      <c r="A874" s="8" t="s">
        <v>2673</v>
      </c>
      <c r="B874" s="8">
        <v>24087799</v>
      </c>
      <c r="C874" t="s">
        <v>2674</v>
      </c>
      <c r="D874" t="s">
        <v>2675</v>
      </c>
      <c r="E874" t="s">
        <v>523</v>
      </c>
      <c r="F874" t="s">
        <v>21</v>
      </c>
      <c r="G874" t="s">
        <v>34</v>
      </c>
      <c r="H874" t="s">
        <v>93</v>
      </c>
      <c r="I874" t="s">
        <v>23</v>
      </c>
      <c r="J874" t="s">
        <v>25</v>
      </c>
      <c r="K874" t="s">
        <v>63</v>
      </c>
      <c r="L874">
        <v>9723.73</v>
      </c>
      <c r="M874">
        <v>38</v>
      </c>
      <c r="N874" s="10" t="s">
        <v>39</v>
      </c>
      <c r="O874" s="10" t="s">
        <v>75</v>
      </c>
      <c r="P874" s="13">
        <v>45046.361805555556</v>
      </c>
      <c r="Q874" t="s">
        <v>2676</v>
      </c>
    </row>
    <row r="875" spans="1:17">
      <c r="A875" s="8" t="s">
        <v>2677</v>
      </c>
      <c r="B875" s="8">
        <v>13037859</v>
      </c>
      <c r="C875" t="s">
        <v>2678</v>
      </c>
      <c r="D875" t="s">
        <v>2679</v>
      </c>
      <c r="E875" t="s">
        <v>523</v>
      </c>
      <c r="F875" t="s">
        <v>44</v>
      </c>
      <c r="G875" t="s">
        <v>98</v>
      </c>
      <c r="H875" t="s">
        <v>55</v>
      </c>
      <c r="I875" t="s">
        <v>54</v>
      </c>
      <c r="J875" t="s">
        <v>74</v>
      </c>
      <c r="K875" t="s">
        <v>26</v>
      </c>
      <c r="L875">
        <v>1688.15</v>
      </c>
      <c r="M875">
        <v>53</v>
      </c>
      <c r="N875" s="11" t="s">
        <v>39</v>
      </c>
      <c r="O875" s="11" t="s">
        <v>28</v>
      </c>
      <c r="P875" s="14">
        <v>45526.158333333333</v>
      </c>
      <c r="Q875" t="s">
        <v>2680</v>
      </c>
    </row>
    <row r="876" spans="1:17">
      <c r="A876" s="8" t="s">
        <v>2681</v>
      </c>
      <c r="B876" s="8">
        <v>0</v>
      </c>
      <c r="C876" t="s">
        <v>1741</v>
      </c>
      <c r="D876" t="s">
        <v>1575</v>
      </c>
      <c r="E876" t="s">
        <v>523</v>
      </c>
      <c r="F876" t="s">
        <v>53</v>
      </c>
      <c r="G876" t="s">
        <v>44</v>
      </c>
      <c r="H876" t="s">
        <v>93</v>
      </c>
      <c r="I876" t="s">
        <v>93</v>
      </c>
      <c r="J876" t="s">
        <v>56</v>
      </c>
      <c r="K876" t="s">
        <v>26</v>
      </c>
      <c r="L876">
        <v>8399.2800000000007</v>
      </c>
      <c r="M876">
        <v>71</v>
      </c>
      <c r="N876" s="10" t="s">
        <v>86</v>
      </c>
      <c r="O876" s="10" t="s">
        <v>28</v>
      </c>
      <c r="P876" s="13">
        <v>45942.579861111109</v>
      </c>
      <c r="Q876" t="s">
        <v>2682</v>
      </c>
    </row>
    <row r="877" spans="1:17">
      <c r="A877" s="8" t="s">
        <v>2683</v>
      </c>
      <c r="B877" s="8">
        <v>14224882</v>
      </c>
      <c r="C877" t="s">
        <v>758</v>
      </c>
      <c r="D877" t="s">
        <v>2684</v>
      </c>
      <c r="E877" t="s">
        <v>523</v>
      </c>
      <c r="F877" t="s">
        <v>53</v>
      </c>
      <c r="G877" t="s">
        <v>121</v>
      </c>
      <c r="H877" t="s">
        <v>23</v>
      </c>
      <c r="I877" t="s">
        <v>24</v>
      </c>
      <c r="J877" t="s">
        <v>25</v>
      </c>
      <c r="K877" t="s">
        <v>26</v>
      </c>
      <c r="L877">
        <v>8780.35</v>
      </c>
      <c r="M877">
        <v>74</v>
      </c>
      <c r="N877" s="11" t="s">
        <v>39</v>
      </c>
      <c r="O877" s="11" t="s">
        <v>81</v>
      </c>
      <c r="P877" s="14">
        <v>44585.737500000003</v>
      </c>
      <c r="Q877" t="s">
        <v>2685</v>
      </c>
    </row>
    <row r="878" spans="1:17">
      <c r="A878" s="8" t="s">
        <v>2686</v>
      </c>
      <c r="B878" s="8">
        <v>0</v>
      </c>
      <c r="C878" t="s">
        <v>652</v>
      </c>
      <c r="D878" t="s">
        <v>78</v>
      </c>
      <c r="E878" t="s">
        <v>523</v>
      </c>
      <c r="F878" t="s">
        <v>34</v>
      </c>
      <c r="G878" t="s">
        <v>22</v>
      </c>
      <c r="H878" t="s">
        <v>55</v>
      </c>
      <c r="I878" t="s">
        <v>62</v>
      </c>
      <c r="J878" t="s">
        <v>56</v>
      </c>
      <c r="K878" t="s">
        <v>69</v>
      </c>
      <c r="L878">
        <v>12353.54</v>
      </c>
      <c r="M878">
        <v>18</v>
      </c>
      <c r="N878" s="10" t="s">
        <v>39</v>
      </c>
      <c r="O878" s="10" t="s">
        <v>28</v>
      </c>
      <c r="P878" s="13">
        <v>44600.647222222222</v>
      </c>
      <c r="Q878" t="s">
        <v>2687</v>
      </c>
    </row>
    <row r="879" spans="1:17">
      <c r="A879" s="8" t="s">
        <v>2688</v>
      </c>
      <c r="B879" s="8">
        <v>44631884</v>
      </c>
      <c r="C879" t="s">
        <v>1479</v>
      </c>
      <c r="D879" t="s">
        <v>2689</v>
      </c>
      <c r="E879" t="s">
        <v>523</v>
      </c>
      <c r="F879" t="s">
        <v>22</v>
      </c>
      <c r="G879" t="s">
        <v>22</v>
      </c>
      <c r="H879" t="s">
        <v>23</v>
      </c>
      <c r="I879" t="s">
        <v>93</v>
      </c>
      <c r="J879" t="s">
        <v>38</v>
      </c>
      <c r="K879" t="s">
        <v>63</v>
      </c>
      <c r="L879">
        <v>998.72</v>
      </c>
      <c r="M879">
        <v>80</v>
      </c>
      <c r="N879" s="11" t="s">
        <v>86</v>
      </c>
      <c r="O879" s="11" t="s">
        <v>28</v>
      </c>
      <c r="P879" s="14">
        <v>45069.290972222225</v>
      </c>
      <c r="Q879" t="s">
        <v>2690</v>
      </c>
    </row>
    <row r="880" spans="1:17">
      <c r="A880" s="8" t="s">
        <v>2691</v>
      </c>
      <c r="B880" s="8">
        <v>23547132</v>
      </c>
      <c r="C880" t="s">
        <v>2692</v>
      </c>
      <c r="D880" t="s">
        <v>2693</v>
      </c>
      <c r="E880" t="s">
        <v>523</v>
      </c>
      <c r="F880" t="s">
        <v>34</v>
      </c>
      <c r="G880" t="s">
        <v>22</v>
      </c>
      <c r="H880" t="s">
        <v>37</v>
      </c>
      <c r="I880" t="s">
        <v>37</v>
      </c>
      <c r="J880" t="s">
        <v>38</v>
      </c>
      <c r="K880" t="s">
        <v>63</v>
      </c>
      <c r="L880">
        <v>12938.9</v>
      </c>
      <c r="M880">
        <v>71</v>
      </c>
      <c r="N880" s="10" t="s">
        <v>47</v>
      </c>
      <c r="O880" s="10" t="s">
        <v>75</v>
      </c>
      <c r="P880" s="13">
        <v>44664.380555555559</v>
      </c>
      <c r="Q880" t="s">
        <v>2694</v>
      </c>
    </row>
    <row r="881" spans="1:17">
      <c r="A881" s="8" t="s">
        <v>2695</v>
      </c>
      <c r="B881" s="8">
        <v>30866574</v>
      </c>
      <c r="C881" t="s">
        <v>2696</v>
      </c>
      <c r="D881" t="s">
        <v>120</v>
      </c>
      <c r="E881" t="s">
        <v>523</v>
      </c>
      <c r="F881" t="s">
        <v>92</v>
      </c>
      <c r="G881" t="s">
        <v>35</v>
      </c>
      <c r="H881" t="s">
        <v>36</v>
      </c>
      <c r="I881" t="s">
        <v>23</v>
      </c>
      <c r="J881" t="s">
        <v>25</v>
      </c>
      <c r="K881" t="s">
        <v>26</v>
      </c>
      <c r="L881">
        <v>8194.67</v>
      </c>
      <c r="M881">
        <v>72</v>
      </c>
      <c r="N881" s="11" t="s">
        <v>86</v>
      </c>
      <c r="O881" s="11" t="s">
        <v>81</v>
      </c>
      <c r="P881" s="14">
        <v>46044.120138888888</v>
      </c>
      <c r="Q881" t="s">
        <v>2697</v>
      </c>
    </row>
    <row r="882" spans="1:17">
      <c r="A882" s="8" t="s">
        <v>2698</v>
      </c>
      <c r="B882" s="8">
        <v>44842564</v>
      </c>
      <c r="C882" t="s">
        <v>2699</v>
      </c>
      <c r="D882" t="s">
        <v>211</v>
      </c>
      <c r="E882" t="s">
        <v>523</v>
      </c>
      <c r="F882" t="s">
        <v>45</v>
      </c>
      <c r="G882" t="s">
        <v>116</v>
      </c>
      <c r="H882" t="s">
        <v>62</v>
      </c>
      <c r="I882" t="s">
        <v>54</v>
      </c>
      <c r="J882" t="s">
        <v>38</v>
      </c>
      <c r="K882" t="s">
        <v>46</v>
      </c>
      <c r="L882">
        <v>12640.21</v>
      </c>
      <c r="M882">
        <v>57</v>
      </c>
      <c r="N882" s="10" t="s">
        <v>57</v>
      </c>
      <c r="O882" s="10" t="s">
        <v>75</v>
      </c>
      <c r="P882" s="13">
        <v>45737.925694444442</v>
      </c>
      <c r="Q882" t="s">
        <v>2700</v>
      </c>
    </row>
    <row r="883" spans="1:17">
      <c r="A883" s="8" t="s">
        <v>2701</v>
      </c>
      <c r="B883" s="8">
        <v>72256258</v>
      </c>
      <c r="C883" t="s">
        <v>1314</v>
      </c>
      <c r="D883" t="s">
        <v>2702</v>
      </c>
      <c r="E883" t="s">
        <v>523</v>
      </c>
      <c r="F883" t="s">
        <v>45</v>
      </c>
      <c r="G883" t="s">
        <v>44</v>
      </c>
      <c r="H883" t="s">
        <v>55</v>
      </c>
      <c r="I883" t="s">
        <v>36</v>
      </c>
      <c r="J883" t="s">
        <v>25</v>
      </c>
      <c r="K883" t="s">
        <v>26</v>
      </c>
      <c r="L883">
        <v>4777.57</v>
      </c>
      <c r="M883">
        <v>32</v>
      </c>
      <c r="N883" s="11" t="s">
        <v>47</v>
      </c>
      <c r="O883" s="11" t="s">
        <v>28</v>
      </c>
      <c r="P883" s="14">
        <v>45395.584027777775</v>
      </c>
      <c r="Q883" t="s">
        <v>2703</v>
      </c>
    </row>
    <row r="884" spans="1:17">
      <c r="A884" s="8" t="s">
        <v>2704</v>
      </c>
      <c r="B884" s="8">
        <v>16685457</v>
      </c>
      <c r="C884" t="s">
        <v>1265</v>
      </c>
      <c r="D884" t="s">
        <v>2371</v>
      </c>
      <c r="E884" t="s">
        <v>523</v>
      </c>
      <c r="F884" t="s">
        <v>92</v>
      </c>
      <c r="G884" t="s">
        <v>45</v>
      </c>
      <c r="H884" t="s">
        <v>37</v>
      </c>
      <c r="I884" t="s">
        <v>23</v>
      </c>
      <c r="J884" t="s">
        <v>103</v>
      </c>
      <c r="K884" t="s">
        <v>69</v>
      </c>
      <c r="L884">
        <v>6735.94</v>
      </c>
      <c r="M884">
        <v>38</v>
      </c>
      <c r="N884" s="10" t="s">
        <v>39</v>
      </c>
      <c r="O884" s="10" t="s">
        <v>75</v>
      </c>
      <c r="P884" s="13">
        <v>45049.967361111114</v>
      </c>
      <c r="Q884" t="s">
        <v>2705</v>
      </c>
    </row>
    <row r="885" spans="1:17">
      <c r="A885" s="8" t="s">
        <v>2706</v>
      </c>
      <c r="B885" s="8">
        <v>0</v>
      </c>
      <c r="C885" t="s">
        <v>1183</v>
      </c>
      <c r="D885" t="s">
        <v>2707</v>
      </c>
      <c r="E885" t="s">
        <v>523</v>
      </c>
      <c r="F885" t="s">
        <v>92</v>
      </c>
      <c r="G885" t="s">
        <v>44</v>
      </c>
      <c r="H885" t="s">
        <v>54</v>
      </c>
      <c r="I885" t="s">
        <v>68</v>
      </c>
      <c r="J885" t="s">
        <v>38</v>
      </c>
      <c r="K885" t="s">
        <v>63</v>
      </c>
      <c r="L885">
        <v>12540.07</v>
      </c>
      <c r="M885">
        <v>64</v>
      </c>
      <c r="N885" s="11" t="s">
        <v>27</v>
      </c>
      <c r="O885" s="11" t="s">
        <v>28</v>
      </c>
      <c r="P885" s="14">
        <v>44336.629166666666</v>
      </c>
      <c r="Q885" t="s">
        <v>2708</v>
      </c>
    </row>
    <row r="886" spans="1:17">
      <c r="A886" s="8" t="s">
        <v>2709</v>
      </c>
      <c r="B886" s="8">
        <v>33671297</v>
      </c>
      <c r="C886" t="s">
        <v>668</v>
      </c>
      <c r="D886" t="s">
        <v>243</v>
      </c>
      <c r="E886" t="s">
        <v>523</v>
      </c>
      <c r="F886" t="s">
        <v>126</v>
      </c>
      <c r="G886" t="s">
        <v>53</v>
      </c>
      <c r="H886" t="s">
        <v>37</v>
      </c>
      <c r="I886" t="s">
        <v>55</v>
      </c>
      <c r="J886" t="s">
        <v>74</v>
      </c>
      <c r="K886" t="s">
        <v>26</v>
      </c>
      <c r="L886">
        <v>3008.22</v>
      </c>
      <c r="M886">
        <v>70</v>
      </c>
      <c r="N886" s="10" t="s">
        <v>39</v>
      </c>
      <c r="O886" s="10" t="s">
        <v>28</v>
      </c>
      <c r="P886" s="13">
        <v>45188.15902777778</v>
      </c>
      <c r="Q886" t="s">
        <v>2710</v>
      </c>
    </row>
    <row r="887" spans="1:17">
      <c r="A887" s="8" t="s">
        <v>2711</v>
      </c>
      <c r="B887" s="8">
        <v>65229774</v>
      </c>
      <c r="C887" t="s">
        <v>281</v>
      </c>
      <c r="D887" t="s">
        <v>1461</v>
      </c>
      <c r="E887" t="s">
        <v>523</v>
      </c>
      <c r="F887" t="s">
        <v>44</v>
      </c>
      <c r="G887" t="s">
        <v>44</v>
      </c>
      <c r="H887" t="s">
        <v>93</v>
      </c>
      <c r="I887" t="s">
        <v>36</v>
      </c>
      <c r="J887" t="s">
        <v>25</v>
      </c>
      <c r="K887" t="s">
        <v>26</v>
      </c>
      <c r="L887">
        <v>12469.29</v>
      </c>
      <c r="M887">
        <v>26</v>
      </c>
      <c r="N887" s="11" t="s">
        <v>27</v>
      </c>
      <c r="O887" s="11" t="s">
        <v>75</v>
      </c>
      <c r="P887" s="14">
        <v>45291.976388888892</v>
      </c>
      <c r="Q887" t="s">
        <v>2712</v>
      </c>
    </row>
    <row r="888" spans="1:17">
      <c r="A888" s="8" t="s">
        <v>2713</v>
      </c>
      <c r="B888" s="8">
        <v>33630872</v>
      </c>
      <c r="C888" t="s">
        <v>2024</v>
      </c>
      <c r="D888" t="s">
        <v>656</v>
      </c>
      <c r="E888" t="s">
        <v>523</v>
      </c>
      <c r="F888" t="s">
        <v>35</v>
      </c>
      <c r="G888" t="s">
        <v>44</v>
      </c>
      <c r="H888" t="s">
        <v>93</v>
      </c>
      <c r="I888" t="s">
        <v>54</v>
      </c>
      <c r="J888" t="s">
        <v>25</v>
      </c>
      <c r="K888" t="s">
        <v>26</v>
      </c>
      <c r="L888">
        <v>2474.08</v>
      </c>
      <c r="M888">
        <v>69</v>
      </c>
      <c r="N888" s="10" t="s">
        <v>57</v>
      </c>
      <c r="O888" s="10" t="s">
        <v>48</v>
      </c>
      <c r="P888" s="13">
        <v>45247.192361111112</v>
      </c>
      <c r="Q888" t="s">
        <v>2714</v>
      </c>
    </row>
    <row r="889" spans="1:17">
      <c r="A889" s="8" t="s">
        <v>2715</v>
      </c>
      <c r="B889" s="8">
        <v>67019882</v>
      </c>
      <c r="C889" t="s">
        <v>1549</v>
      </c>
      <c r="D889" t="s">
        <v>1179</v>
      </c>
      <c r="E889" t="s">
        <v>523</v>
      </c>
      <c r="F889" t="s">
        <v>91</v>
      </c>
      <c r="G889" t="s">
        <v>21</v>
      </c>
      <c r="H889" t="s">
        <v>62</v>
      </c>
      <c r="I889" t="s">
        <v>62</v>
      </c>
      <c r="J889" t="s">
        <v>38</v>
      </c>
      <c r="K889" t="s">
        <v>69</v>
      </c>
      <c r="L889">
        <v>1443.87</v>
      </c>
      <c r="M889">
        <v>74</v>
      </c>
      <c r="N889" s="11" t="s">
        <v>57</v>
      </c>
      <c r="O889" s="11" t="s">
        <v>48</v>
      </c>
      <c r="P889" s="14">
        <v>45003.259722222225</v>
      </c>
      <c r="Q889" t="s">
        <v>2716</v>
      </c>
    </row>
    <row r="890" spans="1:17">
      <c r="A890" s="8" t="s">
        <v>2717</v>
      </c>
      <c r="B890" s="8">
        <v>12593999</v>
      </c>
      <c r="C890" t="s">
        <v>2718</v>
      </c>
      <c r="D890" t="s">
        <v>2719</v>
      </c>
      <c r="E890" t="s">
        <v>523</v>
      </c>
      <c r="F890" t="s">
        <v>121</v>
      </c>
      <c r="G890" t="s">
        <v>44</v>
      </c>
      <c r="H890" t="s">
        <v>37</v>
      </c>
      <c r="I890" t="s">
        <v>36</v>
      </c>
      <c r="J890" t="s">
        <v>38</v>
      </c>
      <c r="K890" t="s">
        <v>26</v>
      </c>
      <c r="L890">
        <v>3138.09</v>
      </c>
      <c r="M890">
        <v>43</v>
      </c>
      <c r="N890" s="10" t="s">
        <v>39</v>
      </c>
      <c r="O890" s="10" t="s">
        <v>81</v>
      </c>
      <c r="P890" s="13">
        <v>44591.038194444445</v>
      </c>
      <c r="Q890" t="s">
        <v>2720</v>
      </c>
    </row>
    <row r="891" spans="1:17">
      <c r="A891" s="8" t="s">
        <v>2721</v>
      </c>
      <c r="B891" s="8">
        <v>69539153</v>
      </c>
      <c r="C891" t="s">
        <v>521</v>
      </c>
      <c r="D891" t="s">
        <v>1300</v>
      </c>
      <c r="E891" t="s">
        <v>523</v>
      </c>
      <c r="F891" t="s">
        <v>126</v>
      </c>
      <c r="G891" t="s">
        <v>116</v>
      </c>
      <c r="H891" t="s">
        <v>127</v>
      </c>
      <c r="I891" t="s">
        <v>68</v>
      </c>
      <c r="J891" t="s">
        <v>103</v>
      </c>
      <c r="K891" t="s">
        <v>63</v>
      </c>
      <c r="L891">
        <v>10930.63</v>
      </c>
      <c r="M891">
        <v>58</v>
      </c>
      <c r="N891" s="11" t="s">
        <v>27</v>
      </c>
      <c r="O891" s="11" t="s">
        <v>75</v>
      </c>
      <c r="P891" s="14">
        <v>44663.144444444442</v>
      </c>
      <c r="Q891" t="s">
        <v>2722</v>
      </c>
    </row>
    <row r="892" spans="1:17">
      <c r="A892" s="8" t="s">
        <v>2723</v>
      </c>
      <c r="B892" s="8">
        <v>82600803</v>
      </c>
      <c r="C892" t="s">
        <v>1875</v>
      </c>
      <c r="D892" t="s">
        <v>2224</v>
      </c>
      <c r="E892" t="s">
        <v>523</v>
      </c>
      <c r="F892" t="s">
        <v>92</v>
      </c>
      <c r="G892" t="s">
        <v>121</v>
      </c>
      <c r="H892" t="s">
        <v>36</v>
      </c>
      <c r="I892" t="s">
        <v>93</v>
      </c>
      <c r="J892" t="s">
        <v>74</v>
      </c>
      <c r="K892" t="s">
        <v>26</v>
      </c>
      <c r="L892">
        <v>10780.71</v>
      </c>
      <c r="M892">
        <v>52</v>
      </c>
      <c r="N892" s="10" t="s">
        <v>39</v>
      </c>
      <c r="O892" s="10" t="s">
        <v>81</v>
      </c>
      <c r="P892" s="13">
        <v>45259.029166666667</v>
      </c>
      <c r="Q892" t="s">
        <v>2724</v>
      </c>
    </row>
    <row r="893" spans="1:17">
      <c r="A893" s="8" t="s">
        <v>2725</v>
      </c>
      <c r="B893" s="8">
        <v>94101071</v>
      </c>
      <c r="C893" t="s">
        <v>701</v>
      </c>
      <c r="D893" t="s">
        <v>1917</v>
      </c>
      <c r="E893" t="s">
        <v>523</v>
      </c>
      <c r="F893" t="s">
        <v>98</v>
      </c>
      <c r="G893" t="s">
        <v>98</v>
      </c>
      <c r="H893" t="s">
        <v>93</v>
      </c>
      <c r="I893" t="s">
        <v>62</v>
      </c>
      <c r="J893" t="s">
        <v>56</v>
      </c>
      <c r="K893" t="s">
        <v>69</v>
      </c>
      <c r="L893">
        <v>2553</v>
      </c>
      <c r="M893">
        <v>80</v>
      </c>
      <c r="N893" s="11" t="s">
        <v>27</v>
      </c>
      <c r="O893" s="11" t="s">
        <v>28</v>
      </c>
      <c r="P893" s="14">
        <v>44113.739583333336</v>
      </c>
      <c r="Q893" t="s">
        <v>2726</v>
      </c>
    </row>
    <row r="894" spans="1:17">
      <c r="A894" s="8" t="s">
        <v>2727</v>
      </c>
      <c r="B894" s="8">
        <v>50170436</v>
      </c>
      <c r="C894" t="s">
        <v>2728</v>
      </c>
      <c r="D894" t="s">
        <v>741</v>
      </c>
      <c r="E894" t="s">
        <v>523</v>
      </c>
      <c r="F894" t="s">
        <v>53</v>
      </c>
      <c r="G894" t="s">
        <v>98</v>
      </c>
      <c r="H894" t="s">
        <v>62</v>
      </c>
      <c r="I894" t="s">
        <v>23</v>
      </c>
      <c r="J894" t="s">
        <v>74</v>
      </c>
      <c r="K894" t="s">
        <v>26</v>
      </c>
      <c r="L894">
        <v>3102.29</v>
      </c>
      <c r="M894">
        <v>42</v>
      </c>
      <c r="N894" s="10" t="s">
        <v>86</v>
      </c>
      <c r="O894" s="10" t="s">
        <v>48</v>
      </c>
      <c r="P894" s="13">
        <v>44209.881944444445</v>
      </c>
      <c r="Q894" t="s">
        <v>2729</v>
      </c>
    </row>
    <row r="895" spans="1:17">
      <c r="A895" s="8" t="s">
        <v>2730</v>
      </c>
      <c r="B895" s="8">
        <v>25236678</v>
      </c>
      <c r="C895" t="s">
        <v>1469</v>
      </c>
      <c r="D895" t="s">
        <v>802</v>
      </c>
      <c r="E895" t="s">
        <v>523</v>
      </c>
      <c r="F895" t="s">
        <v>53</v>
      </c>
      <c r="G895" t="s">
        <v>523</v>
      </c>
      <c r="H895" t="s">
        <v>36</v>
      </c>
      <c r="I895" t="s">
        <v>62</v>
      </c>
      <c r="J895" t="s">
        <v>38</v>
      </c>
      <c r="K895" t="s">
        <v>63</v>
      </c>
      <c r="L895">
        <v>4279.71</v>
      </c>
      <c r="M895">
        <v>55</v>
      </c>
      <c r="N895" s="11" t="s">
        <v>47</v>
      </c>
      <c r="O895" s="11" t="s">
        <v>48</v>
      </c>
      <c r="P895" s="14">
        <v>44028.415277777778</v>
      </c>
      <c r="Q895" t="s">
        <v>2731</v>
      </c>
    </row>
    <row r="896" spans="1:17">
      <c r="A896" s="8" t="s">
        <v>2732</v>
      </c>
      <c r="B896" s="8">
        <v>82129095</v>
      </c>
      <c r="C896" t="s">
        <v>1350</v>
      </c>
      <c r="D896" t="s">
        <v>868</v>
      </c>
      <c r="E896" t="s">
        <v>523</v>
      </c>
      <c r="F896" t="s">
        <v>45</v>
      </c>
      <c r="G896" t="s">
        <v>121</v>
      </c>
      <c r="H896" t="s">
        <v>37</v>
      </c>
      <c r="I896" t="s">
        <v>24</v>
      </c>
      <c r="J896" t="s">
        <v>38</v>
      </c>
      <c r="K896" t="s">
        <v>69</v>
      </c>
      <c r="L896">
        <v>6670.52</v>
      </c>
      <c r="M896">
        <v>19</v>
      </c>
      <c r="N896" s="10" t="s">
        <v>57</v>
      </c>
      <c r="O896" s="10" t="s">
        <v>81</v>
      </c>
      <c r="P896" s="13">
        <v>44386.690972222219</v>
      </c>
      <c r="Q896" t="s">
        <v>2733</v>
      </c>
    </row>
    <row r="897" spans="1:17">
      <c r="A897" s="8" t="s">
        <v>2734</v>
      </c>
      <c r="B897" s="8">
        <v>74575117</v>
      </c>
      <c r="C897" t="s">
        <v>2488</v>
      </c>
      <c r="D897" t="s">
        <v>701</v>
      </c>
      <c r="E897" t="s">
        <v>523</v>
      </c>
      <c r="F897" t="s">
        <v>35</v>
      </c>
      <c r="G897" t="s">
        <v>80</v>
      </c>
      <c r="H897" t="s">
        <v>37</v>
      </c>
      <c r="I897" t="s">
        <v>68</v>
      </c>
      <c r="J897" t="s">
        <v>56</v>
      </c>
      <c r="K897" t="s">
        <v>69</v>
      </c>
      <c r="L897">
        <v>9335.7900000000009</v>
      </c>
      <c r="M897">
        <v>24</v>
      </c>
      <c r="N897" s="11" t="s">
        <v>86</v>
      </c>
      <c r="O897" s="11" t="s">
        <v>48</v>
      </c>
      <c r="P897" s="14">
        <v>44186.990277777775</v>
      </c>
      <c r="Q897" t="s">
        <v>2735</v>
      </c>
    </row>
    <row r="898" spans="1:17">
      <c r="A898" s="8" t="s">
        <v>2736</v>
      </c>
      <c r="B898" s="8">
        <v>46784982</v>
      </c>
      <c r="C898" t="s">
        <v>1001</v>
      </c>
      <c r="D898" t="s">
        <v>256</v>
      </c>
      <c r="E898" t="s">
        <v>523</v>
      </c>
      <c r="F898" t="s">
        <v>45</v>
      </c>
      <c r="G898" t="s">
        <v>92</v>
      </c>
      <c r="H898" t="s">
        <v>68</v>
      </c>
      <c r="I898" t="s">
        <v>36</v>
      </c>
      <c r="J898" t="s">
        <v>56</v>
      </c>
      <c r="K898" t="s">
        <v>69</v>
      </c>
      <c r="L898">
        <v>6734.05</v>
      </c>
      <c r="M898">
        <v>51</v>
      </c>
      <c r="N898" s="10" t="s">
        <v>47</v>
      </c>
      <c r="O898" s="10" t="s">
        <v>28</v>
      </c>
      <c r="P898" s="13">
        <v>45394.638888888891</v>
      </c>
      <c r="Q898" t="s">
        <v>2737</v>
      </c>
    </row>
    <row r="899" spans="1:17">
      <c r="A899" s="8" t="s">
        <v>2738</v>
      </c>
      <c r="B899" s="8">
        <v>35642547</v>
      </c>
      <c r="C899" t="s">
        <v>1021</v>
      </c>
      <c r="D899" t="s">
        <v>569</v>
      </c>
      <c r="E899" t="s">
        <v>523</v>
      </c>
      <c r="F899" t="s">
        <v>121</v>
      </c>
      <c r="G899" t="s">
        <v>34</v>
      </c>
      <c r="H899" t="s">
        <v>62</v>
      </c>
      <c r="I899" t="s">
        <v>24</v>
      </c>
      <c r="J899" t="s">
        <v>38</v>
      </c>
      <c r="K899" t="s">
        <v>46</v>
      </c>
      <c r="L899">
        <v>1584.96</v>
      </c>
      <c r="M899">
        <v>34</v>
      </c>
      <c r="N899" s="11" t="s">
        <v>47</v>
      </c>
      <c r="O899" s="11" t="s">
        <v>28</v>
      </c>
      <c r="P899" s="14">
        <v>44871.505555555559</v>
      </c>
      <c r="Q899" t="s">
        <v>2739</v>
      </c>
    </row>
    <row r="900" spans="1:17">
      <c r="A900" s="8" t="s">
        <v>2740</v>
      </c>
      <c r="B900" s="8">
        <v>43732173</v>
      </c>
      <c r="C900" t="s">
        <v>1230</v>
      </c>
      <c r="D900" t="s">
        <v>212</v>
      </c>
      <c r="E900" t="s">
        <v>523</v>
      </c>
      <c r="F900" t="s">
        <v>121</v>
      </c>
      <c r="G900" t="s">
        <v>22</v>
      </c>
      <c r="H900" t="s">
        <v>93</v>
      </c>
      <c r="I900" t="s">
        <v>62</v>
      </c>
      <c r="J900" t="s">
        <v>25</v>
      </c>
      <c r="K900" t="s">
        <v>63</v>
      </c>
      <c r="L900">
        <v>2713.19</v>
      </c>
      <c r="M900">
        <v>60</v>
      </c>
      <c r="N900" s="10" t="s">
        <v>86</v>
      </c>
      <c r="O900" s="10" t="s">
        <v>75</v>
      </c>
      <c r="P900" s="13">
        <v>44209.423611111109</v>
      </c>
      <c r="Q900" t="s">
        <v>2741</v>
      </c>
    </row>
    <row r="901" spans="1:17">
      <c r="A901" s="8" t="s">
        <v>2742</v>
      </c>
      <c r="B901" s="8">
        <v>32837888</v>
      </c>
      <c r="C901" t="s">
        <v>1587</v>
      </c>
      <c r="D901" t="s">
        <v>2137</v>
      </c>
      <c r="E901" t="s">
        <v>523</v>
      </c>
      <c r="F901" t="s">
        <v>34</v>
      </c>
      <c r="G901" t="s">
        <v>116</v>
      </c>
      <c r="H901" t="s">
        <v>127</v>
      </c>
      <c r="I901" t="s">
        <v>24</v>
      </c>
      <c r="J901" t="s">
        <v>56</v>
      </c>
      <c r="K901" t="s">
        <v>69</v>
      </c>
      <c r="L901">
        <v>869.38</v>
      </c>
      <c r="M901">
        <v>76</v>
      </c>
      <c r="N901" s="11" t="s">
        <v>27</v>
      </c>
      <c r="O901" s="11" t="s">
        <v>75</v>
      </c>
      <c r="P901" s="14">
        <v>44510.208333333336</v>
      </c>
      <c r="Q901" t="s">
        <v>2743</v>
      </c>
    </row>
    <row r="902" spans="1:17">
      <c r="A902" s="8" t="s">
        <v>2744</v>
      </c>
      <c r="B902" s="8">
        <v>74132712</v>
      </c>
      <c r="C902" t="s">
        <v>2699</v>
      </c>
      <c r="D902" t="s">
        <v>2032</v>
      </c>
      <c r="E902" t="s">
        <v>523</v>
      </c>
      <c r="F902" t="s">
        <v>98</v>
      </c>
      <c r="G902" t="s">
        <v>53</v>
      </c>
      <c r="H902" t="s">
        <v>37</v>
      </c>
      <c r="I902" t="s">
        <v>127</v>
      </c>
      <c r="J902" t="s">
        <v>74</v>
      </c>
      <c r="K902" t="s">
        <v>46</v>
      </c>
      <c r="L902">
        <v>13124.69</v>
      </c>
      <c r="M902">
        <v>68</v>
      </c>
      <c r="N902" s="10" t="s">
        <v>57</v>
      </c>
      <c r="O902" s="10" t="s">
        <v>28</v>
      </c>
      <c r="P902" s="13">
        <v>46384.878472222219</v>
      </c>
      <c r="Q902" t="s">
        <v>2745</v>
      </c>
    </row>
    <row r="903" spans="1:17">
      <c r="A903" s="8" t="s">
        <v>2746</v>
      </c>
      <c r="B903" s="8">
        <v>99078726</v>
      </c>
      <c r="C903" t="s">
        <v>477</v>
      </c>
      <c r="D903" t="s">
        <v>1409</v>
      </c>
      <c r="E903" t="s">
        <v>523</v>
      </c>
      <c r="F903" t="s">
        <v>53</v>
      </c>
      <c r="G903" t="s">
        <v>44</v>
      </c>
      <c r="H903" t="s">
        <v>127</v>
      </c>
      <c r="I903" t="s">
        <v>68</v>
      </c>
      <c r="J903" t="s">
        <v>25</v>
      </c>
      <c r="K903" t="s">
        <v>69</v>
      </c>
      <c r="L903">
        <v>12767.71</v>
      </c>
      <c r="M903">
        <v>71</v>
      </c>
      <c r="N903" s="11" t="s">
        <v>47</v>
      </c>
      <c r="O903" s="11" t="s">
        <v>48</v>
      </c>
      <c r="P903" s="14">
        <v>45610.51458333333</v>
      </c>
      <c r="Q903" t="s">
        <v>2747</v>
      </c>
    </row>
    <row r="904" spans="1:17">
      <c r="A904" s="8" t="s">
        <v>2748</v>
      </c>
      <c r="B904" s="8">
        <v>0</v>
      </c>
      <c r="C904" t="s">
        <v>1247</v>
      </c>
      <c r="D904" t="s">
        <v>2749</v>
      </c>
      <c r="E904" t="s">
        <v>523</v>
      </c>
      <c r="F904" t="s">
        <v>160</v>
      </c>
      <c r="G904" t="s">
        <v>92</v>
      </c>
      <c r="H904" t="s">
        <v>37</v>
      </c>
      <c r="I904" t="s">
        <v>37</v>
      </c>
      <c r="J904" t="s">
        <v>38</v>
      </c>
      <c r="K904" t="s">
        <v>69</v>
      </c>
      <c r="L904">
        <v>6460.33</v>
      </c>
      <c r="M904">
        <v>41</v>
      </c>
      <c r="N904" s="10" t="s">
        <v>47</v>
      </c>
      <c r="O904" s="10" t="s">
        <v>28</v>
      </c>
      <c r="P904" s="13">
        <v>44729.979166666664</v>
      </c>
      <c r="Q904" t="s">
        <v>2750</v>
      </c>
    </row>
    <row r="905" spans="1:17">
      <c r="A905" s="8" t="s">
        <v>2751</v>
      </c>
      <c r="B905" s="8">
        <v>0</v>
      </c>
      <c r="C905" t="s">
        <v>1659</v>
      </c>
      <c r="D905" t="s">
        <v>2752</v>
      </c>
      <c r="E905" t="s">
        <v>523</v>
      </c>
      <c r="F905" t="s">
        <v>21</v>
      </c>
      <c r="G905" t="s">
        <v>21</v>
      </c>
      <c r="H905" t="s">
        <v>93</v>
      </c>
      <c r="I905" t="s">
        <v>93</v>
      </c>
      <c r="J905" t="s">
        <v>25</v>
      </c>
      <c r="K905" t="s">
        <v>46</v>
      </c>
      <c r="L905">
        <v>711.19</v>
      </c>
      <c r="M905">
        <v>42</v>
      </c>
      <c r="N905" s="11" t="s">
        <v>86</v>
      </c>
      <c r="O905" s="11" t="s">
        <v>48</v>
      </c>
      <c r="P905" s="14">
        <v>43906.9</v>
      </c>
      <c r="Q905" t="s">
        <v>2753</v>
      </c>
    </row>
    <row r="906" spans="1:17">
      <c r="A906" s="8" t="s">
        <v>2754</v>
      </c>
      <c r="B906" s="8">
        <v>17367600</v>
      </c>
      <c r="C906" t="s">
        <v>1815</v>
      </c>
      <c r="D906" t="s">
        <v>1230</v>
      </c>
      <c r="E906" t="s">
        <v>523</v>
      </c>
      <c r="F906" t="s">
        <v>121</v>
      </c>
      <c r="G906" t="s">
        <v>392</v>
      </c>
      <c r="H906" t="s">
        <v>36</v>
      </c>
      <c r="I906" t="s">
        <v>62</v>
      </c>
      <c r="J906" t="s">
        <v>74</v>
      </c>
      <c r="K906" t="s">
        <v>26</v>
      </c>
      <c r="L906">
        <v>4077.94</v>
      </c>
      <c r="M906">
        <v>69</v>
      </c>
      <c r="N906" s="10" t="s">
        <v>86</v>
      </c>
      <c r="O906" s="10" t="s">
        <v>81</v>
      </c>
      <c r="P906" s="13">
        <v>44061.601388888892</v>
      </c>
      <c r="Q906" t="s">
        <v>2755</v>
      </c>
    </row>
    <row r="907" spans="1:17">
      <c r="A907" s="8" t="s">
        <v>2756</v>
      </c>
      <c r="B907" s="8">
        <v>11668434</v>
      </c>
      <c r="C907" t="s">
        <v>2357</v>
      </c>
      <c r="D907" t="s">
        <v>1995</v>
      </c>
      <c r="E907" t="s">
        <v>523</v>
      </c>
      <c r="F907" t="s">
        <v>22</v>
      </c>
      <c r="G907" t="s">
        <v>35</v>
      </c>
      <c r="H907" t="s">
        <v>24</v>
      </c>
      <c r="I907" t="s">
        <v>68</v>
      </c>
      <c r="J907" t="s">
        <v>103</v>
      </c>
      <c r="K907" t="s">
        <v>69</v>
      </c>
      <c r="L907">
        <v>1753.4</v>
      </c>
      <c r="M907">
        <v>50</v>
      </c>
      <c r="N907" s="11" t="s">
        <v>47</v>
      </c>
      <c r="O907" s="11" t="s">
        <v>81</v>
      </c>
      <c r="P907" s="14">
        <v>45570.743750000001</v>
      </c>
      <c r="Q907" t="s">
        <v>2757</v>
      </c>
    </row>
    <row r="908" spans="1:17">
      <c r="A908" s="8" t="s">
        <v>2758</v>
      </c>
      <c r="B908" s="8">
        <v>66638517</v>
      </c>
      <c r="C908" t="s">
        <v>1290</v>
      </c>
      <c r="D908" t="s">
        <v>2759</v>
      </c>
      <c r="E908" t="s">
        <v>523</v>
      </c>
      <c r="F908" t="s">
        <v>53</v>
      </c>
      <c r="G908" t="s">
        <v>21</v>
      </c>
      <c r="H908" t="s">
        <v>36</v>
      </c>
      <c r="I908" t="s">
        <v>37</v>
      </c>
      <c r="J908" t="s">
        <v>103</v>
      </c>
      <c r="K908" t="s">
        <v>69</v>
      </c>
      <c r="L908">
        <v>1510.3</v>
      </c>
      <c r="M908">
        <v>66</v>
      </c>
      <c r="N908" s="10" t="s">
        <v>27</v>
      </c>
      <c r="O908" s="10" t="s">
        <v>81</v>
      </c>
      <c r="P908" s="13">
        <v>44792.573611111111</v>
      </c>
      <c r="Q908" t="s">
        <v>2760</v>
      </c>
    </row>
    <row r="909" spans="1:17">
      <c r="A909" s="8" t="s">
        <v>2761</v>
      </c>
      <c r="B909" s="8">
        <v>32642542</v>
      </c>
      <c r="C909" t="s">
        <v>2762</v>
      </c>
      <c r="D909" t="s">
        <v>1619</v>
      </c>
      <c r="E909" t="s">
        <v>523</v>
      </c>
      <c r="F909" t="s">
        <v>53</v>
      </c>
      <c r="G909" t="s">
        <v>35</v>
      </c>
      <c r="H909" t="s">
        <v>37</v>
      </c>
      <c r="I909" t="s">
        <v>37</v>
      </c>
      <c r="J909" t="s">
        <v>74</v>
      </c>
      <c r="K909" t="s">
        <v>63</v>
      </c>
      <c r="L909">
        <v>12360.48</v>
      </c>
      <c r="M909">
        <v>46</v>
      </c>
      <c r="N909" s="11" t="s">
        <v>27</v>
      </c>
      <c r="O909" s="11" t="s">
        <v>75</v>
      </c>
      <c r="P909" s="14">
        <v>46180.206250000003</v>
      </c>
      <c r="Q909" t="s">
        <v>2763</v>
      </c>
    </row>
    <row r="910" spans="1:17">
      <c r="A910" s="8" t="s">
        <v>2764</v>
      </c>
      <c r="B910" s="8">
        <v>28363062</v>
      </c>
      <c r="C910" t="s">
        <v>2765</v>
      </c>
      <c r="D910" t="s">
        <v>2766</v>
      </c>
      <c r="E910" t="s">
        <v>523</v>
      </c>
      <c r="F910" t="s">
        <v>44</v>
      </c>
      <c r="G910" t="s">
        <v>21</v>
      </c>
      <c r="H910" t="s">
        <v>23</v>
      </c>
      <c r="I910" t="s">
        <v>54</v>
      </c>
      <c r="J910" t="s">
        <v>25</v>
      </c>
      <c r="K910" t="s">
        <v>63</v>
      </c>
      <c r="L910">
        <v>5090.16</v>
      </c>
      <c r="M910">
        <v>80</v>
      </c>
      <c r="N910" s="10" t="s">
        <v>27</v>
      </c>
      <c r="O910" s="10" t="s">
        <v>75</v>
      </c>
      <c r="P910" s="13">
        <v>46093.146527777775</v>
      </c>
      <c r="Q910" t="s">
        <v>2767</v>
      </c>
    </row>
    <row r="911" spans="1:17">
      <c r="A911" s="8" t="s">
        <v>2768</v>
      </c>
      <c r="B911" s="8">
        <v>12147945</v>
      </c>
      <c r="C911" t="s">
        <v>120</v>
      </c>
      <c r="D911" t="s">
        <v>228</v>
      </c>
      <c r="E911" t="s">
        <v>523</v>
      </c>
      <c r="F911" t="s">
        <v>686</v>
      </c>
      <c r="G911" t="s">
        <v>294</v>
      </c>
      <c r="H911" t="s">
        <v>24</v>
      </c>
      <c r="I911" t="s">
        <v>24</v>
      </c>
      <c r="J911" t="s">
        <v>56</v>
      </c>
      <c r="K911" t="s">
        <v>46</v>
      </c>
      <c r="L911">
        <v>1417.01</v>
      </c>
      <c r="M911">
        <v>39</v>
      </c>
      <c r="N911" s="11" t="s">
        <v>47</v>
      </c>
      <c r="O911" s="11" t="s">
        <v>81</v>
      </c>
      <c r="P911" s="14">
        <v>45947.04583333333</v>
      </c>
      <c r="Q911" t="s">
        <v>2769</v>
      </c>
    </row>
    <row r="912" spans="1:17">
      <c r="A912" s="8" t="s">
        <v>2770</v>
      </c>
      <c r="B912" s="8">
        <v>97486496</v>
      </c>
      <c r="C912" t="s">
        <v>240</v>
      </c>
      <c r="D912" t="s">
        <v>1579</v>
      </c>
      <c r="E912" t="s">
        <v>523</v>
      </c>
      <c r="F912" t="s">
        <v>523</v>
      </c>
      <c r="G912" t="s">
        <v>44</v>
      </c>
      <c r="H912" t="s">
        <v>24</v>
      </c>
      <c r="I912" t="s">
        <v>37</v>
      </c>
      <c r="J912" t="s">
        <v>25</v>
      </c>
      <c r="K912" t="s">
        <v>69</v>
      </c>
      <c r="L912">
        <v>9890.23</v>
      </c>
      <c r="M912">
        <v>43</v>
      </c>
      <c r="N912" s="10" t="s">
        <v>86</v>
      </c>
      <c r="O912" s="10" t="s">
        <v>75</v>
      </c>
      <c r="P912" s="13">
        <v>44223.407638888886</v>
      </c>
      <c r="Q912" t="s">
        <v>2771</v>
      </c>
    </row>
    <row r="913" spans="1:17">
      <c r="A913" s="8" t="s">
        <v>2772</v>
      </c>
      <c r="B913" s="8">
        <v>54898716</v>
      </c>
      <c r="C913" t="s">
        <v>668</v>
      </c>
      <c r="D913" t="s">
        <v>2186</v>
      </c>
      <c r="E913" t="s">
        <v>523</v>
      </c>
      <c r="F913" t="s">
        <v>294</v>
      </c>
      <c r="G913" t="s">
        <v>92</v>
      </c>
      <c r="H913" t="s">
        <v>127</v>
      </c>
      <c r="I913" t="s">
        <v>127</v>
      </c>
      <c r="J913" t="s">
        <v>103</v>
      </c>
      <c r="K913" t="s">
        <v>69</v>
      </c>
      <c r="L913">
        <v>3426.13</v>
      </c>
      <c r="M913">
        <v>45</v>
      </c>
      <c r="N913" s="11" t="s">
        <v>47</v>
      </c>
      <c r="O913" s="11" t="s">
        <v>81</v>
      </c>
      <c r="P913" s="14">
        <v>44939.40902777778</v>
      </c>
      <c r="Q913" t="s">
        <v>2773</v>
      </c>
    </row>
    <row r="914" spans="1:17">
      <c r="A914" s="8" t="s">
        <v>2774</v>
      </c>
      <c r="B914" s="8">
        <v>64297985</v>
      </c>
      <c r="C914" t="s">
        <v>1220</v>
      </c>
      <c r="D914" t="s">
        <v>1433</v>
      </c>
      <c r="E914" t="s">
        <v>523</v>
      </c>
      <c r="F914" t="s">
        <v>98</v>
      </c>
      <c r="G914" t="s">
        <v>21</v>
      </c>
      <c r="H914" t="s">
        <v>62</v>
      </c>
      <c r="I914" t="s">
        <v>68</v>
      </c>
      <c r="J914" t="s">
        <v>38</v>
      </c>
      <c r="K914" t="s">
        <v>69</v>
      </c>
      <c r="L914">
        <v>11643.76</v>
      </c>
      <c r="M914">
        <v>66</v>
      </c>
      <c r="N914" s="10" t="s">
        <v>27</v>
      </c>
      <c r="O914" s="10" t="s">
        <v>28</v>
      </c>
      <c r="P914" s="13">
        <v>44097.686805555553</v>
      </c>
      <c r="Q914" t="s">
        <v>2775</v>
      </c>
    </row>
    <row r="915" spans="1:17">
      <c r="A915" s="8" t="s">
        <v>2776</v>
      </c>
      <c r="B915" s="8">
        <v>61970557</v>
      </c>
      <c r="C915" t="s">
        <v>2296</v>
      </c>
      <c r="D915" t="s">
        <v>1179</v>
      </c>
      <c r="E915" t="s">
        <v>523</v>
      </c>
      <c r="F915" t="s">
        <v>53</v>
      </c>
      <c r="G915" t="s">
        <v>45</v>
      </c>
      <c r="H915" t="s">
        <v>127</v>
      </c>
      <c r="I915" t="s">
        <v>55</v>
      </c>
      <c r="J915" t="s">
        <v>56</v>
      </c>
      <c r="K915" t="s">
        <v>26</v>
      </c>
      <c r="L915">
        <v>370.82</v>
      </c>
      <c r="M915">
        <v>66</v>
      </c>
      <c r="N915" s="11" t="s">
        <v>57</v>
      </c>
      <c r="O915" s="11" t="s">
        <v>75</v>
      </c>
      <c r="P915" s="14">
        <v>44923.874305555553</v>
      </c>
      <c r="Q915" t="s">
        <v>2777</v>
      </c>
    </row>
    <row r="916" spans="1:17">
      <c r="A916" s="8" t="s">
        <v>2778</v>
      </c>
      <c r="B916" s="8">
        <v>85300766</v>
      </c>
      <c r="C916" t="s">
        <v>1087</v>
      </c>
      <c r="D916" t="s">
        <v>1689</v>
      </c>
      <c r="E916" t="s">
        <v>523</v>
      </c>
      <c r="F916" t="s">
        <v>92</v>
      </c>
      <c r="G916" t="s">
        <v>45</v>
      </c>
      <c r="H916" t="s">
        <v>127</v>
      </c>
      <c r="I916" t="s">
        <v>55</v>
      </c>
      <c r="J916" t="s">
        <v>25</v>
      </c>
      <c r="K916" t="s">
        <v>26</v>
      </c>
      <c r="L916">
        <v>11447.46</v>
      </c>
      <c r="M916">
        <v>37</v>
      </c>
      <c r="N916" s="10" t="s">
        <v>27</v>
      </c>
      <c r="O916" s="10" t="s">
        <v>28</v>
      </c>
      <c r="P916" s="13">
        <v>44441.5</v>
      </c>
      <c r="Q916" t="s">
        <v>2779</v>
      </c>
    </row>
    <row r="917" spans="1:17">
      <c r="A917" s="8" t="s">
        <v>2780</v>
      </c>
      <c r="B917" s="8">
        <v>82008855</v>
      </c>
      <c r="C917" t="s">
        <v>2166</v>
      </c>
      <c r="D917" t="s">
        <v>745</v>
      </c>
      <c r="E917" t="s">
        <v>523</v>
      </c>
      <c r="F917" t="s">
        <v>92</v>
      </c>
      <c r="G917" t="s">
        <v>22</v>
      </c>
      <c r="H917" t="s">
        <v>23</v>
      </c>
      <c r="I917" t="s">
        <v>62</v>
      </c>
      <c r="J917" t="s">
        <v>56</v>
      </c>
      <c r="K917" t="s">
        <v>46</v>
      </c>
      <c r="L917">
        <v>13717.16</v>
      </c>
      <c r="M917">
        <v>80</v>
      </c>
      <c r="N917" s="11" t="s">
        <v>86</v>
      </c>
      <c r="O917" s="11" t="s">
        <v>81</v>
      </c>
      <c r="P917" s="14">
        <v>45201.031944444447</v>
      </c>
      <c r="Q917" t="s">
        <v>2781</v>
      </c>
    </row>
    <row r="918" spans="1:17">
      <c r="A918" s="8" t="s">
        <v>2782</v>
      </c>
      <c r="B918" s="8">
        <v>99237139</v>
      </c>
      <c r="C918" t="s">
        <v>2783</v>
      </c>
      <c r="D918" t="s">
        <v>322</v>
      </c>
      <c r="E918" t="s">
        <v>523</v>
      </c>
      <c r="F918" t="s">
        <v>34</v>
      </c>
      <c r="G918" t="s">
        <v>53</v>
      </c>
      <c r="H918" t="s">
        <v>36</v>
      </c>
      <c r="I918" t="s">
        <v>23</v>
      </c>
      <c r="J918" t="s">
        <v>38</v>
      </c>
      <c r="K918" t="s">
        <v>63</v>
      </c>
      <c r="L918">
        <v>14676.14</v>
      </c>
      <c r="M918">
        <v>78</v>
      </c>
      <c r="N918" s="10" t="s">
        <v>39</v>
      </c>
      <c r="O918" s="10" t="s">
        <v>28</v>
      </c>
      <c r="P918" s="13">
        <v>44839.025694444441</v>
      </c>
      <c r="Q918" t="s">
        <v>2784</v>
      </c>
    </row>
    <row r="919" spans="1:17">
      <c r="A919" s="8" t="s">
        <v>2785</v>
      </c>
      <c r="B919" s="8">
        <v>81202765</v>
      </c>
      <c r="C919" t="s">
        <v>146</v>
      </c>
      <c r="D919" t="s">
        <v>297</v>
      </c>
      <c r="E919" t="s">
        <v>523</v>
      </c>
      <c r="F919" t="s">
        <v>22</v>
      </c>
      <c r="G919" t="s">
        <v>176</v>
      </c>
      <c r="H919" t="s">
        <v>36</v>
      </c>
      <c r="I919" t="s">
        <v>24</v>
      </c>
      <c r="J919" t="s">
        <v>38</v>
      </c>
      <c r="K919" t="s">
        <v>46</v>
      </c>
      <c r="L919">
        <v>1139.42</v>
      </c>
      <c r="M919">
        <v>66</v>
      </c>
      <c r="N919" s="11" t="s">
        <v>27</v>
      </c>
      <c r="O919" s="11" t="s">
        <v>28</v>
      </c>
      <c r="P919" s="14">
        <v>44792.540277777778</v>
      </c>
      <c r="Q919" t="s">
        <v>2786</v>
      </c>
    </row>
    <row r="920" spans="1:17">
      <c r="A920" s="8" t="s">
        <v>2787</v>
      </c>
      <c r="B920" s="8">
        <v>25287101</v>
      </c>
      <c r="C920" t="s">
        <v>1728</v>
      </c>
      <c r="D920" t="s">
        <v>869</v>
      </c>
      <c r="E920" t="s">
        <v>523</v>
      </c>
      <c r="F920" t="s">
        <v>80</v>
      </c>
      <c r="G920" t="s">
        <v>35</v>
      </c>
      <c r="H920" t="s">
        <v>54</v>
      </c>
      <c r="I920" t="s">
        <v>23</v>
      </c>
      <c r="J920" t="s">
        <v>74</v>
      </c>
      <c r="K920" t="s">
        <v>46</v>
      </c>
      <c r="L920">
        <v>7669.92</v>
      </c>
      <c r="M920">
        <v>18</v>
      </c>
      <c r="N920" s="10" t="s">
        <v>57</v>
      </c>
      <c r="O920" s="10" t="s">
        <v>28</v>
      </c>
      <c r="P920" s="13">
        <v>44503.025000000001</v>
      </c>
      <c r="Q920" t="s">
        <v>2788</v>
      </c>
    </row>
    <row r="921" spans="1:17">
      <c r="A921" s="8" t="s">
        <v>2789</v>
      </c>
      <c r="B921" s="8">
        <v>69896880</v>
      </c>
      <c r="C921" t="s">
        <v>2790</v>
      </c>
      <c r="D921" t="s">
        <v>728</v>
      </c>
      <c r="E921" t="s">
        <v>523</v>
      </c>
      <c r="F921" t="s">
        <v>98</v>
      </c>
      <c r="G921" t="s">
        <v>80</v>
      </c>
      <c r="H921" t="s">
        <v>37</v>
      </c>
      <c r="I921" t="s">
        <v>37</v>
      </c>
      <c r="J921" t="s">
        <v>74</v>
      </c>
      <c r="K921" t="s">
        <v>63</v>
      </c>
      <c r="L921">
        <v>2492.41</v>
      </c>
      <c r="M921">
        <v>30</v>
      </c>
      <c r="N921" s="11" t="s">
        <v>39</v>
      </c>
      <c r="O921" s="11" t="s">
        <v>48</v>
      </c>
      <c r="P921" s="14">
        <v>46301.353472222225</v>
      </c>
      <c r="Q921" t="s">
        <v>2791</v>
      </c>
    </row>
    <row r="922" spans="1:17">
      <c r="A922" s="8" t="s">
        <v>2792</v>
      </c>
      <c r="B922" s="8">
        <v>98552975</v>
      </c>
      <c r="C922" t="s">
        <v>146</v>
      </c>
      <c r="D922" t="s">
        <v>2793</v>
      </c>
      <c r="E922" t="s">
        <v>523</v>
      </c>
      <c r="F922" t="s">
        <v>523</v>
      </c>
      <c r="G922" t="s">
        <v>45</v>
      </c>
      <c r="H922" t="s">
        <v>23</v>
      </c>
      <c r="I922" t="s">
        <v>68</v>
      </c>
      <c r="J922" t="s">
        <v>25</v>
      </c>
      <c r="K922" t="s">
        <v>46</v>
      </c>
      <c r="L922">
        <v>9001.61</v>
      </c>
      <c r="M922">
        <v>68</v>
      </c>
      <c r="N922" s="10" t="s">
        <v>39</v>
      </c>
      <c r="O922" s="10" t="s">
        <v>28</v>
      </c>
      <c r="P922" s="13">
        <v>45531.699305555558</v>
      </c>
      <c r="Q922" t="s">
        <v>2794</v>
      </c>
    </row>
    <row r="923" spans="1:17">
      <c r="A923" s="8" t="s">
        <v>2795</v>
      </c>
      <c r="B923" s="8">
        <v>71242137</v>
      </c>
      <c r="C923" t="s">
        <v>943</v>
      </c>
      <c r="D923" t="s">
        <v>1039</v>
      </c>
      <c r="E923" t="s">
        <v>523</v>
      </c>
      <c r="F923" t="s">
        <v>92</v>
      </c>
      <c r="G923" t="s">
        <v>121</v>
      </c>
      <c r="H923" t="s">
        <v>54</v>
      </c>
      <c r="I923" t="s">
        <v>62</v>
      </c>
      <c r="J923" t="s">
        <v>56</v>
      </c>
      <c r="K923" t="s">
        <v>46</v>
      </c>
      <c r="L923">
        <v>9767.9</v>
      </c>
      <c r="M923">
        <v>73</v>
      </c>
      <c r="N923" s="11" t="s">
        <v>57</v>
      </c>
      <c r="O923" s="11" t="s">
        <v>75</v>
      </c>
      <c r="P923" s="14">
        <v>45993.324999999997</v>
      </c>
      <c r="Q923" t="s">
        <v>2796</v>
      </c>
    </row>
    <row r="924" spans="1:17">
      <c r="A924" s="8" t="s">
        <v>2797</v>
      </c>
      <c r="B924" s="8">
        <v>98265529</v>
      </c>
      <c r="C924" t="s">
        <v>1851</v>
      </c>
      <c r="D924" t="s">
        <v>2798</v>
      </c>
      <c r="E924" t="s">
        <v>523</v>
      </c>
      <c r="F924" t="s">
        <v>116</v>
      </c>
      <c r="G924" t="s">
        <v>35</v>
      </c>
      <c r="H924" t="s">
        <v>93</v>
      </c>
      <c r="I924" t="s">
        <v>36</v>
      </c>
      <c r="J924" t="s">
        <v>38</v>
      </c>
      <c r="K924" t="s">
        <v>69</v>
      </c>
      <c r="L924">
        <v>8552.44</v>
      </c>
      <c r="M924">
        <v>79</v>
      </c>
      <c r="N924" s="10" t="s">
        <v>39</v>
      </c>
      <c r="O924" s="10" t="s">
        <v>28</v>
      </c>
      <c r="P924" s="13">
        <v>46098.621527777781</v>
      </c>
      <c r="Q924" t="s">
        <v>2799</v>
      </c>
    </row>
    <row r="925" spans="1:17">
      <c r="A925" s="8" t="s">
        <v>2800</v>
      </c>
      <c r="B925" s="8">
        <v>51384518</v>
      </c>
      <c r="C925" t="s">
        <v>282</v>
      </c>
      <c r="D925" t="s">
        <v>311</v>
      </c>
      <c r="E925" t="s">
        <v>523</v>
      </c>
      <c r="F925" t="s">
        <v>92</v>
      </c>
      <c r="G925" t="s">
        <v>53</v>
      </c>
      <c r="H925" t="s">
        <v>37</v>
      </c>
      <c r="I925" t="s">
        <v>37</v>
      </c>
      <c r="J925" t="s">
        <v>103</v>
      </c>
      <c r="K925" t="s">
        <v>46</v>
      </c>
      <c r="L925">
        <v>253.86</v>
      </c>
      <c r="M925">
        <v>49</v>
      </c>
      <c r="N925" s="11" t="s">
        <v>47</v>
      </c>
      <c r="O925" s="11" t="s">
        <v>81</v>
      </c>
      <c r="P925" s="14">
        <v>43861.007638888892</v>
      </c>
      <c r="Q925" t="s">
        <v>2801</v>
      </c>
    </row>
    <row r="926" spans="1:17">
      <c r="A926" s="8" t="s">
        <v>2802</v>
      </c>
      <c r="B926" s="8">
        <v>47103850</v>
      </c>
      <c r="C926" t="s">
        <v>510</v>
      </c>
      <c r="D926" t="s">
        <v>1006</v>
      </c>
      <c r="E926" t="s">
        <v>523</v>
      </c>
      <c r="F926" t="s">
        <v>21</v>
      </c>
      <c r="G926" t="s">
        <v>121</v>
      </c>
      <c r="H926" t="s">
        <v>37</v>
      </c>
      <c r="I926" t="s">
        <v>24</v>
      </c>
      <c r="J926" t="s">
        <v>38</v>
      </c>
      <c r="K926" t="s">
        <v>26</v>
      </c>
      <c r="L926">
        <v>4262.72</v>
      </c>
      <c r="M926">
        <v>47</v>
      </c>
      <c r="N926" s="10" t="s">
        <v>86</v>
      </c>
      <c r="O926" s="10" t="s">
        <v>48</v>
      </c>
      <c r="P926" s="13">
        <v>45197.182638888888</v>
      </c>
      <c r="Q926" t="s">
        <v>2803</v>
      </c>
    </row>
    <row r="927" spans="1:17">
      <c r="A927" s="8" t="s">
        <v>2804</v>
      </c>
      <c r="B927" s="8">
        <v>16777688</v>
      </c>
      <c r="C927" t="s">
        <v>2078</v>
      </c>
      <c r="D927" t="s">
        <v>204</v>
      </c>
      <c r="E927" t="s">
        <v>523</v>
      </c>
      <c r="F927" t="s">
        <v>21</v>
      </c>
      <c r="G927" t="s">
        <v>92</v>
      </c>
      <c r="H927" t="s">
        <v>68</v>
      </c>
      <c r="I927" t="s">
        <v>55</v>
      </c>
      <c r="J927" t="s">
        <v>38</v>
      </c>
      <c r="K927" t="s">
        <v>63</v>
      </c>
      <c r="L927">
        <v>6128.64</v>
      </c>
      <c r="M927">
        <v>46</v>
      </c>
      <c r="N927" s="11" t="s">
        <v>47</v>
      </c>
      <c r="O927" s="11" t="s">
        <v>75</v>
      </c>
      <c r="P927" s="14">
        <v>45231.224999999999</v>
      </c>
      <c r="Q927" t="s">
        <v>2805</v>
      </c>
    </row>
    <row r="928" spans="1:17">
      <c r="A928" s="8" t="s">
        <v>2806</v>
      </c>
      <c r="B928" s="8">
        <v>83573004</v>
      </c>
      <c r="C928" t="s">
        <v>1534</v>
      </c>
      <c r="D928" t="s">
        <v>243</v>
      </c>
      <c r="E928" t="s">
        <v>523</v>
      </c>
      <c r="F928" t="s">
        <v>44</v>
      </c>
      <c r="G928" t="s">
        <v>92</v>
      </c>
      <c r="H928" t="s">
        <v>68</v>
      </c>
      <c r="I928" t="s">
        <v>54</v>
      </c>
      <c r="J928" t="s">
        <v>56</v>
      </c>
      <c r="K928" t="s">
        <v>69</v>
      </c>
      <c r="L928">
        <v>4523.6099999999997</v>
      </c>
      <c r="M928">
        <v>66</v>
      </c>
      <c r="N928" s="10" t="s">
        <v>47</v>
      </c>
      <c r="O928" s="10" t="s">
        <v>75</v>
      </c>
      <c r="P928" s="13">
        <v>44984.01666666667</v>
      </c>
      <c r="Q928" t="s">
        <v>2807</v>
      </c>
    </row>
    <row r="929" spans="1:17">
      <c r="A929" s="8" t="s">
        <v>2808</v>
      </c>
      <c r="B929" s="8">
        <v>80850880</v>
      </c>
      <c r="C929" t="s">
        <v>1818</v>
      </c>
      <c r="D929" t="s">
        <v>1173</v>
      </c>
      <c r="E929" t="s">
        <v>523</v>
      </c>
      <c r="F929" t="s">
        <v>91</v>
      </c>
      <c r="G929" t="s">
        <v>160</v>
      </c>
      <c r="H929" t="s">
        <v>55</v>
      </c>
      <c r="I929" t="s">
        <v>68</v>
      </c>
      <c r="J929" t="s">
        <v>38</v>
      </c>
      <c r="K929" t="s">
        <v>46</v>
      </c>
      <c r="L929">
        <v>7001.49</v>
      </c>
      <c r="M929">
        <v>62</v>
      </c>
      <c r="N929" s="11" t="s">
        <v>39</v>
      </c>
      <c r="O929" s="11" t="s">
        <v>48</v>
      </c>
      <c r="P929" s="14">
        <v>44447.021527777775</v>
      </c>
      <c r="Q929" t="s">
        <v>2809</v>
      </c>
    </row>
    <row r="930" spans="1:17">
      <c r="A930" s="8" t="s">
        <v>2810</v>
      </c>
      <c r="B930" s="8">
        <v>50334977</v>
      </c>
      <c r="C930" t="s">
        <v>18</v>
      </c>
      <c r="D930" t="s">
        <v>796</v>
      </c>
      <c r="E930" t="s">
        <v>523</v>
      </c>
      <c r="F930" t="s">
        <v>44</v>
      </c>
      <c r="G930" t="s">
        <v>34</v>
      </c>
      <c r="H930" t="s">
        <v>55</v>
      </c>
      <c r="I930" t="s">
        <v>93</v>
      </c>
      <c r="J930" t="s">
        <v>38</v>
      </c>
      <c r="K930" t="s">
        <v>26</v>
      </c>
      <c r="L930">
        <v>9669.9699999999993</v>
      </c>
      <c r="M930">
        <v>47</v>
      </c>
      <c r="N930" s="10" t="s">
        <v>39</v>
      </c>
      <c r="O930" s="10" t="s">
        <v>75</v>
      </c>
      <c r="P930" s="13">
        <v>44369.40347222222</v>
      </c>
      <c r="Q930" t="s">
        <v>2811</v>
      </c>
    </row>
    <row r="931" spans="1:17">
      <c r="A931" s="8" t="s">
        <v>2812</v>
      </c>
      <c r="B931" s="8">
        <v>30311392</v>
      </c>
      <c r="C931" t="s">
        <v>647</v>
      </c>
      <c r="D931" t="s">
        <v>2813</v>
      </c>
      <c r="E931" t="s">
        <v>523</v>
      </c>
      <c r="F931" t="s">
        <v>121</v>
      </c>
      <c r="G931" t="s">
        <v>80</v>
      </c>
      <c r="H931" t="s">
        <v>127</v>
      </c>
      <c r="I931" t="s">
        <v>23</v>
      </c>
      <c r="J931" t="s">
        <v>38</v>
      </c>
      <c r="K931" t="s">
        <v>69</v>
      </c>
      <c r="L931">
        <v>8384.9</v>
      </c>
      <c r="M931">
        <v>33</v>
      </c>
      <c r="N931" s="11" t="s">
        <v>27</v>
      </c>
      <c r="O931" s="11" t="s">
        <v>81</v>
      </c>
      <c r="P931" s="14">
        <v>44701.116666666669</v>
      </c>
      <c r="Q931" t="s">
        <v>2814</v>
      </c>
    </row>
    <row r="932" spans="1:17">
      <c r="A932" s="8" t="s">
        <v>2815</v>
      </c>
      <c r="B932" s="8">
        <v>81665302</v>
      </c>
      <c r="C932" t="s">
        <v>725</v>
      </c>
      <c r="D932" t="s">
        <v>2816</v>
      </c>
      <c r="E932" t="s">
        <v>523</v>
      </c>
      <c r="F932" t="s">
        <v>34</v>
      </c>
      <c r="G932" t="s">
        <v>121</v>
      </c>
      <c r="H932" t="s">
        <v>93</v>
      </c>
      <c r="I932" t="s">
        <v>62</v>
      </c>
      <c r="J932" t="s">
        <v>56</v>
      </c>
      <c r="K932" t="s">
        <v>63</v>
      </c>
      <c r="L932">
        <v>5004.75</v>
      </c>
      <c r="M932">
        <v>57</v>
      </c>
      <c r="N932" s="10" t="s">
        <v>39</v>
      </c>
      <c r="O932" s="10" t="s">
        <v>48</v>
      </c>
      <c r="P932" s="13">
        <v>43931.790972222225</v>
      </c>
      <c r="Q932" t="s">
        <v>2817</v>
      </c>
    </row>
    <row r="933" spans="1:17">
      <c r="A933" s="8" t="s">
        <v>2818</v>
      </c>
      <c r="B933" s="8">
        <v>19736503</v>
      </c>
      <c r="C933" t="s">
        <v>1598</v>
      </c>
      <c r="D933" t="s">
        <v>2281</v>
      </c>
      <c r="E933" t="s">
        <v>523</v>
      </c>
      <c r="F933" t="s">
        <v>160</v>
      </c>
      <c r="G933" t="s">
        <v>35</v>
      </c>
      <c r="H933" t="s">
        <v>24</v>
      </c>
      <c r="I933" t="s">
        <v>23</v>
      </c>
      <c r="J933" t="s">
        <v>103</v>
      </c>
      <c r="K933" t="s">
        <v>69</v>
      </c>
      <c r="L933">
        <v>3394.08</v>
      </c>
      <c r="M933">
        <v>36</v>
      </c>
      <c r="N933" s="11" t="s">
        <v>86</v>
      </c>
      <c r="O933" s="11" t="s">
        <v>48</v>
      </c>
      <c r="P933" s="14">
        <v>45243.436111111114</v>
      </c>
      <c r="Q933" t="s">
        <v>2819</v>
      </c>
    </row>
    <row r="934" spans="1:17">
      <c r="A934" s="8" t="s">
        <v>2820</v>
      </c>
      <c r="B934" s="8">
        <v>74998860</v>
      </c>
      <c r="C934" t="s">
        <v>2035</v>
      </c>
      <c r="D934" t="s">
        <v>281</v>
      </c>
      <c r="E934" t="s">
        <v>523</v>
      </c>
      <c r="F934" t="s">
        <v>22</v>
      </c>
      <c r="G934" t="s">
        <v>21</v>
      </c>
      <c r="H934" t="s">
        <v>24</v>
      </c>
      <c r="I934" t="s">
        <v>68</v>
      </c>
      <c r="J934" t="s">
        <v>38</v>
      </c>
      <c r="K934" t="s">
        <v>69</v>
      </c>
      <c r="L934">
        <v>11698.16</v>
      </c>
      <c r="M934">
        <v>35</v>
      </c>
      <c r="N934" s="10" t="s">
        <v>39</v>
      </c>
      <c r="O934" s="10" t="s">
        <v>81</v>
      </c>
      <c r="P934" s="13">
        <v>44771.709027777775</v>
      </c>
      <c r="Q934" t="s">
        <v>2821</v>
      </c>
    </row>
    <row r="935" spans="1:17">
      <c r="A935" s="8" t="s">
        <v>2822</v>
      </c>
      <c r="B935" s="8">
        <v>10689646</v>
      </c>
      <c r="C935" t="s">
        <v>1389</v>
      </c>
      <c r="D935" t="s">
        <v>1815</v>
      </c>
      <c r="E935" t="s">
        <v>523</v>
      </c>
      <c r="F935" t="s">
        <v>116</v>
      </c>
      <c r="G935" t="s">
        <v>35</v>
      </c>
      <c r="H935" t="s">
        <v>68</v>
      </c>
      <c r="I935" t="s">
        <v>23</v>
      </c>
      <c r="J935" t="s">
        <v>103</v>
      </c>
      <c r="K935" t="s">
        <v>69</v>
      </c>
      <c r="L935">
        <v>7254.99</v>
      </c>
      <c r="M935">
        <v>18</v>
      </c>
      <c r="N935" s="11" t="s">
        <v>47</v>
      </c>
      <c r="O935" s="11" t="s">
        <v>48</v>
      </c>
      <c r="P935" s="14">
        <v>44171.371527777781</v>
      </c>
      <c r="Q935" t="s">
        <v>2823</v>
      </c>
    </row>
    <row r="936" spans="1:17">
      <c r="A936" s="8" t="s">
        <v>2824</v>
      </c>
      <c r="B936" s="8">
        <v>78301185</v>
      </c>
      <c r="C936" t="s">
        <v>1350</v>
      </c>
      <c r="D936" t="s">
        <v>353</v>
      </c>
      <c r="E936" t="s">
        <v>523</v>
      </c>
      <c r="F936" t="s">
        <v>22</v>
      </c>
      <c r="G936" t="s">
        <v>22</v>
      </c>
      <c r="H936" t="s">
        <v>68</v>
      </c>
      <c r="I936" t="s">
        <v>68</v>
      </c>
      <c r="J936" t="s">
        <v>38</v>
      </c>
      <c r="K936" t="s">
        <v>26</v>
      </c>
      <c r="L936">
        <v>10039.459999999999</v>
      </c>
      <c r="M936">
        <v>64</v>
      </c>
      <c r="N936" s="10" t="s">
        <v>47</v>
      </c>
      <c r="O936" s="10" t="s">
        <v>28</v>
      </c>
      <c r="P936" s="13">
        <v>44874.707638888889</v>
      </c>
      <c r="Q936" t="s">
        <v>2825</v>
      </c>
    </row>
    <row r="937" spans="1:17">
      <c r="A937" s="8" t="s">
        <v>2826</v>
      </c>
      <c r="B937" s="8">
        <v>11691339</v>
      </c>
      <c r="C937" t="s">
        <v>216</v>
      </c>
      <c r="D937" t="s">
        <v>1728</v>
      </c>
      <c r="E937" t="s">
        <v>523</v>
      </c>
      <c r="F937" t="s">
        <v>98</v>
      </c>
      <c r="G937" t="s">
        <v>53</v>
      </c>
      <c r="H937" t="s">
        <v>68</v>
      </c>
      <c r="I937" t="s">
        <v>23</v>
      </c>
      <c r="J937" t="s">
        <v>74</v>
      </c>
      <c r="K937" t="s">
        <v>26</v>
      </c>
      <c r="L937">
        <v>1230.71</v>
      </c>
      <c r="M937">
        <v>83</v>
      </c>
      <c r="N937" s="11" t="s">
        <v>27</v>
      </c>
      <c r="O937" s="11" t="s">
        <v>28</v>
      </c>
      <c r="P937" s="14">
        <v>43868.565972222219</v>
      </c>
      <c r="Q937" t="s">
        <v>2827</v>
      </c>
    </row>
    <row r="938" spans="1:17">
      <c r="A938" s="8" t="s">
        <v>2828</v>
      </c>
      <c r="B938" s="8">
        <v>83012855</v>
      </c>
      <c r="C938" t="s">
        <v>678</v>
      </c>
      <c r="D938" t="s">
        <v>1445</v>
      </c>
      <c r="E938" t="s">
        <v>523</v>
      </c>
      <c r="F938" t="s">
        <v>392</v>
      </c>
      <c r="G938" t="s">
        <v>22</v>
      </c>
      <c r="H938" t="s">
        <v>23</v>
      </c>
      <c r="I938" t="s">
        <v>127</v>
      </c>
      <c r="J938" t="s">
        <v>38</v>
      </c>
      <c r="K938" t="s">
        <v>46</v>
      </c>
      <c r="L938">
        <v>5075.8100000000004</v>
      </c>
      <c r="M938">
        <v>55</v>
      </c>
      <c r="N938" s="10" t="s">
        <v>39</v>
      </c>
      <c r="O938" s="10" t="s">
        <v>75</v>
      </c>
      <c r="P938" s="13">
        <v>44490.7</v>
      </c>
      <c r="Q938" t="s">
        <v>2829</v>
      </c>
    </row>
    <row r="939" spans="1:17">
      <c r="A939" s="8" t="s">
        <v>2830</v>
      </c>
      <c r="B939" s="8">
        <v>35484385</v>
      </c>
      <c r="C939" t="s">
        <v>1091</v>
      </c>
      <c r="D939" t="s">
        <v>592</v>
      </c>
      <c r="E939" t="s">
        <v>523</v>
      </c>
      <c r="F939" t="s">
        <v>98</v>
      </c>
      <c r="G939" t="s">
        <v>98</v>
      </c>
      <c r="H939" t="s">
        <v>62</v>
      </c>
      <c r="I939" t="s">
        <v>36</v>
      </c>
      <c r="J939" t="s">
        <v>38</v>
      </c>
      <c r="K939" t="s">
        <v>63</v>
      </c>
      <c r="L939">
        <v>7249.69</v>
      </c>
      <c r="M939">
        <v>68</v>
      </c>
      <c r="N939" s="11" t="s">
        <v>86</v>
      </c>
      <c r="O939" s="11" t="s">
        <v>48</v>
      </c>
      <c r="P939" s="14">
        <v>45864.499305555553</v>
      </c>
      <c r="Q939" t="s">
        <v>2831</v>
      </c>
    </row>
    <row r="940" spans="1:17">
      <c r="A940" s="8" t="s">
        <v>2832</v>
      </c>
      <c r="B940" s="8">
        <v>47869196</v>
      </c>
      <c r="C940" t="s">
        <v>42</v>
      </c>
      <c r="D940" t="s">
        <v>1143</v>
      </c>
      <c r="E940" t="s">
        <v>523</v>
      </c>
      <c r="F940" t="s">
        <v>21</v>
      </c>
      <c r="G940" t="s">
        <v>92</v>
      </c>
      <c r="H940" t="s">
        <v>55</v>
      </c>
      <c r="I940" t="s">
        <v>37</v>
      </c>
      <c r="J940" t="s">
        <v>103</v>
      </c>
      <c r="K940" t="s">
        <v>26</v>
      </c>
      <c r="L940">
        <v>12007.13</v>
      </c>
      <c r="M940">
        <v>80</v>
      </c>
      <c r="N940" s="10" t="s">
        <v>47</v>
      </c>
      <c r="O940" s="10" t="s">
        <v>48</v>
      </c>
      <c r="P940" s="13">
        <v>45391.825694444444</v>
      </c>
      <c r="Q940" t="s">
        <v>2833</v>
      </c>
    </row>
    <row r="941" spans="1:17">
      <c r="A941" s="8" t="s">
        <v>2834</v>
      </c>
      <c r="B941" s="8">
        <v>12427926</v>
      </c>
      <c r="C941" t="s">
        <v>522</v>
      </c>
      <c r="D941" t="s">
        <v>1469</v>
      </c>
      <c r="E941" t="s">
        <v>523</v>
      </c>
      <c r="F941" t="s">
        <v>80</v>
      </c>
      <c r="G941" t="s">
        <v>44</v>
      </c>
      <c r="H941" t="s">
        <v>23</v>
      </c>
      <c r="I941" t="s">
        <v>37</v>
      </c>
      <c r="J941" t="s">
        <v>25</v>
      </c>
      <c r="K941" t="s">
        <v>63</v>
      </c>
      <c r="L941">
        <v>10186.65</v>
      </c>
      <c r="M941">
        <v>21</v>
      </c>
      <c r="N941" s="11" t="s">
        <v>47</v>
      </c>
      <c r="O941" s="11" t="s">
        <v>48</v>
      </c>
      <c r="P941" s="14">
        <v>45487.112500000003</v>
      </c>
      <c r="Q941" t="s">
        <v>2835</v>
      </c>
    </row>
    <row r="942" spans="1:17">
      <c r="A942" s="8" t="s">
        <v>2836</v>
      </c>
      <c r="B942" s="8">
        <v>46547395</v>
      </c>
      <c r="C942" t="s">
        <v>146</v>
      </c>
      <c r="D942" t="s">
        <v>2837</v>
      </c>
      <c r="E942" t="s">
        <v>523</v>
      </c>
      <c r="F942" t="s">
        <v>92</v>
      </c>
      <c r="G942" t="s">
        <v>523</v>
      </c>
      <c r="H942" t="s">
        <v>36</v>
      </c>
      <c r="I942" t="s">
        <v>24</v>
      </c>
      <c r="J942" t="s">
        <v>25</v>
      </c>
      <c r="K942" t="s">
        <v>69</v>
      </c>
      <c r="L942">
        <v>3489.02</v>
      </c>
      <c r="M942">
        <v>18</v>
      </c>
      <c r="N942" s="10" t="s">
        <v>86</v>
      </c>
      <c r="O942" s="10" t="s">
        <v>48</v>
      </c>
      <c r="P942" s="13">
        <v>44880.710416666669</v>
      </c>
      <c r="Q942" t="s">
        <v>2838</v>
      </c>
    </row>
    <row r="943" spans="1:17">
      <c r="A943" s="8" t="s">
        <v>2839</v>
      </c>
      <c r="B943" s="8">
        <v>62111591</v>
      </c>
      <c r="C943" t="s">
        <v>315</v>
      </c>
      <c r="D943" t="s">
        <v>2840</v>
      </c>
      <c r="E943" t="s">
        <v>523</v>
      </c>
      <c r="F943" t="s">
        <v>80</v>
      </c>
      <c r="G943" t="s">
        <v>92</v>
      </c>
      <c r="H943" t="s">
        <v>24</v>
      </c>
      <c r="I943" t="s">
        <v>93</v>
      </c>
      <c r="J943" t="s">
        <v>74</v>
      </c>
      <c r="K943" t="s">
        <v>46</v>
      </c>
      <c r="L943">
        <v>7968.22</v>
      </c>
      <c r="M943">
        <v>25</v>
      </c>
      <c r="N943" s="11" t="s">
        <v>86</v>
      </c>
      <c r="O943" s="11" t="s">
        <v>81</v>
      </c>
      <c r="P943" s="14">
        <v>44284.700694444444</v>
      </c>
      <c r="Q943" t="s">
        <v>2841</v>
      </c>
    </row>
    <row r="944" spans="1:17">
      <c r="A944" s="8" t="s">
        <v>2842</v>
      </c>
      <c r="B944" s="8">
        <v>17878883</v>
      </c>
      <c r="C944" t="s">
        <v>2366</v>
      </c>
      <c r="D944" t="s">
        <v>155</v>
      </c>
      <c r="E944" t="s">
        <v>523</v>
      </c>
      <c r="F944" t="s">
        <v>393</v>
      </c>
      <c r="G944" t="s">
        <v>21</v>
      </c>
      <c r="H944" t="s">
        <v>37</v>
      </c>
      <c r="I944" t="s">
        <v>93</v>
      </c>
      <c r="J944" t="s">
        <v>103</v>
      </c>
      <c r="K944" t="s">
        <v>63</v>
      </c>
      <c r="L944">
        <v>7017.69</v>
      </c>
      <c r="M944">
        <v>46</v>
      </c>
      <c r="N944" s="10" t="s">
        <v>27</v>
      </c>
      <c r="O944" s="10" t="s">
        <v>75</v>
      </c>
      <c r="P944" s="13">
        <v>45535.197916666664</v>
      </c>
      <c r="Q944" t="s">
        <v>2843</v>
      </c>
    </row>
    <row r="945" spans="1:17">
      <c r="A945" s="8" t="s">
        <v>2844</v>
      </c>
      <c r="B945" s="8">
        <v>27857392</v>
      </c>
      <c r="C945" t="s">
        <v>910</v>
      </c>
      <c r="D945" t="s">
        <v>18</v>
      </c>
      <c r="E945" t="s">
        <v>523</v>
      </c>
      <c r="F945" t="s">
        <v>44</v>
      </c>
      <c r="G945" t="s">
        <v>53</v>
      </c>
      <c r="H945" t="s">
        <v>55</v>
      </c>
      <c r="I945" t="s">
        <v>24</v>
      </c>
      <c r="J945" t="s">
        <v>25</v>
      </c>
      <c r="K945" t="s">
        <v>69</v>
      </c>
      <c r="L945">
        <v>4294.59</v>
      </c>
      <c r="M945">
        <v>72</v>
      </c>
      <c r="N945" s="11" t="s">
        <v>27</v>
      </c>
      <c r="O945" s="11" t="s">
        <v>75</v>
      </c>
      <c r="P945" s="14">
        <v>45177.384722222225</v>
      </c>
      <c r="Q945" t="s">
        <v>2845</v>
      </c>
    </row>
    <row r="946" spans="1:17">
      <c r="A946" s="8" t="s">
        <v>2846</v>
      </c>
      <c r="B946" s="8">
        <v>56689082</v>
      </c>
      <c r="C946" t="s">
        <v>2847</v>
      </c>
      <c r="D946" t="s">
        <v>1029</v>
      </c>
      <c r="E946" t="s">
        <v>523</v>
      </c>
      <c r="F946" t="s">
        <v>53</v>
      </c>
      <c r="G946" t="s">
        <v>34</v>
      </c>
      <c r="H946" t="s">
        <v>54</v>
      </c>
      <c r="I946" t="s">
        <v>54</v>
      </c>
      <c r="J946" t="s">
        <v>74</v>
      </c>
      <c r="K946" t="s">
        <v>69</v>
      </c>
      <c r="L946">
        <v>7404.92</v>
      </c>
      <c r="M946">
        <v>20</v>
      </c>
      <c r="N946" s="10" t="s">
        <v>39</v>
      </c>
      <c r="O946" s="10" t="s">
        <v>28</v>
      </c>
      <c r="P946" s="13">
        <v>44649.010416666664</v>
      </c>
      <c r="Q946" t="s">
        <v>2848</v>
      </c>
    </row>
    <row r="947" spans="1:17">
      <c r="A947" s="8" t="s">
        <v>2849</v>
      </c>
      <c r="B947" s="8">
        <v>0</v>
      </c>
      <c r="C947" t="s">
        <v>432</v>
      </c>
      <c r="D947" t="s">
        <v>2108</v>
      </c>
      <c r="E947" t="s">
        <v>523</v>
      </c>
      <c r="F947" t="s">
        <v>45</v>
      </c>
      <c r="G947" t="s">
        <v>21</v>
      </c>
      <c r="H947" t="s">
        <v>36</v>
      </c>
      <c r="I947" t="s">
        <v>37</v>
      </c>
      <c r="J947" t="s">
        <v>25</v>
      </c>
      <c r="K947" t="s">
        <v>69</v>
      </c>
      <c r="L947">
        <v>7564.48</v>
      </c>
      <c r="M947">
        <v>49</v>
      </c>
      <c r="N947" s="11" t="s">
        <v>86</v>
      </c>
      <c r="O947" s="11" t="s">
        <v>28</v>
      </c>
      <c r="P947" s="14">
        <v>44603.45416666667</v>
      </c>
      <c r="Q947" t="s">
        <v>2850</v>
      </c>
    </row>
    <row r="948" spans="1:17">
      <c r="A948" s="8" t="s">
        <v>2851</v>
      </c>
      <c r="B948" s="8">
        <v>22601623</v>
      </c>
      <c r="C948" t="s">
        <v>617</v>
      </c>
      <c r="D948" t="s">
        <v>282</v>
      </c>
      <c r="E948" t="s">
        <v>523</v>
      </c>
      <c r="F948" t="s">
        <v>116</v>
      </c>
      <c r="G948" t="s">
        <v>80</v>
      </c>
      <c r="H948" t="s">
        <v>55</v>
      </c>
      <c r="I948" t="s">
        <v>54</v>
      </c>
      <c r="J948" t="s">
        <v>103</v>
      </c>
      <c r="K948" t="s">
        <v>26</v>
      </c>
      <c r="L948">
        <v>8511.84</v>
      </c>
      <c r="M948">
        <v>27</v>
      </c>
      <c r="N948" s="10" t="s">
        <v>86</v>
      </c>
      <c r="O948" s="10" t="s">
        <v>81</v>
      </c>
      <c r="P948" s="13">
        <v>43843.817361111112</v>
      </c>
      <c r="Q948" t="s">
        <v>2852</v>
      </c>
    </row>
    <row r="949" spans="1:17">
      <c r="A949" s="8" t="s">
        <v>2853</v>
      </c>
      <c r="B949" s="8">
        <v>17303355</v>
      </c>
      <c r="C949" t="s">
        <v>2854</v>
      </c>
      <c r="D949" t="s">
        <v>1032</v>
      </c>
      <c r="E949" t="s">
        <v>523</v>
      </c>
      <c r="F949" t="s">
        <v>22</v>
      </c>
      <c r="G949" t="s">
        <v>35</v>
      </c>
      <c r="H949" t="s">
        <v>23</v>
      </c>
      <c r="I949" t="s">
        <v>68</v>
      </c>
      <c r="J949" t="s">
        <v>38</v>
      </c>
      <c r="K949" t="s">
        <v>69</v>
      </c>
      <c r="L949">
        <v>12715.71</v>
      </c>
      <c r="M949">
        <v>51</v>
      </c>
      <c r="N949" s="11" t="s">
        <v>39</v>
      </c>
      <c r="O949" s="11" t="s">
        <v>48</v>
      </c>
      <c r="P949" s="14">
        <v>44751.995138888888</v>
      </c>
      <c r="Q949" t="s">
        <v>2855</v>
      </c>
    </row>
    <row r="950" spans="1:17">
      <c r="A950" s="8" t="s">
        <v>2856</v>
      </c>
      <c r="B950" s="8">
        <v>85103699</v>
      </c>
      <c r="C950" t="s">
        <v>2004</v>
      </c>
      <c r="D950" t="s">
        <v>2857</v>
      </c>
      <c r="E950" t="s">
        <v>523</v>
      </c>
      <c r="F950" t="s">
        <v>44</v>
      </c>
      <c r="G950" t="s">
        <v>80</v>
      </c>
      <c r="H950" t="s">
        <v>93</v>
      </c>
      <c r="I950" t="s">
        <v>68</v>
      </c>
      <c r="J950" t="s">
        <v>38</v>
      </c>
      <c r="K950" t="s">
        <v>69</v>
      </c>
      <c r="L950">
        <v>8135.49</v>
      </c>
      <c r="M950">
        <v>72</v>
      </c>
      <c r="N950" s="10" t="s">
        <v>47</v>
      </c>
      <c r="O950" s="10" t="s">
        <v>28</v>
      </c>
      <c r="P950" s="13">
        <v>44655.645138888889</v>
      </c>
      <c r="Q950" t="s">
        <v>2858</v>
      </c>
    </row>
    <row r="951" spans="1:17">
      <c r="A951" s="8" t="s">
        <v>2859</v>
      </c>
      <c r="B951" s="8">
        <v>91027831</v>
      </c>
      <c r="C951" t="s">
        <v>200</v>
      </c>
      <c r="D951" t="s">
        <v>2860</v>
      </c>
      <c r="E951" t="s">
        <v>523</v>
      </c>
      <c r="F951" t="s">
        <v>121</v>
      </c>
      <c r="G951" t="s">
        <v>116</v>
      </c>
      <c r="H951" t="s">
        <v>37</v>
      </c>
      <c r="I951" t="s">
        <v>55</v>
      </c>
      <c r="J951" t="s">
        <v>74</v>
      </c>
      <c r="K951" t="s">
        <v>69</v>
      </c>
      <c r="L951">
        <v>3608.7</v>
      </c>
      <c r="M951">
        <v>49</v>
      </c>
      <c r="N951" s="11" t="s">
        <v>47</v>
      </c>
      <c r="O951" s="11" t="s">
        <v>81</v>
      </c>
      <c r="P951" s="14">
        <v>46249.041666666664</v>
      </c>
      <c r="Q951" t="s">
        <v>2861</v>
      </c>
    </row>
    <row r="952" spans="1:17">
      <c r="A952" s="8" t="s">
        <v>2862</v>
      </c>
      <c r="B952" s="8">
        <v>31401507</v>
      </c>
      <c r="C952" t="s">
        <v>2863</v>
      </c>
      <c r="D952" t="s">
        <v>694</v>
      </c>
      <c r="E952" t="s">
        <v>523</v>
      </c>
      <c r="F952" t="s">
        <v>21</v>
      </c>
      <c r="G952" t="s">
        <v>112</v>
      </c>
      <c r="H952" t="s">
        <v>55</v>
      </c>
      <c r="I952" t="s">
        <v>23</v>
      </c>
      <c r="J952" t="s">
        <v>25</v>
      </c>
      <c r="K952" t="s">
        <v>69</v>
      </c>
      <c r="L952">
        <v>6354.96</v>
      </c>
      <c r="M952">
        <v>67</v>
      </c>
      <c r="N952" s="10" t="s">
        <v>47</v>
      </c>
      <c r="O952" s="10" t="s">
        <v>48</v>
      </c>
      <c r="P952" s="13">
        <v>45145.974305555559</v>
      </c>
      <c r="Q952" t="s">
        <v>2864</v>
      </c>
    </row>
    <row r="953" spans="1:17">
      <c r="A953" s="8" t="s">
        <v>2865</v>
      </c>
      <c r="B953" s="8">
        <v>91618861</v>
      </c>
      <c r="C953" t="s">
        <v>146</v>
      </c>
      <c r="D953" t="s">
        <v>2866</v>
      </c>
      <c r="E953" t="s">
        <v>523</v>
      </c>
      <c r="F953" t="s">
        <v>34</v>
      </c>
      <c r="G953" t="s">
        <v>35</v>
      </c>
      <c r="H953" t="s">
        <v>62</v>
      </c>
      <c r="I953" t="s">
        <v>93</v>
      </c>
      <c r="J953" t="s">
        <v>56</v>
      </c>
      <c r="K953" t="s">
        <v>69</v>
      </c>
      <c r="L953">
        <v>6551.9</v>
      </c>
      <c r="M953">
        <v>24</v>
      </c>
      <c r="N953" s="11" t="s">
        <v>27</v>
      </c>
      <c r="O953" s="11" t="s">
        <v>28</v>
      </c>
      <c r="P953" s="14">
        <v>46210.347916666666</v>
      </c>
      <c r="Q953" t="s">
        <v>2867</v>
      </c>
    </row>
    <row r="954" spans="1:17">
      <c r="A954" s="8" t="s">
        <v>2868</v>
      </c>
      <c r="B954" s="8">
        <v>30766900</v>
      </c>
      <c r="C954" t="s">
        <v>857</v>
      </c>
      <c r="D954" t="s">
        <v>2174</v>
      </c>
      <c r="E954" t="s">
        <v>523</v>
      </c>
      <c r="F954" t="s">
        <v>22</v>
      </c>
      <c r="G954" t="s">
        <v>21</v>
      </c>
      <c r="H954" t="s">
        <v>68</v>
      </c>
      <c r="I954" t="s">
        <v>55</v>
      </c>
      <c r="J954" t="s">
        <v>56</v>
      </c>
      <c r="K954" t="s">
        <v>46</v>
      </c>
      <c r="L954">
        <v>7598.42</v>
      </c>
      <c r="M954">
        <v>25</v>
      </c>
      <c r="N954" s="10" t="s">
        <v>86</v>
      </c>
      <c r="O954" s="10" t="s">
        <v>81</v>
      </c>
      <c r="P954" s="13">
        <v>46139.469444444447</v>
      </c>
      <c r="Q954" t="s">
        <v>2869</v>
      </c>
    </row>
    <row r="955" spans="1:17">
      <c r="A955" s="8" t="s">
        <v>2870</v>
      </c>
      <c r="B955" s="8">
        <v>14637652</v>
      </c>
      <c r="C955" t="s">
        <v>2871</v>
      </c>
      <c r="D955" t="s">
        <v>570</v>
      </c>
      <c r="E955" t="s">
        <v>523</v>
      </c>
      <c r="F955" t="s">
        <v>53</v>
      </c>
      <c r="G955" t="s">
        <v>21</v>
      </c>
      <c r="H955" t="s">
        <v>68</v>
      </c>
      <c r="I955" t="s">
        <v>36</v>
      </c>
      <c r="J955" t="s">
        <v>103</v>
      </c>
      <c r="K955" t="s">
        <v>46</v>
      </c>
      <c r="L955">
        <v>814.15</v>
      </c>
      <c r="M955">
        <v>82</v>
      </c>
      <c r="N955" s="11" t="s">
        <v>39</v>
      </c>
      <c r="O955" s="11" t="s">
        <v>75</v>
      </c>
      <c r="P955" s="14">
        <v>45848.603472222225</v>
      </c>
      <c r="Q955" t="s">
        <v>2872</v>
      </c>
    </row>
    <row r="956" spans="1:17">
      <c r="A956" s="8" t="s">
        <v>2873</v>
      </c>
      <c r="B956" s="8">
        <v>59828367</v>
      </c>
      <c r="C956" t="s">
        <v>2874</v>
      </c>
      <c r="D956" t="s">
        <v>1213</v>
      </c>
      <c r="E956" t="s">
        <v>523</v>
      </c>
      <c r="F956" t="s">
        <v>21</v>
      </c>
      <c r="G956" t="s">
        <v>80</v>
      </c>
      <c r="H956" t="s">
        <v>37</v>
      </c>
      <c r="I956" t="s">
        <v>24</v>
      </c>
      <c r="J956" t="s">
        <v>103</v>
      </c>
      <c r="K956" t="s">
        <v>46</v>
      </c>
      <c r="L956">
        <v>12705.77</v>
      </c>
      <c r="M956">
        <v>74</v>
      </c>
      <c r="N956" s="10" t="s">
        <v>39</v>
      </c>
      <c r="O956" s="10" t="s">
        <v>75</v>
      </c>
      <c r="P956" s="13">
        <v>45059.768055555556</v>
      </c>
      <c r="Q956" t="s">
        <v>2875</v>
      </c>
    </row>
    <row r="957" spans="1:17">
      <c r="A957" s="8" t="s">
        <v>2876</v>
      </c>
      <c r="B957" s="8">
        <v>39204346</v>
      </c>
      <c r="C957" t="s">
        <v>610</v>
      </c>
      <c r="D957" t="s">
        <v>563</v>
      </c>
      <c r="E957" t="s">
        <v>523</v>
      </c>
      <c r="F957" t="s">
        <v>22</v>
      </c>
      <c r="G957" t="s">
        <v>116</v>
      </c>
      <c r="H957" t="s">
        <v>23</v>
      </c>
      <c r="I957" t="s">
        <v>24</v>
      </c>
      <c r="J957" t="s">
        <v>38</v>
      </c>
      <c r="K957" t="s">
        <v>46</v>
      </c>
      <c r="L957">
        <v>7596.23</v>
      </c>
      <c r="M957">
        <v>84</v>
      </c>
      <c r="N957" s="11" t="s">
        <v>86</v>
      </c>
      <c r="O957" s="11" t="s">
        <v>75</v>
      </c>
      <c r="P957" s="14">
        <v>44527.881249999999</v>
      </c>
      <c r="Q957" t="s">
        <v>2877</v>
      </c>
    </row>
    <row r="958" spans="1:17">
      <c r="A958" s="8" t="s">
        <v>2878</v>
      </c>
      <c r="B958" s="8">
        <v>49808824</v>
      </c>
      <c r="C958" t="s">
        <v>2879</v>
      </c>
      <c r="D958" t="s">
        <v>18</v>
      </c>
      <c r="E958" t="s">
        <v>523</v>
      </c>
      <c r="F958" t="s">
        <v>116</v>
      </c>
      <c r="G958" t="s">
        <v>53</v>
      </c>
      <c r="H958" t="s">
        <v>68</v>
      </c>
      <c r="I958" t="s">
        <v>68</v>
      </c>
      <c r="J958" t="s">
        <v>38</v>
      </c>
      <c r="K958" t="s">
        <v>46</v>
      </c>
      <c r="L958">
        <v>1128.7</v>
      </c>
      <c r="M958">
        <v>76</v>
      </c>
      <c r="N958" s="10" t="s">
        <v>86</v>
      </c>
      <c r="O958" s="10" t="s">
        <v>75</v>
      </c>
      <c r="P958" s="13">
        <v>44780.489583333336</v>
      </c>
      <c r="Q958" t="s">
        <v>2880</v>
      </c>
    </row>
    <row r="959" spans="1:17">
      <c r="A959" s="8" t="s">
        <v>2881</v>
      </c>
      <c r="B959" s="8">
        <v>31924339</v>
      </c>
      <c r="C959" t="s">
        <v>1865</v>
      </c>
      <c r="D959" t="s">
        <v>585</v>
      </c>
      <c r="E959" t="s">
        <v>523</v>
      </c>
      <c r="F959" t="s">
        <v>98</v>
      </c>
      <c r="G959" t="s">
        <v>22</v>
      </c>
      <c r="H959" t="s">
        <v>55</v>
      </c>
      <c r="I959" t="s">
        <v>37</v>
      </c>
      <c r="J959" t="s">
        <v>74</v>
      </c>
      <c r="K959" t="s">
        <v>69</v>
      </c>
      <c r="L959">
        <v>5971.4</v>
      </c>
      <c r="M959">
        <v>71</v>
      </c>
      <c r="N959" s="11" t="s">
        <v>39</v>
      </c>
      <c r="O959" s="11" t="s">
        <v>81</v>
      </c>
      <c r="P959" s="14">
        <v>46265.373611111114</v>
      </c>
      <c r="Q959" t="s">
        <v>2882</v>
      </c>
    </row>
    <row r="960" spans="1:17">
      <c r="A960" s="8" t="s">
        <v>2883</v>
      </c>
      <c r="B960" s="8">
        <v>74837748</v>
      </c>
      <c r="C960" t="s">
        <v>2840</v>
      </c>
      <c r="D960" t="s">
        <v>1297</v>
      </c>
      <c r="E960" t="s">
        <v>523</v>
      </c>
      <c r="F960" t="s">
        <v>53</v>
      </c>
      <c r="G960" t="s">
        <v>35</v>
      </c>
      <c r="H960" t="s">
        <v>54</v>
      </c>
      <c r="I960" t="s">
        <v>54</v>
      </c>
      <c r="J960" t="s">
        <v>38</v>
      </c>
      <c r="K960" t="s">
        <v>69</v>
      </c>
      <c r="L960">
        <v>8637.26</v>
      </c>
      <c r="M960">
        <v>84</v>
      </c>
      <c r="N960" s="10" t="s">
        <v>57</v>
      </c>
      <c r="O960" s="10" t="s">
        <v>81</v>
      </c>
      <c r="P960" s="13">
        <v>46346.523611111108</v>
      </c>
      <c r="Q960" t="s">
        <v>2884</v>
      </c>
    </row>
    <row r="961" spans="1:17">
      <c r="A961" s="8" t="s">
        <v>2885</v>
      </c>
      <c r="B961" s="8">
        <v>53562684</v>
      </c>
      <c r="C961" t="s">
        <v>2886</v>
      </c>
      <c r="D961" t="s">
        <v>1293</v>
      </c>
      <c r="E961" t="s">
        <v>523</v>
      </c>
      <c r="F961" t="s">
        <v>116</v>
      </c>
      <c r="G961" t="s">
        <v>92</v>
      </c>
      <c r="H961" t="s">
        <v>24</v>
      </c>
      <c r="I961" t="s">
        <v>93</v>
      </c>
      <c r="J961" t="s">
        <v>38</v>
      </c>
      <c r="K961" t="s">
        <v>26</v>
      </c>
      <c r="L961">
        <v>3027.95</v>
      </c>
      <c r="M961">
        <v>68</v>
      </c>
      <c r="N961" s="11" t="s">
        <v>86</v>
      </c>
      <c r="O961" s="11" t="s">
        <v>28</v>
      </c>
      <c r="P961" s="14">
        <v>45269.864583333336</v>
      </c>
      <c r="Q961" t="s">
        <v>2887</v>
      </c>
    </row>
    <row r="962" spans="1:17">
      <c r="A962" s="8" t="s">
        <v>2888</v>
      </c>
      <c r="B962" s="8">
        <v>0</v>
      </c>
      <c r="C962" t="s">
        <v>110</v>
      </c>
      <c r="D962" t="s">
        <v>2889</v>
      </c>
      <c r="E962" t="s">
        <v>523</v>
      </c>
      <c r="F962" t="s">
        <v>53</v>
      </c>
      <c r="G962" t="s">
        <v>34</v>
      </c>
      <c r="H962" t="s">
        <v>24</v>
      </c>
      <c r="I962" t="s">
        <v>55</v>
      </c>
      <c r="J962" t="s">
        <v>103</v>
      </c>
      <c r="K962" t="s">
        <v>26</v>
      </c>
      <c r="L962">
        <v>5287.46</v>
      </c>
      <c r="M962">
        <v>25</v>
      </c>
      <c r="N962" s="10" t="s">
        <v>47</v>
      </c>
      <c r="O962" s="10" t="s">
        <v>75</v>
      </c>
      <c r="P962" s="13">
        <v>43899.839583333334</v>
      </c>
      <c r="Q962" t="s">
        <v>2890</v>
      </c>
    </row>
    <row r="963" spans="1:17">
      <c r="A963" s="8" t="s">
        <v>2891</v>
      </c>
      <c r="B963" s="8">
        <v>81263504</v>
      </c>
      <c r="C963" t="s">
        <v>1230</v>
      </c>
      <c r="D963" t="s">
        <v>1026</v>
      </c>
      <c r="E963" t="s">
        <v>523</v>
      </c>
      <c r="F963" t="s">
        <v>35</v>
      </c>
      <c r="G963" t="s">
        <v>92</v>
      </c>
      <c r="H963" t="s">
        <v>36</v>
      </c>
      <c r="I963" t="s">
        <v>54</v>
      </c>
      <c r="J963" t="s">
        <v>103</v>
      </c>
      <c r="K963" t="s">
        <v>69</v>
      </c>
      <c r="L963">
        <v>1039.98</v>
      </c>
      <c r="M963">
        <v>51</v>
      </c>
      <c r="N963" s="11" t="s">
        <v>27</v>
      </c>
      <c r="O963" s="11" t="s">
        <v>81</v>
      </c>
      <c r="P963" s="14">
        <v>45612.629166666666</v>
      </c>
      <c r="Q963" t="s">
        <v>2892</v>
      </c>
    </row>
    <row r="964" spans="1:17">
      <c r="A964" s="8" t="s">
        <v>2893</v>
      </c>
      <c r="B964" s="8">
        <v>78794462</v>
      </c>
      <c r="C964" t="s">
        <v>143</v>
      </c>
      <c r="D964" t="s">
        <v>2894</v>
      </c>
      <c r="E964" t="s">
        <v>523</v>
      </c>
      <c r="F964" t="s">
        <v>556</v>
      </c>
      <c r="G964" t="s">
        <v>22</v>
      </c>
      <c r="H964" t="s">
        <v>127</v>
      </c>
      <c r="I964" t="s">
        <v>55</v>
      </c>
      <c r="J964" t="s">
        <v>103</v>
      </c>
      <c r="K964" t="s">
        <v>69</v>
      </c>
      <c r="L964">
        <v>2316.6999999999998</v>
      </c>
      <c r="M964">
        <v>52</v>
      </c>
      <c r="N964" s="10" t="s">
        <v>47</v>
      </c>
      <c r="O964" s="10" t="s">
        <v>81</v>
      </c>
      <c r="P964" s="13">
        <v>46078.143055555556</v>
      </c>
      <c r="Q964" t="s">
        <v>2895</v>
      </c>
    </row>
    <row r="965" spans="1:17">
      <c r="A965" s="8" t="s">
        <v>2896</v>
      </c>
      <c r="B965" s="8">
        <v>91700119</v>
      </c>
      <c r="C965" t="s">
        <v>2897</v>
      </c>
      <c r="D965" t="s">
        <v>1096</v>
      </c>
      <c r="E965" t="s">
        <v>523</v>
      </c>
      <c r="F965" t="s">
        <v>53</v>
      </c>
      <c r="G965" t="s">
        <v>45</v>
      </c>
      <c r="H965" t="s">
        <v>93</v>
      </c>
      <c r="I965" t="s">
        <v>23</v>
      </c>
      <c r="J965" t="s">
        <v>38</v>
      </c>
      <c r="K965" t="s">
        <v>26</v>
      </c>
      <c r="L965">
        <v>13021.42</v>
      </c>
      <c r="M965">
        <v>49</v>
      </c>
      <c r="N965" s="11" t="s">
        <v>27</v>
      </c>
      <c r="O965" s="11" t="s">
        <v>81</v>
      </c>
      <c r="P965" s="14">
        <v>46094.82916666667</v>
      </c>
      <c r="Q965" t="s">
        <v>2898</v>
      </c>
    </row>
    <row r="966" spans="1:17">
      <c r="A966" s="8" t="s">
        <v>2899</v>
      </c>
      <c r="B966" s="8">
        <v>50107493</v>
      </c>
      <c r="C966" t="s">
        <v>2900</v>
      </c>
      <c r="D966" t="s">
        <v>1099</v>
      </c>
      <c r="E966" t="s">
        <v>523</v>
      </c>
      <c r="F966" t="s">
        <v>92</v>
      </c>
      <c r="G966" t="s">
        <v>22</v>
      </c>
      <c r="H966" t="s">
        <v>37</v>
      </c>
      <c r="I966" t="s">
        <v>36</v>
      </c>
      <c r="J966" t="s">
        <v>38</v>
      </c>
      <c r="K966" t="s">
        <v>46</v>
      </c>
      <c r="L966">
        <v>14300.58</v>
      </c>
      <c r="M966">
        <v>63</v>
      </c>
      <c r="N966" s="10" t="s">
        <v>27</v>
      </c>
      <c r="O966" s="10" t="s">
        <v>75</v>
      </c>
      <c r="P966" s="13">
        <v>45800.449305555558</v>
      </c>
      <c r="Q966" t="s">
        <v>2901</v>
      </c>
    </row>
    <row r="967" spans="1:17">
      <c r="A967" s="8" t="s">
        <v>2902</v>
      </c>
      <c r="B967" s="8">
        <v>92811164</v>
      </c>
      <c r="C967" t="s">
        <v>2903</v>
      </c>
      <c r="D967" t="s">
        <v>939</v>
      </c>
      <c r="E967" t="s">
        <v>523</v>
      </c>
      <c r="F967" t="s">
        <v>80</v>
      </c>
      <c r="G967" t="s">
        <v>121</v>
      </c>
      <c r="H967" t="s">
        <v>36</v>
      </c>
      <c r="I967" t="s">
        <v>36</v>
      </c>
      <c r="J967" t="s">
        <v>38</v>
      </c>
      <c r="K967" t="s">
        <v>69</v>
      </c>
      <c r="L967">
        <v>9161.76</v>
      </c>
      <c r="M967">
        <v>33</v>
      </c>
      <c r="N967" s="11" t="s">
        <v>86</v>
      </c>
      <c r="O967" s="11" t="s">
        <v>81</v>
      </c>
      <c r="P967" s="14">
        <v>44042.815972222219</v>
      </c>
      <c r="Q967" t="s">
        <v>2904</v>
      </c>
    </row>
    <row r="968" spans="1:17">
      <c r="A968" s="8" t="s">
        <v>2905</v>
      </c>
      <c r="B968" s="8">
        <v>71777181</v>
      </c>
      <c r="C968" t="s">
        <v>822</v>
      </c>
      <c r="D968" t="s">
        <v>259</v>
      </c>
      <c r="E968" t="s">
        <v>523</v>
      </c>
      <c r="F968" t="s">
        <v>35</v>
      </c>
      <c r="G968" t="s">
        <v>98</v>
      </c>
      <c r="H968" t="s">
        <v>127</v>
      </c>
      <c r="I968" t="s">
        <v>54</v>
      </c>
      <c r="J968" t="s">
        <v>74</v>
      </c>
      <c r="K968" t="s">
        <v>69</v>
      </c>
      <c r="L968">
        <v>7517.9</v>
      </c>
      <c r="M968">
        <v>85</v>
      </c>
      <c r="N968" s="10" t="s">
        <v>47</v>
      </c>
      <c r="O968" s="10" t="s">
        <v>75</v>
      </c>
      <c r="P968" s="13">
        <v>44338.911805555559</v>
      </c>
      <c r="Q968" t="s">
        <v>2906</v>
      </c>
    </row>
    <row r="969" spans="1:17">
      <c r="A969" s="8" t="s">
        <v>2907</v>
      </c>
      <c r="B969" s="8">
        <v>67628113</v>
      </c>
      <c r="C969" t="s">
        <v>2354</v>
      </c>
      <c r="D969" t="s">
        <v>2847</v>
      </c>
      <c r="E969" t="s">
        <v>523</v>
      </c>
      <c r="F969" t="s">
        <v>92</v>
      </c>
      <c r="G969" t="s">
        <v>22</v>
      </c>
      <c r="H969" t="s">
        <v>23</v>
      </c>
      <c r="I969" t="s">
        <v>54</v>
      </c>
      <c r="J969" t="s">
        <v>38</v>
      </c>
      <c r="K969" t="s">
        <v>26</v>
      </c>
      <c r="L969">
        <v>1488.87</v>
      </c>
      <c r="M969">
        <v>54</v>
      </c>
      <c r="N969" s="11" t="s">
        <v>39</v>
      </c>
      <c r="O969" s="11" t="s">
        <v>48</v>
      </c>
      <c r="P969" s="14">
        <v>45894.927777777775</v>
      </c>
      <c r="Q969" t="s">
        <v>2908</v>
      </c>
    </row>
    <row r="970" spans="1:17">
      <c r="A970" s="8" t="s">
        <v>2909</v>
      </c>
      <c r="B970" s="8">
        <v>81085877</v>
      </c>
      <c r="C970" t="s">
        <v>1159</v>
      </c>
      <c r="D970" t="s">
        <v>2910</v>
      </c>
      <c r="E970" t="s">
        <v>523</v>
      </c>
      <c r="F970" t="s">
        <v>98</v>
      </c>
      <c r="G970" t="s">
        <v>98</v>
      </c>
      <c r="H970" t="s">
        <v>62</v>
      </c>
      <c r="I970" t="s">
        <v>54</v>
      </c>
      <c r="J970" t="s">
        <v>38</v>
      </c>
      <c r="K970" t="s">
        <v>69</v>
      </c>
      <c r="L970">
        <v>6220.65</v>
      </c>
      <c r="M970">
        <v>71</v>
      </c>
      <c r="N970" s="10" t="s">
        <v>27</v>
      </c>
      <c r="O970" s="10" t="s">
        <v>28</v>
      </c>
      <c r="P970" s="13">
        <v>45352.506944444445</v>
      </c>
      <c r="Q970" t="s">
        <v>2911</v>
      </c>
    </row>
    <row r="971" spans="1:17">
      <c r="A971" s="8" t="s">
        <v>2912</v>
      </c>
      <c r="B971" s="8">
        <v>87748507</v>
      </c>
      <c r="C971" t="s">
        <v>1421</v>
      </c>
      <c r="D971" t="s">
        <v>1531</v>
      </c>
      <c r="E971" t="s">
        <v>523</v>
      </c>
      <c r="F971" t="s">
        <v>180</v>
      </c>
      <c r="G971" t="s">
        <v>116</v>
      </c>
      <c r="H971" t="s">
        <v>62</v>
      </c>
      <c r="I971" t="s">
        <v>55</v>
      </c>
      <c r="J971" t="s">
        <v>103</v>
      </c>
      <c r="K971" t="s">
        <v>46</v>
      </c>
      <c r="L971">
        <v>8136.87</v>
      </c>
      <c r="M971">
        <v>31</v>
      </c>
      <c r="N971" s="11" t="s">
        <v>39</v>
      </c>
      <c r="O971" s="11" t="s">
        <v>28</v>
      </c>
      <c r="P971" s="14">
        <v>44162.111111111109</v>
      </c>
      <c r="Q971" t="s">
        <v>2913</v>
      </c>
    </row>
    <row r="972" spans="1:17">
      <c r="A972" s="8" t="s">
        <v>2914</v>
      </c>
      <c r="B972" s="8">
        <v>37182451</v>
      </c>
      <c r="C972" t="s">
        <v>260</v>
      </c>
      <c r="D972" t="s">
        <v>735</v>
      </c>
      <c r="E972" t="s">
        <v>523</v>
      </c>
      <c r="F972" t="s">
        <v>98</v>
      </c>
      <c r="G972" t="s">
        <v>98</v>
      </c>
      <c r="H972" t="s">
        <v>93</v>
      </c>
      <c r="I972" t="s">
        <v>23</v>
      </c>
      <c r="J972" t="s">
        <v>103</v>
      </c>
      <c r="K972" t="s">
        <v>63</v>
      </c>
      <c r="L972">
        <v>981.38</v>
      </c>
      <c r="M972">
        <v>72</v>
      </c>
      <c r="N972" s="10" t="s">
        <v>39</v>
      </c>
      <c r="O972" s="10" t="s">
        <v>28</v>
      </c>
      <c r="P972" s="13">
        <v>44381.222916666666</v>
      </c>
      <c r="Q972" t="s">
        <v>2915</v>
      </c>
    </row>
    <row r="973" spans="1:17">
      <c r="A973" s="8" t="s">
        <v>2916</v>
      </c>
      <c r="B973" s="8">
        <v>45376376</v>
      </c>
      <c r="C973" t="s">
        <v>825</v>
      </c>
      <c r="D973" t="s">
        <v>2917</v>
      </c>
      <c r="E973" t="s">
        <v>523</v>
      </c>
      <c r="F973" t="s">
        <v>80</v>
      </c>
      <c r="G973" t="s">
        <v>21</v>
      </c>
      <c r="H973" t="s">
        <v>68</v>
      </c>
      <c r="I973" t="s">
        <v>127</v>
      </c>
      <c r="J973" t="s">
        <v>38</v>
      </c>
      <c r="K973" t="s">
        <v>69</v>
      </c>
      <c r="L973">
        <v>2714.3</v>
      </c>
      <c r="M973">
        <v>65</v>
      </c>
      <c r="N973" s="11" t="s">
        <v>27</v>
      </c>
      <c r="O973" s="11" t="s">
        <v>28</v>
      </c>
      <c r="P973" s="14">
        <v>45455.862500000003</v>
      </c>
      <c r="Q973" t="s">
        <v>2918</v>
      </c>
    </row>
    <row r="974" spans="1:17">
      <c r="A974" s="8" t="s">
        <v>2919</v>
      </c>
      <c r="B974" s="8">
        <v>96379228</v>
      </c>
      <c r="C974" t="s">
        <v>2920</v>
      </c>
      <c r="D974" t="s">
        <v>1472</v>
      </c>
      <c r="E974" t="s">
        <v>523</v>
      </c>
      <c r="F974" t="s">
        <v>98</v>
      </c>
      <c r="G974" t="s">
        <v>21</v>
      </c>
      <c r="H974" t="s">
        <v>55</v>
      </c>
      <c r="I974" t="s">
        <v>54</v>
      </c>
      <c r="J974" t="s">
        <v>38</v>
      </c>
      <c r="K974" t="s">
        <v>63</v>
      </c>
      <c r="L974">
        <v>559.35</v>
      </c>
      <c r="M974">
        <v>24</v>
      </c>
      <c r="N974" s="10" t="s">
        <v>86</v>
      </c>
      <c r="O974" s="10" t="s">
        <v>28</v>
      </c>
      <c r="P974" s="13">
        <v>44772.659722222219</v>
      </c>
      <c r="Q974" t="s">
        <v>2921</v>
      </c>
    </row>
    <row r="975" spans="1:17">
      <c r="A975" s="8" t="s">
        <v>2922</v>
      </c>
      <c r="B975" s="8">
        <v>40051846</v>
      </c>
      <c r="C975" t="s">
        <v>1710</v>
      </c>
      <c r="D975" t="s">
        <v>597</v>
      </c>
      <c r="E975" t="s">
        <v>523</v>
      </c>
      <c r="F975" t="s">
        <v>92</v>
      </c>
      <c r="G975" t="s">
        <v>45</v>
      </c>
      <c r="H975" t="s">
        <v>36</v>
      </c>
      <c r="I975" t="s">
        <v>37</v>
      </c>
      <c r="J975" t="s">
        <v>56</v>
      </c>
      <c r="K975" t="s">
        <v>26</v>
      </c>
      <c r="L975">
        <v>4925.28</v>
      </c>
      <c r="M975">
        <v>24</v>
      </c>
      <c r="N975" s="11" t="s">
        <v>27</v>
      </c>
      <c r="O975" s="11" t="s">
        <v>81</v>
      </c>
      <c r="P975" s="14">
        <v>46134.197916666664</v>
      </c>
      <c r="Q975" t="s">
        <v>2923</v>
      </c>
    </row>
    <row r="976" spans="1:17">
      <c r="A976" s="8" t="s">
        <v>2924</v>
      </c>
      <c r="B976" s="8">
        <v>98342130</v>
      </c>
      <c r="C976" t="s">
        <v>1808</v>
      </c>
      <c r="D976" t="s">
        <v>2925</v>
      </c>
      <c r="E976" t="s">
        <v>523</v>
      </c>
      <c r="F976" t="s">
        <v>393</v>
      </c>
      <c r="G976" t="s">
        <v>45</v>
      </c>
      <c r="H976" t="s">
        <v>36</v>
      </c>
      <c r="I976" t="s">
        <v>93</v>
      </c>
      <c r="J976" t="s">
        <v>74</v>
      </c>
      <c r="K976" t="s">
        <v>46</v>
      </c>
      <c r="L976">
        <v>1413.28</v>
      </c>
      <c r="M976">
        <v>50</v>
      </c>
      <c r="N976" s="10" t="s">
        <v>39</v>
      </c>
      <c r="O976" s="10" t="s">
        <v>48</v>
      </c>
      <c r="P976" s="13">
        <v>44558.69027777778</v>
      </c>
      <c r="Q976" t="s">
        <v>2926</v>
      </c>
    </row>
    <row r="977" spans="1:17">
      <c r="A977" s="8" t="s">
        <v>2927</v>
      </c>
      <c r="B977" s="8">
        <v>51790477</v>
      </c>
      <c r="C977" t="s">
        <v>596</v>
      </c>
      <c r="D977" t="s">
        <v>1380</v>
      </c>
      <c r="E977" t="s">
        <v>523</v>
      </c>
      <c r="F977" t="s">
        <v>45</v>
      </c>
      <c r="G977" t="s">
        <v>22</v>
      </c>
      <c r="H977" t="s">
        <v>37</v>
      </c>
      <c r="I977" t="s">
        <v>93</v>
      </c>
      <c r="J977" t="s">
        <v>25</v>
      </c>
      <c r="K977" t="s">
        <v>26</v>
      </c>
      <c r="L977">
        <v>6014.94</v>
      </c>
      <c r="M977">
        <v>40</v>
      </c>
      <c r="N977" s="11" t="s">
        <v>39</v>
      </c>
      <c r="O977" s="11" t="s">
        <v>28</v>
      </c>
      <c r="P977" s="14">
        <v>44710.135416666664</v>
      </c>
      <c r="Q977" t="s">
        <v>2928</v>
      </c>
    </row>
    <row r="978" spans="1:17">
      <c r="A978" s="8" t="s">
        <v>2929</v>
      </c>
      <c r="B978" s="8">
        <v>70442839</v>
      </c>
      <c r="C978" t="s">
        <v>1091</v>
      </c>
      <c r="D978" t="s">
        <v>2930</v>
      </c>
      <c r="E978" t="s">
        <v>523</v>
      </c>
      <c r="F978" t="s">
        <v>21</v>
      </c>
      <c r="G978" t="s">
        <v>121</v>
      </c>
      <c r="H978" t="s">
        <v>37</v>
      </c>
      <c r="I978" t="s">
        <v>55</v>
      </c>
      <c r="J978" t="s">
        <v>103</v>
      </c>
      <c r="K978" t="s">
        <v>69</v>
      </c>
      <c r="L978">
        <v>6186.09</v>
      </c>
      <c r="M978">
        <v>36</v>
      </c>
      <c r="N978" s="10" t="s">
        <v>39</v>
      </c>
      <c r="O978" s="10" t="s">
        <v>75</v>
      </c>
      <c r="P978" s="13">
        <v>44479.638888888891</v>
      </c>
      <c r="Q978" t="s">
        <v>2931</v>
      </c>
    </row>
    <row r="979" spans="1:17">
      <c r="A979" s="8" t="s">
        <v>2932</v>
      </c>
      <c r="B979" s="8">
        <v>28080813</v>
      </c>
      <c r="C979" t="s">
        <v>836</v>
      </c>
      <c r="D979" t="s">
        <v>89</v>
      </c>
      <c r="E979" t="s">
        <v>523</v>
      </c>
      <c r="F979" t="s">
        <v>98</v>
      </c>
      <c r="G979" t="s">
        <v>45</v>
      </c>
      <c r="H979" t="s">
        <v>62</v>
      </c>
      <c r="I979" t="s">
        <v>54</v>
      </c>
      <c r="J979" t="s">
        <v>74</v>
      </c>
      <c r="K979" t="s">
        <v>63</v>
      </c>
      <c r="L979">
        <v>13651.08</v>
      </c>
      <c r="M979">
        <v>36</v>
      </c>
      <c r="N979" s="11" t="s">
        <v>47</v>
      </c>
      <c r="O979" s="11" t="s">
        <v>81</v>
      </c>
      <c r="P979" s="14">
        <v>44830.137499999997</v>
      </c>
      <c r="Q979" t="s">
        <v>2933</v>
      </c>
    </row>
    <row r="980" spans="1:17">
      <c r="A980" s="8" t="s">
        <v>2934</v>
      </c>
      <c r="B980" s="8">
        <v>54483342</v>
      </c>
      <c r="C980" t="s">
        <v>146</v>
      </c>
      <c r="D980" t="s">
        <v>236</v>
      </c>
      <c r="E980" t="s">
        <v>523</v>
      </c>
      <c r="F980" t="s">
        <v>45</v>
      </c>
      <c r="G980" t="s">
        <v>21</v>
      </c>
      <c r="H980" t="s">
        <v>62</v>
      </c>
      <c r="I980" t="s">
        <v>68</v>
      </c>
      <c r="J980" t="s">
        <v>38</v>
      </c>
      <c r="K980" t="s">
        <v>69</v>
      </c>
      <c r="L980">
        <v>1043.9000000000001</v>
      </c>
      <c r="M980">
        <v>53</v>
      </c>
      <c r="N980" s="10" t="s">
        <v>57</v>
      </c>
      <c r="O980" s="10" t="s">
        <v>75</v>
      </c>
      <c r="P980" s="13">
        <v>45352.697222222225</v>
      </c>
      <c r="Q980" t="s">
        <v>2935</v>
      </c>
    </row>
    <row r="981" spans="1:17">
      <c r="A981" s="8" t="s">
        <v>2936</v>
      </c>
      <c r="B981" s="8">
        <v>0</v>
      </c>
      <c r="C981" t="s">
        <v>146</v>
      </c>
      <c r="D981" t="s">
        <v>1409</v>
      </c>
      <c r="E981" t="s">
        <v>523</v>
      </c>
      <c r="F981" t="s">
        <v>34</v>
      </c>
      <c r="G981" t="s">
        <v>22</v>
      </c>
      <c r="H981" t="s">
        <v>54</v>
      </c>
      <c r="I981" t="s">
        <v>24</v>
      </c>
      <c r="J981" t="s">
        <v>103</v>
      </c>
      <c r="K981" t="s">
        <v>46</v>
      </c>
      <c r="L981">
        <v>13979.05</v>
      </c>
      <c r="M981">
        <v>46</v>
      </c>
      <c r="N981" s="11" t="s">
        <v>27</v>
      </c>
      <c r="O981" s="11" t="s">
        <v>28</v>
      </c>
      <c r="P981" s="14">
        <v>46349.912499999999</v>
      </c>
      <c r="Q981" t="s">
        <v>2937</v>
      </c>
    </row>
    <row r="982" spans="1:17">
      <c r="A982" s="8" t="s">
        <v>2938</v>
      </c>
      <c r="B982" s="8">
        <v>0</v>
      </c>
      <c r="C982" t="s">
        <v>2101</v>
      </c>
      <c r="D982" t="s">
        <v>685</v>
      </c>
      <c r="E982" t="s">
        <v>523</v>
      </c>
      <c r="F982" t="s">
        <v>35</v>
      </c>
      <c r="G982" t="s">
        <v>121</v>
      </c>
      <c r="H982" t="s">
        <v>54</v>
      </c>
      <c r="I982" t="s">
        <v>127</v>
      </c>
      <c r="J982" t="s">
        <v>25</v>
      </c>
      <c r="K982" t="s">
        <v>46</v>
      </c>
      <c r="L982">
        <v>8866.07</v>
      </c>
      <c r="M982">
        <v>77</v>
      </c>
      <c r="N982" s="10" t="s">
        <v>27</v>
      </c>
      <c r="O982" s="10" t="s">
        <v>48</v>
      </c>
      <c r="P982" s="13">
        <v>45443.977083333331</v>
      </c>
      <c r="Q982" t="s">
        <v>2939</v>
      </c>
    </row>
    <row r="983" spans="1:17">
      <c r="A983" s="8" t="s">
        <v>2940</v>
      </c>
      <c r="B983" s="8">
        <v>99179347</v>
      </c>
      <c r="C983" t="s">
        <v>1966</v>
      </c>
      <c r="D983" t="s">
        <v>377</v>
      </c>
      <c r="E983" t="s">
        <v>523</v>
      </c>
      <c r="F983" t="s">
        <v>21</v>
      </c>
      <c r="G983" t="s">
        <v>92</v>
      </c>
      <c r="H983" t="s">
        <v>68</v>
      </c>
      <c r="I983" t="s">
        <v>37</v>
      </c>
      <c r="J983" t="s">
        <v>38</v>
      </c>
      <c r="K983" t="s">
        <v>63</v>
      </c>
      <c r="L983">
        <v>5773.22</v>
      </c>
      <c r="M983">
        <v>19</v>
      </c>
      <c r="N983" s="11" t="s">
        <v>47</v>
      </c>
      <c r="O983" s="11" t="s">
        <v>28</v>
      </c>
      <c r="P983" s="14">
        <v>46385.029861111114</v>
      </c>
      <c r="Q983" t="s">
        <v>2941</v>
      </c>
    </row>
    <row r="984" spans="1:17">
      <c r="A984" s="8" t="s">
        <v>2942</v>
      </c>
      <c r="B984" s="8">
        <v>10200744</v>
      </c>
      <c r="C984" t="s">
        <v>983</v>
      </c>
      <c r="D984" t="s">
        <v>544</v>
      </c>
      <c r="E984" t="s">
        <v>523</v>
      </c>
      <c r="F984" t="s">
        <v>53</v>
      </c>
      <c r="G984" t="s">
        <v>21</v>
      </c>
      <c r="H984" t="s">
        <v>54</v>
      </c>
      <c r="I984" t="s">
        <v>23</v>
      </c>
      <c r="J984" t="s">
        <v>38</v>
      </c>
      <c r="K984" t="s">
        <v>46</v>
      </c>
      <c r="L984">
        <v>14682.94</v>
      </c>
      <c r="M984">
        <v>18</v>
      </c>
      <c r="N984" s="10" t="s">
        <v>57</v>
      </c>
      <c r="O984" s="10" t="s">
        <v>28</v>
      </c>
      <c r="P984" s="13">
        <v>44840.154166666667</v>
      </c>
      <c r="Q984" t="s">
        <v>2943</v>
      </c>
    </row>
    <row r="985" spans="1:17">
      <c r="A985" s="8" t="s">
        <v>2944</v>
      </c>
      <c r="B985" s="8">
        <v>22587924</v>
      </c>
      <c r="C985" t="s">
        <v>2218</v>
      </c>
      <c r="D985" t="s">
        <v>986</v>
      </c>
      <c r="E985" t="s">
        <v>523</v>
      </c>
      <c r="F985" t="s">
        <v>21</v>
      </c>
      <c r="G985" t="s">
        <v>45</v>
      </c>
      <c r="H985" t="s">
        <v>55</v>
      </c>
      <c r="I985" t="s">
        <v>68</v>
      </c>
      <c r="J985" t="s">
        <v>74</v>
      </c>
      <c r="K985" t="s">
        <v>26</v>
      </c>
      <c r="L985">
        <v>11655.19</v>
      </c>
      <c r="M985">
        <v>64</v>
      </c>
      <c r="N985" s="11" t="s">
        <v>57</v>
      </c>
      <c r="O985" s="11" t="s">
        <v>28</v>
      </c>
      <c r="P985" s="14">
        <v>45381.167361111111</v>
      </c>
      <c r="Q985" t="s">
        <v>2945</v>
      </c>
    </row>
    <row r="986" spans="1:17">
      <c r="A986" s="8" t="s">
        <v>2946</v>
      </c>
      <c r="B986" s="8">
        <v>24769811</v>
      </c>
      <c r="C986" t="s">
        <v>678</v>
      </c>
      <c r="D986" t="s">
        <v>1911</v>
      </c>
      <c r="E986" t="s">
        <v>523</v>
      </c>
      <c r="F986" t="s">
        <v>160</v>
      </c>
      <c r="G986" t="s">
        <v>121</v>
      </c>
      <c r="H986" t="s">
        <v>55</v>
      </c>
      <c r="I986" t="s">
        <v>36</v>
      </c>
      <c r="J986" t="s">
        <v>38</v>
      </c>
      <c r="K986" t="s">
        <v>46</v>
      </c>
      <c r="L986">
        <v>5029.4799999999996</v>
      </c>
      <c r="M986">
        <v>37</v>
      </c>
      <c r="N986" s="10" t="s">
        <v>27</v>
      </c>
      <c r="O986" s="10" t="s">
        <v>48</v>
      </c>
      <c r="P986" s="13">
        <v>44634.693749999999</v>
      </c>
      <c r="Q986" t="s">
        <v>2947</v>
      </c>
    </row>
    <row r="987" spans="1:17">
      <c r="A987" s="8" t="s">
        <v>2948</v>
      </c>
      <c r="B987" s="8">
        <v>83494016</v>
      </c>
      <c r="C987" t="s">
        <v>809</v>
      </c>
      <c r="D987" t="s">
        <v>2152</v>
      </c>
      <c r="E987" t="s">
        <v>523</v>
      </c>
      <c r="F987" t="s">
        <v>34</v>
      </c>
      <c r="G987" t="s">
        <v>35</v>
      </c>
      <c r="H987" t="s">
        <v>36</v>
      </c>
      <c r="I987" t="s">
        <v>68</v>
      </c>
      <c r="J987" t="s">
        <v>103</v>
      </c>
      <c r="K987" t="s">
        <v>46</v>
      </c>
      <c r="L987">
        <v>3844.71</v>
      </c>
      <c r="M987">
        <v>28</v>
      </c>
      <c r="N987" s="11" t="s">
        <v>27</v>
      </c>
      <c r="O987" s="11" t="s">
        <v>81</v>
      </c>
      <c r="P987" s="14">
        <v>44044.222222222219</v>
      </c>
      <c r="Q987" t="s">
        <v>2949</v>
      </c>
    </row>
    <row r="988" spans="1:17">
      <c r="A988" s="8" t="s">
        <v>2950</v>
      </c>
      <c r="B988" s="8">
        <v>18872420</v>
      </c>
      <c r="C988" t="s">
        <v>1933</v>
      </c>
      <c r="D988" t="s">
        <v>2951</v>
      </c>
      <c r="E988" t="s">
        <v>523</v>
      </c>
      <c r="F988" t="s">
        <v>523</v>
      </c>
      <c r="G988" t="s">
        <v>22</v>
      </c>
      <c r="H988" t="s">
        <v>24</v>
      </c>
      <c r="I988" t="s">
        <v>55</v>
      </c>
      <c r="J988" t="s">
        <v>38</v>
      </c>
      <c r="K988" t="s">
        <v>69</v>
      </c>
      <c r="L988">
        <v>3918.11</v>
      </c>
      <c r="M988">
        <v>19</v>
      </c>
      <c r="N988" s="10" t="s">
        <v>27</v>
      </c>
      <c r="O988" s="10" t="s">
        <v>81</v>
      </c>
      <c r="P988" s="13">
        <v>43999.341666666667</v>
      </c>
      <c r="Q988" t="s">
        <v>2952</v>
      </c>
    </row>
    <row r="989" spans="1:17">
      <c r="A989" s="8" t="s">
        <v>2953</v>
      </c>
      <c r="B989" s="8">
        <v>42730364</v>
      </c>
      <c r="C989" t="s">
        <v>2954</v>
      </c>
      <c r="D989" t="s">
        <v>1787</v>
      </c>
      <c r="E989" t="s">
        <v>523</v>
      </c>
      <c r="F989" t="s">
        <v>294</v>
      </c>
      <c r="G989" t="s">
        <v>121</v>
      </c>
      <c r="H989" t="s">
        <v>55</v>
      </c>
      <c r="I989" t="s">
        <v>127</v>
      </c>
      <c r="J989" t="s">
        <v>38</v>
      </c>
      <c r="K989" t="s">
        <v>63</v>
      </c>
      <c r="L989">
        <v>7211.54</v>
      </c>
      <c r="M989">
        <v>84</v>
      </c>
      <c r="N989" s="11" t="s">
        <v>47</v>
      </c>
      <c r="O989" s="11" t="s">
        <v>28</v>
      </c>
      <c r="P989" s="14">
        <v>44808.427083333336</v>
      </c>
      <c r="Q989" t="s">
        <v>2955</v>
      </c>
    </row>
    <row r="990" spans="1:17">
      <c r="A990" s="8" t="s">
        <v>2956</v>
      </c>
      <c r="B990" s="8">
        <v>94732636</v>
      </c>
      <c r="C990" t="s">
        <v>146</v>
      </c>
      <c r="D990" t="s">
        <v>167</v>
      </c>
      <c r="E990" t="s">
        <v>523</v>
      </c>
      <c r="F990" t="s">
        <v>35</v>
      </c>
      <c r="G990" t="s">
        <v>98</v>
      </c>
      <c r="H990" t="s">
        <v>127</v>
      </c>
      <c r="I990" t="s">
        <v>62</v>
      </c>
      <c r="J990" t="s">
        <v>103</v>
      </c>
      <c r="K990" t="s">
        <v>26</v>
      </c>
      <c r="L990">
        <v>4966.72</v>
      </c>
      <c r="M990">
        <v>29</v>
      </c>
      <c r="N990" s="10" t="s">
        <v>39</v>
      </c>
      <c r="O990" s="10" t="s">
        <v>28</v>
      </c>
      <c r="P990" s="13">
        <v>45159.665277777778</v>
      </c>
      <c r="Q990" t="s">
        <v>2957</v>
      </c>
    </row>
    <row r="991" spans="1:17">
      <c r="A991" s="8" t="s">
        <v>2958</v>
      </c>
      <c r="B991" s="8">
        <v>19677366</v>
      </c>
      <c r="C991" t="s">
        <v>2951</v>
      </c>
      <c r="D991" t="s">
        <v>1021</v>
      </c>
      <c r="E991" t="s">
        <v>523</v>
      </c>
      <c r="F991" t="s">
        <v>112</v>
      </c>
      <c r="G991" t="s">
        <v>160</v>
      </c>
      <c r="H991" t="s">
        <v>62</v>
      </c>
      <c r="I991" t="s">
        <v>62</v>
      </c>
      <c r="J991" t="s">
        <v>103</v>
      </c>
      <c r="K991" t="s">
        <v>46</v>
      </c>
      <c r="L991">
        <v>10373.82</v>
      </c>
      <c r="M991">
        <v>37</v>
      </c>
      <c r="N991" s="11" t="s">
        <v>57</v>
      </c>
      <c r="O991" s="11" t="s">
        <v>28</v>
      </c>
      <c r="P991" s="14">
        <v>43976.070138888892</v>
      </c>
      <c r="Q991" t="s">
        <v>2959</v>
      </c>
    </row>
    <row r="992" spans="1:17">
      <c r="A992" s="8" t="s">
        <v>2960</v>
      </c>
      <c r="B992" s="8">
        <v>23837417</v>
      </c>
      <c r="C992" t="s">
        <v>1319</v>
      </c>
      <c r="D992" t="s">
        <v>1483</v>
      </c>
      <c r="E992" t="s">
        <v>523</v>
      </c>
      <c r="F992" t="s">
        <v>1084</v>
      </c>
      <c r="G992" t="s">
        <v>21</v>
      </c>
      <c r="H992" t="s">
        <v>37</v>
      </c>
      <c r="I992" t="s">
        <v>54</v>
      </c>
      <c r="J992" t="s">
        <v>38</v>
      </c>
      <c r="K992" t="s">
        <v>63</v>
      </c>
      <c r="L992">
        <v>2118.34</v>
      </c>
      <c r="M992">
        <v>22</v>
      </c>
      <c r="N992" s="10" t="s">
        <v>47</v>
      </c>
      <c r="O992" s="10" t="s">
        <v>48</v>
      </c>
      <c r="P992" s="13">
        <v>45629.463194444441</v>
      </c>
      <c r="Q992" t="s">
        <v>2961</v>
      </c>
    </row>
    <row r="993" spans="1:17">
      <c r="A993" s="8" t="s">
        <v>2962</v>
      </c>
      <c r="B993" s="8">
        <v>60704870</v>
      </c>
      <c r="C993" t="s">
        <v>939</v>
      </c>
      <c r="D993" t="s">
        <v>1465</v>
      </c>
      <c r="E993" t="s">
        <v>523</v>
      </c>
      <c r="F993" t="s">
        <v>22</v>
      </c>
      <c r="G993" t="s">
        <v>116</v>
      </c>
      <c r="H993" t="s">
        <v>54</v>
      </c>
      <c r="I993" t="s">
        <v>54</v>
      </c>
      <c r="J993" t="s">
        <v>74</v>
      </c>
      <c r="K993" t="s">
        <v>26</v>
      </c>
      <c r="L993">
        <v>8642.3799999999992</v>
      </c>
      <c r="M993">
        <v>54</v>
      </c>
      <c r="N993" s="11" t="s">
        <v>47</v>
      </c>
      <c r="O993" s="11" t="s">
        <v>48</v>
      </c>
      <c r="P993" s="14">
        <v>44346.445138888892</v>
      </c>
      <c r="Q993" t="s">
        <v>2963</v>
      </c>
    </row>
    <row r="994" spans="1:17">
      <c r="A994" s="8" t="s">
        <v>2964</v>
      </c>
      <c r="B994" s="8">
        <v>55034753</v>
      </c>
      <c r="C994" t="s">
        <v>192</v>
      </c>
      <c r="D994" t="s">
        <v>1056</v>
      </c>
      <c r="E994" t="s">
        <v>523</v>
      </c>
      <c r="F994" t="s">
        <v>21</v>
      </c>
      <c r="G994" t="s">
        <v>121</v>
      </c>
      <c r="H994" t="s">
        <v>36</v>
      </c>
      <c r="I994" t="s">
        <v>55</v>
      </c>
      <c r="J994" t="s">
        <v>56</v>
      </c>
      <c r="K994" t="s">
        <v>69</v>
      </c>
      <c r="L994">
        <v>2607.21</v>
      </c>
      <c r="M994">
        <v>55</v>
      </c>
      <c r="N994" s="10" t="s">
        <v>27</v>
      </c>
      <c r="O994" s="10" t="s">
        <v>81</v>
      </c>
      <c r="P994" s="13">
        <v>44283.538888888892</v>
      </c>
      <c r="Q994" t="s">
        <v>2965</v>
      </c>
    </row>
    <row r="995" spans="1:17">
      <c r="A995" s="8" t="s">
        <v>2966</v>
      </c>
      <c r="B995" s="8">
        <v>95450709</v>
      </c>
      <c r="C995" t="s">
        <v>797</v>
      </c>
      <c r="D995" t="s">
        <v>164</v>
      </c>
      <c r="E995" t="s">
        <v>523</v>
      </c>
      <c r="F995" t="s">
        <v>121</v>
      </c>
      <c r="G995" t="s">
        <v>53</v>
      </c>
      <c r="H995" t="s">
        <v>93</v>
      </c>
      <c r="I995" t="s">
        <v>23</v>
      </c>
      <c r="J995" t="s">
        <v>74</v>
      </c>
      <c r="K995" t="s">
        <v>69</v>
      </c>
      <c r="L995">
        <v>6077.44</v>
      </c>
      <c r="M995">
        <v>26</v>
      </c>
      <c r="N995" s="11" t="s">
        <v>86</v>
      </c>
      <c r="O995" s="11" t="s">
        <v>75</v>
      </c>
      <c r="P995" s="14">
        <v>43890.693055555559</v>
      </c>
      <c r="Q995" t="s">
        <v>2967</v>
      </c>
    </row>
    <row r="996" spans="1:17">
      <c r="A996" s="8" t="s">
        <v>2968</v>
      </c>
      <c r="B996" s="8">
        <v>31166948</v>
      </c>
      <c r="C996" t="s">
        <v>2461</v>
      </c>
      <c r="D996" t="s">
        <v>208</v>
      </c>
      <c r="E996" t="s">
        <v>523</v>
      </c>
      <c r="F996" t="s">
        <v>80</v>
      </c>
      <c r="G996" t="s">
        <v>116</v>
      </c>
      <c r="H996" t="s">
        <v>37</v>
      </c>
      <c r="I996" t="s">
        <v>54</v>
      </c>
      <c r="J996" t="s">
        <v>74</v>
      </c>
      <c r="K996" t="s">
        <v>26</v>
      </c>
      <c r="L996">
        <v>6070.75</v>
      </c>
      <c r="M996">
        <v>70</v>
      </c>
      <c r="N996" s="10" t="s">
        <v>27</v>
      </c>
      <c r="O996" s="10" t="s">
        <v>75</v>
      </c>
      <c r="P996" s="13">
        <v>44358.959722222222</v>
      </c>
      <c r="Q996" t="s">
        <v>2969</v>
      </c>
    </row>
    <row r="997" spans="1:17">
      <c r="A997" s="8" t="s">
        <v>2970</v>
      </c>
      <c r="B997" s="8">
        <v>41316383</v>
      </c>
      <c r="C997" t="s">
        <v>1183</v>
      </c>
      <c r="D997" t="s">
        <v>1971</v>
      </c>
      <c r="E997" t="s">
        <v>523</v>
      </c>
      <c r="F997" t="s">
        <v>22</v>
      </c>
      <c r="G997" t="s">
        <v>92</v>
      </c>
      <c r="H997" t="s">
        <v>127</v>
      </c>
      <c r="I997" t="s">
        <v>24</v>
      </c>
      <c r="J997" t="s">
        <v>74</v>
      </c>
      <c r="K997" t="s">
        <v>26</v>
      </c>
      <c r="L997">
        <v>4351.6499999999996</v>
      </c>
      <c r="M997">
        <v>61</v>
      </c>
      <c r="N997" s="11" t="s">
        <v>39</v>
      </c>
      <c r="O997" s="11" t="s">
        <v>81</v>
      </c>
      <c r="P997" s="14">
        <v>44854.8</v>
      </c>
      <c r="Q997" t="s">
        <v>2971</v>
      </c>
    </row>
    <row r="998" spans="1:17">
      <c r="A998" s="8" t="s">
        <v>2972</v>
      </c>
      <c r="B998" s="8">
        <v>36375893</v>
      </c>
      <c r="C998" t="s">
        <v>453</v>
      </c>
      <c r="D998" t="s">
        <v>424</v>
      </c>
      <c r="E998" t="s">
        <v>523</v>
      </c>
      <c r="F998" t="s">
        <v>53</v>
      </c>
      <c r="G998" t="s">
        <v>121</v>
      </c>
      <c r="H998" t="s">
        <v>54</v>
      </c>
      <c r="I998" t="s">
        <v>127</v>
      </c>
      <c r="J998" t="s">
        <v>38</v>
      </c>
      <c r="K998" t="s">
        <v>63</v>
      </c>
      <c r="L998">
        <v>401.75</v>
      </c>
      <c r="M998">
        <v>41</v>
      </c>
      <c r="N998" s="10" t="s">
        <v>86</v>
      </c>
      <c r="O998" s="10" t="s">
        <v>81</v>
      </c>
      <c r="P998" s="13">
        <v>46352.754166666666</v>
      </c>
      <c r="Q998" t="s">
        <v>2973</v>
      </c>
    </row>
    <row r="999" spans="1:17">
      <c r="A999" s="8" t="s">
        <v>2974</v>
      </c>
      <c r="B999" s="8">
        <v>20356771</v>
      </c>
      <c r="C999" t="s">
        <v>761</v>
      </c>
      <c r="D999" t="s">
        <v>829</v>
      </c>
      <c r="E999" t="s">
        <v>523</v>
      </c>
      <c r="F999" t="s">
        <v>98</v>
      </c>
      <c r="G999" t="s">
        <v>35</v>
      </c>
      <c r="H999" t="s">
        <v>127</v>
      </c>
      <c r="I999" t="s">
        <v>55</v>
      </c>
      <c r="J999" t="s">
        <v>38</v>
      </c>
      <c r="K999" t="s">
        <v>26</v>
      </c>
      <c r="L999">
        <v>356.59</v>
      </c>
      <c r="M999">
        <v>47</v>
      </c>
      <c r="N999" s="11" t="s">
        <v>47</v>
      </c>
      <c r="O999" s="11" t="s">
        <v>81</v>
      </c>
      <c r="P999" s="14">
        <v>45395.345833333333</v>
      </c>
      <c r="Q999" t="s">
        <v>2975</v>
      </c>
    </row>
    <row r="1000" spans="1:17">
      <c r="A1000" s="8" t="s">
        <v>2976</v>
      </c>
      <c r="B1000" s="8">
        <v>66856278</v>
      </c>
      <c r="C1000" t="s">
        <v>593</v>
      </c>
      <c r="D1000" t="s">
        <v>2977</v>
      </c>
      <c r="E1000" t="s">
        <v>523</v>
      </c>
      <c r="F1000" t="s">
        <v>98</v>
      </c>
      <c r="G1000" t="s">
        <v>21</v>
      </c>
      <c r="H1000" t="s">
        <v>62</v>
      </c>
      <c r="I1000" t="s">
        <v>93</v>
      </c>
      <c r="J1000" t="s">
        <v>103</v>
      </c>
      <c r="K1000" t="s">
        <v>26</v>
      </c>
      <c r="L1000">
        <v>11758.48</v>
      </c>
      <c r="M1000">
        <v>76</v>
      </c>
      <c r="N1000" s="10" t="s">
        <v>27</v>
      </c>
      <c r="O1000" s="10" t="s">
        <v>75</v>
      </c>
      <c r="P1000" s="13">
        <v>44933.536805555559</v>
      </c>
      <c r="Q1000" t="s">
        <v>2978</v>
      </c>
    </row>
    <row r="1001" spans="1:17">
      <c r="A1001" s="8" t="s">
        <v>2979</v>
      </c>
      <c r="B1001" s="8">
        <v>49800622</v>
      </c>
      <c r="C1001" t="s">
        <v>1659</v>
      </c>
      <c r="D1001" t="s">
        <v>1233</v>
      </c>
      <c r="E1001" t="s">
        <v>523</v>
      </c>
      <c r="F1001" t="s">
        <v>121</v>
      </c>
      <c r="G1001" t="s">
        <v>116</v>
      </c>
      <c r="H1001" t="s">
        <v>62</v>
      </c>
      <c r="I1001" t="s">
        <v>36</v>
      </c>
      <c r="J1001" t="s">
        <v>103</v>
      </c>
      <c r="K1001" t="s">
        <v>69</v>
      </c>
      <c r="L1001">
        <v>3236.32</v>
      </c>
      <c r="M1001">
        <v>31</v>
      </c>
      <c r="N1001" s="11" t="s">
        <v>27</v>
      </c>
      <c r="O1001" s="11" t="s">
        <v>75</v>
      </c>
      <c r="P1001" s="14">
        <v>44263.306250000001</v>
      </c>
      <c r="Q1001" t="s">
        <v>2980</v>
      </c>
    </row>
    <row r="1002" spans="1:17">
      <c r="A1002" s="8" t="s">
        <v>2981</v>
      </c>
      <c r="B1002" s="8">
        <v>71762245</v>
      </c>
      <c r="C1002" t="s">
        <v>448</v>
      </c>
      <c r="D1002" t="s">
        <v>861</v>
      </c>
      <c r="E1002" t="s">
        <v>523</v>
      </c>
      <c r="F1002" t="s">
        <v>80</v>
      </c>
      <c r="G1002" t="s">
        <v>92</v>
      </c>
      <c r="H1002" t="s">
        <v>68</v>
      </c>
      <c r="I1002" t="s">
        <v>55</v>
      </c>
      <c r="J1002" t="s">
        <v>25</v>
      </c>
      <c r="K1002" t="s">
        <v>26</v>
      </c>
      <c r="L1002">
        <v>1620.47</v>
      </c>
      <c r="M1002">
        <v>26</v>
      </c>
      <c r="N1002" s="10" t="s">
        <v>57</v>
      </c>
      <c r="O1002" s="10" t="s">
        <v>28</v>
      </c>
      <c r="P1002" s="13">
        <v>45007.723611111112</v>
      </c>
      <c r="Q1002" t="s">
        <v>2982</v>
      </c>
    </row>
    <row r="1003" spans="1:17">
      <c r="A1003" s="8" t="s">
        <v>2983</v>
      </c>
      <c r="B1003" s="8">
        <v>40389767</v>
      </c>
      <c r="C1003" t="s">
        <v>604</v>
      </c>
      <c r="D1003" t="s">
        <v>267</v>
      </c>
      <c r="E1003" t="s">
        <v>523</v>
      </c>
      <c r="F1003" t="s">
        <v>45</v>
      </c>
      <c r="G1003" t="s">
        <v>92</v>
      </c>
      <c r="H1003" t="s">
        <v>36</v>
      </c>
      <c r="I1003" t="s">
        <v>55</v>
      </c>
      <c r="J1003" t="s">
        <v>25</v>
      </c>
      <c r="K1003" t="s">
        <v>69</v>
      </c>
      <c r="L1003">
        <v>693.4</v>
      </c>
      <c r="M1003">
        <v>57</v>
      </c>
      <c r="N1003" s="11" t="s">
        <v>27</v>
      </c>
      <c r="O1003" s="11" t="s">
        <v>75</v>
      </c>
      <c r="P1003" s="14">
        <v>44231.075694444444</v>
      </c>
      <c r="Q1003" t="s">
        <v>2984</v>
      </c>
    </row>
    <row r="1004" spans="1:17">
      <c r="A1004" s="8" t="s">
        <v>2985</v>
      </c>
      <c r="B1004" s="8">
        <v>83068652</v>
      </c>
      <c r="C1004" t="s">
        <v>2986</v>
      </c>
      <c r="D1004" t="s">
        <v>1938</v>
      </c>
      <c r="E1004" t="s">
        <v>523</v>
      </c>
      <c r="F1004" t="s">
        <v>116</v>
      </c>
      <c r="G1004" t="s">
        <v>45</v>
      </c>
      <c r="H1004" t="s">
        <v>37</v>
      </c>
      <c r="I1004" t="s">
        <v>62</v>
      </c>
      <c r="J1004" t="s">
        <v>38</v>
      </c>
      <c r="K1004" t="s">
        <v>26</v>
      </c>
      <c r="L1004">
        <v>13405.54</v>
      </c>
      <c r="M1004">
        <v>83</v>
      </c>
      <c r="N1004" s="10" t="s">
        <v>86</v>
      </c>
      <c r="O1004" s="10" t="s">
        <v>48</v>
      </c>
      <c r="P1004" s="13">
        <v>45935.715277777781</v>
      </c>
      <c r="Q1004" t="s">
        <v>2987</v>
      </c>
    </row>
    <row r="1005" spans="1:17">
      <c r="A1005" s="8" t="s">
        <v>2988</v>
      </c>
      <c r="B1005" s="8">
        <v>15309049</v>
      </c>
      <c r="C1005" t="s">
        <v>171</v>
      </c>
      <c r="D1005" t="s">
        <v>970</v>
      </c>
      <c r="E1005" t="s">
        <v>523</v>
      </c>
      <c r="F1005" t="s">
        <v>121</v>
      </c>
      <c r="G1005" t="s">
        <v>53</v>
      </c>
      <c r="H1005" t="s">
        <v>23</v>
      </c>
      <c r="I1005" t="s">
        <v>37</v>
      </c>
      <c r="J1005" t="s">
        <v>25</v>
      </c>
      <c r="K1005" t="s">
        <v>26</v>
      </c>
      <c r="L1005">
        <v>4795.58</v>
      </c>
      <c r="M1005">
        <v>42</v>
      </c>
      <c r="N1005" s="11" t="s">
        <v>86</v>
      </c>
      <c r="O1005" s="11" t="s">
        <v>81</v>
      </c>
      <c r="P1005" s="14">
        <v>46064.009027777778</v>
      </c>
      <c r="Q1005" t="s">
        <v>2989</v>
      </c>
    </row>
    <row r="1006" spans="1:17">
      <c r="A1006" s="8" t="s">
        <v>2990</v>
      </c>
      <c r="B1006" s="8">
        <v>82953400</v>
      </c>
      <c r="C1006" t="s">
        <v>1519</v>
      </c>
      <c r="D1006" t="s">
        <v>2043</v>
      </c>
      <c r="E1006" t="s">
        <v>523</v>
      </c>
      <c r="F1006" t="s">
        <v>35</v>
      </c>
      <c r="G1006" t="s">
        <v>22</v>
      </c>
      <c r="H1006" t="s">
        <v>23</v>
      </c>
      <c r="I1006" t="s">
        <v>23</v>
      </c>
      <c r="J1006" t="s">
        <v>25</v>
      </c>
      <c r="K1006" t="s">
        <v>63</v>
      </c>
      <c r="L1006">
        <v>10230.86</v>
      </c>
      <c r="M1006">
        <v>39</v>
      </c>
      <c r="N1006" s="10" t="s">
        <v>86</v>
      </c>
      <c r="O1006" s="10" t="s">
        <v>48</v>
      </c>
      <c r="P1006" s="13">
        <v>46276.631944444445</v>
      </c>
      <c r="Q1006" t="s">
        <v>2991</v>
      </c>
    </row>
    <row r="1007" spans="1:17">
      <c r="A1007" s="8" t="s">
        <v>2992</v>
      </c>
      <c r="B1007" s="8">
        <v>26002927</v>
      </c>
      <c r="C1007" t="s">
        <v>667</v>
      </c>
      <c r="D1007" t="s">
        <v>897</v>
      </c>
      <c r="E1007" t="s">
        <v>523</v>
      </c>
      <c r="F1007" t="s">
        <v>53</v>
      </c>
      <c r="G1007" t="s">
        <v>34</v>
      </c>
      <c r="H1007" t="s">
        <v>37</v>
      </c>
      <c r="I1007" t="s">
        <v>37</v>
      </c>
      <c r="J1007" t="s">
        <v>56</v>
      </c>
      <c r="K1007" t="s">
        <v>26</v>
      </c>
      <c r="L1007">
        <v>12738.51</v>
      </c>
      <c r="M1007">
        <v>21</v>
      </c>
      <c r="N1007" s="11" t="s">
        <v>57</v>
      </c>
      <c r="O1007" s="11" t="s">
        <v>81</v>
      </c>
      <c r="P1007" s="14">
        <v>44435.004166666666</v>
      </c>
      <c r="Q1007" t="s">
        <v>2993</v>
      </c>
    </row>
    <row r="1008" spans="1:17">
      <c r="A1008" s="8" t="s">
        <v>2994</v>
      </c>
      <c r="B1008" s="8">
        <v>77017197</v>
      </c>
      <c r="C1008" t="s">
        <v>1571</v>
      </c>
      <c r="D1008" t="s">
        <v>1864</v>
      </c>
      <c r="E1008" t="s">
        <v>523</v>
      </c>
      <c r="F1008" t="s">
        <v>35</v>
      </c>
      <c r="G1008" t="s">
        <v>116</v>
      </c>
      <c r="H1008" t="s">
        <v>93</v>
      </c>
      <c r="I1008" t="s">
        <v>24</v>
      </c>
      <c r="J1008" t="s">
        <v>25</v>
      </c>
      <c r="K1008" t="s">
        <v>69</v>
      </c>
      <c r="L1008">
        <v>10652.7</v>
      </c>
      <c r="M1008">
        <v>43</v>
      </c>
      <c r="N1008" s="10" t="s">
        <v>86</v>
      </c>
      <c r="O1008" s="10" t="s">
        <v>75</v>
      </c>
      <c r="P1008" s="13">
        <v>46036.65625</v>
      </c>
      <c r="Q1008" t="s">
        <v>2995</v>
      </c>
    </row>
    <row r="1009" spans="1:17">
      <c r="A1009" s="8" t="s">
        <v>2996</v>
      </c>
      <c r="B1009" s="8">
        <v>56223778</v>
      </c>
      <c r="C1009" t="s">
        <v>570</v>
      </c>
      <c r="D1009" t="s">
        <v>570</v>
      </c>
      <c r="E1009" t="s">
        <v>523</v>
      </c>
      <c r="F1009" t="s">
        <v>44</v>
      </c>
      <c r="G1009" t="s">
        <v>22</v>
      </c>
      <c r="H1009" t="s">
        <v>36</v>
      </c>
      <c r="I1009" t="s">
        <v>93</v>
      </c>
      <c r="J1009" t="s">
        <v>25</v>
      </c>
      <c r="K1009" t="s">
        <v>46</v>
      </c>
      <c r="L1009">
        <v>7003.5</v>
      </c>
      <c r="M1009">
        <v>75</v>
      </c>
      <c r="N1009" s="11" t="s">
        <v>27</v>
      </c>
      <c r="O1009" s="11" t="s">
        <v>75</v>
      </c>
      <c r="P1009" s="14">
        <v>45641.592361111114</v>
      </c>
      <c r="Q1009" t="s">
        <v>2997</v>
      </c>
    </row>
    <row r="1010" spans="1:17">
      <c r="A1010" s="8" t="s">
        <v>2998</v>
      </c>
      <c r="B1010" s="8">
        <v>24222635</v>
      </c>
      <c r="C1010" t="s">
        <v>1575</v>
      </c>
      <c r="D1010" t="s">
        <v>335</v>
      </c>
      <c r="E1010" t="s">
        <v>523</v>
      </c>
      <c r="F1010" t="s">
        <v>44</v>
      </c>
      <c r="G1010" t="s">
        <v>523</v>
      </c>
      <c r="H1010" t="s">
        <v>127</v>
      </c>
      <c r="I1010" t="s">
        <v>62</v>
      </c>
      <c r="J1010" t="s">
        <v>38</v>
      </c>
      <c r="K1010" t="s">
        <v>26</v>
      </c>
      <c r="L1010">
        <v>6729.34</v>
      </c>
      <c r="M1010">
        <v>46</v>
      </c>
      <c r="N1010" s="10" t="s">
        <v>86</v>
      </c>
      <c r="O1010" s="10" t="s">
        <v>81</v>
      </c>
      <c r="P1010" s="13">
        <v>45294.862500000003</v>
      </c>
      <c r="Q1010" t="s">
        <v>2999</v>
      </c>
    </row>
    <row r="1011" spans="1:17">
      <c r="A1011" s="8" t="s">
        <v>3000</v>
      </c>
      <c r="B1011" s="8">
        <v>13027327</v>
      </c>
      <c r="C1011" t="s">
        <v>3001</v>
      </c>
      <c r="D1011" t="s">
        <v>596</v>
      </c>
      <c r="E1011" t="s">
        <v>523</v>
      </c>
      <c r="F1011" t="s">
        <v>45</v>
      </c>
      <c r="G1011" t="s">
        <v>53</v>
      </c>
      <c r="H1011" t="s">
        <v>93</v>
      </c>
      <c r="I1011" t="s">
        <v>93</v>
      </c>
      <c r="J1011" t="s">
        <v>56</v>
      </c>
      <c r="K1011" t="s">
        <v>26</v>
      </c>
      <c r="L1011">
        <v>3917.55</v>
      </c>
      <c r="M1011">
        <v>54</v>
      </c>
      <c r="N1011" s="11" t="s">
        <v>27</v>
      </c>
      <c r="O1011" s="11" t="s">
        <v>81</v>
      </c>
      <c r="P1011" s="14">
        <v>46344.637499999997</v>
      </c>
      <c r="Q1011" t="s">
        <v>3002</v>
      </c>
    </row>
    <row r="1012" spans="1:17">
      <c r="A1012" s="8" t="s">
        <v>3003</v>
      </c>
      <c r="B1012" s="8">
        <v>23460777</v>
      </c>
      <c r="C1012" t="s">
        <v>1738</v>
      </c>
      <c r="D1012" t="s">
        <v>2664</v>
      </c>
      <c r="E1012" t="s">
        <v>523</v>
      </c>
      <c r="F1012" t="s">
        <v>92</v>
      </c>
      <c r="G1012" t="s">
        <v>21</v>
      </c>
      <c r="H1012" t="s">
        <v>24</v>
      </c>
      <c r="I1012" t="s">
        <v>24</v>
      </c>
      <c r="J1012" t="s">
        <v>74</v>
      </c>
      <c r="K1012" t="s">
        <v>26</v>
      </c>
      <c r="L1012">
        <v>2150.9499999999998</v>
      </c>
      <c r="M1012">
        <v>35</v>
      </c>
      <c r="N1012" s="10" t="s">
        <v>47</v>
      </c>
      <c r="O1012" s="10" t="s">
        <v>48</v>
      </c>
      <c r="P1012" s="13">
        <v>46324.706944444442</v>
      </c>
      <c r="Q1012" t="s">
        <v>3004</v>
      </c>
    </row>
    <row r="1013" spans="1:17">
      <c r="A1013" s="8" t="s">
        <v>3005</v>
      </c>
      <c r="B1013" s="8">
        <v>91335364</v>
      </c>
      <c r="C1013" t="s">
        <v>3006</v>
      </c>
      <c r="D1013" t="s">
        <v>480</v>
      </c>
      <c r="E1013" t="s">
        <v>523</v>
      </c>
      <c r="F1013" t="s">
        <v>35</v>
      </c>
      <c r="G1013" t="s">
        <v>80</v>
      </c>
      <c r="H1013" t="s">
        <v>37</v>
      </c>
      <c r="I1013" t="s">
        <v>37</v>
      </c>
      <c r="J1013" t="s">
        <v>25</v>
      </c>
      <c r="K1013" t="s">
        <v>46</v>
      </c>
      <c r="L1013">
        <v>1740.76</v>
      </c>
      <c r="M1013">
        <v>59</v>
      </c>
      <c r="N1013" s="11" t="s">
        <v>47</v>
      </c>
      <c r="O1013" s="11" t="s">
        <v>75</v>
      </c>
      <c r="P1013" s="14">
        <v>45604.237500000003</v>
      </c>
      <c r="Q1013" t="s">
        <v>3007</v>
      </c>
    </row>
    <row r="1014" spans="1:17">
      <c r="A1014" s="8" t="s">
        <v>3008</v>
      </c>
      <c r="B1014" s="8">
        <v>27616344</v>
      </c>
      <c r="C1014" t="s">
        <v>304</v>
      </c>
      <c r="D1014" t="s">
        <v>734</v>
      </c>
      <c r="E1014" t="s">
        <v>523</v>
      </c>
      <c r="F1014" t="s">
        <v>53</v>
      </c>
      <c r="G1014" t="s">
        <v>35</v>
      </c>
      <c r="H1014" t="s">
        <v>127</v>
      </c>
      <c r="I1014" t="s">
        <v>55</v>
      </c>
      <c r="J1014" t="s">
        <v>38</v>
      </c>
      <c r="K1014" t="s">
        <v>26</v>
      </c>
      <c r="L1014">
        <v>7867.62</v>
      </c>
      <c r="M1014">
        <v>58</v>
      </c>
      <c r="N1014" s="10" t="s">
        <v>86</v>
      </c>
      <c r="O1014" s="10" t="s">
        <v>48</v>
      </c>
      <c r="P1014" s="13">
        <v>45384.672222222223</v>
      </c>
      <c r="Q1014" t="s">
        <v>3009</v>
      </c>
    </row>
    <row r="1015" spans="1:17">
      <c r="A1015" s="8" t="s">
        <v>3010</v>
      </c>
      <c r="B1015" s="8">
        <v>20361782</v>
      </c>
      <c r="C1015" t="s">
        <v>836</v>
      </c>
      <c r="D1015" t="s">
        <v>139</v>
      </c>
      <c r="E1015" t="s">
        <v>523</v>
      </c>
      <c r="F1015" t="s">
        <v>98</v>
      </c>
      <c r="G1015" t="s">
        <v>35</v>
      </c>
      <c r="H1015" t="s">
        <v>23</v>
      </c>
      <c r="I1015" t="s">
        <v>54</v>
      </c>
      <c r="J1015" t="s">
        <v>38</v>
      </c>
      <c r="K1015" t="s">
        <v>46</v>
      </c>
      <c r="L1015">
        <v>1942.1</v>
      </c>
      <c r="M1015">
        <v>55</v>
      </c>
      <c r="N1015" s="11" t="s">
        <v>86</v>
      </c>
      <c r="O1015" s="11" t="s">
        <v>48</v>
      </c>
      <c r="P1015" s="14">
        <v>44927.719444444447</v>
      </c>
      <c r="Q1015" t="s">
        <v>3011</v>
      </c>
    </row>
    <row r="1016" spans="1:17">
      <c r="A1016" s="8" t="s">
        <v>3012</v>
      </c>
      <c r="B1016" s="8">
        <v>85060646</v>
      </c>
      <c r="C1016" t="s">
        <v>1279</v>
      </c>
      <c r="D1016" t="s">
        <v>2067</v>
      </c>
      <c r="E1016" t="s">
        <v>523</v>
      </c>
      <c r="F1016" t="s">
        <v>44</v>
      </c>
      <c r="G1016" t="s">
        <v>98</v>
      </c>
      <c r="H1016" t="s">
        <v>55</v>
      </c>
      <c r="I1016" t="s">
        <v>54</v>
      </c>
      <c r="J1016" t="s">
        <v>38</v>
      </c>
      <c r="K1016" t="s">
        <v>46</v>
      </c>
      <c r="L1016">
        <v>6675.05</v>
      </c>
      <c r="M1016">
        <v>51</v>
      </c>
      <c r="N1016" s="10" t="s">
        <v>47</v>
      </c>
      <c r="O1016" s="10" t="s">
        <v>81</v>
      </c>
      <c r="P1016" s="13">
        <v>44759.473611111112</v>
      </c>
      <c r="Q1016" t="s">
        <v>3013</v>
      </c>
    </row>
    <row r="1017" spans="1:17">
      <c r="A1017" s="8" t="s">
        <v>3014</v>
      </c>
      <c r="B1017" s="8">
        <v>12799227</v>
      </c>
      <c r="C1017" t="s">
        <v>916</v>
      </c>
      <c r="D1017" t="s">
        <v>2078</v>
      </c>
      <c r="E1017" t="s">
        <v>523</v>
      </c>
      <c r="F1017" t="s">
        <v>22</v>
      </c>
      <c r="G1017" t="s">
        <v>80</v>
      </c>
      <c r="H1017" t="s">
        <v>68</v>
      </c>
      <c r="I1017" t="s">
        <v>68</v>
      </c>
      <c r="J1017" t="s">
        <v>103</v>
      </c>
      <c r="K1017" t="s">
        <v>26</v>
      </c>
      <c r="L1017">
        <v>7802.13</v>
      </c>
      <c r="M1017">
        <v>34</v>
      </c>
      <c r="N1017" s="11" t="s">
        <v>27</v>
      </c>
      <c r="O1017" s="11" t="s">
        <v>81</v>
      </c>
      <c r="P1017" s="14">
        <v>45782.911805555559</v>
      </c>
      <c r="Q1017" t="s">
        <v>3015</v>
      </c>
    </row>
    <row r="1018" spans="1:17">
      <c r="A1018" s="8" t="s">
        <v>3016</v>
      </c>
      <c r="B1018" s="8">
        <v>69599673</v>
      </c>
      <c r="C1018" t="s">
        <v>2790</v>
      </c>
      <c r="D1018" t="s">
        <v>2693</v>
      </c>
      <c r="E1018" t="s">
        <v>523</v>
      </c>
      <c r="F1018" t="s">
        <v>44</v>
      </c>
      <c r="G1018" t="s">
        <v>92</v>
      </c>
      <c r="H1018" t="s">
        <v>23</v>
      </c>
      <c r="I1018" t="s">
        <v>36</v>
      </c>
      <c r="J1018" t="s">
        <v>38</v>
      </c>
      <c r="K1018" t="s">
        <v>69</v>
      </c>
      <c r="L1018">
        <v>2108.8000000000002</v>
      </c>
      <c r="M1018">
        <v>54</v>
      </c>
      <c r="N1018" s="10" t="s">
        <v>47</v>
      </c>
      <c r="O1018" s="10" t="s">
        <v>28</v>
      </c>
      <c r="P1018" s="13">
        <v>45804.195833333331</v>
      </c>
      <c r="Q1018" t="s">
        <v>3017</v>
      </c>
    </row>
    <row r="1019" spans="1:17">
      <c r="A1019" s="8" t="s">
        <v>3018</v>
      </c>
      <c r="B1019" s="8">
        <v>71717603</v>
      </c>
      <c r="C1019" t="s">
        <v>3019</v>
      </c>
      <c r="D1019" t="s">
        <v>2218</v>
      </c>
      <c r="E1019" t="s">
        <v>523</v>
      </c>
      <c r="F1019" t="s">
        <v>34</v>
      </c>
      <c r="G1019" t="s">
        <v>80</v>
      </c>
      <c r="H1019" t="s">
        <v>36</v>
      </c>
      <c r="I1019" t="s">
        <v>23</v>
      </c>
      <c r="J1019" t="s">
        <v>74</v>
      </c>
      <c r="K1019" t="s">
        <v>69</v>
      </c>
      <c r="L1019">
        <v>7689.13</v>
      </c>
      <c r="M1019">
        <v>42</v>
      </c>
      <c r="N1019" s="11" t="s">
        <v>86</v>
      </c>
      <c r="O1019" s="11" t="s">
        <v>75</v>
      </c>
      <c r="P1019" s="14">
        <v>45895.165277777778</v>
      </c>
      <c r="Q1019" t="s">
        <v>3020</v>
      </c>
    </row>
    <row r="1020" spans="1:17">
      <c r="A1020" s="8" t="s">
        <v>3021</v>
      </c>
      <c r="B1020" s="8">
        <v>53973507</v>
      </c>
      <c r="C1020" t="s">
        <v>1051</v>
      </c>
      <c r="D1020" t="s">
        <v>1858</v>
      </c>
      <c r="E1020" t="s">
        <v>523</v>
      </c>
      <c r="F1020" t="s">
        <v>116</v>
      </c>
      <c r="G1020" t="s">
        <v>80</v>
      </c>
      <c r="H1020" t="s">
        <v>62</v>
      </c>
      <c r="I1020" t="s">
        <v>24</v>
      </c>
      <c r="J1020" t="s">
        <v>74</v>
      </c>
      <c r="K1020" t="s">
        <v>69</v>
      </c>
      <c r="L1020">
        <v>6788.15</v>
      </c>
      <c r="M1020">
        <v>44</v>
      </c>
      <c r="N1020" s="10" t="s">
        <v>47</v>
      </c>
      <c r="O1020" s="10" t="s">
        <v>48</v>
      </c>
      <c r="P1020" s="13">
        <v>45385.126388888886</v>
      </c>
      <c r="Q1020" t="s">
        <v>3022</v>
      </c>
    </row>
    <row r="1021" spans="1:17">
      <c r="A1021" s="8" t="s">
        <v>3023</v>
      </c>
      <c r="B1021" s="8">
        <v>53239383</v>
      </c>
      <c r="C1021" t="s">
        <v>578</v>
      </c>
      <c r="D1021" t="s">
        <v>533</v>
      </c>
      <c r="E1021" t="s">
        <v>523</v>
      </c>
      <c r="F1021" t="s">
        <v>160</v>
      </c>
      <c r="G1021" t="s">
        <v>121</v>
      </c>
      <c r="H1021" t="s">
        <v>55</v>
      </c>
      <c r="I1021" t="s">
        <v>36</v>
      </c>
      <c r="J1021" t="s">
        <v>38</v>
      </c>
      <c r="K1021" t="s">
        <v>63</v>
      </c>
      <c r="L1021">
        <v>9005.41</v>
      </c>
      <c r="M1021">
        <v>74</v>
      </c>
      <c r="N1021" s="11" t="s">
        <v>39</v>
      </c>
      <c r="O1021" s="11" t="s">
        <v>48</v>
      </c>
      <c r="P1021" s="14">
        <v>44156.995833333334</v>
      </c>
      <c r="Q1021" t="s">
        <v>3024</v>
      </c>
    </row>
    <row r="1022" spans="1:17">
      <c r="A1022" s="8" t="s">
        <v>3025</v>
      </c>
      <c r="B1022" s="8">
        <v>33734184</v>
      </c>
      <c r="C1022" t="s">
        <v>1508</v>
      </c>
      <c r="D1022" t="s">
        <v>1505</v>
      </c>
      <c r="E1022" t="s">
        <v>523</v>
      </c>
      <c r="F1022" t="s">
        <v>523</v>
      </c>
      <c r="G1022" t="s">
        <v>92</v>
      </c>
      <c r="H1022" t="s">
        <v>68</v>
      </c>
      <c r="I1022" t="s">
        <v>23</v>
      </c>
      <c r="J1022" t="s">
        <v>74</v>
      </c>
      <c r="K1022" t="s">
        <v>69</v>
      </c>
      <c r="L1022">
        <v>11275.35</v>
      </c>
      <c r="M1022">
        <v>48</v>
      </c>
      <c r="N1022" s="10" t="s">
        <v>47</v>
      </c>
      <c r="O1022" s="10" t="s">
        <v>28</v>
      </c>
      <c r="P1022" s="13">
        <v>44825.693055555559</v>
      </c>
      <c r="Q1022" t="s">
        <v>3026</v>
      </c>
    </row>
    <row r="1023" spans="1:17">
      <c r="A1023" s="8" t="s">
        <v>3027</v>
      </c>
      <c r="B1023" s="8">
        <v>66101245</v>
      </c>
      <c r="C1023" t="s">
        <v>1864</v>
      </c>
      <c r="D1023" t="s">
        <v>690</v>
      </c>
      <c r="E1023" t="s">
        <v>523</v>
      </c>
      <c r="F1023" t="s">
        <v>121</v>
      </c>
      <c r="G1023" t="s">
        <v>45</v>
      </c>
      <c r="H1023" t="s">
        <v>68</v>
      </c>
      <c r="I1023" t="s">
        <v>36</v>
      </c>
      <c r="J1023" t="s">
        <v>25</v>
      </c>
      <c r="K1023" t="s">
        <v>69</v>
      </c>
      <c r="L1023">
        <v>881.44</v>
      </c>
      <c r="M1023">
        <v>23</v>
      </c>
      <c r="N1023" s="11" t="s">
        <v>86</v>
      </c>
      <c r="O1023" s="11" t="s">
        <v>48</v>
      </c>
      <c r="P1023" s="14">
        <v>44443.162499999999</v>
      </c>
      <c r="Q1023" t="s">
        <v>3028</v>
      </c>
    </row>
    <row r="1024" spans="1:17">
      <c r="A1024" s="8" t="s">
        <v>3029</v>
      </c>
      <c r="B1024" s="8">
        <v>18588637</v>
      </c>
      <c r="C1024" t="s">
        <v>3030</v>
      </c>
      <c r="D1024" t="s">
        <v>601</v>
      </c>
      <c r="E1024" t="s">
        <v>523</v>
      </c>
      <c r="F1024" t="s">
        <v>53</v>
      </c>
      <c r="G1024" t="s">
        <v>80</v>
      </c>
      <c r="H1024" t="s">
        <v>24</v>
      </c>
      <c r="I1024" t="s">
        <v>37</v>
      </c>
      <c r="J1024" t="s">
        <v>103</v>
      </c>
      <c r="K1024" t="s">
        <v>69</v>
      </c>
      <c r="L1024">
        <v>10907.08</v>
      </c>
      <c r="M1024">
        <v>57</v>
      </c>
      <c r="N1024" s="10" t="s">
        <v>47</v>
      </c>
      <c r="O1024" s="10" t="s">
        <v>48</v>
      </c>
      <c r="P1024" s="13">
        <v>44426.507638888892</v>
      </c>
      <c r="Q1024" t="s">
        <v>3031</v>
      </c>
    </row>
    <row r="1025" spans="1:17">
      <c r="A1025" s="8" t="s">
        <v>3032</v>
      </c>
      <c r="B1025" s="8">
        <v>48872850</v>
      </c>
      <c r="C1025" t="s">
        <v>1578</v>
      </c>
      <c r="D1025" t="s">
        <v>1296</v>
      </c>
      <c r="E1025" t="s">
        <v>523</v>
      </c>
      <c r="F1025" t="s">
        <v>80</v>
      </c>
      <c r="G1025" t="s">
        <v>22</v>
      </c>
      <c r="H1025" t="s">
        <v>24</v>
      </c>
      <c r="I1025" t="s">
        <v>23</v>
      </c>
      <c r="J1025" t="s">
        <v>25</v>
      </c>
      <c r="K1025" t="s">
        <v>69</v>
      </c>
      <c r="L1025">
        <v>10054.5</v>
      </c>
      <c r="M1025">
        <v>29</v>
      </c>
      <c r="N1025" s="11" t="s">
        <v>39</v>
      </c>
      <c r="O1025" s="11" t="s">
        <v>81</v>
      </c>
      <c r="P1025" s="14">
        <v>44751.013888888891</v>
      </c>
      <c r="Q1025" t="s">
        <v>3033</v>
      </c>
    </row>
    <row r="1026" spans="1:17">
      <c r="A1026" s="8" t="s">
        <v>3034</v>
      </c>
      <c r="B1026" s="8">
        <v>13557133</v>
      </c>
      <c r="C1026" t="s">
        <v>2111</v>
      </c>
      <c r="D1026" t="s">
        <v>18</v>
      </c>
      <c r="E1026" t="s">
        <v>523</v>
      </c>
      <c r="F1026" t="s">
        <v>22</v>
      </c>
      <c r="G1026" t="s">
        <v>45</v>
      </c>
      <c r="H1026" t="s">
        <v>54</v>
      </c>
      <c r="I1026" t="s">
        <v>37</v>
      </c>
      <c r="J1026" t="s">
        <v>25</v>
      </c>
      <c r="K1026" t="s">
        <v>26</v>
      </c>
      <c r="L1026">
        <v>1989.36</v>
      </c>
      <c r="M1026">
        <v>70</v>
      </c>
      <c r="N1026" s="10" t="s">
        <v>86</v>
      </c>
      <c r="O1026" s="10" t="s">
        <v>28</v>
      </c>
      <c r="P1026" s="13">
        <v>44672.763888888891</v>
      </c>
      <c r="Q1026" t="s">
        <v>3035</v>
      </c>
    </row>
    <row r="1027" spans="1:17">
      <c r="A1027" s="8" t="s">
        <v>3036</v>
      </c>
      <c r="B1027" s="8">
        <v>55003155</v>
      </c>
      <c r="C1027" t="s">
        <v>2214</v>
      </c>
      <c r="D1027" t="s">
        <v>2221</v>
      </c>
      <c r="E1027" t="s">
        <v>523</v>
      </c>
      <c r="F1027" t="s">
        <v>35</v>
      </c>
      <c r="G1027" t="s">
        <v>98</v>
      </c>
      <c r="H1027" t="s">
        <v>23</v>
      </c>
      <c r="I1027" t="s">
        <v>55</v>
      </c>
      <c r="J1027" t="s">
        <v>38</v>
      </c>
      <c r="K1027" t="s">
        <v>69</v>
      </c>
      <c r="L1027">
        <v>9710.35</v>
      </c>
      <c r="M1027">
        <v>27</v>
      </c>
      <c r="N1027" s="11" t="s">
        <v>57</v>
      </c>
      <c r="O1027" s="11" t="s">
        <v>81</v>
      </c>
      <c r="P1027" s="14">
        <v>45056.803472222222</v>
      </c>
      <c r="Q1027" t="s">
        <v>3037</v>
      </c>
    </row>
    <row r="1028" spans="1:17">
      <c r="A1028" s="8" t="s">
        <v>3038</v>
      </c>
      <c r="B1028" s="8">
        <v>42862031</v>
      </c>
      <c r="C1028" t="s">
        <v>3039</v>
      </c>
      <c r="D1028" t="s">
        <v>243</v>
      </c>
      <c r="E1028" t="s">
        <v>523</v>
      </c>
      <c r="F1028" t="s">
        <v>116</v>
      </c>
      <c r="G1028" t="s">
        <v>98</v>
      </c>
      <c r="H1028" t="s">
        <v>23</v>
      </c>
      <c r="I1028" t="s">
        <v>62</v>
      </c>
      <c r="J1028" t="s">
        <v>74</v>
      </c>
      <c r="K1028" t="s">
        <v>69</v>
      </c>
      <c r="L1028">
        <v>6565.93</v>
      </c>
      <c r="M1028">
        <v>62</v>
      </c>
      <c r="N1028" s="10" t="s">
        <v>27</v>
      </c>
      <c r="O1028" s="10" t="s">
        <v>81</v>
      </c>
      <c r="P1028" s="13">
        <v>44174.45208333333</v>
      </c>
      <c r="Q1028" t="s">
        <v>3040</v>
      </c>
    </row>
    <row r="1029" spans="1:17">
      <c r="A1029" s="8" t="s">
        <v>3041</v>
      </c>
      <c r="B1029" s="8">
        <v>37072445</v>
      </c>
      <c r="C1029" t="s">
        <v>1073</v>
      </c>
      <c r="D1029" t="s">
        <v>1815</v>
      </c>
      <c r="E1029" t="s">
        <v>523</v>
      </c>
      <c r="F1029" t="s">
        <v>35</v>
      </c>
      <c r="G1029" t="s">
        <v>34</v>
      </c>
      <c r="H1029" t="s">
        <v>23</v>
      </c>
      <c r="I1029" t="s">
        <v>37</v>
      </c>
      <c r="J1029" t="s">
        <v>38</v>
      </c>
      <c r="K1029" t="s">
        <v>69</v>
      </c>
      <c r="L1029">
        <v>12219.73</v>
      </c>
      <c r="M1029">
        <v>34</v>
      </c>
      <c r="N1029" s="11" t="s">
        <v>57</v>
      </c>
      <c r="O1029" s="11" t="s">
        <v>48</v>
      </c>
      <c r="P1029" s="14">
        <v>45707.116666666669</v>
      </c>
      <c r="Q1029" t="s">
        <v>3042</v>
      </c>
    </row>
    <row r="1030" spans="1:17">
      <c r="A1030" s="8" t="s">
        <v>3043</v>
      </c>
      <c r="B1030" s="8">
        <v>29394450</v>
      </c>
      <c r="C1030" t="s">
        <v>731</v>
      </c>
      <c r="D1030" t="s">
        <v>1483</v>
      </c>
      <c r="E1030" t="s">
        <v>523</v>
      </c>
      <c r="F1030" t="s">
        <v>121</v>
      </c>
      <c r="G1030" t="s">
        <v>121</v>
      </c>
      <c r="H1030" t="s">
        <v>54</v>
      </c>
      <c r="I1030" t="s">
        <v>54</v>
      </c>
      <c r="J1030" t="s">
        <v>38</v>
      </c>
      <c r="K1030" t="s">
        <v>26</v>
      </c>
      <c r="L1030">
        <v>14661.64</v>
      </c>
      <c r="M1030">
        <v>43</v>
      </c>
      <c r="N1030" s="10" t="s">
        <v>57</v>
      </c>
      <c r="O1030" s="10" t="s">
        <v>81</v>
      </c>
      <c r="P1030" s="13">
        <v>44689.479861111111</v>
      </c>
      <c r="Q1030" t="s">
        <v>3044</v>
      </c>
    </row>
    <row r="1031" spans="1:17">
      <c r="A1031" s="8" t="s">
        <v>3045</v>
      </c>
      <c r="B1031" s="8">
        <v>12909870</v>
      </c>
      <c r="C1031" t="s">
        <v>1676</v>
      </c>
      <c r="D1031" t="s">
        <v>188</v>
      </c>
      <c r="E1031" t="s">
        <v>523</v>
      </c>
      <c r="F1031" t="s">
        <v>92</v>
      </c>
      <c r="G1031" t="s">
        <v>116</v>
      </c>
      <c r="H1031" t="s">
        <v>93</v>
      </c>
      <c r="I1031" t="s">
        <v>36</v>
      </c>
      <c r="J1031" t="s">
        <v>25</v>
      </c>
      <c r="K1031" t="s">
        <v>26</v>
      </c>
      <c r="L1031">
        <v>12278.17</v>
      </c>
      <c r="M1031">
        <v>79</v>
      </c>
      <c r="N1031" s="11" t="s">
        <v>86</v>
      </c>
      <c r="O1031" s="11" t="s">
        <v>81</v>
      </c>
      <c r="P1031" s="14">
        <v>45254.402083333334</v>
      </c>
      <c r="Q1031" t="s">
        <v>3046</v>
      </c>
    </row>
    <row r="1032" spans="1:17">
      <c r="A1032" s="8" t="s">
        <v>3047</v>
      </c>
      <c r="B1032" s="8">
        <v>69169839</v>
      </c>
      <c r="C1032" t="s">
        <v>3048</v>
      </c>
      <c r="D1032" t="s">
        <v>705</v>
      </c>
      <c r="E1032" t="s">
        <v>523</v>
      </c>
      <c r="F1032" t="s">
        <v>176</v>
      </c>
      <c r="G1032" t="s">
        <v>21</v>
      </c>
      <c r="H1032" t="s">
        <v>68</v>
      </c>
      <c r="I1032" t="s">
        <v>68</v>
      </c>
      <c r="J1032" t="s">
        <v>25</v>
      </c>
      <c r="K1032" t="s">
        <v>26</v>
      </c>
      <c r="L1032">
        <v>2218.69</v>
      </c>
      <c r="M1032">
        <v>63</v>
      </c>
      <c r="N1032" s="10" t="s">
        <v>47</v>
      </c>
      <c r="O1032" s="10" t="s">
        <v>75</v>
      </c>
      <c r="P1032" s="13">
        <v>44275.586111111108</v>
      </c>
      <c r="Q1032" t="s">
        <v>3049</v>
      </c>
    </row>
    <row r="1033" spans="1:17">
      <c r="A1033" s="8" t="s">
        <v>3050</v>
      </c>
      <c r="B1033" s="8">
        <v>56290206</v>
      </c>
      <c r="C1033" t="s">
        <v>3051</v>
      </c>
      <c r="D1033" t="s">
        <v>3052</v>
      </c>
      <c r="E1033" t="s">
        <v>523</v>
      </c>
      <c r="F1033" t="s">
        <v>21</v>
      </c>
      <c r="G1033" t="s">
        <v>34</v>
      </c>
      <c r="H1033" t="s">
        <v>55</v>
      </c>
      <c r="I1033" t="s">
        <v>127</v>
      </c>
      <c r="J1033" t="s">
        <v>74</v>
      </c>
      <c r="K1033" t="s">
        <v>46</v>
      </c>
      <c r="L1033">
        <v>9168.35</v>
      </c>
      <c r="M1033">
        <v>81</v>
      </c>
      <c r="N1033" s="11" t="s">
        <v>47</v>
      </c>
      <c r="O1033" s="11" t="s">
        <v>28</v>
      </c>
      <c r="P1033" s="14">
        <v>45619.164583333331</v>
      </c>
      <c r="Q1033" t="s">
        <v>3053</v>
      </c>
    </row>
    <row r="1034" spans="1:17">
      <c r="A1034" s="8" t="s">
        <v>3054</v>
      </c>
      <c r="B1034" s="8">
        <v>30946019</v>
      </c>
      <c r="C1034" t="s">
        <v>858</v>
      </c>
      <c r="D1034" t="s">
        <v>1059</v>
      </c>
      <c r="E1034" t="s">
        <v>523</v>
      </c>
      <c r="F1034" t="s">
        <v>176</v>
      </c>
      <c r="G1034" t="s">
        <v>34</v>
      </c>
      <c r="H1034" t="s">
        <v>36</v>
      </c>
      <c r="I1034" t="s">
        <v>23</v>
      </c>
      <c r="J1034" t="s">
        <v>56</v>
      </c>
      <c r="K1034" t="s">
        <v>26</v>
      </c>
      <c r="L1034">
        <v>6110.87</v>
      </c>
      <c r="M1034">
        <v>19</v>
      </c>
      <c r="N1034" s="10" t="s">
        <v>47</v>
      </c>
      <c r="O1034" s="10" t="s">
        <v>48</v>
      </c>
      <c r="P1034" s="13">
        <v>44052.868750000001</v>
      </c>
      <c r="Q1034" t="s">
        <v>3055</v>
      </c>
    </row>
    <row r="1035" spans="1:17">
      <c r="A1035" s="8" t="s">
        <v>3056</v>
      </c>
      <c r="B1035" s="8">
        <v>16578058</v>
      </c>
      <c r="C1035" t="s">
        <v>1808</v>
      </c>
      <c r="D1035" t="s">
        <v>232</v>
      </c>
      <c r="E1035" t="s">
        <v>523</v>
      </c>
      <c r="F1035" t="s">
        <v>98</v>
      </c>
      <c r="G1035" t="s">
        <v>53</v>
      </c>
      <c r="H1035" t="s">
        <v>68</v>
      </c>
      <c r="I1035" t="s">
        <v>24</v>
      </c>
      <c r="J1035" t="s">
        <v>74</v>
      </c>
      <c r="K1035" t="s">
        <v>26</v>
      </c>
      <c r="L1035">
        <v>12738.24</v>
      </c>
      <c r="M1035">
        <v>71</v>
      </c>
      <c r="N1035" s="11" t="s">
        <v>27</v>
      </c>
      <c r="O1035" s="11" t="s">
        <v>81</v>
      </c>
      <c r="P1035" s="14">
        <v>44422.786111111112</v>
      </c>
      <c r="Q1035" t="s">
        <v>3057</v>
      </c>
    </row>
    <row r="1036" spans="1:17">
      <c r="A1036" s="8" t="s">
        <v>3058</v>
      </c>
      <c r="B1036" s="8">
        <v>37762332</v>
      </c>
      <c r="C1036" t="s">
        <v>1938</v>
      </c>
      <c r="D1036" t="s">
        <v>3059</v>
      </c>
      <c r="E1036" t="s">
        <v>523</v>
      </c>
      <c r="F1036" t="s">
        <v>53</v>
      </c>
      <c r="G1036" t="s">
        <v>116</v>
      </c>
      <c r="H1036" t="s">
        <v>24</v>
      </c>
      <c r="I1036" t="s">
        <v>68</v>
      </c>
      <c r="J1036" t="s">
        <v>103</v>
      </c>
      <c r="K1036" t="s">
        <v>26</v>
      </c>
      <c r="L1036">
        <v>4206.18</v>
      </c>
      <c r="M1036">
        <v>82</v>
      </c>
      <c r="N1036" s="10" t="s">
        <v>86</v>
      </c>
      <c r="O1036" s="10" t="s">
        <v>28</v>
      </c>
      <c r="P1036" s="13">
        <v>44861.134722222225</v>
      </c>
      <c r="Q1036" t="s">
        <v>3060</v>
      </c>
    </row>
    <row r="1037" spans="1:17">
      <c r="A1037" s="8" t="s">
        <v>3061</v>
      </c>
      <c r="B1037" s="8">
        <v>97655433</v>
      </c>
      <c r="C1037" t="s">
        <v>115</v>
      </c>
      <c r="D1037" t="s">
        <v>2816</v>
      </c>
      <c r="E1037" t="s">
        <v>523</v>
      </c>
      <c r="F1037" t="s">
        <v>34</v>
      </c>
      <c r="G1037" t="s">
        <v>53</v>
      </c>
      <c r="H1037" t="s">
        <v>127</v>
      </c>
      <c r="I1037" t="s">
        <v>54</v>
      </c>
      <c r="J1037" t="s">
        <v>38</v>
      </c>
      <c r="K1037" t="s">
        <v>46</v>
      </c>
      <c r="L1037">
        <v>909.62</v>
      </c>
      <c r="M1037">
        <v>68</v>
      </c>
      <c r="N1037" s="11" t="s">
        <v>86</v>
      </c>
      <c r="O1037" s="11" t="s">
        <v>48</v>
      </c>
      <c r="P1037" s="14">
        <v>45126.696527777778</v>
      </c>
      <c r="Q1037" t="s">
        <v>3062</v>
      </c>
    </row>
    <row r="1038" spans="1:17">
      <c r="A1038" s="8" t="s">
        <v>3063</v>
      </c>
      <c r="B1038" s="8">
        <v>42479386</v>
      </c>
      <c r="C1038" t="s">
        <v>679</v>
      </c>
      <c r="D1038" t="s">
        <v>935</v>
      </c>
      <c r="E1038" t="s">
        <v>523</v>
      </c>
      <c r="F1038" t="s">
        <v>34</v>
      </c>
      <c r="G1038" t="s">
        <v>35</v>
      </c>
      <c r="H1038" t="s">
        <v>62</v>
      </c>
      <c r="I1038" t="s">
        <v>37</v>
      </c>
      <c r="J1038" t="s">
        <v>38</v>
      </c>
      <c r="K1038" t="s">
        <v>46</v>
      </c>
      <c r="L1038">
        <v>3266.45</v>
      </c>
      <c r="M1038">
        <v>70</v>
      </c>
      <c r="N1038" s="10" t="s">
        <v>57</v>
      </c>
      <c r="O1038" s="10" t="s">
        <v>81</v>
      </c>
      <c r="P1038" s="13">
        <v>44848.089583333334</v>
      </c>
      <c r="Q1038" t="s">
        <v>3064</v>
      </c>
    </row>
    <row r="1039" spans="1:17">
      <c r="A1039" s="8" t="s">
        <v>3065</v>
      </c>
      <c r="B1039" s="8">
        <v>61195094</v>
      </c>
      <c r="C1039" t="s">
        <v>1916</v>
      </c>
      <c r="D1039" t="s">
        <v>1757</v>
      </c>
      <c r="E1039" t="s">
        <v>523</v>
      </c>
      <c r="F1039" t="s">
        <v>44</v>
      </c>
      <c r="G1039" t="s">
        <v>98</v>
      </c>
      <c r="H1039" t="s">
        <v>54</v>
      </c>
      <c r="I1039" t="s">
        <v>62</v>
      </c>
      <c r="J1039" t="s">
        <v>38</v>
      </c>
      <c r="K1039" t="s">
        <v>69</v>
      </c>
      <c r="L1039">
        <v>6077.93</v>
      </c>
      <c r="M1039">
        <v>53</v>
      </c>
      <c r="N1039" s="11" t="s">
        <v>27</v>
      </c>
      <c r="O1039" s="11" t="s">
        <v>48</v>
      </c>
      <c r="P1039" s="14">
        <v>45894.611805555556</v>
      </c>
      <c r="Q1039" t="s">
        <v>3066</v>
      </c>
    </row>
    <row r="1040" spans="1:17">
      <c r="A1040" s="8" t="s">
        <v>3067</v>
      </c>
      <c r="B1040" s="8">
        <v>66692915</v>
      </c>
      <c r="C1040" t="s">
        <v>569</v>
      </c>
      <c r="D1040" t="s">
        <v>1587</v>
      </c>
      <c r="E1040" t="s">
        <v>523</v>
      </c>
      <c r="F1040" t="s">
        <v>92</v>
      </c>
      <c r="G1040" t="s">
        <v>44</v>
      </c>
      <c r="H1040" t="s">
        <v>37</v>
      </c>
      <c r="I1040" t="s">
        <v>55</v>
      </c>
      <c r="J1040" t="s">
        <v>25</v>
      </c>
      <c r="K1040" t="s">
        <v>26</v>
      </c>
      <c r="L1040">
        <v>13048.08</v>
      </c>
      <c r="M1040">
        <v>43</v>
      </c>
      <c r="N1040" s="10" t="s">
        <v>57</v>
      </c>
      <c r="O1040" s="10" t="s">
        <v>28</v>
      </c>
      <c r="P1040" s="13">
        <v>45278.973611111112</v>
      </c>
      <c r="Q1040" t="s">
        <v>3068</v>
      </c>
    </row>
    <row r="1041" spans="1:17">
      <c r="A1041" s="8" t="s">
        <v>3069</v>
      </c>
      <c r="B1041" s="8">
        <v>30126105</v>
      </c>
      <c r="C1041" t="s">
        <v>2549</v>
      </c>
      <c r="D1041" t="s">
        <v>614</v>
      </c>
      <c r="E1041" t="s">
        <v>523</v>
      </c>
      <c r="F1041" t="s">
        <v>121</v>
      </c>
      <c r="G1041" t="s">
        <v>116</v>
      </c>
      <c r="H1041" t="s">
        <v>127</v>
      </c>
      <c r="I1041" t="s">
        <v>127</v>
      </c>
      <c r="J1041" t="s">
        <v>38</v>
      </c>
      <c r="K1041" t="s">
        <v>26</v>
      </c>
      <c r="L1041">
        <v>1423.02</v>
      </c>
      <c r="M1041">
        <v>46</v>
      </c>
      <c r="N1041" s="11" t="s">
        <v>39</v>
      </c>
      <c r="O1041" s="11" t="s">
        <v>75</v>
      </c>
      <c r="P1041" s="14">
        <v>45876.708333333336</v>
      </c>
      <c r="Q1041" t="s">
        <v>3070</v>
      </c>
    </row>
    <row r="1042" spans="1:17">
      <c r="A1042" s="8" t="s">
        <v>3071</v>
      </c>
      <c r="B1042" s="8">
        <v>10577198</v>
      </c>
      <c r="C1042" t="s">
        <v>192</v>
      </c>
      <c r="D1042" t="s">
        <v>183</v>
      </c>
      <c r="E1042" t="s">
        <v>523</v>
      </c>
      <c r="F1042" t="s">
        <v>98</v>
      </c>
      <c r="G1042" t="s">
        <v>34</v>
      </c>
      <c r="H1042" t="s">
        <v>36</v>
      </c>
      <c r="I1042" t="s">
        <v>93</v>
      </c>
      <c r="J1042" t="s">
        <v>38</v>
      </c>
      <c r="K1042" t="s">
        <v>63</v>
      </c>
      <c r="L1042">
        <v>12168.67</v>
      </c>
      <c r="M1042">
        <v>38</v>
      </c>
      <c r="N1042" s="10" t="s">
        <v>47</v>
      </c>
      <c r="O1042" s="10" t="s">
        <v>75</v>
      </c>
      <c r="P1042" s="13">
        <v>44354.119444444441</v>
      </c>
      <c r="Q1042" t="s">
        <v>3072</v>
      </c>
    </row>
    <row r="1043" spans="1:17">
      <c r="A1043" s="8" t="s">
        <v>3073</v>
      </c>
      <c r="B1043" s="8">
        <v>50241725</v>
      </c>
      <c r="C1043" t="s">
        <v>761</v>
      </c>
      <c r="D1043" t="s">
        <v>79</v>
      </c>
      <c r="E1043" t="s">
        <v>523</v>
      </c>
      <c r="F1043" t="s">
        <v>44</v>
      </c>
      <c r="G1043" t="s">
        <v>121</v>
      </c>
      <c r="H1043" t="s">
        <v>23</v>
      </c>
      <c r="I1043" t="s">
        <v>68</v>
      </c>
      <c r="J1043" t="s">
        <v>38</v>
      </c>
      <c r="K1043" t="s">
        <v>69</v>
      </c>
      <c r="L1043">
        <v>9587.24</v>
      </c>
      <c r="M1043">
        <v>28</v>
      </c>
      <c r="N1043" s="11" t="s">
        <v>47</v>
      </c>
      <c r="O1043" s="11" t="s">
        <v>48</v>
      </c>
      <c r="P1043" s="14">
        <v>45899.458333333336</v>
      </c>
      <c r="Q1043" t="s">
        <v>3074</v>
      </c>
    </row>
    <row r="1044" spans="1:17">
      <c r="A1044" s="8" t="s">
        <v>3075</v>
      </c>
      <c r="B1044" s="8">
        <v>52820746</v>
      </c>
      <c r="C1044" t="s">
        <v>460</v>
      </c>
      <c r="D1044" t="s">
        <v>1461</v>
      </c>
      <c r="E1044" t="s">
        <v>523</v>
      </c>
      <c r="F1044" t="s">
        <v>160</v>
      </c>
      <c r="G1044" t="s">
        <v>126</v>
      </c>
      <c r="H1044" t="s">
        <v>24</v>
      </c>
      <c r="I1044" t="s">
        <v>62</v>
      </c>
      <c r="J1044" t="s">
        <v>25</v>
      </c>
      <c r="K1044" t="s">
        <v>26</v>
      </c>
      <c r="L1044">
        <v>10747.76</v>
      </c>
      <c r="M1044">
        <v>57</v>
      </c>
      <c r="N1044" s="10" t="s">
        <v>57</v>
      </c>
      <c r="O1044" s="10" t="s">
        <v>48</v>
      </c>
      <c r="P1044" s="13">
        <v>46106.084722222222</v>
      </c>
      <c r="Q1044" t="s">
        <v>3076</v>
      </c>
    </row>
    <row r="1045" spans="1:17">
      <c r="A1045" s="8" t="s">
        <v>3077</v>
      </c>
      <c r="B1045" s="8">
        <v>98881010</v>
      </c>
      <c r="C1045" t="s">
        <v>1476</v>
      </c>
      <c r="D1045" t="s">
        <v>784</v>
      </c>
      <c r="E1045" t="s">
        <v>523</v>
      </c>
      <c r="F1045" t="s">
        <v>22</v>
      </c>
      <c r="G1045" t="s">
        <v>92</v>
      </c>
      <c r="H1045" t="s">
        <v>24</v>
      </c>
      <c r="I1045" t="s">
        <v>93</v>
      </c>
      <c r="J1045" t="s">
        <v>38</v>
      </c>
      <c r="K1045" t="s">
        <v>63</v>
      </c>
      <c r="L1045">
        <v>6523.19</v>
      </c>
      <c r="M1045">
        <v>28</v>
      </c>
      <c r="N1045" s="11" t="s">
        <v>39</v>
      </c>
      <c r="O1045" s="11" t="s">
        <v>81</v>
      </c>
      <c r="P1045" s="14">
        <v>45639.179166666669</v>
      </c>
      <c r="Q1045" t="s">
        <v>3078</v>
      </c>
    </row>
    <row r="1046" spans="1:17">
      <c r="A1046" s="8" t="s">
        <v>3079</v>
      </c>
      <c r="B1046" s="8">
        <v>45703830</v>
      </c>
      <c r="C1046" t="s">
        <v>1117</v>
      </c>
      <c r="D1046" t="s">
        <v>629</v>
      </c>
      <c r="E1046" t="s">
        <v>523</v>
      </c>
      <c r="F1046" t="s">
        <v>21</v>
      </c>
      <c r="G1046" t="s">
        <v>53</v>
      </c>
      <c r="H1046" t="s">
        <v>24</v>
      </c>
      <c r="I1046" t="s">
        <v>127</v>
      </c>
      <c r="J1046" t="s">
        <v>38</v>
      </c>
      <c r="K1046" t="s">
        <v>63</v>
      </c>
      <c r="L1046">
        <v>3012.36</v>
      </c>
      <c r="M1046">
        <v>53</v>
      </c>
      <c r="N1046" s="10" t="s">
        <v>47</v>
      </c>
      <c r="O1046" s="10" t="s">
        <v>48</v>
      </c>
      <c r="P1046" s="13">
        <v>45142.024305555555</v>
      </c>
      <c r="Q1046" t="s">
        <v>3080</v>
      </c>
    </row>
    <row r="1047" spans="1:17">
      <c r="A1047" s="8" t="s">
        <v>3081</v>
      </c>
      <c r="B1047" s="8">
        <v>74188387</v>
      </c>
      <c r="C1047" t="s">
        <v>550</v>
      </c>
      <c r="D1047" t="s">
        <v>3082</v>
      </c>
      <c r="E1047" t="s">
        <v>523</v>
      </c>
      <c r="F1047" t="s">
        <v>34</v>
      </c>
      <c r="G1047" t="s">
        <v>44</v>
      </c>
      <c r="H1047" t="s">
        <v>23</v>
      </c>
      <c r="I1047" t="s">
        <v>24</v>
      </c>
      <c r="J1047" t="s">
        <v>38</v>
      </c>
      <c r="K1047" t="s">
        <v>69</v>
      </c>
      <c r="L1047">
        <v>667.4</v>
      </c>
      <c r="M1047">
        <v>76</v>
      </c>
      <c r="N1047" s="11" t="s">
        <v>39</v>
      </c>
      <c r="O1047" s="11" t="s">
        <v>48</v>
      </c>
      <c r="P1047" s="14">
        <v>45137.158333333333</v>
      </c>
      <c r="Q1047" t="s">
        <v>3083</v>
      </c>
    </row>
    <row r="1048" spans="1:17">
      <c r="A1048" s="8" t="s">
        <v>3084</v>
      </c>
      <c r="B1048" s="8">
        <v>72911386</v>
      </c>
      <c r="C1048" t="s">
        <v>2208</v>
      </c>
      <c r="D1048" t="s">
        <v>1091</v>
      </c>
      <c r="E1048" t="s">
        <v>523</v>
      </c>
      <c r="F1048" t="s">
        <v>121</v>
      </c>
      <c r="G1048" t="s">
        <v>121</v>
      </c>
      <c r="H1048" t="s">
        <v>37</v>
      </c>
      <c r="I1048" t="s">
        <v>24</v>
      </c>
      <c r="J1048" t="s">
        <v>38</v>
      </c>
      <c r="K1048" t="s">
        <v>26</v>
      </c>
      <c r="L1048">
        <v>1625.88</v>
      </c>
      <c r="M1048">
        <v>56</v>
      </c>
      <c r="N1048" s="10" t="s">
        <v>27</v>
      </c>
      <c r="O1048" s="10" t="s">
        <v>81</v>
      </c>
      <c r="P1048" s="13">
        <v>46282.575694444444</v>
      </c>
      <c r="Q1048" t="s">
        <v>3085</v>
      </c>
    </row>
    <row r="1049" spans="1:17">
      <c r="A1049" s="8" t="s">
        <v>3086</v>
      </c>
      <c r="B1049" s="8">
        <v>61987708</v>
      </c>
      <c r="C1049" t="s">
        <v>1332</v>
      </c>
      <c r="D1049" t="s">
        <v>2479</v>
      </c>
      <c r="E1049" t="s">
        <v>523</v>
      </c>
      <c r="F1049" t="s">
        <v>21</v>
      </c>
      <c r="G1049" t="s">
        <v>80</v>
      </c>
      <c r="H1049" t="s">
        <v>54</v>
      </c>
      <c r="I1049" t="s">
        <v>36</v>
      </c>
      <c r="J1049" t="s">
        <v>38</v>
      </c>
      <c r="K1049" t="s">
        <v>26</v>
      </c>
      <c r="L1049">
        <v>6355.01</v>
      </c>
      <c r="M1049">
        <v>71</v>
      </c>
      <c r="N1049" s="11" t="s">
        <v>47</v>
      </c>
      <c r="O1049" s="11" t="s">
        <v>48</v>
      </c>
      <c r="P1049" s="14">
        <v>44920.01458333333</v>
      </c>
      <c r="Q1049" t="s">
        <v>3087</v>
      </c>
    </row>
    <row r="1050" spans="1:17">
      <c r="A1050" s="8" t="s">
        <v>3088</v>
      </c>
      <c r="B1050" s="8">
        <v>48936328</v>
      </c>
      <c r="C1050" t="s">
        <v>3089</v>
      </c>
      <c r="D1050" t="s">
        <v>882</v>
      </c>
      <c r="E1050" t="s">
        <v>523</v>
      </c>
      <c r="F1050" t="s">
        <v>22</v>
      </c>
      <c r="G1050" t="s">
        <v>45</v>
      </c>
      <c r="H1050" t="s">
        <v>127</v>
      </c>
      <c r="I1050" t="s">
        <v>127</v>
      </c>
      <c r="J1050" t="s">
        <v>38</v>
      </c>
      <c r="K1050" t="s">
        <v>26</v>
      </c>
      <c r="L1050">
        <v>11850.76</v>
      </c>
      <c r="M1050">
        <v>72</v>
      </c>
      <c r="N1050" s="10" t="s">
        <v>57</v>
      </c>
      <c r="O1050" s="10" t="s">
        <v>28</v>
      </c>
      <c r="P1050" s="13">
        <v>45503.626388888886</v>
      </c>
      <c r="Q1050" t="s">
        <v>3090</v>
      </c>
    </row>
    <row r="1051" spans="1:17">
      <c r="A1051" s="8" t="s">
        <v>3091</v>
      </c>
      <c r="B1051" s="8">
        <v>17653101</v>
      </c>
      <c r="C1051" t="s">
        <v>3092</v>
      </c>
      <c r="D1051" t="s">
        <v>335</v>
      </c>
      <c r="E1051" t="s">
        <v>523</v>
      </c>
      <c r="F1051" t="s">
        <v>121</v>
      </c>
      <c r="G1051" t="s">
        <v>34</v>
      </c>
      <c r="H1051" t="s">
        <v>23</v>
      </c>
      <c r="I1051" t="s">
        <v>127</v>
      </c>
      <c r="J1051" t="s">
        <v>74</v>
      </c>
      <c r="K1051" t="s">
        <v>69</v>
      </c>
      <c r="L1051">
        <v>1350.24</v>
      </c>
      <c r="M1051">
        <v>41</v>
      </c>
      <c r="N1051" s="11" t="s">
        <v>86</v>
      </c>
      <c r="O1051" s="11" t="s">
        <v>28</v>
      </c>
      <c r="P1051" s="14">
        <v>44267.930555555555</v>
      </c>
      <c r="Q1051" t="s">
        <v>3093</v>
      </c>
    </row>
    <row r="1052" spans="1:17">
      <c r="A1052" s="8" t="s">
        <v>3094</v>
      </c>
      <c r="B1052" s="8">
        <v>51570260</v>
      </c>
      <c r="C1052" t="s">
        <v>483</v>
      </c>
      <c r="D1052" t="s">
        <v>2930</v>
      </c>
      <c r="E1052" t="s">
        <v>523</v>
      </c>
      <c r="F1052" t="s">
        <v>45</v>
      </c>
      <c r="G1052" t="s">
        <v>126</v>
      </c>
      <c r="H1052" t="s">
        <v>36</v>
      </c>
      <c r="I1052" t="s">
        <v>93</v>
      </c>
      <c r="J1052" t="s">
        <v>74</v>
      </c>
      <c r="K1052" t="s">
        <v>63</v>
      </c>
      <c r="L1052">
        <v>10247.31</v>
      </c>
      <c r="M1052">
        <v>39</v>
      </c>
      <c r="N1052" s="10" t="s">
        <v>27</v>
      </c>
      <c r="O1052" s="10" t="s">
        <v>48</v>
      </c>
      <c r="P1052" s="13">
        <v>44659.348611111112</v>
      </c>
      <c r="Q1052" t="s">
        <v>3095</v>
      </c>
    </row>
    <row r="1053" spans="1:17">
      <c r="A1053" s="8" t="s">
        <v>3096</v>
      </c>
      <c r="B1053" s="8">
        <v>96261359</v>
      </c>
      <c r="C1053" t="s">
        <v>657</v>
      </c>
      <c r="D1053" t="s">
        <v>2040</v>
      </c>
      <c r="E1053" t="s">
        <v>523</v>
      </c>
      <c r="F1053" t="s">
        <v>21</v>
      </c>
      <c r="G1053" t="s">
        <v>45</v>
      </c>
      <c r="H1053" t="s">
        <v>54</v>
      </c>
      <c r="I1053" t="s">
        <v>62</v>
      </c>
      <c r="J1053" t="s">
        <v>103</v>
      </c>
      <c r="K1053" t="s">
        <v>26</v>
      </c>
      <c r="L1053">
        <v>13413</v>
      </c>
      <c r="M1053">
        <v>73</v>
      </c>
      <c r="N1053" s="11" t="s">
        <v>57</v>
      </c>
      <c r="O1053" s="11" t="s">
        <v>81</v>
      </c>
      <c r="P1053" s="14">
        <v>44089.138888888891</v>
      </c>
      <c r="Q1053" t="s">
        <v>3097</v>
      </c>
    </row>
    <row r="1054" spans="1:17">
      <c r="A1054" s="8" t="s">
        <v>3098</v>
      </c>
      <c r="B1054" s="8">
        <v>83615758</v>
      </c>
      <c r="C1054" t="s">
        <v>2599</v>
      </c>
      <c r="D1054" t="s">
        <v>689</v>
      </c>
      <c r="E1054" t="s">
        <v>523</v>
      </c>
      <c r="F1054" t="s">
        <v>116</v>
      </c>
      <c r="G1054" t="s">
        <v>92</v>
      </c>
      <c r="H1054" t="s">
        <v>36</v>
      </c>
      <c r="I1054" t="s">
        <v>23</v>
      </c>
      <c r="J1054" t="s">
        <v>25</v>
      </c>
      <c r="K1054" t="s">
        <v>63</v>
      </c>
      <c r="L1054">
        <v>8772.1</v>
      </c>
      <c r="M1054">
        <v>50</v>
      </c>
      <c r="N1054" s="10" t="s">
        <v>86</v>
      </c>
      <c r="O1054" s="10" t="s">
        <v>75</v>
      </c>
      <c r="P1054" s="13">
        <v>45834.195833333331</v>
      </c>
      <c r="Q1054" t="s">
        <v>3099</v>
      </c>
    </row>
    <row r="1055" spans="1:17">
      <c r="A1055" s="8" t="s">
        <v>3100</v>
      </c>
      <c r="B1055" s="8">
        <v>23937948</v>
      </c>
      <c r="C1055" t="s">
        <v>413</v>
      </c>
      <c r="D1055" t="s">
        <v>1815</v>
      </c>
      <c r="E1055" t="s">
        <v>523</v>
      </c>
      <c r="F1055" t="s">
        <v>35</v>
      </c>
      <c r="G1055" t="s">
        <v>98</v>
      </c>
      <c r="H1055" t="s">
        <v>54</v>
      </c>
      <c r="I1055" t="s">
        <v>93</v>
      </c>
      <c r="J1055" t="s">
        <v>74</v>
      </c>
      <c r="K1055" t="s">
        <v>26</v>
      </c>
      <c r="L1055">
        <v>13903.29</v>
      </c>
      <c r="M1055">
        <v>53</v>
      </c>
      <c r="N1055" s="11" t="s">
        <v>39</v>
      </c>
      <c r="O1055" s="11" t="s">
        <v>75</v>
      </c>
      <c r="P1055" s="14">
        <v>45820.850694444445</v>
      </c>
      <c r="Q1055" t="s">
        <v>3101</v>
      </c>
    </row>
    <row r="1056" spans="1:17">
      <c r="A1056" s="8" t="s">
        <v>3102</v>
      </c>
      <c r="B1056" s="8">
        <v>31329251</v>
      </c>
      <c r="C1056" t="s">
        <v>2569</v>
      </c>
      <c r="D1056" t="s">
        <v>3103</v>
      </c>
      <c r="E1056" t="s">
        <v>523</v>
      </c>
      <c r="F1056" t="s">
        <v>392</v>
      </c>
      <c r="G1056" t="s">
        <v>98</v>
      </c>
      <c r="H1056" t="s">
        <v>37</v>
      </c>
      <c r="I1056" t="s">
        <v>55</v>
      </c>
      <c r="J1056" t="s">
        <v>56</v>
      </c>
      <c r="K1056" t="s">
        <v>69</v>
      </c>
      <c r="L1056">
        <v>2543.4299999999998</v>
      </c>
      <c r="M1056">
        <v>37</v>
      </c>
      <c r="N1056" s="10" t="s">
        <v>27</v>
      </c>
      <c r="O1056" s="10" t="s">
        <v>28</v>
      </c>
      <c r="P1056" s="13">
        <v>43933.372916666667</v>
      </c>
      <c r="Q1056" t="s">
        <v>3104</v>
      </c>
    </row>
    <row r="1057" spans="1:17">
      <c r="A1057" s="8" t="s">
        <v>3105</v>
      </c>
      <c r="B1057" s="8">
        <v>74461050</v>
      </c>
      <c r="C1057" t="s">
        <v>3106</v>
      </c>
      <c r="D1057" t="s">
        <v>130</v>
      </c>
      <c r="E1057" t="s">
        <v>523</v>
      </c>
      <c r="F1057" t="s">
        <v>44</v>
      </c>
      <c r="G1057" t="s">
        <v>92</v>
      </c>
      <c r="H1057" t="s">
        <v>62</v>
      </c>
      <c r="I1057" t="s">
        <v>24</v>
      </c>
      <c r="J1057" t="s">
        <v>38</v>
      </c>
      <c r="K1057" t="s">
        <v>69</v>
      </c>
      <c r="L1057">
        <v>4763.1499999999996</v>
      </c>
      <c r="M1057">
        <v>79</v>
      </c>
      <c r="N1057" s="11" t="s">
        <v>86</v>
      </c>
      <c r="O1057" s="11" t="s">
        <v>75</v>
      </c>
      <c r="P1057" s="14">
        <v>44823.109027777777</v>
      </c>
      <c r="Q1057" t="s">
        <v>3107</v>
      </c>
    </row>
    <row r="1058" spans="1:17">
      <c r="A1058" s="8" t="s">
        <v>3108</v>
      </c>
      <c r="B1058" s="8">
        <v>28666346</v>
      </c>
      <c r="C1058" t="s">
        <v>1978</v>
      </c>
      <c r="D1058" t="s">
        <v>829</v>
      </c>
      <c r="E1058" t="s">
        <v>523</v>
      </c>
      <c r="F1058" t="s">
        <v>35</v>
      </c>
      <c r="G1058" t="s">
        <v>98</v>
      </c>
      <c r="H1058" t="s">
        <v>36</v>
      </c>
      <c r="I1058" t="s">
        <v>24</v>
      </c>
      <c r="J1058" t="s">
        <v>25</v>
      </c>
      <c r="K1058" t="s">
        <v>69</v>
      </c>
      <c r="L1058">
        <v>13096.83</v>
      </c>
      <c r="M1058">
        <v>43</v>
      </c>
      <c r="N1058" s="10" t="s">
        <v>57</v>
      </c>
      <c r="O1058" s="10" t="s">
        <v>28</v>
      </c>
      <c r="P1058" s="13">
        <v>44599.965277777781</v>
      </c>
      <c r="Q1058" t="s">
        <v>3109</v>
      </c>
    </row>
    <row r="1059" spans="1:17">
      <c r="A1059" s="8" t="s">
        <v>3110</v>
      </c>
      <c r="B1059" s="8">
        <v>75937854</v>
      </c>
      <c r="C1059" t="s">
        <v>790</v>
      </c>
      <c r="D1059" t="s">
        <v>18</v>
      </c>
      <c r="E1059" t="s">
        <v>523</v>
      </c>
      <c r="F1059" t="s">
        <v>45</v>
      </c>
      <c r="G1059" t="s">
        <v>112</v>
      </c>
      <c r="H1059" t="s">
        <v>23</v>
      </c>
      <c r="I1059" t="s">
        <v>36</v>
      </c>
      <c r="J1059" t="s">
        <v>103</v>
      </c>
      <c r="K1059" t="s">
        <v>46</v>
      </c>
      <c r="L1059">
        <v>207.76</v>
      </c>
      <c r="M1059">
        <v>83</v>
      </c>
      <c r="N1059" s="11" t="s">
        <v>27</v>
      </c>
      <c r="O1059" s="11" t="s">
        <v>81</v>
      </c>
      <c r="P1059" s="14">
        <v>44955.352777777778</v>
      </c>
      <c r="Q1059" t="s">
        <v>3111</v>
      </c>
    </row>
    <row r="1060" spans="1:17">
      <c r="A1060" s="8" t="s">
        <v>3112</v>
      </c>
      <c r="B1060" s="8">
        <v>34314630</v>
      </c>
      <c r="C1060" t="s">
        <v>3113</v>
      </c>
      <c r="D1060" t="s">
        <v>1670</v>
      </c>
      <c r="E1060" t="s">
        <v>523</v>
      </c>
      <c r="F1060" t="s">
        <v>121</v>
      </c>
      <c r="G1060" t="s">
        <v>35</v>
      </c>
      <c r="H1060" t="s">
        <v>54</v>
      </c>
      <c r="I1060" t="s">
        <v>55</v>
      </c>
      <c r="J1060" t="s">
        <v>56</v>
      </c>
      <c r="K1060" t="s">
        <v>46</v>
      </c>
      <c r="L1060">
        <v>2941.53</v>
      </c>
      <c r="M1060">
        <v>57</v>
      </c>
      <c r="N1060" s="10" t="s">
        <v>47</v>
      </c>
      <c r="O1060" s="10" t="s">
        <v>75</v>
      </c>
      <c r="P1060" s="13">
        <v>45052.620833333334</v>
      </c>
      <c r="Q1060" t="s">
        <v>3114</v>
      </c>
    </row>
    <row r="1061" spans="1:17">
      <c r="A1061" s="8" t="s">
        <v>3115</v>
      </c>
      <c r="B1061" s="8">
        <v>95235819</v>
      </c>
      <c r="C1061" t="s">
        <v>1022</v>
      </c>
      <c r="D1061" t="s">
        <v>2413</v>
      </c>
      <c r="E1061" t="s">
        <v>523</v>
      </c>
      <c r="F1061" t="s">
        <v>22</v>
      </c>
      <c r="G1061" t="s">
        <v>35</v>
      </c>
      <c r="H1061" t="s">
        <v>24</v>
      </c>
      <c r="I1061" t="s">
        <v>24</v>
      </c>
      <c r="J1061" t="s">
        <v>103</v>
      </c>
      <c r="K1061" t="s">
        <v>26</v>
      </c>
      <c r="L1061">
        <v>10177.56</v>
      </c>
      <c r="M1061">
        <v>34</v>
      </c>
      <c r="N1061" s="11" t="s">
        <v>39</v>
      </c>
      <c r="O1061" s="11" t="s">
        <v>75</v>
      </c>
      <c r="P1061" s="14">
        <v>46104.083333333336</v>
      </c>
      <c r="Q1061" t="s">
        <v>3116</v>
      </c>
    </row>
    <row r="1062" spans="1:17">
      <c r="A1062" s="8" t="s">
        <v>3117</v>
      </c>
      <c r="B1062" s="8">
        <v>44143101</v>
      </c>
      <c r="C1062" t="s">
        <v>2854</v>
      </c>
      <c r="D1062" t="s">
        <v>854</v>
      </c>
      <c r="E1062" t="s">
        <v>523</v>
      </c>
      <c r="F1062" t="s">
        <v>92</v>
      </c>
      <c r="G1062" t="s">
        <v>98</v>
      </c>
      <c r="H1062" t="s">
        <v>68</v>
      </c>
      <c r="I1062" t="s">
        <v>93</v>
      </c>
      <c r="J1062" t="s">
        <v>38</v>
      </c>
      <c r="K1062" t="s">
        <v>46</v>
      </c>
      <c r="L1062">
        <v>13089.99</v>
      </c>
      <c r="M1062">
        <v>18</v>
      </c>
      <c r="N1062" s="10" t="s">
        <v>27</v>
      </c>
      <c r="O1062" s="10" t="s">
        <v>48</v>
      </c>
      <c r="P1062" s="13">
        <v>46341.828472222223</v>
      </c>
      <c r="Q1062" t="s">
        <v>3118</v>
      </c>
    </row>
    <row r="1063" spans="1:17">
      <c r="A1063" s="8" t="s">
        <v>3119</v>
      </c>
      <c r="B1063" s="8">
        <v>65900464</v>
      </c>
      <c r="C1063" t="s">
        <v>593</v>
      </c>
      <c r="D1063" t="s">
        <v>3120</v>
      </c>
      <c r="E1063" t="s">
        <v>523</v>
      </c>
      <c r="F1063" t="s">
        <v>53</v>
      </c>
      <c r="G1063" t="s">
        <v>98</v>
      </c>
      <c r="H1063" t="s">
        <v>24</v>
      </c>
      <c r="I1063" t="s">
        <v>55</v>
      </c>
      <c r="J1063" t="s">
        <v>38</v>
      </c>
      <c r="K1063" t="s">
        <v>26</v>
      </c>
      <c r="L1063">
        <v>78.59</v>
      </c>
      <c r="M1063">
        <v>78</v>
      </c>
      <c r="N1063" s="11" t="s">
        <v>27</v>
      </c>
      <c r="O1063" s="11" t="s">
        <v>75</v>
      </c>
      <c r="P1063" s="14">
        <v>44067.78125</v>
      </c>
      <c r="Q1063" t="s">
        <v>3121</v>
      </c>
    </row>
    <row r="1064" spans="1:17">
      <c r="A1064" s="8" t="s">
        <v>3122</v>
      </c>
      <c r="B1064" s="8">
        <v>50368134</v>
      </c>
      <c r="C1064" t="s">
        <v>208</v>
      </c>
      <c r="D1064" t="s">
        <v>1349</v>
      </c>
      <c r="E1064" t="s">
        <v>523</v>
      </c>
      <c r="F1064" t="s">
        <v>22</v>
      </c>
      <c r="G1064" t="s">
        <v>393</v>
      </c>
      <c r="H1064" t="s">
        <v>93</v>
      </c>
      <c r="I1064" t="s">
        <v>93</v>
      </c>
      <c r="J1064" t="s">
        <v>25</v>
      </c>
      <c r="K1064" t="s">
        <v>69</v>
      </c>
      <c r="L1064">
        <v>14917.95</v>
      </c>
      <c r="M1064">
        <v>60</v>
      </c>
      <c r="N1064" s="10" t="s">
        <v>86</v>
      </c>
      <c r="O1064" s="10" t="s">
        <v>48</v>
      </c>
      <c r="P1064" s="13">
        <v>44975.681250000001</v>
      </c>
      <c r="Q1064" t="s">
        <v>3123</v>
      </c>
    </row>
    <row r="1065" spans="1:17">
      <c r="A1065" s="8" t="s">
        <v>3124</v>
      </c>
      <c r="B1065" s="8">
        <v>91001528</v>
      </c>
      <c r="C1065" t="s">
        <v>183</v>
      </c>
      <c r="D1065" t="s">
        <v>690</v>
      </c>
      <c r="E1065" t="s">
        <v>523</v>
      </c>
      <c r="F1065" t="s">
        <v>44</v>
      </c>
      <c r="G1065" t="s">
        <v>121</v>
      </c>
      <c r="H1065" t="s">
        <v>62</v>
      </c>
      <c r="I1065" t="s">
        <v>23</v>
      </c>
      <c r="J1065" t="s">
        <v>38</v>
      </c>
      <c r="K1065" t="s">
        <v>69</v>
      </c>
      <c r="L1065">
        <v>10007.65</v>
      </c>
      <c r="M1065">
        <v>59</v>
      </c>
      <c r="N1065" s="11" t="s">
        <v>86</v>
      </c>
      <c r="O1065" s="11" t="s">
        <v>48</v>
      </c>
      <c r="P1065" s="14">
        <v>46384.574999999997</v>
      </c>
      <c r="Q1065" t="s">
        <v>3125</v>
      </c>
    </row>
    <row r="1066" spans="1:17">
      <c r="A1066" s="8" t="s">
        <v>3126</v>
      </c>
      <c r="B1066" s="8">
        <v>95365934</v>
      </c>
      <c r="C1066" t="s">
        <v>2421</v>
      </c>
      <c r="D1066" t="s">
        <v>809</v>
      </c>
      <c r="E1066" t="s">
        <v>523</v>
      </c>
      <c r="F1066" t="s">
        <v>98</v>
      </c>
      <c r="G1066" t="s">
        <v>35</v>
      </c>
      <c r="H1066" t="s">
        <v>62</v>
      </c>
      <c r="I1066" t="s">
        <v>23</v>
      </c>
      <c r="J1066" t="s">
        <v>103</v>
      </c>
      <c r="K1066" t="s">
        <v>46</v>
      </c>
      <c r="L1066">
        <v>10303.1</v>
      </c>
      <c r="M1066">
        <v>42</v>
      </c>
      <c r="N1066" s="10" t="s">
        <v>47</v>
      </c>
      <c r="O1066" s="10" t="s">
        <v>48</v>
      </c>
      <c r="P1066" s="13">
        <v>44597.571527777778</v>
      </c>
      <c r="Q1066" t="s">
        <v>3127</v>
      </c>
    </row>
    <row r="1067" spans="1:17">
      <c r="A1067" s="8" t="s">
        <v>3128</v>
      </c>
      <c r="B1067" s="8">
        <v>42078118</v>
      </c>
      <c r="C1067" t="s">
        <v>330</v>
      </c>
      <c r="D1067" t="s">
        <v>1549</v>
      </c>
      <c r="E1067" t="s">
        <v>523</v>
      </c>
      <c r="F1067" t="s">
        <v>21</v>
      </c>
      <c r="G1067" t="s">
        <v>92</v>
      </c>
      <c r="H1067" t="s">
        <v>24</v>
      </c>
      <c r="I1067" t="s">
        <v>24</v>
      </c>
      <c r="J1067" t="s">
        <v>38</v>
      </c>
      <c r="K1067" t="s">
        <v>26</v>
      </c>
      <c r="L1067">
        <v>13592.6</v>
      </c>
      <c r="M1067">
        <v>56</v>
      </c>
      <c r="N1067" s="11" t="s">
        <v>57</v>
      </c>
      <c r="O1067" s="11" t="s">
        <v>28</v>
      </c>
      <c r="P1067" s="14">
        <v>44821.647222222222</v>
      </c>
      <c r="Q1067" t="s">
        <v>3129</v>
      </c>
    </row>
    <row r="1068" spans="1:17">
      <c r="A1068" s="8" t="s">
        <v>3130</v>
      </c>
      <c r="B1068" s="8">
        <v>20770572</v>
      </c>
      <c r="C1068" t="s">
        <v>2241</v>
      </c>
      <c r="D1068" t="s">
        <v>2174</v>
      </c>
      <c r="E1068" t="s">
        <v>523</v>
      </c>
      <c r="F1068" t="s">
        <v>116</v>
      </c>
      <c r="G1068" t="s">
        <v>45</v>
      </c>
      <c r="H1068" t="s">
        <v>127</v>
      </c>
      <c r="I1068" t="s">
        <v>24</v>
      </c>
      <c r="J1068" t="s">
        <v>103</v>
      </c>
      <c r="K1068" t="s">
        <v>69</v>
      </c>
      <c r="L1068">
        <v>12433.67</v>
      </c>
      <c r="M1068">
        <v>52</v>
      </c>
      <c r="N1068" s="10" t="s">
        <v>57</v>
      </c>
      <c r="O1068" s="10" t="s">
        <v>48</v>
      </c>
      <c r="P1068" s="13">
        <v>45590.525694444441</v>
      </c>
      <c r="Q1068" t="s">
        <v>3131</v>
      </c>
    </row>
    <row r="1069" spans="1:17">
      <c r="A1069" s="8" t="s">
        <v>3132</v>
      </c>
      <c r="B1069" s="8">
        <v>43212275</v>
      </c>
      <c r="C1069" t="s">
        <v>142</v>
      </c>
      <c r="D1069" t="s">
        <v>2169</v>
      </c>
      <c r="E1069" t="s">
        <v>523</v>
      </c>
      <c r="F1069" t="s">
        <v>21</v>
      </c>
      <c r="G1069" t="s">
        <v>35</v>
      </c>
      <c r="H1069" t="s">
        <v>37</v>
      </c>
      <c r="I1069" t="s">
        <v>62</v>
      </c>
      <c r="J1069" t="s">
        <v>38</v>
      </c>
      <c r="K1069" t="s">
        <v>26</v>
      </c>
      <c r="L1069">
        <v>11418.15</v>
      </c>
      <c r="M1069">
        <v>20</v>
      </c>
      <c r="N1069" s="11" t="s">
        <v>57</v>
      </c>
      <c r="O1069" s="11" t="s">
        <v>28</v>
      </c>
      <c r="P1069" s="14">
        <v>46151.674305555556</v>
      </c>
      <c r="Q1069" t="s">
        <v>3133</v>
      </c>
    </row>
    <row r="1070" spans="1:17">
      <c r="A1070" s="8" t="s">
        <v>3134</v>
      </c>
      <c r="B1070" s="8">
        <v>89075105</v>
      </c>
      <c r="C1070" t="s">
        <v>922</v>
      </c>
      <c r="D1070" t="s">
        <v>2387</v>
      </c>
      <c r="E1070" t="s">
        <v>523</v>
      </c>
      <c r="F1070" t="s">
        <v>35</v>
      </c>
      <c r="G1070" t="s">
        <v>116</v>
      </c>
      <c r="H1070" t="s">
        <v>36</v>
      </c>
      <c r="I1070" t="s">
        <v>23</v>
      </c>
      <c r="J1070" t="s">
        <v>103</v>
      </c>
      <c r="K1070" t="s">
        <v>69</v>
      </c>
      <c r="L1070">
        <v>6543.04</v>
      </c>
      <c r="M1070">
        <v>61</v>
      </c>
      <c r="N1070" s="10" t="s">
        <v>39</v>
      </c>
      <c r="O1070" s="10" t="s">
        <v>28</v>
      </c>
      <c r="P1070" s="13">
        <v>46110.951388888891</v>
      </c>
      <c r="Q1070" t="s">
        <v>3135</v>
      </c>
    </row>
    <row r="1071" spans="1:17">
      <c r="A1071" s="8" t="s">
        <v>3136</v>
      </c>
      <c r="B1071" s="8">
        <v>66206761</v>
      </c>
      <c r="C1071" t="s">
        <v>239</v>
      </c>
      <c r="D1071" t="s">
        <v>3137</v>
      </c>
      <c r="E1071" t="s">
        <v>523</v>
      </c>
      <c r="F1071" t="s">
        <v>21</v>
      </c>
      <c r="G1071" t="s">
        <v>121</v>
      </c>
      <c r="H1071" t="s">
        <v>23</v>
      </c>
      <c r="I1071" t="s">
        <v>68</v>
      </c>
      <c r="J1071" t="s">
        <v>25</v>
      </c>
      <c r="K1071" t="s">
        <v>69</v>
      </c>
      <c r="L1071">
        <v>7536.21</v>
      </c>
      <c r="M1071">
        <v>68</v>
      </c>
      <c r="N1071" s="11" t="s">
        <v>86</v>
      </c>
      <c r="O1071" s="11" t="s">
        <v>75</v>
      </c>
      <c r="P1071" s="14">
        <v>44326.234722222223</v>
      </c>
      <c r="Q1071" t="s">
        <v>3138</v>
      </c>
    </row>
    <row r="1072" spans="1:17">
      <c r="A1072" s="8" t="s">
        <v>3139</v>
      </c>
      <c r="B1072" s="8">
        <v>33582622</v>
      </c>
      <c r="C1072" t="s">
        <v>2366</v>
      </c>
      <c r="D1072" t="s">
        <v>574</v>
      </c>
      <c r="E1072" t="s">
        <v>523</v>
      </c>
      <c r="F1072" t="s">
        <v>21</v>
      </c>
      <c r="G1072" t="s">
        <v>44</v>
      </c>
      <c r="H1072" t="s">
        <v>62</v>
      </c>
      <c r="I1072" t="s">
        <v>68</v>
      </c>
      <c r="J1072" t="s">
        <v>25</v>
      </c>
      <c r="K1072" t="s">
        <v>46</v>
      </c>
      <c r="L1072">
        <v>4975.22</v>
      </c>
      <c r="M1072">
        <v>29</v>
      </c>
      <c r="N1072" s="10" t="s">
        <v>27</v>
      </c>
      <c r="O1072" s="10" t="s">
        <v>28</v>
      </c>
      <c r="P1072" s="13">
        <v>44878.022222222222</v>
      </c>
      <c r="Q1072" t="s">
        <v>3140</v>
      </c>
    </row>
    <row r="1073" spans="1:17">
      <c r="A1073" s="8" t="s">
        <v>3141</v>
      </c>
      <c r="B1073" s="8">
        <v>92548875</v>
      </c>
      <c r="C1073" t="s">
        <v>311</v>
      </c>
      <c r="D1073" t="s">
        <v>533</v>
      </c>
      <c r="E1073" t="s">
        <v>523</v>
      </c>
      <c r="F1073" t="s">
        <v>80</v>
      </c>
      <c r="G1073" t="s">
        <v>45</v>
      </c>
      <c r="H1073" t="s">
        <v>24</v>
      </c>
      <c r="I1073" t="s">
        <v>36</v>
      </c>
      <c r="J1073" t="s">
        <v>38</v>
      </c>
      <c r="K1073" t="s">
        <v>69</v>
      </c>
      <c r="L1073">
        <v>4817.1899999999996</v>
      </c>
      <c r="M1073">
        <v>36</v>
      </c>
      <c r="N1073" s="11" t="s">
        <v>39</v>
      </c>
      <c r="O1073" s="11" t="s">
        <v>48</v>
      </c>
      <c r="P1073" s="14">
        <v>45557.170138888891</v>
      </c>
      <c r="Q1073" t="s">
        <v>3142</v>
      </c>
    </row>
    <row r="1074" spans="1:17">
      <c r="A1074" s="8" t="s">
        <v>3143</v>
      </c>
      <c r="B1074" s="8">
        <v>38672861</v>
      </c>
      <c r="C1074" t="s">
        <v>640</v>
      </c>
      <c r="D1074" t="s">
        <v>125</v>
      </c>
      <c r="E1074" t="s">
        <v>523</v>
      </c>
      <c r="F1074" t="s">
        <v>21</v>
      </c>
      <c r="G1074" t="s">
        <v>45</v>
      </c>
      <c r="H1074" t="s">
        <v>24</v>
      </c>
      <c r="I1074" t="s">
        <v>23</v>
      </c>
      <c r="J1074" t="s">
        <v>74</v>
      </c>
      <c r="K1074" t="s">
        <v>26</v>
      </c>
      <c r="L1074">
        <v>1478.27</v>
      </c>
      <c r="M1074">
        <v>61</v>
      </c>
      <c r="N1074" s="10" t="s">
        <v>27</v>
      </c>
      <c r="O1074" s="10" t="s">
        <v>48</v>
      </c>
      <c r="P1074" s="13">
        <v>46380.645833333336</v>
      </c>
      <c r="Q1074" t="s">
        <v>3144</v>
      </c>
    </row>
    <row r="1075" spans="1:17">
      <c r="A1075" s="8" t="s">
        <v>3145</v>
      </c>
      <c r="B1075" s="8">
        <v>0</v>
      </c>
      <c r="C1075" t="s">
        <v>995</v>
      </c>
      <c r="D1075" t="s">
        <v>18</v>
      </c>
      <c r="E1075" t="s">
        <v>523</v>
      </c>
      <c r="F1075" t="s">
        <v>44</v>
      </c>
      <c r="G1075" t="s">
        <v>80</v>
      </c>
      <c r="H1075" t="s">
        <v>37</v>
      </c>
      <c r="I1075" t="s">
        <v>93</v>
      </c>
      <c r="J1075" t="s">
        <v>25</v>
      </c>
      <c r="K1075" t="s">
        <v>69</v>
      </c>
      <c r="L1075">
        <v>12952.2</v>
      </c>
      <c r="M1075">
        <v>76</v>
      </c>
      <c r="N1075" s="11" t="s">
        <v>86</v>
      </c>
      <c r="O1075" s="11" t="s">
        <v>75</v>
      </c>
      <c r="P1075" s="14">
        <v>45903.65625</v>
      </c>
      <c r="Q1075" t="s">
        <v>3146</v>
      </c>
    </row>
    <row r="1076" spans="1:17">
      <c r="A1076" s="8" t="s">
        <v>3147</v>
      </c>
      <c r="B1076" s="8">
        <v>42753932</v>
      </c>
      <c r="C1076" t="s">
        <v>1905</v>
      </c>
      <c r="D1076" t="s">
        <v>1192</v>
      </c>
      <c r="E1076" t="s">
        <v>523</v>
      </c>
      <c r="F1076" t="s">
        <v>121</v>
      </c>
      <c r="G1076" t="s">
        <v>22</v>
      </c>
      <c r="H1076" t="s">
        <v>37</v>
      </c>
      <c r="I1076" t="s">
        <v>93</v>
      </c>
      <c r="J1076" t="s">
        <v>56</v>
      </c>
      <c r="K1076" t="s">
        <v>26</v>
      </c>
      <c r="L1076">
        <v>11420.87</v>
      </c>
      <c r="M1076">
        <v>66</v>
      </c>
      <c r="N1076" s="10" t="s">
        <v>86</v>
      </c>
      <c r="O1076" s="10" t="s">
        <v>48</v>
      </c>
      <c r="P1076" s="13">
        <v>46166.008333333331</v>
      </c>
      <c r="Q1076" t="s">
        <v>3148</v>
      </c>
    </row>
    <row r="1077" spans="1:17">
      <c r="A1077" s="8" t="s">
        <v>3149</v>
      </c>
      <c r="B1077" s="8">
        <v>49942852</v>
      </c>
      <c r="C1077" t="s">
        <v>278</v>
      </c>
      <c r="D1077" t="s">
        <v>111</v>
      </c>
      <c r="E1077" t="s">
        <v>523</v>
      </c>
      <c r="F1077" t="s">
        <v>523</v>
      </c>
      <c r="G1077" t="s">
        <v>160</v>
      </c>
      <c r="H1077" t="s">
        <v>55</v>
      </c>
      <c r="I1077" t="s">
        <v>54</v>
      </c>
      <c r="J1077" t="s">
        <v>74</v>
      </c>
      <c r="K1077" t="s">
        <v>26</v>
      </c>
      <c r="L1077">
        <v>2596.12</v>
      </c>
      <c r="M1077">
        <v>78</v>
      </c>
      <c r="N1077" s="11" t="s">
        <v>86</v>
      </c>
      <c r="O1077" s="11" t="s">
        <v>75</v>
      </c>
      <c r="P1077" s="14">
        <v>44168.79791666667</v>
      </c>
      <c r="Q1077" t="s">
        <v>3150</v>
      </c>
    </row>
    <row r="1078" spans="1:17">
      <c r="A1078" s="8" t="s">
        <v>3151</v>
      </c>
      <c r="B1078" s="8">
        <v>98252710</v>
      </c>
      <c r="C1078" t="s">
        <v>865</v>
      </c>
      <c r="D1078" t="s">
        <v>2461</v>
      </c>
      <c r="E1078" t="s">
        <v>523</v>
      </c>
      <c r="F1078" t="s">
        <v>80</v>
      </c>
      <c r="G1078" t="s">
        <v>294</v>
      </c>
      <c r="H1078" t="s">
        <v>55</v>
      </c>
      <c r="I1078" t="s">
        <v>55</v>
      </c>
      <c r="J1078" t="s">
        <v>25</v>
      </c>
      <c r="K1078" t="s">
        <v>46</v>
      </c>
      <c r="L1078">
        <v>11698.23</v>
      </c>
      <c r="M1078">
        <v>34</v>
      </c>
      <c r="N1078" s="10" t="s">
        <v>39</v>
      </c>
      <c r="O1078" s="10" t="s">
        <v>48</v>
      </c>
      <c r="P1078" s="13">
        <v>45768.964583333334</v>
      </c>
      <c r="Q1078" t="s">
        <v>3152</v>
      </c>
    </row>
    <row r="1079" spans="1:17">
      <c r="A1079" s="8" t="s">
        <v>3153</v>
      </c>
      <c r="B1079" s="8">
        <v>61053150</v>
      </c>
      <c r="C1079" t="s">
        <v>3154</v>
      </c>
      <c r="D1079" t="s">
        <v>1578</v>
      </c>
      <c r="E1079" t="s">
        <v>523</v>
      </c>
      <c r="F1079" t="s">
        <v>22</v>
      </c>
      <c r="G1079" t="s">
        <v>53</v>
      </c>
      <c r="H1079" t="s">
        <v>127</v>
      </c>
      <c r="I1079" t="s">
        <v>37</v>
      </c>
      <c r="J1079" t="s">
        <v>25</v>
      </c>
      <c r="K1079" t="s">
        <v>69</v>
      </c>
      <c r="L1079">
        <v>10484.25</v>
      </c>
      <c r="M1079">
        <v>74</v>
      </c>
      <c r="N1079" s="11" t="s">
        <v>86</v>
      </c>
      <c r="O1079" s="11" t="s">
        <v>28</v>
      </c>
      <c r="P1079" s="14">
        <v>45648.354166666664</v>
      </c>
      <c r="Q1079" t="s">
        <v>3155</v>
      </c>
    </row>
    <row r="1080" spans="1:17">
      <c r="A1080" s="8" t="s">
        <v>3156</v>
      </c>
      <c r="B1080" s="8">
        <v>81555890</v>
      </c>
      <c r="C1080" t="s">
        <v>2130</v>
      </c>
      <c r="D1080" t="s">
        <v>3157</v>
      </c>
      <c r="E1080" t="s">
        <v>523</v>
      </c>
      <c r="F1080" t="s">
        <v>44</v>
      </c>
      <c r="G1080" t="s">
        <v>80</v>
      </c>
      <c r="H1080" t="s">
        <v>127</v>
      </c>
      <c r="I1080" t="s">
        <v>68</v>
      </c>
      <c r="J1080" t="s">
        <v>38</v>
      </c>
      <c r="K1080" t="s">
        <v>69</v>
      </c>
      <c r="L1080">
        <v>11980.23</v>
      </c>
      <c r="M1080">
        <v>72</v>
      </c>
      <c r="N1080" s="10" t="s">
        <v>57</v>
      </c>
      <c r="O1080" s="10" t="s">
        <v>75</v>
      </c>
      <c r="P1080" s="13">
        <v>43967.501388888886</v>
      </c>
      <c r="Q1080" t="s">
        <v>3158</v>
      </c>
    </row>
    <row r="1081" spans="1:17">
      <c r="A1081" s="8" t="s">
        <v>3159</v>
      </c>
      <c r="B1081" s="8">
        <v>70870360</v>
      </c>
      <c r="C1081" t="s">
        <v>1346</v>
      </c>
      <c r="D1081" t="s">
        <v>2015</v>
      </c>
      <c r="E1081" t="s">
        <v>523</v>
      </c>
      <c r="F1081" t="s">
        <v>22</v>
      </c>
      <c r="G1081" t="s">
        <v>45</v>
      </c>
      <c r="H1081" t="s">
        <v>93</v>
      </c>
      <c r="I1081" t="s">
        <v>24</v>
      </c>
      <c r="J1081" t="s">
        <v>56</v>
      </c>
      <c r="K1081" t="s">
        <v>26</v>
      </c>
      <c r="L1081">
        <v>8773.9699999999993</v>
      </c>
      <c r="M1081">
        <v>64</v>
      </c>
      <c r="N1081" s="11" t="s">
        <v>39</v>
      </c>
      <c r="O1081" s="11" t="s">
        <v>28</v>
      </c>
      <c r="P1081" s="14">
        <v>46386.743750000001</v>
      </c>
      <c r="Q1081" t="s">
        <v>3160</v>
      </c>
    </row>
    <row r="1082" spans="1:17">
      <c r="A1082" s="8" t="s">
        <v>3161</v>
      </c>
      <c r="B1082" s="8">
        <v>76359778</v>
      </c>
      <c r="C1082" t="s">
        <v>742</v>
      </c>
      <c r="D1082" t="s">
        <v>529</v>
      </c>
      <c r="E1082" t="s">
        <v>523</v>
      </c>
      <c r="F1082" t="s">
        <v>98</v>
      </c>
      <c r="G1082" t="s">
        <v>523</v>
      </c>
      <c r="H1082" t="s">
        <v>127</v>
      </c>
      <c r="I1082" t="s">
        <v>36</v>
      </c>
      <c r="J1082" t="s">
        <v>38</v>
      </c>
      <c r="K1082" t="s">
        <v>46</v>
      </c>
      <c r="L1082">
        <v>11423.76</v>
      </c>
      <c r="M1082">
        <v>29</v>
      </c>
      <c r="N1082" s="10" t="s">
        <v>57</v>
      </c>
      <c r="O1082" s="10" t="s">
        <v>81</v>
      </c>
      <c r="P1082" s="13">
        <v>46105.074999999997</v>
      </c>
      <c r="Q1082" t="s">
        <v>3162</v>
      </c>
    </row>
    <row r="1083" spans="1:17">
      <c r="A1083" s="8" t="s">
        <v>3163</v>
      </c>
      <c r="B1083" s="8">
        <v>0</v>
      </c>
      <c r="C1083" t="s">
        <v>1163</v>
      </c>
      <c r="D1083" t="s">
        <v>2917</v>
      </c>
      <c r="E1083" t="s">
        <v>523</v>
      </c>
      <c r="F1083" t="s">
        <v>45</v>
      </c>
      <c r="G1083" t="s">
        <v>53</v>
      </c>
      <c r="H1083" t="s">
        <v>54</v>
      </c>
      <c r="I1083" t="s">
        <v>37</v>
      </c>
      <c r="J1083" t="s">
        <v>38</v>
      </c>
      <c r="K1083" t="s">
        <v>26</v>
      </c>
      <c r="L1083">
        <v>14855.35</v>
      </c>
      <c r="M1083">
        <v>79</v>
      </c>
      <c r="N1083" s="11" t="s">
        <v>39</v>
      </c>
      <c r="O1083" s="11" t="s">
        <v>48</v>
      </c>
      <c r="P1083" s="14">
        <v>44150.765277777777</v>
      </c>
      <c r="Q1083" t="s">
        <v>3164</v>
      </c>
    </row>
    <row r="1084" spans="1:17">
      <c r="A1084" s="8" t="s">
        <v>3165</v>
      </c>
      <c r="B1084" s="8">
        <v>74832029</v>
      </c>
      <c r="C1084" t="s">
        <v>3166</v>
      </c>
      <c r="D1084" t="s">
        <v>2202</v>
      </c>
      <c r="E1084" t="s">
        <v>523</v>
      </c>
      <c r="F1084" t="s">
        <v>126</v>
      </c>
      <c r="G1084" t="s">
        <v>80</v>
      </c>
      <c r="H1084" t="s">
        <v>37</v>
      </c>
      <c r="I1084" t="s">
        <v>127</v>
      </c>
      <c r="J1084" t="s">
        <v>56</v>
      </c>
      <c r="K1084" t="s">
        <v>46</v>
      </c>
      <c r="L1084">
        <v>3412.93</v>
      </c>
      <c r="M1084">
        <v>25</v>
      </c>
      <c r="N1084" s="10" t="s">
        <v>86</v>
      </c>
      <c r="O1084" s="10" t="s">
        <v>75</v>
      </c>
      <c r="P1084" s="13">
        <v>45694.521527777775</v>
      </c>
      <c r="Q1084" t="s">
        <v>3167</v>
      </c>
    </row>
    <row r="1085" spans="1:17">
      <c r="A1085" s="8" t="s">
        <v>3168</v>
      </c>
      <c r="B1085" s="8">
        <v>17737798</v>
      </c>
      <c r="C1085" t="s">
        <v>3169</v>
      </c>
      <c r="D1085" t="s">
        <v>1135</v>
      </c>
      <c r="E1085" t="s">
        <v>523</v>
      </c>
      <c r="F1085" t="s">
        <v>112</v>
      </c>
      <c r="G1085" t="s">
        <v>53</v>
      </c>
      <c r="H1085" t="s">
        <v>23</v>
      </c>
      <c r="I1085" t="s">
        <v>36</v>
      </c>
      <c r="J1085" t="s">
        <v>56</v>
      </c>
      <c r="K1085" t="s">
        <v>26</v>
      </c>
      <c r="L1085">
        <v>1932.95</v>
      </c>
      <c r="M1085">
        <v>38</v>
      </c>
      <c r="N1085" s="11" t="s">
        <v>47</v>
      </c>
      <c r="O1085" s="11" t="s">
        <v>75</v>
      </c>
      <c r="P1085" s="14">
        <v>44746.522222222222</v>
      </c>
      <c r="Q1085" t="s">
        <v>3170</v>
      </c>
    </row>
    <row r="1086" spans="1:17">
      <c r="A1086" s="8" t="s">
        <v>3171</v>
      </c>
      <c r="B1086" s="8">
        <v>97510445</v>
      </c>
      <c r="C1086" t="s">
        <v>3172</v>
      </c>
      <c r="D1086" t="s">
        <v>593</v>
      </c>
      <c r="E1086" t="s">
        <v>523</v>
      </c>
      <c r="F1086" t="s">
        <v>44</v>
      </c>
      <c r="G1086" t="s">
        <v>98</v>
      </c>
      <c r="H1086" t="s">
        <v>54</v>
      </c>
      <c r="I1086" t="s">
        <v>127</v>
      </c>
      <c r="J1086" t="s">
        <v>56</v>
      </c>
      <c r="K1086" t="s">
        <v>69</v>
      </c>
      <c r="L1086">
        <v>8728.7099999999991</v>
      </c>
      <c r="M1086">
        <v>42</v>
      </c>
      <c r="N1086" s="10" t="s">
        <v>39</v>
      </c>
      <c r="O1086" s="10" t="s">
        <v>28</v>
      </c>
      <c r="P1086" s="13">
        <v>45036.063888888886</v>
      </c>
      <c r="Q1086" t="s">
        <v>3173</v>
      </c>
    </row>
    <row r="1087" spans="1:17">
      <c r="A1087" s="8" t="s">
        <v>3174</v>
      </c>
      <c r="B1087" s="8">
        <v>66037099</v>
      </c>
      <c r="C1087" t="s">
        <v>338</v>
      </c>
      <c r="D1087" t="s">
        <v>146</v>
      </c>
      <c r="E1087" t="s">
        <v>523</v>
      </c>
      <c r="F1087" t="s">
        <v>98</v>
      </c>
      <c r="G1087" t="s">
        <v>45</v>
      </c>
      <c r="H1087" t="s">
        <v>36</v>
      </c>
      <c r="I1087" t="s">
        <v>23</v>
      </c>
      <c r="J1087" t="s">
        <v>38</v>
      </c>
      <c r="K1087" t="s">
        <v>46</v>
      </c>
      <c r="L1087">
        <v>12813.8</v>
      </c>
      <c r="M1087">
        <v>29</v>
      </c>
      <c r="N1087" s="11" t="s">
        <v>57</v>
      </c>
      <c r="O1087" s="11" t="s">
        <v>81</v>
      </c>
      <c r="P1087" s="14">
        <v>45728.961111111108</v>
      </c>
      <c r="Q1087" t="s">
        <v>2222</v>
      </c>
    </row>
    <row r="1088" spans="1:17">
      <c r="A1088" s="8" t="s">
        <v>3175</v>
      </c>
      <c r="B1088" s="8">
        <v>33891892</v>
      </c>
      <c r="C1088" t="s">
        <v>346</v>
      </c>
      <c r="D1088" t="s">
        <v>2174</v>
      </c>
      <c r="E1088" t="s">
        <v>523</v>
      </c>
      <c r="F1088" t="s">
        <v>116</v>
      </c>
      <c r="G1088" t="s">
        <v>53</v>
      </c>
      <c r="H1088" t="s">
        <v>24</v>
      </c>
      <c r="I1088" t="s">
        <v>127</v>
      </c>
      <c r="J1088" t="s">
        <v>74</v>
      </c>
      <c r="K1088" t="s">
        <v>63</v>
      </c>
      <c r="L1088">
        <v>12795.65</v>
      </c>
      <c r="M1088">
        <v>32</v>
      </c>
      <c r="N1088" s="10" t="s">
        <v>27</v>
      </c>
      <c r="O1088" s="10" t="s">
        <v>28</v>
      </c>
      <c r="P1088" s="13">
        <v>45964.959722222222</v>
      </c>
      <c r="Q1088" t="s">
        <v>3176</v>
      </c>
    </row>
    <row r="1089" spans="1:17">
      <c r="A1089" s="8" t="s">
        <v>3177</v>
      </c>
      <c r="B1089" s="8">
        <v>76270221</v>
      </c>
      <c r="C1089" t="s">
        <v>1499</v>
      </c>
      <c r="D1089" t="s">
        <v>1073</v>
      </c>
      <c r="E1089" t="s">
        <v>523</v>
      </c>
      <c r="F1089" t="s">
        <v>35</v>
      </c>
      <c r="G1089" t="s">
        <v>92</v>
      </c>
      <c r="H1089" t="s">
        <v>127</v>
      </c>
      <c r="I1089" t="s">
        <v>127</v>
      </c>
      <c r="J1089" t="s">
        <v>74</v>
      </c>
      <c r="K1089" t="s">
        <v>69</v>
      </c>
      <c r="L1089">
        <v>7058.39</v>
      </c>
      <c r="M1089">
        <v>76</v>
      </c>
      <c r="N1089" s="11" t="s">
        <v>27</v>
      </c>
      <c r="O1089" s="11" t="s">
        <v>75</v>
      </c>
      <c r="P1089" s="14">
        <v>44756.265972222223</v>
      </c>
      <c r="Q1089" t="s">
        <v>3178</v>
      </c>
    </row>
    <row r="1090" spans="1:17">
      <c r="A1090" s="8" t="s">
        <v>3179</v>
      </c>
      <c r="B1090" s="8">
        <v>90715400</v>
      </c>
      <c r="C1090" t="s">
        <v>1683</v>
      </c>
      <c r="D1090" t="s">
        <v>3180</v>
      </c>
      <c r="E1090" t="s">
        <v>523</v>
      </c>
      <c r="F1090" t="s">
        <v>34</v>
      </c>
      <c r="G1090" t="s">
        <v>98</v>
      </c>
      <c r="H1090" t="s">
        <v>24</v>
      </c>
      <c r="I1090" t="s">
        <v>62</v>
      </c>
      <c r="J1090" t="s">
        <v>38</v>
      </c>
      <c r="K1090" t="s">
        <v>63</v>
      </c>
      <c r="L1090">
        <v>8226.9</v>
      </c>
      <c r="M1090">
        <v>43</v>
      </c>
      <c r="N1090" s="10" t="s">
        <v>86</v>
      </c>
      <c r="O1090" s="10" t="s">
        <v>48</v>
      </c>
      <c r="P1090" s="13">
        <v>45931.905555555553</v>
      </c>
      <c r="Q1090" t="s">
        <v>3181</v>
      </c>
    </row>
    <row r="1091" spans="1:17">
      <c r="A1091" s="8" t="s">
        <v>3182</v>
      </c>
      <c r="B1091" s="8">
        <v>68780031</v>
      </c>
      <c r="C1091" t="s">
        <v>2088</v>
      </c>
      <c r="D1091" t="s">
        <v>735</v>
      </c>
      <c r="E1091" t="s">
        <v>523</v>
      </c>
      <c r="F1091" t="s">
        <v>22</v>
      </c>
      <c r="G1091" t="s">
        <v>91</v>
      </c>
      <c r="H1091" t="s">
        <v>62</v>
      </c>
      <c r="I1091" t="s">
        <v>62</v>
      </c>
      <c r="J1091" t="s">
        <v>103</v>
      </c>
      <c r="K1091" t="s">
        <v>26</v>
      </c>
      <c r="L1091">
        <v>13016.02</v>
      </c>
      <c r="M1091">
        <v>43</v>
      </c>
      <c r="N1091" s="11" t="s">
        <v>47</v>
      </c>
      <c r="O1091" s="11" t="s">
        <v>28</v>
      </c>
      <c r="P1091" s="14">
        <v>45089.936805555553</v>
      </c>
      <c r="Q1091" t="s">
        <v>3183</v>
      </c>
    </row>
    <row r="1092" spans="1:17">
      <c r="A1092" s="8" t="s">
        <v>3184</v>
      </c>
      <c r="B1092" s="8">
        <v>44656091</v>
      </c>
      <c r="C1092" t="s">
        <v>3185</v>
      </c>
      <c r="D1092" t="s">
        <v>2273</v>
      </c>
      <c r="E1092" t="s">
        <v>523</v>
      </c>
      <c r="F1092" t="s">
        <v>53</v>
      </c>
      <c r="G1092" t="s">
        <v>34</v>
      </c>
      <c r="H1092" t="s">
        <v>93</v>
      </c>
      <c r="I1092" t="s">
        <v>62</v>
      </c>
      <c r="J1092" t="s">
        <v>56</v>
      </c>
      <c r="K1092" t="s">
        <v>63</v>
      </c>
      <c r="L1092">
        <v>6005.14</v>
      </c>
      <c r="M1092">
        <v>64</v>
      </c>
      <c r="N1092" s="10" t="s">
        <v>57</v>
      </c>
      <c r="O1092" s="10" t="s">
        <v>28</v>
      </c>
      <c r="P1092" s="13">
        <v>45813.729861111111</v>
      </c>
      <c r="Q1092" t="s">
        <v>3186</v>
      </c>
    </row>
    <row r="1093" spans="1:17">
      <c r="A1093" s="8" t="s">
        <v>3187</v>
      </c>
      <c r="B1093" s="8">
        <v>14309791</v>
      </c>
      <c r="C1093" t="s">
        <v>682</v>
      </c>
      <c r="D1093" t="s">
        <v>1002</v>
      </c>
      <c r="E1093" t="s">
        <v>523</v>
      </c>
      <c r="F1093" t="s">
        <v>22</v>
      </c>
      <c r="G1093" t="s">
        <v>35</v>
      </c>
      <c r="H1093" t="s">
        <v>62</v>
      </c>
      <c r="I1093" t="s">
        <v>23</v>
      </c>
      <c r="J1093" t="s">
        <v>25</v>
      </c>
      <c r="K1093" t="s">
        <v>26</v>
      </c>
      <c r="L1093">
        <v>6012.9</v>
      </c>
      <c r="M1093">
        <v>49</v>
      </c>
      <c r="N1093" s="11" t="s">
        <v>86</v>
      </c>
      <c r="O1093" s="11" t="s">
        <v>28</v>
      </c>
      <c r="P1093" s="14">
        <v>44263.994444444441</v>
      </c>
      <c r="Q1093" t="s">
        <v>3188</v>
      </c>
    </row>
    <row r="1094" spans="1:17">
      <c r="A1094" s="8" t="s">
        <v>3189</v>
      </c>
      <c r="B1094" s="8">
        <v>40381915</v>
      </c>
      <c r="C1094" t="s">
        <v>216</v>
      </c>
      <c r="D1094" t="s">
        <v>3190</v>
      </c>
      <c r="E1094" t="s">
        <v>523</v>
      </c>
      <c r="F1094" t="s">
        <v>523</v>
      </c>
      <c r="G1094" t="s">
        <v>21</v>
      </c>
      <c r="H1094" t="s">
        <v>93</v>
      </c>
      <c r="I1094" t="s">
        <v>37</v>
      </c>
      <c r="J1094" t="s">
        <v>38</v>
      </c>
      <c r="K1094" t="s">
        <v>63</v>
      </c>
      <c r="L1094">
        <v>13194.59</v>
      </c>
      <c r="M1094">
        <v>27</v>
      </c>
      <c r="N1094" s="10" t="s">
        <v>47</v>
      </c>
      <c r="O1094" s="10" t="s">
        <v>28</v>
      </c>
      <c r="P1094" s="13">
        <v>44829.272222222222</v>
      </c>
      <c r="Q1094" t="s">
        <v>3191</v>
      </c>
    </row>
    <row r="1095" spans="1:17">
      <c r="A1095" s="8" t="s">
        <v>3192</v>
      </c>
      <c r="B1095" s="8">
        <v>23405403</v>
      </c>
      <c r="C1095" t="s">
        <v>1472</v>
      </c>
      <c r="D1095" t="s">
        <v>573</v>
      </c>
      <c r="E1095" t="s">
        <v>523</v>
      </c>
      <c r="F1095" t="s">
        <v>53</v>
      </c>
      <c r="G1095" t="s">
        <v>98</v>
      </c>
      <c r="H1095" t="s">
        <v>55</v>
      </c>
      <c r="I1095" t="s">
        <v>36</v>
      </c>
      <c r="J1095" t="s">
        <v>103</v>
      </c>
      <c r="K1095" t="s">
        <v>26</v>
      </c>
      <c r="L1095">
        <v>12129.56</v>
      </c>
      <c r="M1095">
        <v>33</v>
      </c>
      <c r="N1095" s="11" t="s">
        <v>57</v>
      </c>
      <c r="O1095" s="11" t="s">
        <v>28</v>
      </c>
      <c r="P1095" s="14">
        <v>45978.2</v>
      </c>
      <c r="Q1095" t="s">
        <v>3193</v>
      </c>
    </row>
    <row r="1096" spans="1:17">
      <c r="A1096" s="8" t="s">
        <v>3194</v>
      </c>
      <c r="B1096" s="8">
        <v>55145882</v>
      </c>
      <c r="C1096" t="s">
        <v>3195</v>
      </c>
      <c r="D1096" t="s">
        <v>3196</v>
      </c>
      <c r="E1096" t="s">
        <v>523</v>
      </c>
      <c r="F1096" t="s">
        <v>53</v>
      </c>
      <c r="G1096" t="s">
        <v>35</v>
      </c>
      <c r="H1096" t="s">
        <v>24</v>
      </c>
      <c r="I1096" t="s">
        <v>36</v>
      </c>
      <c r="J1096" t="s">
        <v>74</v>
      </c>
      <c r="K1096" t="s">
        <v>26</v>
      </c>
      <c r="L1096">
        <v>593.58000000000004</v>
      </c>
      <c r="M1096">
        <v>34</v>
      </c>
      <c r="N1096" s="10" t="s">
        <v>57</v>
      </c>
      <c r="O1096" s="10" t="s">
        <v>48</v>
      </c>
      <c r="P1096" s="13">
        <v>44820.301388888889</v>
      </c>
      <c r="Q1096" t="s">
        <v>3197</v>
      </c>
    </row>
    <row r="1097" spans="1:17">
      <c r="A1097" s="8" t="s">
        <v>3198</v>
      </c>
      <c r="B1097" s="8">
        <v>19475654</v>
      </c>
      <c r="C1097" t="s">
        <v>3199</v>
      </c>
      <c r="D1097" t="s">
        <v>2451</v>
      </c>
      <c r="E1097" t="s">
        <v>523</v>
      </c>
      <c r="F1097" t="s">
        <v>116</v>
      </c>
      <c r="G1097" t="s">
        <v>53</v>
      </c>
      <c r="H1097" t="s">
        <v>93</v>
      </c>
      <c r="I1097" t="s">
        <v>24</v>
      </c>
      <c r="J1097" t="s">
        <v>74</v>
      </c>
      <c r="K1097" t="s">
        <v>26</v>
      </c>
      <c r="L1097">
        <v>5739.64</v>
      </c>
      <c r="M1097">
        <v>40</v>
      </c>
      <c r="N1097" s="11" t="s">
        <v>39</v>
      </c>
      <c r="O1097" s="11" t="s">
        <v>81</v>
      </c>
      <c r="P1097" s="14">
        <v>44429.793749999997</v>
      </c>
      <c r="Q1097" t="s">
        <v>3200</v>
      </c>
    </row>
    <row r="1098" spans="1:17">
      <c r="A1098" s="8" t="s">
        <v>3201</v>
      </c>
      <c r="B1098" s="8">
        <v>18781194</v>
      </c>
      <c r="C1098" t="s">
        <v>685</v>
      </c>
      <c r="D1098" t="s">
        <v>1593</v>
      </c>
      <c r="E1098" t="s">
        <v>523</v>
      </c>
      <c r="F1098" t="s">
        <v>1084</v>
      </c>
      <c r="G1098" t="s">
        <v>45</v>
      </c>
      <c r="H1098" t="s">
        <v>68</v>
      </c>
      <c r="I1098" t="s">
        <v>62</v>
      </c>
      <c r="J1098" t="s">
        <v>38</v>
      </c>
      <c r="K1098" t="s">
        <v>46</v>
      </c>
      <c r="L1098">
        <v>12881.34</v>
      </c>
      <c r="M1098">
        <v>43</v>
      </c>
      <c r="N1098" s="10" t="s">
        <v>57</v>
      </c>
      <c r="O1098" s="10" t="s">
        <v>28</v>
      </c>
      <c r="P1098" s="13">
        <v>46281.044444444444</v>
      </c>
      <c r="Q1098" t="s">
        <v>3202</v>
      </c>
    </row>
    <row r="1099" spans="1:17">
      <c r="A1099" s="8" t="s">
        <v>3203</v>
      </c>
      <c r="B1099" s="8">
        <v>82316237</v>
      </c>
      <c r="C1099" t="s">
        <v>1135</v>
      </c>
      <c r="D1099" t="s">
        <v>604</v>
      </c>
      <c r="E1099" t="s">
        <v>523</v>
      </c>
      <c r="F1099" t="s">
        <v>34</v>
      </c>
      <c r="G1099" t="s">
        <v>35</v>
      </c>
      <c r="H1099" t="s">
        <v>54</v>
      </c>
      <c r="I1099" t="s">
        <v>23</v>
      </c>
      <c r="J1099" t="s">
        <v>25</v>
      </c>
      <c r="K1099" t="s">
        <v>63</v>
      </c>
      <c r="L1099">
        <v>6525.52</v>
      </c>
      <c r="M1099">
        <v>24</v>
      </c>
      <c r="N1099" s="11" t="s">
        <v>57</v>
      </c>
      <c r="O1099" s="11" t="s">
        <v>75</v>
      </c>
      <c r="P1099" s="14">
        <v>44226.038888888892</v>
      </c>
      <c r="Q1099" t="s">
        <v>3204</v>
      </c>
    </row>
    <row r="1100" spans="1:17">
      <c r="A1100" s="8" t="s">
        <v>3205</v>
      </c>
      <c r="B1100" s="8">
        <v>70366677</v>
      </c>
      <c r="C1100" t="s">
        <v>267</v>
      </c>
      <c r="D1100" t="s">
        <v>3206</v>
      </c>
      <c r="E1100" t="s">
        <v>523</v>
      </c>
      <c r="F1100" t="s">
        <v>116</v>
      </c>
      <c r="G1100" t="s">
        <v>34</v>
      </c>
      <c r="H1100" t="s">
        <v>93</v>
      </c>
      <c r="I1100" t="s">
        <v>24</v>
      </c>
      <c r="J1100" t="s">
        <v>38</v>
      </c>
      <c r="K1100" t="s">
        <v>69</v>
      </c>
      <c r="L1100">
        <v>9135.59</v>
      </c>
      <c r="M1100">
        <v>31</v>
      </c>
      <c r="N1100" s="10" t="s">
        <v>39</v>
      </c>
      <c r="O1100" s="10" t="s">
        <v>28</v>
      </c>
      <c r="P1100" s="13">
        <v>44245.192361111112</v>
      </c>
      <c r="Q1100" t="s">
        <v>3207</v>
      </c>
    </row>
    <row r="1101" spans="1:17">
      <c r="A1101" s="8" t="s">
        <v>3208</v>
      </c>
      <c r="B1101" s="8">
        <v>73125832</v>
      </c>
      <c r="C1101" t="s">
        <v>3169</v>
      </c>
      <c r="D1101" t="s">
        <v>969</v>
      </c>
      <c r="E1101" t="s">
        <v>523</v>
      </c>
      <c r="F1101" t="s">
        <v>98</v>
      </c>
      <c r="G1101" t="s">
        <v>98</v>
      </c>
      <c r="H1101" t="s">
        <v>93</v>
      </c>
      <c r="I1101" t="s">
        <v>55</v>
      </c>
      <c r="J1101" t="s">
        <v>38</v>
      </c>
      <c r="K1101" t="s">
        <v>63</v>
      </c>
      <c r="L1101">
        <v>14243.6</v>
      </c>
      <c r="M1101">
        <v>24</v>
      </c>
      <c r="N1101" s="11" t="s">
        <v>47</v>
      </c>
      <c r="O1101" s="11" t="s">
        <v>75</v>
      </c>
      <c r="P1101" s="14">
        <v>44769.081250000003</v>
      </c>
      <c r="Q1101" t="s">
        <v>3209</v>
      </c>
    </row>
    <row r="1102" spans="1:17">
      <c r="A1102" s="8" t="s">
        <v>3210</v>
      </c>
      <c r="B1102" s="8">
        <v>92046026</v>
      </c>
      <c r="C1102" t="s">
        <v>343</v>
      </c>
      <c r="D1102" t="s">
        <v>2108</v>
      </c>
      <c r="E1102" t="s">
        <v>523</v>
      </c>
      <c r="F1102" t="s">
        <v>35</v>
      </c>
      <c r="G1102" t="s">
        <v>686</v>
      </c>
      <c r="H1102" t="s">
        <v>54</v>
      </c>
      <c r="I1102" t="s">
        <v>24</v>
      </c>
      <c r="J1102" t="s">
        <v>38</v>
      </c>
      <c r="K1102" t="s">
        <v>69</v>
      </c>
      <c r="L1102">
        <v>1284.2</v>
      </c>
      <c r="M1102">
        <v>26</v>
      </c>
      <c r="N1102" s="10" t="s">
        <v>57</v>
      </c>
      <c r="O1102" s="10" t="s">
        <v>81</v>
      </c>
      <c r="P1102" s="13">
        <v>45467.002083333333</v>
      </c>
      <c r="Q1102" t="s">
        <v>3211</v>
      </c>
    </row>
    <row r="1103" spans="1:17">
      <c r="A1103" s="8" t="s">
        <v>3212</v>
      </c>
      <c r="B1103" s="8">
        <v>70133687</v>
      </c>
      <c r="C1103" t="s">
        <v>500</v>
      </c>
      <c r="D1103" t="s">
        <v>179</v>
      </c>
      <c r="E1103" t="s">
        <v>523</v>
      </c>
      <c r="F1103" t="s">
        <v>92</v>
      </c>
      <c r="G1103" t="s">
        <v>92</v>
      </c>
      <c r="H1103" t="s">
        <v>24</v>
      </c>
      <c r="I1103" t="s">
        <v>37</v>
      </c>
      <c r="J1103" t="s">
        <v>25</v>
      </c>
      <c r="K1103" t="s">
        <v>46</v>
      </c>
      <c r="L1103">
        <v>1447.87</v>
      </c>
      <c r="M1103">
        <v>65</v>
      </c>
      <c r="N1103" s="11" t="s">
        <v>39</v>
      </c>
      <c r="O1103" s="11" t="s">
        <v>75</v>
      </c>
      <c r="P1103" s="14">
        <v>46341.286805555559</v>
      </c>
      <c r="Q1103" t="s">
        <v>3213</v>
      </c>
    </row>
    <row r="1104" spans="1:17">
      <c r="A1104" s="8" t="s">
        <v>3214</v>
      </c>
      <c r="B1104" s="8">
        <v>95853878</v>
      </c>
      <c r="C1104" t="s">
        <v>3215</v>
      </c>
      <c r="D1104" t="s">
        <v>929</v>
      </c>
      <c r="E1104" t="s">
        <v>523</v>
      </c>
      <c r="F1104" t="s">
        <v>53</v>
      </c>
      <c r="G1104" t="s">
        <v>34</v>
      </c>
      <c r="H1104" t="s">
        <v>24</v>
      </c>
      <c r="I1104" t="s">
        <v>68</v>
      </c>
      <c r="J1104" t="s">
        <v>38</v>
      </c>
      <c r="K1104" t="s">
        <v>26</v>
      </c>
      <c r="L1104">
        <v>7272.24</v>
      </c>
      <c r="M1104">
        <v>76</v>
      </c>
      <c r="N1104" s="10" t="s">
        <v>57</v>
      </c>
      <c r="O1104" s="10" t="s">
        <v>28</v>
      </c>
      <c r="P1104" s="13">
        <v>44371.022222222222</v>
      </c>
      <c r="Q1104" t="s">
        <v>3216</v>
      </c>
    </row>
    <row r="1105" spans="1:17">
      <c r="A1105" s="8" t="s">
        <v>3217</v>
      </c>
      <c r="B1105" s="8">
        <v>88896855</v>
      </c>
      <c r="C1105" t="s">
        <v>2224</v>
      </c>
      <c r="D1105" t="s">
        <v>3218</v>
      </c>
      <c r="E1105" t="s">
        <v>523</v>
      </c>
      <c r="F1105" t="s">
        <v>53</v>
      </c>
      <c r="G1105" t="s">
        <v>80</v>
      </c>
      <c r="H1105" t="s">
        <v>54</v>
      </c>
      <c r="I1105" t="s">
        <v>127</v>
      </c>
      <c r="J1105" t="s">
        <v>103</v>
      </c>
      <c r="K1105" t="s">
        <v>46</v>
      </c>
      <c r="L1105">
        <v>14984.89</v>
      </c>
      <c r="M1105">
        <v>56</v>
      </c>
      <c r="N1105" s="11" t="s">
        <v>39</v>
      </c>
      <c r="O1105" s="11" t="s">
        <v>48</v>
      </c>
      <c r="P1105" s="14">
        <v>45480.304861111108</v>
      </c>
      <c r="Q1105" t="s">
        <v>3219</v>
      </c>
    </row>
    <row r="1106" spans="1:17">
      <c r="A1106" s="8" t="s">
        <v>3220</v>
      </c>
      <c r="B1106" s="8">
        <v>42815403</v>
      </c>
      <c r="C1106" t="s">
        <v>3221</v>
      </c>
      <c r="D1106" t="s">
        <v>2550</v>
      </c>
      <c r="E1106" t="s">
        <v>523</v>
      </c>
      <c r="F1106" t="s">
        <v>80</v>
      </c>
      <c r="G1106" t="s">
        <v>45</v>
      </c>
      <c r="H1106" t="s">
        <v>62</v>
      </c>
      <c r="I1106" t="s">
        <v>62</v>
      </c>
      <c r="J1106" t="s">
        <v>38</v>
      </c>
      <c r="K1106" t="s">
        <v>69</v>
      </c>
      <c r="L1106">
        <v>12753.81</v>
      </c>
      <c r="M1106">
        <v>35</v>
      </c>
      <c r="N1106" s="10" t="s">
        <v>47</v>
      </c>
      <c r="O1106" s="10" t="s">
        <v>81</v>
      </c>
      <c r="P1106" s="13">
        <v>45776.638888888891</v>
      </c>
      <c r="Q1106" t="s">
        <v>3222</v>
      </c>
    </row>
    <row r="1107" spans="1:17">
      <c r="A1107" s="8" t="s">
        <v>3223</v>
      </c>
      <c r="B1107" s="8">
        <v>59509360</v>
      </c>
      <c r="C1107" t="s">
        <v>1865</v>
      </c>
      <c r="D1107" t="s">
        <v>3224</v>
      </c>
      <c r="E1107" t="s">
        <v>523</v>
      </c>
      <c r="F1107" t="s">
        <v>44</v>
      </c>
      <c r="G1107" t="s">
        <v>393</v>
      </c>
      <c r="H1107" t="s">
        <v>68</v>
      </c>
      <c r="I1107" t="s">
        <v>68</v>
      </c>
      <c r="J1107" t="s">
        <v>74</v>
      </c>
      <c r="K1107" t="s">
        <v>69</v>
      </c>
      <c r="L1107">
        <v>14180.86</v>
      </c>
      <c r="M1107">
        <v>76</v>
      </c>
      <c r="N1107" s="11" t="s">
        <v>39</v>
      </c>
      <c r="O1107" s="11" t="s">
        <v>48</v>
      </c>
      <c r="P1107" s="14">
        <v>43914.537499999999</v>
      </c>
      <c r="Q1107" t="s">
        <v>3225</v>
      </c>
    </row>
    <row r="1108" spans="1:17">
      <c r="A1108" s="8" t="s">
        <v>3226</v>
      </c>
      <c r="B1108" s="8">
        <v>42830348</v>
      </c>
      <c r="C1108" t="s">
        <v>574</v>
      </c>
      <c r="D1108" t="s">
        <v>2101</v>
      </c>
      <c r="E1108" t="s">
        <v>523</v>
      </c>
      <c r="F1108" t="s">
        <v>21</v>
      </c>
      <c r="G1108" t="s">
        <v>121</v>
      </c>
      <c r="H1108" t="s">
        <v>23</v>
      </c>
      <c r="I1108" t="s">
        <v>24</v>
      </c>
      <c r="J1108" t="s">
        <v>25</v>
      </c>
      <c r="K1108" t="s">
        <v>26</v>
      </c>
      <c r="L1108">
        <v>13243.1</v>
      </c>
      <c r="M1108">
        <v>34</v>
      </c>
      <c r="N1108" s="10" t="s">
        <v>86</v>
      </c>
      <c r="O1108" s="10" t="s">
        <v>81</v>
      </c>
      <c r="P1108" s="13">
        <v>44101.975694444445</v>
      </c>
      <c r="Q1108" t="s">
        <v>3227</v>
      </c>
    </row>
    <row r="1109" spans="1:17">
      <c r="A1109" s="8" t="s">
        <v>3228</v>
      </c>
      <c r="B1109" s="8">
        <v>62668823</v>
      </c>
      <c r="C1109" t="s">
        <v>1850</v>
      </c>
      <c r="D1109" t="s">
        <v>907</v>
      </c>
      <c r="E1109" t="s">
        <v>523</v>
      </c>
      <c r="F1109" t="s">
        <v>116</v>
      </c>
      <c r="G1109" t="s">
        <v>98</v>
      </c>
      <c r="H1109" t="s">
        <v>36</v>
      </c>
      <c r="I1109" t="s">
        <v>23</v>
      </c>
      <c r="J1109" t="s">
        <v>103</v>
      </c>
      <c r="K1109" t="s">
        <v>63</v>
      </c>
      <c r="L1109">
        <v>4096.5</v>
      </c>
      <c r="M1109">
        <v>31</v>
      </c>
      <c r="N1109" s="11" t="s">
        <v>57</v>
      </c>
      <c r="O1109" s="11" t="s">
        <v>48</v>
      </c>
      <c r="P1109" s="14">
        <v>46122.928472222222</v>
      </c>
      <c r="Q1109" t="s">
        <v>3229</v>
      </c>
    </row>
    <row r="1110" spans="1:17">
      <c r="A1110" s="8" t="s">
        <v>3230</v>
      </c>
      <c r="B1110" s="8">
        <v>13690499</v>
      </c>
      <c r="C1110" t="s">
        <v>3231</v>
      </c>
      <c r="D1110" t="s">
        <v>1911</v>
      </c>
      <c r="E1110" t="s">
        <v>523</v>
      </c>
      <c r="F1110" t="s">
        <v>92</v>
      </c>
      <c r="G1110" t="s">
        <v>98</v>
      </c>
      <c r="H1110" t="s">
        <v>68</v>
      </c>
      <c r="I1110" t="s">
        <v>127</v>
      </c>
      <c r="J1110" t="s">
        <v>56</v>
      </c>
      <c r="K1110" t="s">
        <v>26</v>
      </c>
      <c r="L1110">
        <v>5326.83</v>
      </c>
      <c r="M1110">
        <v>48</v>
      </c>
      <c r="N1110" s="10" t="s">
        <v>57</v>
      </c>
      <c r="O1110" s="10" t="s">
        <v>81</v>
      </c>
      <c r="P1110" s="13">
        <v>44218.820138888892</v>
      </c>
      <c r="Q1110" t="s">
        <v>3232</v>
      </c>
    </row>
    <row r="1111" spans="1:17">
      <c r="A1111" s="8" t="s">
        <v>3233</v>
      </c>
      <c r="B1111" s="8">
        <v>88968417</v>
      </c>
      <c r="C1111" t="s">
        <v>52</v>
      </c>
      <c r="D1111" t="s">
        <v>943</v>
      </c>
      <c r="E1111" t="s">
        <v>523</v>
      </c>
      <c r="F1111" t="s">
        <v>116</v>
      </c>
      <c r="G1111" t="s">
        <v>53</v>
      </c>
      <c r="H1111" t="s">
        <v>24</v>
      </c>
      <c r="I1111" t="s">
        <v>36</v>
      </c>
      <c r="J1111" t="s">
        <v>74</v>
      </c>
      <c r="K1111" t="s">
        <v>46</v>
      </c>
      <c r="L1111">
        <v>4364.67</v>
      </c>
      <c r="M1111">
        <v>41</v>
      </c>
      <c r="N1111" s="11" t="s">
        <v>57</v>
      </c>
      <c r="O1111" s="11" t="s">
        <v>75</v>
      </c>
      <c r="P1111" s="14">
        <v>44044.458333333336</v>
      </c>
      <c r="Q1111" t="s">
        <v>3234</v>
      </c>
    </row>
    <row r="1112" spans="1:17">
      <c r="A1112" s="8" t="s">
        <v>3235</v>
      </c>
      <c r="B1112" s="8">
        <v>27466246</v>
      </c>
      <c r="C1112" t="s">
        <v>3103</v>
      </c>
      <c r="D1112" t="s">
        <v>943</v>
      </c>
      <c r="E1112" t="s">
        <v>523</v>
      </c>
      <c r="F1112" t="s">
        <v>45</v>
      </c>
      <c r="G1112" t="s">
        <v>80</v>
      </c>
      <c r="H1112" t="s">
        <v>23</v>
      </c>
      <c r="I1112" t="s">
        <v>93</v>
      </c>
      <c r="J1112" t="s">
        <v>25</v>
      </c>
      <c r="K1112" t="s">
        <v>69</v>
      </c>
      <c r="L1112">
        <v>908.35</v>
      </c>
      <c r="M1112">
        <v>77</v>
      </c>
      <c r="N1112" s="10" t="s">
        <v>47</v>
      </c>
      <c r="O1112" s="10" t="s">
        <v>75</v>
      </c>
      <c r="P1112" s="13">
        <v>43889.380555555559</v>
      </c>
      <c r="Q1112" t="s">
        <v>3236</v>
      </c>
    </row>
    <row r="1113" spans="1:17">
      <c r="A1113" s="8" t="s">
        <v>3237</v>
      </c>
      <c r="B1113" s="8">
        <v>20784367</v>
      </c>
      <c r="C1113" t="s">
        <v>416</v>
      </c>
      <c r="D1113" t="s">
        <v>1864</v>
      </c>
      <c r="E1113" t="s">
        <v>523</v>
      </c>
      <c r="F1113" t="s">
        <v>98</v>
      </c>
      <c r="G1113" t="s">
        <v>121</v>
      </c>
      <c r="H1113" t="s">
        <v>55</v>
      </c>
      <c r="I1113" t="s">
        <v>127</v>
      </c>
      <c r="J1113" t="s">
        <v>38</v>
      </c>
      <c r="K1113" t="s">
        <v>69</v>
      </c>
      <c r="L1113">
        <v>7061.05</v>
      </c>
      <c r="M1113">
        <v>62</v>
      </c>
      <c r="N1113" s="11" t="s">
        <v>39</v>
      </c>
      <c r="O1113" s="11" t="s">
        <v>28</v>
      </c>
      <c r="P1113" s="14">
        <v>45456.124305555553</v>
      </c>
      <c r="Q1113" t="s">
        <v>3238</v>
      </c>
    </row>
    <row r="1114" spans="1:17">
      <c r="A1114" s="8" t="s">
        <v>3239</v>
      </c>
      <c r="B1114" s="8">
        <v>63673036</v>
      </c>
      <c r="C1114" t="s">
        <v>84</v>
      </c>
      <c r="D1114" t="s">
        <v>18</v>
      </c>
      <c r="E1114" t="s">
        <v>523</v>
      </c>
      <c r="F1114" t="s">
        <v>98</v>
      </c>
      <c r="G1114" t="s">
        <v>21</v>
      </c>
      <c r="H1114" t="s">
        <v>127</v>
      </c>
      <c r="I1114" t="s">
        <v>37</v>
      </c>
      <c r="J1114" t="s">
        <v>38</v>
      </c>
      <c r="K1114" t="s">
        <v>63</v>
      </c>
      <c r="L1114">
        <v>5630.16</v>
      </c>
      <c r="M1114">
        <v>20</v>
      </c>
      <c r="N1114" s="10" t="s">
        <v>27</v>
      </c>
      <c r="O1114" s="10" t="s">
        <v>28</v>
      </c>
      <c r="P1114" s="13">
        <v>44673.767361111109</v>
      </c>
      <c r="Q1114" t="s">
        <v>3240</v>
      </c>
    </row>
    <row r="1115" spans="1:17">
      <c r="A1115" s="8" t="s">
        <v>3241</v>
      </c>
      <c r="B1115" s="8">
        <v>48355754</v>
      </c>
      <c r="C1115" t="s">
        <v>3242</v>
      </c>
      <c r="D1115" t="s">
        <v>3243</v>
      </c>
      <c r="E1115" t="s">
        <v>523</v>
      </c>
      <c r="F1115" t="s">
        <v>45</v>
      </c>
      <c r="G1115" t="s">
        <v>121</v>
      </c>
      <c r="H1115" t="s">
        <v>93</v>
      </c>
      <c r="I1115" t="s">
        <v>37</v>
      </c>
      <c r="J1115" t="s">
        <v>25</v>
      </c>
      <c r="K1115" t="s">
        <v>26</v>
      </c>
      <c r="L1115">
        <v>13136.3</v>
      </c>
      <c r="M1115">
        <v>54</v>
      </c>
      <c r="N1115" s="11" t="s">
        <v>27</v>
      </c>
      <c r="O1115" s="11" t="s">
        <v>81</v>
      </c>
      <c r="P1115" s="14">
        <v>45358.361805555556</v>
      </c>
      <c r="Q1115" t="s">
        <v>3244</v>
      </c>
    </row>
    <row r="1116" spans="1:17">
      <c r="A1116" s="8" t="s">
        <v>3245</v>
      </c>
      <c r="B1116" s="8">
        <v>77154863</v>
      </c>
      <c r="C1116" t="s">
        <v>570</v>
      </c>
      <c r="D1116" t="s">
        <v>1070</v>
      </c>
      <c r="E1116" t="s">
        <v>523</v>
      </c>
      <c r="F1116" t="s">
        <v>176</v>
      </c>
      <c r="G1116" t="s">
        <v>21</v>
      </c>
      <c r="H1116" t="s">
        <v>54</v>
      </c>
      <c r="I1116" t="s">
        <v>24</v>
      </c>
      <c r="J1116" t="s">
        <v>38</v>
      </c>
      <c r="K1116" t="s">
        <v>46</v>
      </c>
      <c r="L1116">
        <v>2505.59</v>
      </c>
      <c r="M1116">
        <v>60</v>
      </c>
      <c r="N1116" s="10" t="s">
        <v>47</v>
      </c>
      <c r="O1116" s="10" t="s">
        <v>81</v>
      </c>
      <c r="P1116" s="13">
        <v>45560.760416666664</v>
      </c>
      <c r="Q1116" t="s">
        <v>3246</v>
      </c>
    </row>
    <row r="1117" spans="1:17">
      <c r="A1117" s="8" t="s">
        <v>3247</v>
      </c>
      <c r="B1117" s="8">
        <v>76692866</v>
      </c>
      <c r="C1117" t="s">
        <v>1342</v>
      </c>
      <c r="D1117" t="s">
        <v>529</v>
      </c>
      <c r="E1117" t="s">
        <v>523</v>
      </c>
      <c r="F1117" t="s">
        <v>126</v>
      </c>
      <c r="G1117" t="s">
        <v>393</v>
      </c>
      <c r="H1117" t="s">
        <v>54</v>
      </c>
      <c r="I1117" t="s">
        <v>55</v>
      </c>
      <c r="J1117" t="s">
        <v>103</v>
      </c>
      <c r="K1117" t="s">
        <v>26</v>
      </c>
      <c r="L1117">
        <v>11588.97</v>
      </c>
      <c r="M1117">
        <v>57</v>
      </c>
      <c r="N1117" s="11" t="s">
        <v>27</v>
      </c>
      <c r="O1117" s="11" t="s">
        <v>28</v>
      </c>
      <c r="P1117" s="14">
        <v>43953.992361111108</v>
      </c>
      <c r="Q1117" t="s">
        <v>3248</v>
      </c>
    </row>
    <row r="1118" spans="1:17">
      <c r="A1118" s="8" t="s">
        <v>3249</v>
      </c>
      <c r="B1118" s="8">
        <v>54005745</v>
      </c>
      <c r="C1118" t="s">
        <v>1728</v>
      </c>
      <c r="D1118" t="s">
        <v>449</v>
      </c>
      <c r="E1118" t="s">
        <v>523</v>
      </c>
      <c r="F1118" t="s">
        <v>116</v>
      </c>
      <c r="G1118" t="s">
        <v>98</v>
      </c>
      <c r="H1118" t="s">
        <v>93</v>
      </c>
      <c r="I1118" t="s">
        <v>37</v>
      </c>
      <c r="J1118" t="s">
        <v>38</v>
      </c>
      <c r="K1118" t="s">
        <v>26</v>
      </c>
      <c r="L1118">
        <v>4961.08</v>
      </c>
      <c r="M1118">
        <v>72</v>
      </c>
      <c r="N1118" s="10" t="s">
        <v>27</v>
      </c>
      <c r="O1118" s="10" t="s">
        <v>28</v>
      </c>
      <c r="P1118" s="13">
        <v>45267.543055555558</v>
      </c>
      <c r="Q1118" t="s">
        <v>3250</v>
      </c>
    </row>
    <row r="1119" spans="1:17">
      <c r="A1119" s="8" t="s">
        <v>3251</v>
      </c>
      <c r="B1119" s="8">
        <v>81470064</v>
      </c>
      <c r="C1119" t="s">
        <v>563</v>
      </c>
      <c r="D1119" t="s">
        <v>416</v>
      </c>
      <c r="E1119" t="s">
        <v>523</v>
      </c>
      <c r="F1119" t="s">
        <v>112</v>
      </c>
      <c r="G1119" t="s">
        <v>22</v>
      </c>
      <c r="H1119" t="s">
        <v>127</v>
      </c>
      <c r="I1119" t="s">
        <v>37</v>
      </c>
      <c r="J1119" t="s">
        <v>74</v>
      </c>
      <c r="K1119" t="s">
        <v>69</v>
      </c>
      <c r="L1119">
        <v>1915.76</v>
      </c>
      <c r="M1119">
        <v>56</v>
      </c>
      <c r="N1119" s="11" t="s">
        <v>27</v>
      </c>
      <c r="O1119" s="11" t="s">
        <v>48</v>
      </c>
      <c r="P1119" s="14">
        <v>44993.063888888886</v>
      </c>
      <c r="Q1119" t="s">
        <v>3252</v>
      </c>
    </row>
    <row r="1120" spans="1:17">
      <c r="A1120" s="8" t="s">
        <v>3253</v>
      </c>
      <c r="B1120" s="8">
        <v>16982290</v>
      </c>
      <c r="C1120" t="s">
        <v>634</v>
      </c>
      <c r="D1120" t="s">
        <v>1353</v>
      </c>
      <c r="E1120" t="s">
        <v>523</v>
      </c>
      <c r="F1120" t="s">
        <v>35</v>
      </c>
      <c r="G1120" t="s">
        <v>98</v>
      </c>
      <c r="H1120" t="s">
        <v>36</v>
      </c>
      <c r="I1120" t="s">
        <v>23</v>
      </c>
      <c r="J1120" t="s">
        <v>38</v>
      </c>
      <c r="K1120" t="s">
        <v>26</v>
      </c>
      <c r="L1120">
        <v>1330.93</v>
      </c>
      <c r="M1120">
        <v>32</v>
      </c>
      <c r="N1120" s="10" t="s">
        <v>47</v>
      </c>
      <c r="O1120" s="10" t="s">
        <v>28</v>
      </c>
      <c r="P1120" s="13">
        <v>46317.724305555559</v>
      </c>
      <c r="Q1120" t="s">
        <v>3254</v>
      </c>
    </row>
    <row r="1121" spans="1:17">
      <c r="A1121" s="8" t="s">
        <v>3255</v>
      </c>
      <c r="B1121" s="8">
        <v>51246696</v>
      </c>
      <c r="C1121" t="s">
        <v>1022</v>
      </c>
      <c r="D1121" t="s">
        <v>3256</v>
      </c>
      <c r="E1121" t="s">
        <v>523</v>
      </c>
      <c r="F1121" t="s">
        <v>45</v>
      </c>
      <c r="G1121" t="s">
        <v>22</v>
      </c>
      <c r="H1121" t="s">
        <v>127</v>
      </c>
      <c r="I1121" t="s">
        <v>24</v>
      </c>
      <c r="J1121" t="s">
        <v>38</v>
      </c>
      <c r="K1121" t="s">
        <v>69</v>
      </c>
      <c r="L1121">
        <v>9958.02</v>
      </c>
      <c r="M1121">
        <v>21</v>
      </c>
      <c r="N1121" s="11" t="s">
        <v>57</v>
      </c>
      <c r="O1121" s="11" t="s">
        <v>75</v>
      </c>
      <c r="P1121" s="14">
        <v>44392.341666666667</v>
      </c>
      <c r="Q1121" t="s">
        <v>3257</v>
      </c>
    </row>
    <row r="1122" spans="1:17">
      <c r="A1122" s="8" t="s">
        <v>3258</v>
      </c>
      <c r="B1122" s="8">
        <v>84942046</v>
      </c>
      <c r="C1122" t="s">
        <v>3259</v>
      </c>
      <c r="D1122" t="s">
        <v>764</v>
      </c>
      <c r="E1122" t="s">
        <v>523</v>
      </c>
      <c r="F1122" t="s">
        <v>92</v>
      </c>
      <c r="G1122" t="s">
        <v>116</v>
      </c>
      <c r="H1122" t="s">
        <v>23</v>
      </c>
      <c r="I1122" t="s">
        <v>127</v>
      </c>
      <c r="J1122" t="s">
        <v>25</v>
      </c>
      <c r="K1122" t="s">
        <v>63</v>
      </c>
      <c r="L1122">
        <v>13761.24</v>
      </c>
      <c r="M1122">
        <v>42</v>
      </c>
      <c r="N1122" s="10" t="s">
        <v>86</v>
      </c>
      <c r="O1122" s="10" t="s">
        <v>28</v>
      </c>
      <c r="P1122" s="13">
        <v>45996.04583333333</v>
      </c>
      <c r="Q1122" t="s">
        <v>3260</v>
      </c>
    </row>
    <row r="1123" spans="1:17">
      <c r="A1123" s="8" t="s">
        <v>3261</v>
      </c>
      <c r="B1123" s="8">
        <v>80657083</v>
      </c>
      <c r="C1123" t="s">
        <v>188</v>
      </c>
      <c r="D1123" t="s">
        <v>3262</v>
      </c>
      <c r="E1123" t="s">
        <v>523</v>
      </c>
      <c r="F1123" t="s">
        <v>22</v>
      </c>
      <c r="G1123" t="s">
        <v>35</v>
      </c>
      <c r="H1123" t="s">
        <v>127</v>
      </c>
      <c r="I1123" t="s">
        <v>55</v>
      </c>
      <c r="J1123" t="s">
        <v>25</v>
      </c>
      <c r="K1123" t="s">
        <v>46</v>
      </c>
      <c r="L1123">
        <v>12160.18</v>
      </c>
      <c r="M1123">
        <v>30</v>
      </c>
      <c r="N1123" s="11" t="s">
        <v>57</v>
      </c>
      <c r="O1123" s="11" t="s">
        <v>81</v>
      </c>
      <c r="P1123" s="14">
        <v>45568.638888888891</v>
      </c>
      <c r="Q1123" t="s">
        <v>3263</v>
      </c>
    </row>
    <row r="1124" spans="1:17">
      <c r="A1124" s="8" t="s">
        <v>3264</v>
      </c>
      <c r="B1124" s="8">
        <v>46371670</v>
      </c>
      <c r="C1124" t="s">
        <v>456</v>
      </c>
      <c r="D1124" t="s">
        <v>904</v>
      </c>
      <c r="E1124" t="s">
        <v>523</v>
      </c>
      <c r="F1124" t="s">
        <v>392</v>
      </c>
      <c r="G1124" t="s">
        <v>80</v>
      </c>
      <c r="H1124" t="s">
        <v>23</v>
      </c>
      <c r="I1124" t="s">
        <v>68</v>
      </c>
      <c r="J1124" t="s">
        <v>38</v>
      </c>
      <c r="K1124" t="s">
        <v>69</v>
      </c>
      <c r="L1124">
        <v>7389.23</v>
      </c>
      <c r="M1124">
        <v>50</v>
      </c>
      <c r="N1124" s="10" t="s">
        <v>47</v>
      </c>
      <c r="O1124" s="10" t="s">
        <v>81</v>
      </c>
      <c r="P1124" s="13">
        <v>44735.76666666667</v>
      </c>
      <c r="Q1124" t="s">
        <v>3265</v>
      </c>
    </row>
    <row r="1125" spans="1:17">
      <c r="A1125" s="8" t="s">
        <v>3266</v>
      </c>
      <c r="B1125" s="8">
        <v>55580382</v>
      </c>
      <c r="C1125" t="s">
        <v>3267</v>
      </c>
      <c r="D1125" t="s">
        <v>3268</v>
      </c>
      <c r="E1125" t="s">
        <v>523</v>
      </c>
      <c r="F1125" t="s">
        <v>121</v>
      </c>
      <c r="G1125" t="s">
        <v>98</v>
      </c>
      <c r="H1125" t="s">
        <v>127</v>
      </c>
      <c r="I1125" t="s">
        <v>93</v>
      </c>
      <c r="J1125" t="s">
        <v>38</v>
      </c>
      <c r="K1125" t="s">
        <v>69</v>
      </c>
      <c r="L1125">
        <v>4974.43</v>
      </c>
      <c r="M1125">
        <v>33</v>
      </c>
      <c r="N1125" s="11" t="s">
        <v>27</v>
      </c>
      <c r="O1125" s="11" t="s">
        <v>28</v>
      </c>
      <c r="P1125" s="14">
        <v>44225.597916666666</v>
      </c>
      <c r="Q1125" t="s">
        <v>3269</v>
      </c>
    </row>
    <row r="1126" spans="1:17">
      <c r="A1126" s="8" t="s">
        <v>3270</v>
      </c>
      <c r="B1126" s="8">
        <v>34418079</v>
      </c>
      <c r="C1126" t="s">
        <v>2075</v>
      </c>
      <c r="D1126" t="s">
        <v>1076</v>
      </c>
      <c r="E1126" t="s">
        <v>523</v>
      </c>
      <c r="F1126" t="s">
        <v>53</v>
      </c>
      <c r="G1126" t="s">
        <v>44</v>
      </c>
      <c r="H1126" t="s">
        <v>36</v>
      </c>
      <c r="I1126" t="s">
        <v>62</v>
      </c>
      <c r="J1126" t="s">
        <v>25</v>
      </c>
      <c r="K1126" t="s">
        <v>46</v>
      </c>
      <c r="L1126">
        <v>8697.7800000000007</v>
      </c>
      <c r="M1126">
        <v>59</v>
      </c>
      <c r="N1126" s="10" t="s">
        <v>57</v>
      </c>
      <c r="O1126" s="10" t="s">
        <v>28</v>
      </c>
      <c r="P1126" s="13">
        <v>45557.438888888886</v>
      </c>
      <c r="Q1126" t="s">
        <v>3271</v>
      </c>
    </row>
    <row r="1127" spans="1:17">
      <c r="A1127" s="8" t="s">
        <v>3272</v>
      </c>
      <c r="B1127" s="8">
        <v>54188355</v>
      </c>
      <c r="C1127" t="s">
        <v>685</v>
      </c>
      <c r="D1127" t="s">
        <v>1780</v>
      </c>
      <c r="E1127" t="s">
        <v>523</v>
      </c>
      <c r="F1127" t="s">
        <v>121</v>
      </c>
      <c r="G1127" t="s">
        <v>98</v>
      </c>
      <c r="H1127" t="s">
        <v>36</v>
      </c>
      <c r="I1127" t="s">
        <v>36</v>
      </c>
      <c r="J1127" t="s">
        <v>103</v>
      </c>
      <c r="K1127" t="s">
        <v>26</v>
      </c>
      <c r="L1127">
        <v>10461.879999999999</v>
      </c>
      <c r="M1127">
        <v>83</v>
      </c>
      <c r="N1127" s="11" t="s">
        <v>27</v>
      </c>
      <c r="O1127" s="11" t="s">
        <v>48</v>
      </c>
      <c r="P1127" s="14">
        <v>45547.859722222223</v>
      </c>
      <c r="Q1127" t="s">
        <v>3273</v>
      </c>
    </row>
    <row r="1128" spans="1:17">
      <c r="A1128" s="8" t="s">
        <v>3274</v>
      </c>
      <c r="B1128" s="8">
        <v>21835886</v>
      </c>
      <c r="C1128" t="s">
        <v>957</v>
      </c>
      <c r="D1128" t="s">
        <v>346</v>
      </c>
      <c r="E1128" t="s">
        <v>523</v>
      </c>
      <c r="F1128" t="s">
        <v>92</v>
      </c>
      <c r="G1128" t="s">
        <v>80</v>
      </c>
      <c r="H1128" t="s">
        <v>24</v>
      </c>
      <c r="I1128" t="s">
        <v>37</v>
      </c>
      <c r="J1128" t="s">
        <v>25</v>
      </c>
      <c r="K1128" t="s">
        <v>63</v>
      </c>
      <c r="L1128">
        <v>9234.83</v>
      </c>
      <c r="M1128">
        <v>72</v>
      </c>
      <c r="N1128" s="10" t="s">
        <v>47</v>
      </c>
      <c r="O1128" s="10" t="s">
        <v>28</v>
      </c>
      <c r="P1128" s="13">
        <v>44765.796527777777</v>
      </c>
      <c r="Q1128" t="s">
        <v>3275</v>
      </c>
    </row>
    <row r="1129" spans="1:17">
      <c r="A1129" s="8" t="s">
        <v>3276</v>
      </c>
      <c r="B1129" s="8">
        <v>43003049</v>
      </c>
      <c r="C1129" t="s">
        <v>865</v>
      </c>
      <c r="D1129" t="s">
        <v>3277</v>
      </c>
      <c r="E1129" t="s">
        <v>523</v>
      </c>
      <c r="F1129" t="s">
        <v>35</v>
      </c>
      <c r="G1129" t="s">
        <v>116</v>
      </c>
      <c r="H1129" t="s">
        <v>93</v>
      </c>
      <c r="I1129" t="s">
        <v>24</v>
      </c>
      <c r="J1129" t="s">
        <v>103</v>
      </c>
      <c r="K1129" t="s">
        <v>26</v>
      </c>
      <c r="L1129">
        <v>4621.3100000000004</v>
      </c>
      <c r="M1129">
        <v>59</v>
      </c>
      <c r="N1129" s="11" t="s">
        <v>47</v>
      </c>
      <c r="O1129" s="11" t="s">
        <v>48</v>
      </c>
      <c r="P1129" s="14">
        <v>44932.4</v>
      </c>
      <c r="Q1129" t="s">
        <v>3278</v>
      </c>
    </row>
    <row r="1130" spans="1:17">
      <c r="A1130" s="8" t="s">
        <v>3279</v>
      </c>
      <c r="B1130" s="8">
        <v>62860739</v>
      </c>
      <c r="C1130" t="s">
        <v>350</v>
      </c>
      <c r="D1130" t="s">
        <v>547</v>
      </c>
      <c r="E1130" t="s">
        <v>523</v>
      </c>
      <c r="F1130" t="s">
        <v>98</v>
      </c>
      <c r="G1130" t="s">
        <v>98</v>
      </c>
      <c r="H1130" t="s">
        <v>36</v>
      </c>
      <c r="I1130" t="s">
        <v>62</v>
      </c>
      <c r="J1130" t="s">
        <v>56</v>
      </c>
      <c r="K1130" t="s">
        <v>46</v>
      </c>
      <c r="L1130">
        <v>9915.83</v>
      </c>
      <c r="M1130">
        <v>51</v>
      </c>
      <c r="N1130" s="10" t="s">
        <v>27</v>
      </c>
      <c r="O1130" s="10" t="s">
        <v>48</v>
      </c>
      <c r="P1130" s="13">
        <v>45266.35</v>
      </c>
      <c r="Q1130" t="s">
        <v>3280</v>
      </c>
    </row>
    <row r="1131" spans="1:17">
      <c r="A1131" s="8" t="s">
        <v>3281</v>
      </c>
      <c r="B1131" s="8">
        <v>10216145</v>
      </c>
      <c r="C1131" t="s">
        <v>277</v>
      </c>
      <c r="D1131" t="s">
        <v>1662</v>
      </c>
      <c r="E1131" t="s">
        <v>523</v>
      </c>
      <c r="F1131" t="s">
        <v>121</v>
      </c>
      <c r="G1131" t="s">
        <v>34</v>
      </c>
      <c r="H1131" t="s">
        <v>23</v>
      </c>
      <c r="I1131" t="s">
        <v>36</v>
      </c>
      <c r="J1131" t="s">
        <v>103</v>
      </c>
      <c r="K1131" t="s">
        <v>46</v>
      </c>
      <c r="L1131">
        <v>14132.4</v>
      </c>
      <c r="M1131">
        <v>47</v>
      </c>
      <c r="N1131" s="11" t="s">
        <v>39</v>
      </c>
      <c r="O1131" s="11" t="s">
        <v>81</v>
      </c>
      <c r="P1131" s="14">
        <v>43905.000694444447</v>
      </c>
      <c r="Q1131" t="s">
        <v>3282</v>
      </c>
    </row>
    <row r="1132" spans="1:17">
      <c r="A1132" s="8" t="s">
        <v>3283</v>
      </c>
      <c r="B1132" s="8">
        <v>46077835</v>
      </c>
      <c r="C1132" t="s">
        <v>490</v>
      </c>
      <c r="D1132" t="s">
        <v>3284</v>
      </c>
      <c r="E1132" t="s">
        <v>523</v>
      </c>
      <c r="F1132" t="s">
        <v>44</v>
      </c>
      <c r="G1132" t="s">
        <v>34</v>
      </c>
      <c r="H1132" t="s">
        <v>36</v>
      </c>
      <c r="I1132" t="s">
        <v>36</v>
      </c>
      <c r="J1132" t="s">
        <v>103</v>
      </c>
      <c r="K1132" t="s">
        <v>46</v>
      </c>
      <c r="L1132">
        <v>11811.5</v>
      </c>
      <c r="M1132">
        <v>30</v>
      </c>
      <c r="N1132" s="10" t="s">
        <v>57</v>
      </c>
      <c r="O1132" s="10" t="s">
        <v>48</v>
      </c>
      <c r="P1132" s="13">
        <v>44125.78125</v>
      </c>
      <c r="Q1132" t="s">
        <v>3285</v>
      </c>
    </row>
    <row r="1133" spans="1:17">
      <c r="A1133" s="8" t="s">
        <v>3286</v>
      </c>
      <c r="B1133" s="8">
        <v>95377710</v>
      </c>
      <c r="C1133" t="s">
        <v>135</v>
      </c>
      <c r="D1133" t="s">
        <v>387</v>
      </c>
      <c r="E1133" t="s">
        <v>523</v>
      </c>
      <c r="F1133" t="s">
        <v>21</v>
      </c>
      <c r="G1133" t="s">
        <v>92</v>
      </c>
      <c r="H1133" t="s">
        <v>24</v>
      </c>
      <c r="I1133" t="s">
        <v>68</v>
      </c>
      <c r="J1133" t="s">
        <v>38</v>
      </c>
      <c r="K1133" t="s">
        <v>26</v>
      </c>
      <c r="L1133">
        <v>6371.77</v>
      </c>
      <c r="M1133">
        <v>30</v>
      </c>
      <c r="N1133" s="11" t="s">
        <v>57</v>
      </c>
      <c r="O1133" s="11" t="s">
        <v>48</v>
      </c>
      <c r="P1133" s="14">
        <v>43851.820138888892</v>
      </c>
      <c r="Q1133" t="s">
        <v>3287</v>
      </c>
    </row>
    <row r="1134" spans="1:17">
      <c r="A1134" s="8" t="s">
        <v>3288</v>
      </c>
      <c r="B1134" s="8">
        <v>92057677</v>
      </c>
      <c r="C1134" t="s">
        <v>2336</v>
      </c>
      <c r="D1134" t="s">
        <v>2384</v>
      </c>
      <c r="E1134" t="s">
        <v>523</v>
      </c>
      <c r="F1134" t="s">
        <v>22</v>
      </c>
      <c r="G1134" t="s">
        <v>80</v>
      </c>
      <c r="H1134" t="s">
        <v>54</v>
      </c>
      <c r="I1134" t="s">
        <v>68</v>
      </c>
      <c r="J1134" t="s">
        <v>74</v>
      </c>
      <c r="K1134" t="s">
        <v>69</v>
      </c>
      <c r="L1134">
        <v>12527.7</v>
      </c>
      <c r="M1134">
        <v>35</v>
      </c>
      <c r="N1134" s="10" t="s">
        <v>39</v>
      </c>
      <c r="O1134" s="10" t="s">
        <v>48</v>
      </c>
      <c r="P1134" s="13">
        <v>44869.361805555556</v>
      </c>
      <c r="Q1134" t="s">
        <v>3289</v>
      </c>
    </row>
    <row r="1135" spans="1:17">
      <c r="A1135" s="8" t="s">
        <v>3290</v>
      </c>
      <c r="B1135" s="8">
        <v>0</v>
      </c>
      <c r="C1135" t="s">
        <v>3291</v>
      </c>
      <c r="D1135" t="s">
        <v>1593</v>
      </c>
      <c r="E1135" t="s">
        <v>523</v>
      </c>
      <c r="F1135" t="s">
        <v>53</v>
      </c>
      <c r="G1135" t="s">
        <v>45</v>
      </c>
      <c r="H1135" t="s">
        <v>23</v>
      </c>
      <c r="I1135" t="s">
        <v>68</v>
      </c>
      <c r="J1135" t="s">
        <v>103</v>
      </c>
      <c r="K1135" t="s">
        <v>26</v>
      </c>
      <c r="L1135">
        <v>9827.0499999999993</v>
      </c>
      <c r="M1135">
        <v>49</v>
      </c>
      <c r="N1135" s="11" t="s">
        <v>86</v>
      </c>
      <c r="O1135" s="11" t="s">
        <v>28</v>
      </c>
      <c r="P1135" s="14">
        <v>45065.219444444447</v>
      </c>
      <c r="Q1135" t="s">
        <v>3292</v>
      </c>
    </row>
    <row r="1136" spans="1:17">
      <c r="A1136" s="8" t="s">
        <v>3293</v>
      </c>
      <c r="B1136" s="8">
        <v>39416977</v>
      </c>
      <c r="C1136" t="s">
        <v>1578</v>
      </c>
      <c r="D1136" t="s">
        <v>614</v>
      </c>
      <c r="E1136" t="s">
        <v>523</v>
      </c>
      <c r="F1136" t="s">
        <v>98</v>
      </c>
      <c r="G1136" t="s">
        <v>92</v>
      </c>
      <c r="H1136" t="s">
        <v>24</v>
      </c>
      <c r="I1136" t="s">
        <v>54</v>
      </c>
      <c r="J1136" t="s">
        <v>56</v>
      </c>
      <c r="K1136" t="s">
        <v>69</v>
      </c>
      <c r="L1136">
        <v>5182.3</v>
      </c>
      <c r="M1136">
        <v>56</v>
      </c>
      <c r="N1136" s="10" t="s">
        <v>27</v>
      </c>
      <c r="O1136" s="10" t="s">
        <v>48</v>
      </c>
      <c r="P1136" s="13">
        <v>44390.210416666669</v>
      </c>
      <c r="Q1136" t="s">
        <v>3294</v>
      </c>
    </row>
    <row r="1137" spans="1:17">
      <c r="A1137" s="8" t="s">
        <v>3295</v>
      </c>
      <c r="B1137" s="8">
        <v>28493340</v>
      </c>
      <c r="C1137" t="s">
        <v>1738</v>
      </c>
      <c r="D1137" t="s">
        <v>943</v>
      </c>
      <c r="E1137" t="s">
        <v>523</v>
      </c>
      <c r="F1137" t="s">
        <v>121</v>
      </c>
      <c r="G1137" t="s">
        <v>92</v>
      </c>
      <c r="H1137" t="s">
        <v>62</v>
      </c>
      <c r="I1137" t="s">
        <v>54</v>
      </c>
      <c r="J1137" t="s">
        <v>38</v>
      </c>
      <c r="K1137" t="s">
        <v>26</v>
      </c>
      <c r="L1137">
        <v>10661.85</v>
      </c>
      <c r="M1137">
        <v>63</v>
      </c>
      <c r="N1137" s="11" t="s">
        <v>57</v>
      </c>
      <c r="O1137" s="11" t="s">
        <v>81</v>
      </c>
      <c r="P1137" s="14">
        <v>44940.793055555558</v>
      </c>
      <c r="Q1137" t="s">
        <v>3296</v>
      </c>
    </row>
    <row r="1138" spans="1:17">
      <c r="A1138" s="8" t="s">
        <v>3297</v>
      </c>
      <c r="B1138" s="8">
        <v>57971671</v>
      </c>
      <c r="C1138" t="s">
        <v>2854</v>
      </c>
      <c r="D1138" t="s">
        <v>115</v>
      </c>
      <c r="E1138" t="s">
        <v>523</v>
      </c>
      <c r="F1138" t="s">
        <v>45</v>
      </c>
      <c r="G1138" t="s">
        <v>121</v>
      </c>
      <c r="H1138" t="s">
        <v>62</v>
      </c>
      <c r="I1138" t="s">
        <v>36</v>
      </c>
      <c r="J1138" t="s">
        <v>38</v>
      </c>
      <c r="K1138" t="s">
        <v>26</v>
      </c>
      <c r="L1138">
        <v>1349.22</v>
      </c>
      <c r="M1138">
        <v>46</v>
      </c>
      <c r="N1138" s="10" t="s">
        <v>47</v>
      </c>
      <c r="O1138" s="10" t="s">
        <v>81</v>
      </c>
      <c r="P1138" s="13">
        <v>45003.951388888891</v>
      </c>
      <c r="Q1138" t="s">
        <v>3298</v>
      </c>
    </row>
    <row r="1139" spans="1:17">
      <c r="A1139" s="8" t="s">
        <v>3299</v>
      </c>
      <c r="B1139" s="8">
        <v>10339260</v>
      </c>
      <c r="C1139" t="s">
        <v>1850</v>
      </c>
      <c r="D1139" t="s">
        <v>1258</v>
      </c>
      <c r="E1139" t="s">
        <v>523</v>
      </c>
      <c r="F1139" t="s">
        <v>44</v>
      </c>
      <c r="G1139" t="s">
        <v>34</v>
      </c>
      <c r="H1139" t="s">
        <v>55</v>
      </c>
      <c r="I1139" t="s">
        <v>68</v>
      </c>
      <c r="J1139" t="s">
        <v>38</v>
      </c>
      <c r="K1139" t="s">
        <v>69</v>
      </c>
      <c r="L1139">
        <v>6846.71</v>
      </c>
      <c r="M1139">
        <v>79</v>
      </c>
      <c r="N1139" s="11" t="s">
        <v>57</v>
      </c>
      <c r="O1139" s="11" t="s">
        <v>75</v>
      </c>
      <c r="P1139" s="14">
        <v>44202.725694444445</v>
      </c>
      <c r="Q1139" t="s">
        <v>3300</v>
      </c>
    </row>
    <row r="1140" spans="1:17">
      <c r="A1140" s="8" t="s">
        <v>3301</v>
      </c>
      <c r="B1140" s="8">
        <v>23463414</v>
      </c>
      <c r="C1140" t="s">
        <v>3302</v>
      </c>
      <c r="D1140" t="s">
        <v>3303</v>
      </c>
      <c r="E1140" t="s">
        <v>523</v>
      </c>
      <c r="F1140" t="s">
        <v>98</v>
      </c>
      <c r="G1140" t="s">
        <v>45</v>
      </c>
      <c r="H1140" t="s">
        <v>127</v>
      </c>
      <c r="I1140" t="s">
        <v>23</v>
      </c>
      <c r="J1140" t="s">
        <v>56</v>
      </c>
      <c r="K1140" t="s">
        <v>26</v>
      </c>
      <c r="L1140">
        <v>6521.25</v>
      </c>
      <c r="M1140">
        <v>79</v>
      </c>
      <c r="N1140" s="10" t="s">
        <v>39</v>
      </c>
      <c r="O1140" s="10" t="s">
        <v>75</v>
      </c>
      <c r="P1140" s="13">
        <v>45858.982638888891</v>
      </c>
      <c r="Q1140" t="s">
        <v>3304</v>
      </c>
    </row>
    <row r="1141" spans="1:17">
      <c r="A1141" s="8" t="s">
        <v>3305</v>
      </c>
      <c r="B1141" s="8">
        <v>51059566</v>
      </c>
      <c r="C1141" t="s">
        <v>751</v>
      </c>
      <c r="D1141" t="s">
        <v>2085</v>
      </c>
      <c r="E1141" t="s">
        <v>523</v>
      </c>
      <c r="F1141" t="s">
        <v>44</v>
      </c>
      <c r="G1141" t="s">
        <v>35</v>
      </c>
      <c r="H1141" t="s">
        <v>93</v>
      </c>
      <c r="I1141" t="s">
        <v>37</v>
      </c>
      <c r="J1141" t="s">
        <v>38</v>
      </c>
      <c r="K1141" t="s">
        <v>69</v>
      </c>
      <c r="L1141">
        <v>11517.55</v>
      </c>
      <c r="M1141">
        <v>74</v>
      </c>
      <c r="N1141" s="11" t="s">
        <v>86</v>
      </c>
      <c r="O1141" s="11" t="s">
        <v>81</v>
      </c>
      <c r="P1141" s="14">
        <v>44648.302777777775</v>
      </c>
      <c r="Q1141" t="s">
        <v>3306</v>
      </c>
    </row>
    <row r="1142" spans="1:17">
      <c r="A1142" s="8" t="s">
        <v>3307</v>
      </c>
      <c r="B1142" s="8">
        <v>99119251</v>
      </c>
      <c r="C1142" t="s">
        <v>1480</v>
      </c>
      <c r="D1142" t="s">
        <v>500</v>
      </c>
      <c r="E1142" t="s">
        <v>523</v>
      </c>
      <c r="F1142" t="s">
        <v>44</v>
      </c>
      <c r="G1142" t="s">
        <v>44</v>
      </c>
      <c r="H1142" t="s">
        <v>37</v>
      </c>
      <c r="I1142" t="s">
        <v>62</v>
      </c>
      <c r="J1142" t="s">
        <v>38</v>
      </c>
      <c r="K1142" t="s">
        <v>69</v>
      </c>
      <c r="L1142">
        <v>10416.57</v>
      </c>
      <c r="M1142">
        <v>33</v>
      </c>
      <c r="N1142" s="10" t="s">
        <v>39</v>
      </c>
      <c r="O1142" s="10" t="s">
        <v>48</v>
      </c>
      <c r="P1142" s="13">
        <v>45005.197222222225</v>
      </c>
      <c r="Q1142" t="s">
        <v>3308</v>
      </c>
    </row>
    <row r="1143" spans="1:17">
      <c r="A1143" s="8" t="s">
        <v>3309</v>
      </c>
      <c r="B1143" s="8">
        <v>95077934</v>
      </c>
      <c r="C1143" t="s">
        <v>1342</v>
      </c>
      <c r="D1143" t="s">
        <v>1700</v>
      </c>
      <c r="E1143" t="s">
        <v>523</v>
      </c>
      <c r="F1143" t="s">
        <v>45</v>
      </c>
      <c r="G1143" t="s">
        <v>34</v>
      </c>
      <c r="H1143" t="s">
        <v>68</v>
      </c>
      <c r="I1143" t="s">
        <v>62</v>
      </c>
      <c r="J1143" t="s">
        <v>103</v>
      </c>
      <c r="K1143" t="s">
        <v>69</v>
      </c>
      <c r="L1143">
        <v>5249.28</v>
      </c>
      <c r="M1143">
        <v>73</v>
      </c>
      <c r="N1143" s="11" t="s">
        <v>86</v>
      </c>
      <c r="O1143" s="11" t="s">
        <v>75</v>
      </c>
      <c r="P1143" s="14">
        <v>44995.018055555556</v>
      </c>
      <c r="Q1143" t="s">
        <v>3310</v>
      </c>
    </row>
    <row r="1144" spans="1:17">
      <c r="A1144" s="8" t="s">
        <v>3311</v>
      </c>
      <c r="B1144" s="8">
        <v>81256600</v>
      </c>
      <c r="C1144" t="s">
        <v>2007</v>
      </c>
      <c r="D1144" t="s">
        <v>2241</v>
      </c>
      <c r="E1144" t="s">
        <v>523</v>
      </c>
      <c r="F1144" t="s">
        <v>121</v>
      </c>
      <c r="G1144" t="s">
        <v>92</v>
      </c>
      <c r="H1144" t="s">
        <v>24</v>
      </c>
      <c r="I1144" t="s">
        <v>54</v>
      </c>
      <c r="J1144" t="s">
        <v>56</v>
      </c>
      <c r="K1144" t="s">
        <v>69</v>
      </c>
      <c r="L1144">
        <v>4515.74</v>
      </c>
      <c r="M1144">
        <v>27</v>
      </c>
      <c r="N1144" s="10" t="s">
        <v>39</v>
      </c>
      <c r="O1144" s="10" t="s">
        <v>28</v>
      </c>
      <c r="P1144" s="13">
        <v>44923.502083333333</v>
      </c>
      <c r="Q1144" t="s">
        <v>3312</v>
      </c>
    </row>
    <row r="1145" spans="1:17">
      <c r="A1145" s="8" t="s">
        <v>3313</v>
      </c>
      <c r="B1145" s="8">
        <v>89170637</v>
      </c>
      <c r="C1145" t="s">
        <v>748</v>
      </c>
      <c r="D1145" t="s">
        <v>3314</v>
      </c>
      <c r="E1145" t="s">
        <v>523</v>
      </c>
      <c r="F1145" t="s">
        <v>121</v>
      </c>
      <c r="G1145" t="s">
        <v>53</v>
      </c>
      <c r="H1145" t="s">
        <v>54</v>
      </c>
      <c r="I1145" t="s">
        <v>36</v>
      </c>
      <c r="J1145" t="s">
        <v>38</v>
      </c>
      <c r="K1145" t="s">
        <v>26</v>
      </c>
      <c r="L1145">
        <v>7494.71</v>
      </c>
      <c r="M1145">
        <v>47</v>
      </c>
      <c r="N1145" s="11" t="s">
        <v>57</v>
      </c>
      <c r="O1145" s="11" t="s">
        <v>75</v>
      </c>
      <c r="P1145" s="14">
        <v>45114.892361111109</v>
      </c>
      <c r="Q1145" t="s">
        <v>3315</v>
      </c>
    </row>
    <row r="1146" spans="1:17">
      <c r="A1146" s="8" t="s">
        <v>3316</v>
      </c>
      <c r="B1146" s="8">
        <v>14192932</v>
      </c>
      <c r="C1146" t="s">
        <v>886</v>
      </c>
      <c r="D1146" t="s">
        <v>3317</v>
      </c>
      <c r="E1146" t="s">
        <v>523</v>
      </c>
      <c r="F1146" t="s">
        <v>22</v>
      </c>
      <c r="G1146" t="s">
        <v>80</v>
      </c>
      <c r="H1146" t="s">
        <v>68</v>
      </c>
      <c r="I1146" t="s">
        <v>24</v>
      </c>
      <c r="J1146" t="s">
        <v>38</v>
      </c>
      <c r="K1146" t="s">
        <v>26</v>
      </c>
      <c r="L1146">
        <v>10513.93</v>
      </c>
      <c r="M1146">
        <v>42</v>
      </c>
      <c r="N1146" s="10" t="s">
        <v>47</v>
      </c>
      <c r="O1146" s="10" t="s">
        <v>75</v>
      </c>
      <c r="P1146" s="13">
        <v>45842.989583333336</v>
      </c>
      <c r="Q1146" t="s">
        <v>3318</v>
      </c>
    </row>
    <row r="1147" spans="1:17">
      <c r="A1147" s="8" t="s">
        <v>3319</v>
      </c>
      <c r="B1147" s="8">
        <v>99198749</v>
      </c>
      <c r="C1147" t="s">
        <v>916</v>
      </c>
      <c r="D1147" t="s">
        <v>904</v>
      </c>
      <c r="E1147" t="s">
        <v>523</v>
      </c>
      <c r="F1147" t="s">
        <v>44</v>
      </c>
      <c r="G1147" t="s">
        <v>92</v>
      </c>
      <c r="H1147" t="s">
        <v>54</v>
      </c>
      <c r="I1147" t="s">
        <v>127</v>
      </c>
      <c r="J1147" t="s">
        <v>103</v>
      </c>
      <c r="K1147" t="s">
        <v>46</v>
      </c>
      <c r="L1147">
        <v>11935.8</v>
      </c>
      <c r="M1147">
        <v>22</v>
      </c>
      <c r="N1147" s="11" t="s">
        <v>27</v>
      </c>
      <c r="O1147" s="11" t="s">
        <v>81</v>
      </c>
      <c r="P1147" s="14">
        <v>44676.10833333333</v>
      </c>
      <c r="Q1147" t="s">
        <v>3320</v>
      </c>
    </row>
    <row r="1148" spans="1:17">
      <c r="A1148" s="8" t="s">
        <v>3321</v>
      </c>
      <c r="B1148" s="8">
        <v>56359602</v>
      </c>
      <c r="C1148" t="s">
        <v>487</v>
      </c>
      <c r="D1148" t="s">
        <v>183</v>
      </c>
      <c r="E1148" t="s">
        <v>523</v>
      </c>
      <c r="F1148" t="s">
        <v>35</v>
      </c>
      <c r="G1148" t="s">
        <v>53</v>
      </c>
      <c r="H1148" t="s">
        <v>68</v>
      </c>
      <c r="I1148" t="s">
        <v>127</v>
      </c>
      <c r="J1148" t="s">
        <v>103</v>
      </c>
      <c r="K1148" t="s">
        <v>63</v>
      </c>
      <c r="L1148">
        <v>3408.4</v>
      </c>
      <c r="M1148">
        <v>82</v>
      </c>
      <c r="N1148" s="10" t="s">
        <v>39</v>
      </c>
      <c r="O1148" s="10" t="s">
        <v>48</v>
      </c>
      <c r="P1148" s="13">
        <v>45822.272222222222</v>
      </c>
      <c r="Q1148" t="s">
        <v>3322</v>
      </c>
    </row>
    <row r="1149" spans="1:17">
      <c r="A1149" s="8" t="s">
        <v>3323</v>
      </c>
      <c r="B1149" s="8">
        <v>79814700</v>
      </c>
      <c r="C1149" t="s">
        <v>3324</v>
      </c>
      <c r="D1149" t="s">
        <v>1881</v>
      </c>
      <c r="E1149" t="s">
        <v>523</v>
      </c>
      <c r="F1149" t="s">
        <v>45</v>
      </c>
      <c r="G1149" t="s">
        <v>80</v>
      </c>
      <c r="H1149" t="s">
        <v>24</v>
      </c>
      <c r="I1149" t="s">
        <v>54</v>
      </c>
      <c r="J1149" t="s">
        <v>38</v>
      </c>
      <c r="K1149" t="s">
        <v>26</v>
      </c>
      <c r="L1149">
        <v>12653.78</v>
      </c>
      <c r="M1149">
        <v>66</v>
      </c>
      <c r="N1149" s="11" t="s">
        <v>27</v>
      </c>
      <c r="O1149" s="11" t="s">
        <v>48</v>
      </c>
      <c r="P1149" s="14">
        <v>44351.924305555556</v>
      </c>
      <c r="Q1149" t="s">
        <v>3325</v>
      </c>
    </row>
    <row r="1150" spans="1:17">
      <c r="A1150" s="8" t="s">
        <v>3326</v>
      </c>
      <c r="B1150" s="8">
        <v>73199846</v>
      </c>
      <c r="C1150" t="s">
        <v>2111</v>
      </c>
      <c r="D1150" t="s">
        <v>1468</v>
      </c>
      <c r="E1150" t="s">
        <v>523</v>
      </c>
      <c r="F1150" t="s">
        <v>35</v>
      </c>
      <c r="G1150" t="s">
        <v>21</v>
      </c>
      <c r="H1150" t="s">
        <v>37</v>
      </c>
      <c r="I1150" t="s">
        <v>24</v>
      </c>
      <c r="J1150" t="s">
        <v>25</v>
      </c>
      <c r="K1150" t="s">
        <v>26</v>
      </c>
      <c r="L1150">
        <v>10086.56</v>
      </c>
      <c r="M1150">
        <v>20</v>
      </c>
      <c r="N1150" s="10" t="s">
        <v>47</v>
      </c>
      <c r="O1150" s="10" t="s">
        <v>48</v>
      </c>
      <c r="P1150" s="13">
        <v>44201.432638888888</v>
      </c>
      <c r="Q1150" t="s">
        <v>3327</v>
      </c>
    </row>
    <row r="1151" spans="1:17">
      <c r="A1151" s="8" t="s">
        <v>3328</v>
      </c>
      <c r="B1151" s="8">
        <v>96155859</v>
      </c>
      <c r="C1151" t="s">
        <v>1971</v>
      </c>
      <c r="D1151" t="s">
        <v>504</v>
      </c>
      <c r="E1151" t="s">
        <v>523</v>
      </c>
      <c r="F1151" t="s">
        <v>116</v>
      </c>
      <c r="G1151" t="s">
        <v>53</v>
      </c>
      <c r="H1151" t="s">
        <v>68</v>
      </c>
      <c r="I1151" t="s">
        <v>54</v>
      </c>
      <c r="J1151" t="s">
        <v>103</v>
      </c>
      <c r="K1151" t="s">
        <v>26</v>
      </c>
      <c r="L1151">
        <v>13721.56</v>
      </c>
      <c r="M1151">
        <v>62</v>
      </c>
      <c r="N1151" s="11" t="s">
        <v>47</v>
      </c>
      <c r="O1151" s="11" t="s">
        <v>48</v>
      </c>
      <c r="P1151" s="14">
        <v>45273.313194444447</v>
      </c>
      <c r="Q1151" t="s">
        <v>3329</v>
      </c>
    </row>
    <row r="1152" spans="1:17">
      <c r="A1152" s="8" t="s">
        <v>2253</v>
      </c>
      <c r="B1152" s="8">
        <v>32327365</v>
      </c>
      <c r="C1152" t="s">
        <v>1002</v>
      </c>
      <c r="D1152" t="s">
        <v>1099</v>
      </c>
      <c r="E1152" t="s">
        <v>523</v>
      </c>
      <c r="F1152" t="s">
        <v>35</v>
      </c>
      <c r="G1152" t="s">
        <v>92</v>
      </c>
      <c r="H1152" t="s">
        <v>24</v>
      </c>
      <c r="I1152" t="s">
        <v>127</v>
      </c>
      <c r="J1152" t="s">
        <v>38</v>
      </c>
      <c r="K1152" t="s">
        <v>46</v>
      </c>
      <c r="L1152">
        <v>14177.84</v>
      </c>
      <c r="M1152">
        <v>31</v>
      </c>
      <c r="N1152" s="10" t="s">
        <v>86</v>
      </c>
      <c r="O1152" s="10" t="s">
        <v>75</v>
      </c>
      <c r="P1152" s="13">
        <v>43931.249305555553</v>
      </c>
      <c r="Q1152" t="s">
        <v>3330</v>
      </c>
    </row>
    <row r="1153" spans="1:17">
      <c r="A1153" s="8" t="s">
        <v>714</v>
      </c>
      <c r="B1153" s="8">
        <v>57365168</v>
      </c>
      <c r="C1153" t="s">
        <v>192</v>
      </c>
      <c r="D1153" t="s">
        <v>715</v>
      </c>
      <c r="E1153" t="s">
        <v>523</v>
      </c>
      <c r="F1153" t="s">
        <v>116</v>
      </c>
      <c r="G1153" t="s">
        <v>80</v>
      </c>
      <c r="H1153" t="s">
        <v>36</v>
      </c>
      <c r="I1153" t="s">
        <v>24</v>
      </c>
      <c r="J1153" t="s">
        <v>74</v>
      </c>
      <c r="K1153" t="s">
        <v>26</v>
      </c>
      <c r="L1153">
        <v>2811.72</v>
      </c>
      <c r="M1153">
        <v>47</v>
      </c>
      <c r="N1153" s="11" t="s">
        <v>57</v>
      </c>
      <c r="O1153" s="11" t="s">
        <v>28</v>
      </c>
      <c r="P1153" s="14">
        <v>44491.897916666669</v>
      </c>
      <c r="Q1153" t="s">
        <v>3331</v>
      </c>
    </row>
    <row r="1154" spans="1:17">
      <c r="A1154" s="8" t="s">
        <v>1527</v>
      </c>
      <c r="B1154" s="8">
        <v>73317523</v>
      </c>
      <c r="C1154" t="s">
        <v>1164</v>
      </c>
      <c r="D1154" t="s">
        <v>1265</v>
      </c>
      <c r="E1154" t="s">
        <v>523</v>
      </c>
      <c r="F1154" t="s">
        <v>98</v>
      </c>
      <c r="G1154" t="s">
        <v>45</v>
      </c>
      <c r="H1154" t="s">
        <v>37</v>
      </c>
      <c r="I1154" t="s">
        <v>68</v>
      </c>
      <c r="J1154" t="s">
        <v>38</v>
      </c>
      <c r="K1154" t="s">
        <v>26</v>
      </c>
      <c r="L1154">
        <v>1022.87</v>
      </c>
      <c r="M1154">
        <v>85</v>
      </c>
      <c r="N1154" s="10" t="s">
        <v>86</v>
      </c>
      <c r="O1154" s="10" t="s">
        <v>48</v>
      </c>
      <c r="P1154" s="13">
        <v>45512.785416666666</v>
      </c>
      <c r="Q1154" t="s">
        <v>3332</v>
      </c>
    </row>
    <row r="1155" spans="1:17">
      <c r="A1155" s="8" t="s">
        <v>2455</v>
      </c>
      <c r="B1155" s="8">
        <v>41717630</v>
      </c>
      <c r="C1155" t="s">
        <v>2456</v>
      </c>
      <c r="D1155" t="s">
        <v>994</v>
      </c>
      <c r="E1155" t="s">
        <v>523</v>
      </c>
      <c r="F1155" t="s">
        <v>98</v>
      </c>
      <c r="G1155" t="s">
        <v>53</v>
      </c>
      <c r="H1155" t="s">
        <v>23</v>
      </c>
      <c r="I1155" t="s">
        <v>36</v>
      </c>
      <c r="J1155" t="s">
        <v>74</v>
      </c>
      <c r="K1155" t="s">
        <v>26</v>
      </c>
      <c r="L1155">
        <v>2625.98</v>
      </c>
      <c r="M1155">
        <v>35</v>
      </c>
      <c r="N1155" s="11" t="s">
        <v>86</v>
      </c>
      <c r="O1155" s="11" t="s">
        <v>75</v>
      </c>
      <c r="P1155" s="14">
        <v>44073.829861111109</v>
      </c>
      <c r="Q1155" t="s">
        <v>3333</v>
      </c>
    </row>
    <row r="1156" spans="1:17">
      <c r="A1156" s="8" t="s">
        <v>2795</v>
      </c>
      <c r="B1156" s="8">
        <v>71242137</v>
      </c>
      <c r="C1156" t="s">
        <v>943</v>
      </c>
      <c r="D1156" t="s">
        <v>1039</v>
      </c>
      <c r="E1156" t="s">
        <v>523</v>
      </c>
      <c r="F1156" t="s">
        <v>92</v>
      </c>
      <c r="G1156" t="s">
        <v>121</v>
      </c>
      <c r="H1156" t="s">
        <v>54</v>
      </c>
      <c r="I1156" t="s">
        <v>62</v>
      </c>
      <c r="J1156" t="s">
        <v>56</v>
      </c>
      <c r="K1156" t="s">
        <v>46</v>
      </c>
      <c r="L1156">
        <v>9767.9</v>
      </c>
      <c r="M1156">
        <v>79</v>
      </c>
      <c r="N1156" s="10" t="s">
        <v>57</v>
      </c>
      <c r="O1156" s="10" t="s">
        <v>75</v>
      </c>
      <c r="P1156" s="13">
        <v>44342.563888888886</v>
      </c>
      <c r="Q1156" t="s">
        <v>3334</v>
      </c>
    </row>
    <row r="1157" spans="1:17">
      <c r="A1157" s="8" t="s">
        <v>1374</v>
      </c>
      <c r="B1157" s="8">
        <v>29882943</v>
      </c>
      <c r="C1157" t="s">
        <v>1375</v>
      </c>
      <c r="D1157" t="s">
        <v>150</v>
      </c>
      <c r="E1157" t="s">
        <v>523</v>
      </c>
      <c r="F1157" t="s">
        <v>80</v>
      </c>
      <c r="G1157" t="s">
        <v>45</v>
      </c>
      <c r="H1157" t="s">
        <v>62</v>
      </c>
      <c r="I1157" t="s">
        <v>23</v>
      </c>
      <c r="J1157" t="s">
        <v>38</v>
      </c>
      <c r="K1157" t="s">
        <v>63</v>
      </c>
      <c r="L1157">
        <v>14583.56</v>
      </c>
      <c r="M1157">
        <v>54</v>
      </c>
      <c r="N1157" s="11" t="s">
        <v>57</v>
      </c>
      <c r="O1157" s="11" t="s">
        <v>28</v>
      </c>
      <c r="P1157" s="14">
        <v>46104.385416666664</v>
      </c>
      <c r="Q1157" t="s">
        <v>3335</v>
      </c>
    </row>
    <row r="1158" spans="1:17">
      <c r="A1158" s="8" t="s">
        <v>3084</v>
      </c>
      <c r="B1158" s="8">
        <v>72911386</v>
      </c>
      <c r="C1158" t="s">
        <v>2208</v>
      </c>
      <c r="D1158" t="s">
        <v>1091</v>
      </c>
      <c r="E1158" t="s">
        <v>523</v>
      </c>
      <c r="F1158" t="s">
        <v>121</v>
      </c>
      <c r="G1158" t="s">
        <v>121</v>
      </c>
      <c r="H1158" t="s">
        <v>127</v>
      </c>
      <c r="I1158" t="s">
        <v>55</v>
      </c>
      <c r="J1158" t="s">
        <v>38</v>
      </c>
      <c r="K1158" t="s">
        <v>26</v>
      </c>
      <c r="L1158">
        <v>1625.88</v>
      </c>
      <c r="M1158">
        <v>42</v>
      </c>
      <c r="N1158" s="10" t="s">
        <v>27</v>
      </c>
      <c r="O1158" s="10" t="s">
        <v>81</v>
      </c>
      <c r="P1158" s="13">
        <v>45372.143055555556</v>
      </c>
      <c r="Q1158" t="s">
        <v>3336</v>
      </c>
    </row>
    <row r="1159" spans="1:17">
      <c r="A1159" s="8" t="s">
        <v>210</v>
      </c>
      <c r="B1159" s="8">
        <v>65026398</v>
      </c>
      <c r="C1159" t="s">
        <v>211</v>
      </c>
      <c r="D1159" t="s">
        <v>212</v>
      </c>
      <c r="E1159" t="s">
        <v>523</v>
      </c>
      <c r="F1159" t="s">
        <v>53</v>
      </c>
      <c r="G1159" t="s">
        <v>34</v>
      </c>
      <c r="H1159" t="s">
        <v>62</v>
      </c>
      <c r="I1159" t="s">
        <v>36</v>
      </c>
      <c r="J1159" t="s">
        <v>38</v>
      </c>
      <c r="K1159" t="s">
        <v>26</v>
      </c>
      <c r="L1159">
        <v>14312.55</v>
      </c>
      <c r="M1159">
        <v>65</v>
      </c>
      <c r="N1159" s="11" t="s">
        <v>39</v>
      </c>
      <c r="O1159" s="11" t="s">
        <v>28</v>
      </c>
      <c r="P1159" s="14">
        <v>46092.427083333336</v>
      </c>
      <c r="Q1159" t="s">
        <v>3337</v>
      </c>
    </row>
    <row r="1160" spans="1:17">
      <c r="A1160" s="8" t="s">
        <v>2230</v>
      </c>
      <c r="B1160" s="8">
        <v>31684442</v>
      </c>
      <c r="C1160" t="s">
        <v>1762</v>
      </c>
      <c r="D1160" t="s">
        <v>409</v>
      </c>
      <c r="E1160" t="s">
        <v>523</v>
      </c>
      <c r="F1160" t="s">
        <v>116</v>
      </c>
      <c r="G1160" t="s">
        <v>34</v>
      </c>
      <c r="H1160" t="s">
        <v>37</v>
      </c>
      <c r="I1160" t="s">
        <v>68</v>
      </c>
      <c r="J1160" t="s">
        <v>38</v>
      </c>
      <c r="K1160" t="s">
        <v>69</v>
      </c>
      <c r="L1160">
        <v>2715.1</v>
      </c>
      <c r="M1160">
        <v>82</v>
      </c>
      <c r="N1160" s="10" t="s">
        <v>39</v>
      </c>
      <c r="O1160" s="10" t="s">
        <v>81</v>
      </c>
      <c r="P1160" s="13">
        <v>45945.813888888886</v>
      </c>
      <c r="Q1160" t="s">
        <v>3338</v>
      </c>
    </row>
    <row r="1161" spans="1:17">
      <c r="A1161" s="8" t="s">
        <v>1111</v>
      </c>
      <c r="B1161" s="8">
        <v>76481027</v>
      </c>
      <c r="C1161" t="s">
        <v>285</v>
      </c>
      <c r="D1161" t="s">
        <v>869</v>
      </c>
      <c r="E1161" t="s">
        <v>523</v>
      </c>
      <c r="F1161" t="s">
        <v>686</v>
      </c>
      <c r="G1161" t="s">
        <v>92</v>
      </c>
      <c r="H1161" t="s">
        <v>23</v>
      </c>
      <c r="I1161" t="s">
        <v>127</v>
      </c>
      <c r="J1161" t="s">
        <v>103</v>
      </c>
      <c r="K1161" t="s">
        <v>26</v>
      </c>
      <c r="L1161">
        <v>7851.15</v>
      </c>
      <c r="M1161">
        <v>70</v>
      </c>
      <c r="N1161" s="11" t="s">
        <v>57</v>
      </c>
      <c r="O1161" s="11" t="s">
        <v>28</v>
      </c>
      <c r="P1161" s="14">
        <v>44226.637499999997</v>
      </c>
      <c r="Q1161" t="s">
        <v>3339</v>
      </c>
    </row>
    <row r="1162" spans="1:17">
      <c r="A1162" s="8" t="s">
        <v>513</v>
      </c>
      <c r="B1162" s="8">
        <v>99399687</v>
      </c>
      <c r="C1162" t="s">
        <v>232</v>
      </c>
      <c r="D1162" t="s">
        <v>514</v>
      </c>
      <c r="E1162" t="s">
        <v>523</v>
      </c>
      <c r="F1162" t="s">
        <v>22</v>
      </c>
      <c r="G1162" t="s">
        <v>21</v>
      </c>
      <c r="H1162" t="s">
        <v>54</v>
      </c>
      <c r="I1162" t="s">
        <v>68</v>
      </c>
      <c r="J1162" t="s">
        <v>38</v>
      </c>
      <c r="K1162" t="s">
        <v>69</v>
      </c>
      <c r="L1162">
        <v>2512.77</v>
      </c>
      <c r="M1162">
        <v>32</v>
      </c>
      <c r="N1162" s="10" t="s">
        <v>47</v>
      </c>
      <c r="O1162" s="10" t="s">
        <v>75</v>
      </c>
      <c r="P1162" s="13">
        <v>44442.847916666666</v>
      </c>
      <c r="Q1162" t="s">
        <v>3340</v>
      </c>
    </row>
    <row r="1163" spans="1:17">
      <c r="A1163" s="8" t="s">
        <v>1487</v>
      </c>
      <c r="B1163" s="8">
        <v>24384568</v>
      </c>
      <c r="C1163" t="s">
        <v>146</v>
      </c>
      <c r="D1163" t="s">
        <v>79</v>
      </c>
      <c r="E1163" t="s">
        <v>523</v>
      </c>
      <c r="F1163" t="s">
        <v>91</v>
      </c>
      <c r="G1163" t="s">
        <v>53</v>
      </c>
      <c r="H1163" t="s">
        <v>23</v>
      </c>
      <c r="I1163" t="s">
        <v>54</v>
      </c>
      <c r="J1163" t="s">
        <v>25</v>
      </c>
      <c r="K1163" t="s">
        <v>69</v>
      </c>
      <c r="L1163">
        <v>6477.79</v>
      </c>
      <c r="M1163">
        <v>66</v>
      </c>
      <c r="N1163" s="11" t="s">
        <v>47</v>
      </c>
      <c r="O1163" s="11" t="s">
        <v>81</v>
      </c>
      <c r="P1163" s="14">
        <v>45091.338888888888</v>
      </c>
      <c r="Q1163" t="s">
        <v>3341</v>
      </c>
    </row>
    <row r="1164" spans="1:17">
      <c r="A1164" s="8" t="s">
        <v>3286</v>
      </c>
      <c r="B1164" s="8">
        <v>95377710</v>
      </c>
      <c r="C1164" t="s">
        <v>135</v>
      </c>
      <c r="D1164" t="s">
        <v>387</v>
      </c>
      <c r="E1164" t="s">
        <v>523</v>
      </c>
      <c r="F1164" t="s">
        <v>21</v>
      </c>
      <c r="G1164" t="s">
        <v>92</v>
      </c>
      <c r="H1164" t="s">
        <v>68</v>
      </c>
      <c r="I1164" t="s">
        <v>24</v>
      </c>
      <c r="J1164" t="s">
        <v>38</v>
      </c>
      <c r="K1164" t="s">
        <v>26</v>
      </c>
      <c r="L1164">
        <v>6371.77</v>
      </c>
      <c r="M1164">
        <v>85</v>
      </c>
      <c r="N1164" s="10" t="s">
        <v>57</v>
      </c>
      <c r="O1164" s="10" t="s">
        <v>48</v>
      </c>
      <c r="P1164" s="13">
        <v>45688.351388888892</v>
      </c>
      <c r="Q1164" t="s">
        <v>3342</v>
      </c>
    </row>
    <row r="1165" spans="1:17">
      <c r="A1165" s="8" t="s">
        <v>3223</v>
      </c>
      <c r="B1165" s="8">
        <v>59509360</v>
      </c>
      <c r="C1165" t="s">
        <v>1865</v>
      </c>
      <c r="D1165" t="s">
        <v>3224</v>
      </c>
      <c r="E1165" t="s">
        <v>523</v>
      </c>
      <c r="F1165" t="s">
        <v>44</v>
      </c>
      <c r="G1165" t="s">
        <v>393</v>
      </c>
      <c r="H1165" t="s">
        <v>54</v>
      </c>
      <c r="I1165" t="s">
        <v>62</v>
      </c>
      <c r="J1165" t="s">
        <v>74</v>
      </c>
      <c r="K1165" t="s">
        <v>69</v>
      </c>
      <c r="L1165">
        <v>14180.86</v>
      </c>
      <c r="M1165">
        <v>29</v>
      </c>
      <c r="N1165" s="11" t="s">
        <v>39</v>
      </c>
      <c r="O1165" s="11" t="s">
        <v>48</v>
      </c>
      <c r="P1165" s="14">
        <v>44600.696527777778</v>
      </c>
      <c r="Q1165" t="s">
        <v>3343</v>
      </c>
    </row>
    <row r="1166" spans="1:17">
      <c r="A1166" s="8" t="s">
        <v>813</v>
      </c>
      <c r="B1166" s="8">
        <v>15527388</v>
      </c>
      <c r="C1166" t="s">
        <v>814</v>
      </c>
      <c r="D1166" t="s">
        <v>815</v>
      </c>
      <c r="E1166" t="s">
        <v>523</v>
      </c>
      <c r="F1166" t="s">
        <v>22</v>
      </c>
      <c r="G1166" t="s">
        <v>121</v>
      </c>
      <c r="H1166" t="s">
        <v>68</v>
      </c>
      <c r="I1166" t="s">
        <v>37</v>
      </c>
      <c r="J1166" t="s">
        <v>38</v>
      </c>
      <c r="K1166" t="s">
        <v>63</v>
      </c>
      <c r="L1166">
        <v>1360.34</v>
      </c>
      <c r="M1166">
        <v>76</v>
      </c>
      <c r="N1166" s="10" t="s">
        <v>39</v>
      </c>
      <c r="O1166" s="10" t="s">
        <v>75</v>
      </c>
      <c r="P1166" s="13">
        <v>45253.504861111112</v>
      </c>
      <c r="Q1166" t="s">
        <v>3344</v>
      </c>
    </row>
    <row r="1168" spans="1:17">
      <c r="A1168" s="8" t="s">
        <v>3345</v>
      </c>
    </row>
    <row r="1169" spans="1:1">
      <c r="A1169" s="8" t="s">
        <v>3346</v>
      </c>
    </row>
    <row r="1170" spans="1:1">
      <c r="A1170" s="8" t="s">
        <v>3347</v>
      </c>
    </row>
    <row r="1171" spans="1:1">
      <c r="A1171" s="8" t="s">
        <v>3348</v>
      </c>
    </row>
    <row r="1172" spans="1:1">
      <c r="A1172" s="8" t="s">
        <v>3349</v>
      </c>
    </row>
    <row r="1173" spans="1:1">
      <c r="A1173" s="8" t="s">
        <v>3350</v>
      </c>
    </row>
    <row r="1174" spans="1:1">
      <c r="A1174" s="8" t="s">
        <v>3351</v>
      </c>
    </row>
    <row r="1175" spans="1:1">
      <c r="A1175" s="8" t="s">
        <v>3352</v>
      </c>
    </row>
    <row r="1176" spans="1:1">
      <c r="A1176" s="8" t="s">
        <v>3353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DABD-B5F8-4596-BECB-653F1DCBB760}">
  <dimension ref="A1:AF1176"/>
  <sheetViews>
    <sheetView topLeftCell="I18" workbookViewId="0">
      <selection activeCell="Q1" sqref="Q1:Q1048576"/>
    </sheetView>
  </sheetViews>
  <sheetFormatPr defaultRowHeight="15"/>
  <cols>
    <col min="1" max="1" width="26.140625" bestFit="1" customWidth="1"/>
    <col min="2" max="2" width="9.5703125" bestFit="1" customWidth="1"/>
    <col min="3" max="3" width="24.42578125" bestFit="1" customWidth="1"/>
    <col min="4" max="4" width="21.42578125" bestFit="1" customWidth="1"/>
    <col min="5" max="5" width="21.42578125" customWidth="1"/>
    <col min="6" max="6" width="17.85546875" bestFit="1" customWidth="1"/>
    <col min="7" max="7" width="19.28515625" bestFit="1" customWidth="1"/>
    <col min="8" max="8" width="12.5703125" bestFit="1" customWidth="1"/>
    <col min="9" max="9" width="18.28515625" bestFit="1" customWidth="1"/>
    <col min="10" max="10" width="10.42578125" bestFit="1" customWidth="1"/>
    <col min="11" max="11" width="14.42578125" bestFit="1" customWidth="1"/>
    <col min="12" max="12" width="13" bestFit="1" customWidth="1"/>
    <col min="13" max="13" width="16.5703125" bestFit="1" customWidth="1"/>
    <col min="14" max="14" width="13.28515625" bestFit="1" customWidth="1"/>
    <col min="15" max="15" width="17" bestFit="1" customWidth="1"/>
    <col min="16" max="16" width="18.42578125" bestFit="1" customWidth="1"/>
    <col min="17" max="17" width="23.85546875" bestFit="1" customWidth="1"/>
    <col min="18" max="18" width="23.85546875" customWidth="1"/>
    <col min="19" max="19" width="14.7109375" bestFit="1" customWidth="1"/>
    <col min="20" max="20" width="16.140625" bestFit="1" customWidth="1"/>
    <col min="21" max="21" width="18.85546875" bestFit="1" customWidth="1"/>
    <col min="22" max="22" width="20.28515625" bestFit="1" customWidth="1"/>
    <col min="23" max="23" width="18" bestFit="1" customWidth="1"/>
    <col min="24" max="24" width="19.42578125" bestFit="1" customWidth="1"/>
    <col min="25" max="25" width="19.42578125" customWidth="1"/>
    <col min="26" max="26" width="19.42578125" bestFit="1" customWidth="1"/>
    <col min="27" max="27" width="11.42578125" bestFit="1" customWidth="1"/>
    <col min="29" max="29" width="14.140625" bestFit="1" customWidth="1"/>
    <col min="31" max="31" width="15.28515625" bestFit="1" customWidth="1"/>
  </cols>
  <sheetData>
    <row r="1" spans="1:32">
      <c r="A1" t="s">
        <v>0</v>
      </c>
      <c r="B1" t="s">
        <v>1</v>
      </c>
      <c r="C1" t="s">
        <v>3354</v>
      </c>
      <c r="D1" t="s">
        <v>3355</v>
      </c>
      <c r="E1" t="s">
        <v>4</v>
      </c>
      <c r="F1" t="s">
        <v>5</v>
      </c>
      <c r="G1" t="s">
        <v>3356</v>
      </c>
      <c r="H1" t="s">
        <v>3357</v>
      </c>
      <c r="I1" t="s">
        <v>3358</v>
      </c>
      <c r="J1" t="s">
        <v>11</v>
      </c>
      <c r="K1" t="s">
        <v>13</v>
      </c>
      <c r="L1" t="s">
        <v>14</v>
      </c>
      <c r="M1" t="s">
        <v>15</v>
      </c>
      <c r="N1" t="s">
        <v>3359</v>
      </c>
      <c r="O1" t="s">
        <v>3360</v>
      </c>
      <c r="P1" t="s">
        <v>3361</v>
      </c>
      <c r="Q1" t="s">
        <v>16</v>
      </c>
      <c r="R1" s="6" t="s">
        <v>3362</v>
      </c>
      <c r="S1" s="5" t="s">
        <v>2</v>
      </c>
      <c r="T1" s="5" t="s">
        <v>3</v>
      </c>
      <c r="U1" s="6" t="s">
        <v>3363</v>
      </c>
      <c r="V1" s="6" t="s">
        <v>6</v>
      </c>
      <c r="W1" s="6" t="s">
        <v>7</v>
      </c>
      <c r="X1" s="6" t="s">
        <v>8</v>
      </c>
      <c r="Y1" s="6" t="s">
        <v>9</v>
      </c>
      <c r="Z1" s="6" t="s">
        <v>10</v>
      </c>
      <c r="AA1" s="6" t="s">
        <v>3364</v>
      </c>
      <c r="AB1" s="6" t="s">
        <v>3365</v>
      </c>
      <c r="AC1" s="6" t="s">
        <v>3366</v>
      </c>
      <c r="AD1" s="6" t="s">
        <v>3367</v>
      </c>
      <c r="AE1" s="6" t="s">
        <v>3368</v>
      </c>
      <c r="AF1" s="6" t="s">
        <v>3369</v>
      </c>
    </row>
    <row r="2" spans="1:32">
      <c r="A2" t="s">
        <v>17</v>
      </c>
      <c r="B2">
        <v>95822412</v>
      </c>
      <c r="C2" t="s">
        <v>18</v>
      </c>
      <c r="D2" t="s">
        <v>3370</v>
      </c>
      <c r="E2" t="s">
        <v>20</v>
      </c>
      <c r="F2" t="s">
        <v>21</v>
      </c>
      <c r="G2" t="s">
        <v>22</v>
      </c>
      <c r="H2" t="s">
        <v>25</v>
      </c>
      <c r="I2" t="s">
        <v>3371</v>
      </c>
      <c r="J2">
        <v>3497.59</v>
      </c>
      <c r="K2" t="s">
        <v>27</v>
      </c>
      <c r="L2" t="s">
        <v>28</v>
      </c>
      <c r="M2" s="1">
        <v>44037.936111111114</v>
      </c>
      <c r="N2">
        <v>69</v>
      </c>
      <c r="O2" t="s">
        <v>23</v>
      </c>
      <c r="P2" t="s">
        <v>24</v>
      </c>
      <c r="Q2" t="s">
        <v>29</v>
      </c>
      <c r="R2">
        <f t="shared" ref="R2:R65" si="0">IF(B2="",0,B2)</f>
        <v>95822412</v>
      </c>
      <c r="S2" t="str" cm="1">
        <f t="array" ref="S2">IF(C2="",IFERROR(INDEX($C$2:$C$1166,MATCH(MAX(COUNTIF($C$2:$C$1166,$C$2:$C$1166)),COUNTIF($C$2:$C$1166,$C$2:$C$1166),0)),"Unknown"),C2)</f>
        <v>Patricia Smith</v>
      </c>
      <c r="T2" s="4" t="str" cm="1">
        <f t="array" ref="T2">IF(D2="",IFERROR(INDEX($D$2:$D$1000,MATCH(MAX(COUNTIF($D$2:$D$1166,$D$2:$D$1166)),COUNTIF($D$2:$D$1166,$D$2:$D$1166),0)),"Unknown"),D2)</f>
        <v xml:space="preserve"> fatima rodriguez   </v>
      </c>
      <c r="U2" t="str">
        <f t="shared" ref="U2:V65" si="1">TRIM(F2)</f>
        <v>GBP</v>
      </c>
      <c r="V2" s="7" t="str">
        <f t="shared" si="1"/>
        <v>BRL</v>
      </c>
      <c r="W2" s="7" t="str">
        <f t="shared" ref="W2:X65" si="2">TRIM(O2)</f>
        <v>France</v>
      </c>
      <c r="X2" s="7" t="str">
        <f t="shared" si="2"/>
        <v>Brazil</v>
      </c>
      <c r="Y2" s="7" t="str" cm="1">
        <f t="array" ref="Y2">IF(H2="",IFERROR(INDEX($H$2:$H$1166,MATCH(MAX(COUNTIF($H$2:$H$1166,$H$2:$H$1166)),COUNTIF($H$2:$H$1166,$H$2:$H$1166),0)),"Unknown"),H2)</f>
        <v>KYC</v>
      </c>
      <c r="Z2" s="7" t="str">
        <f t="shared" ref="Z2:Z65" si="3">PROPER(I2)</f>
        <v>Outer-Transaction</v>
      </c>
      <c r="AA2" s="7">
        <f>IF(J2="",AVERAGE($J:$J),J2)</f>
        <v>3497.59</v>
      </c>
      <c r="AB2" s="7">
        <f>IF(N2="",AVERAGE($N:$N),N2)</f>
        <v>69</v>
      </c>
      <c r="AC2" s="7">
        <f t="shared" ref="AC2:AC65" si="4">YEAR(M2)</f>
        <v>2020</v>
      </c>
      <c r="AD2" s="7">
        <f t="shared" ref="AD2:AD65" si="5">MONTH(M2)</f>
        <v>7</v>
      </c>
      <c r="AE2" s="7">
        <f>COUNTIF(A:A,A2)</f>
        <v>1</v>
      </c>
      <c r="AF2" s="7" t="str">
        <f t="shared" ref="AF2:AF65" si="6">IF(E2="","",IF(OR(E2="Yes",E2="Y",E2="TRUE",E2=1),"Yes","No"))</f>
        <v>No</v>
      </c>
    </row>
    <row r="3" spans="1:32">
      <c r="A3" t="s">
        <v>30</v>
      </c>
      <c r="B3">
        <v>31429110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I3" t="s">
        <v>3372</v>
      </c>
      <c r="J3">
        <v>8048.06</v>
      </c>
      <c r="K3" t="s">
        <v>39</v>
      </c>
      <c r="L3" t="s">
        <v>28</v>
      </c>
      <c r="M3" s="1">
        <v>46029.688194444447</v>
      </c>
      <c r="N3">
        <v>32</v>
      </c>
      <c r="O3" t="s">
        <v>36</v>
      </c>
      <c r="P3" t="s">
        <v>37</v>
      </c>
      <c r="Q3" t="s">
        <v>40</v>
      </c>
      <c r="R3">
        <f t="shared" si="0"/>
        <v>31429110</v>
      </c>
      <c r="S3" t="str" cm="1">
        <f t="array" ref="S3">IF(C3="",IFERROR(INDEX($C$2:$C$1166,MATCH(MAX(COUNTIF($C$2:$C$1166,$C$2:$C$1166)),COUNTIF($C$2:$C$1166,$C$2:$C$1166),0)),"Unknown"),C3)</f>
        <v>Elena Wilson</v>
      </c>
      <c r="T3" s="4" t="str" cm="1">
        <f t="array" ref="T3">IF(D3="",IFERROR(INDEX($D$2:$D$1000,MATCH(MAX(COUNTIF($D$2:$D$1166,$D$2:$D$1166)),COUNTIF($D$2:$D$1166,$D$2:$D$1166),0)),"Unknown"),D3)</f>
        <v>Richard Rodriguez</v>
      </c>
      <c r="U3" t="str">
        <f t="shared" si="1"/>
        <v>CAD</v>
      </c>
      <c r="V3" s="7" t="str">
        <f t="shared" si="1"/>
        <v>EUR</v>
      </c>
      <c r="W3" s="7" t="str">
        <f t="shared" si="2"/>
        <v>Germany</v>
      </c>
      <c r="X3" s="7" t="str">
        <f t="shared" si="2"/>
        <v>South Africa</v>
      </c>
      <c r="Y3" s="7" t="str" cm="1">
        <f t="array" ref="Y3">IF(H3="",IFERROR(INDEX($H$2:$H$1166,MATCH(MAX(COUNTIF($H$2:$H$1166,$H$2:$H$1166)),COUNTIF($H$2:$H$1166,$H$2:$H$1166),0)),"Unknown"),H3)</f>
        <v>Pending</v>
      </c>
      <c r="Z3" s="7" t="str">
        <f t="shared" si="3"/>
        <v>Outer-Transaction</v>
      </c>
      <c r="AA3" s="7">
        <f>IF(J3="",AVERAGE($J:$J),J3)</f>
        <v>8048.06</v>
      </c>
      <c r="AB3" s="7">
        <f>IF(N3="",AVERAGE($N:$N),N3)</f>
        <v>32</v>
      </c>
      <c r="AC3" s="7">
        <f t="shared" si="4"/>
        <v>2026</v>
      </c>
      <c r="AD3" s="7">
        <f t="shared" si="5"/>
        <v>1</v>
      </c>
      <c r="AE3" s="7">
        <f>COUNTIF(A:A,A3)</f>
        <v>1</v>
      </c>
      <c r="AF3" s="7" t="str">
        <f t="shared" si="6"/>
        <v>Yes</v>
      </c>
    </row>
    <row r="4" spans="1:32">
      <c r="A4" t="s">
        <v>41</v>
      </c>
      <c r="B4">
        <v>20709497</v>
      </c>
      <c r="C4" t="s">
        <v>42</v>
      </c>
      <c r="D4" t="s">
        <v>43</v>
      </c>
      <c r="E4" t="s">
        <v>3373</v>
      </c>
      <c r="F4" t="s">
        <v>44</v>
      </c>
      <c r="G4" t="s">
        <v>45</v>
      </c>
      <c r="I4" t="s">
        <v>3374</v>
      </c>
      <c r="J4">
        <v>1080.32</v>
      </c>
      <c r="K4" t="s">
        <v>47</v>
      </c>
      <c r="L4" t="s">
        <v>48</v>
      </c>
      <c r="M4" s="1">
        <v>43995.270138888889</v>
      </c>
      <c r="N4">
        <v>78</v>
      </c>
      <c r="O4" t="s">
        <v>36</v>
      </c>
      <c r="P4" t="s">
        <v>24</v>
      </c>
      <c r="Q4" t="s">
        <v>49</v>
      </c>
      <c r="R4">
        <f t="shared" si="0"/>
        <v>20709497</v>
      </c>
      <c r="S4" t="str" cm="1">
        <f t="array" ref="S4">IF(C4="",IFERROR(INDEX($C$2:$C$1166,MATCH(MAX(COUNTIF($C$2:$C$1166,$C$2:$C$1166)),COUNTIF($C$2:$C$1166,$C$2:$C$1166),0)),"Unknown"),C4)</f>
        <v>Zayn Davis</v>
      </c>
      <c r="T4" s="4" t="str" cm="1">
        <f t="array" ref="T4">IF(D4="",IFERROR(INDEX($D$2:$D$1000,MATCH(MAX(COUNTIF($D$2:$D$1166,$D$2:$D$1166)),COUNTIF($D$2:$D$1166,$D$2:$D$1166),0)),"Unknown"),D4)</f>
        <v>Zayn Brown</v>
      </c>
      <c r="U4" t="str">
        <f t="shared" si="1"/>
        <v>SGD</v>
      </c>
      <c r="V4" s="7" t="str">
        <f t="shared" si="1"/>
        <v>ZAR</v>
      </c>
      <c r="W4" s="7" t="str">
        <f t="shared" si="2"/>
        <v>Germany</v>
      </c>
      <c r="X4" s="7" t="str">
        <f t="shared" si="2"/>
        <v>Brazil</v>
      </c>
      <c r="Y4" s="7" t="str" cm="1">
        <f t="array" ref="Y4">IF(H4="",IFERROR(INDEX($H$2:$H$1166,MATCH(MAX(COUNTIF($H$2:$H$1166,$H$2:$H$1166)),COUNTIF($H$2:$H$1166,$H$2:$H$1166),0)),"Unknown"),H4)</f>
        <v>Pending</v>
      </c>
      <c r="Z4" s="7" t="str">
        <f t="shared" si="3"/>
        <v>External</v>
      </c>
      <c r="AA4" s="7">
        <f>IF(J4="",AVERAGE($J:$J),J4)</f>
        <v>1080.32</v>
      </c>
      <c r="AB4" s="7">
        <f>IF(N4="",AVERAGE($N:$N),N4)</f>
        <v>78</v>
      </c>
      <c r="AC4" s="7">
        <f t="shared" si="4"/>
        <v>2020</v>
      </c>
      <c r="AD4" s="7">
        <f t="shared" si="5"/>
        <v>6</v>
      </c>
      <c r="AE4" s="7">
        <f>COUNTIF(A:A,A4)</f>
        <v>1</v>
      </c>
      <c r="AF4" s="7" t="str">
        <f t="shared" si="6"/>
        <v>Yes</v>
      </c>
    </row>
    <row r="5" spans="1:32">
      <c r="A5" t="s">
        <v>50</v>
      </c>
      <c r="B5">
        <v>17507864</v>
      </c>
      <c r="C5" t="s">
        <v>51</v>
      </c>
      <c r="D5" t="s">
        <v>52</v>
      </c>
      <c r="E5" t="s">
        <v>3375</v>
      </c>
      <c r="F5" t="s">
        <v>53</v>
      </c>
      <c r="G5" t="s">
        <v>35</v>
      </c>
      <c r="H5" t="s">
        <v>56</v>
      </c>
      <c r="I5" t="s">
        <v>3374</v>
      </c>
      <c r="J5">
        <v>6888.19</v>
      </c>
      <c r="K5" t="s">
        <v>57</v>
      </c>
      <c r="L5" t="s">
        <v>48</v>
      </c>
      <c r="M5" s="1">
        <v>45829.571527777778</v>
      </c>
      <c r="N5">
        <v>38</v>
      </c>
      <c r="O5" t="s">
        <v>54</v>
      </c>
      <c r="P5" t="s">
        <v>55</v>
      </c>
      <c r="Q5" t="s">
        <v>58</v>
      </c>
      <c r="R5">
        <f t="shared" si="0"/>
        <v>17507864</v>
      </c>
      <c r="S5" t="str" cm="1">
        <f t="array" ref="S5">IF(C5="",IFERROR(INDEX($C$2:$C$1166,MATCH(MAX(COUNTIF($C$2:$C$1166,$C$2:$C$1166)),COUNTIF($C$2:$C$1166,$C$2:$C$1166),0)),"Unknown"),C5)</f>
        <v>Elizabeth Khan</v>
      </c>
      <c r="T5" s="4" t="str" cm="1">
        <f t="array" ref="T5">IF(D5="",IFERROR(INDEX($D$2:$D$1000,MATCH(MAX(COUNTIF($D$2:$D$1166,$D$2:$D$1166)),COUNTIF($D$2:$D$1166,$D$2:$D$1166),0)),"Unknown"),D5)</f>
        <v>Mary Silva</v>
      </c>
      <c r="U5" t="str">
        <f t="shared" si="1"/>
        <v>AED</v>
      </c>
      <c r="V5" s="7" t="str">
        <f t="shared" si="1"/>
        <v>EUR</v>
      </c>
      <c r="W5" s="7" t="str">
        <f t="shared" si="2"/>
        <v>India</v>
      </c>
      <c r="X5" s="7" t="str">
        <f t="shared" si="2"/>
        <v>UK</v>
      </c>
      <c r="Y5" s="7" t="str" cm="1">
        <f t="array" ref="Y5">IF(H5="",IFERROR(INDEX($H$2:$H$1166,MATCH(MAX(COUNTIF($H$2:$H$1166,$H$2:$H$1166)),COUNTIF($H$2:$H$1166,$H$2:$H$1166),0)),"Unknown"),H5)</f>
        <v>Unverified</v>
      </c>
      <c r="Z5" s="7" t="str">
        <f t="shared" si="3"/>
        <v>External</v>
      </c>
      <c r="AA5" s="7">
        <f>IF(J5="",AVERAGE($J:$J),J5)</f>
        <v>6888.19</v>
      </c>
      <c r="AB5" s="7">
        <f>IF(N5="",AVERAGE($N:$N),N5)</f>
        <v>38</v>
      </c>
      <c r="AC5" s="7">
        <f t="shared" si="4"/>
        <v>2025</v>
      </c>
      <c r="AD5" s="7">
        <f t="shared" si="5"/>
        <v>6</v>
      </c>
      <c r="AE5" s="7">
        <f>COUNTIF(A:A,A5)</f>
        <v>1</v>
      </c>
      <c r="AF5" s="7" t="str">
        <f t="shared" si="6"/>
        <v>No</v>
      </c>
    </row>
    <row r="6" spans="1:32">
      <c r="A6" t="s">
        <v>59</v>
      </c>
      <c r="B6">
        <v>28566572</v>
      </c>
      <c r="C6" t="s">
        <v>60</v>
      </c>
      <c r="D6" t="s">
        <v>61</v>
      </c>
      <c r="E6" t="s">
        <v>20</v>
      </c>
      <c r="F6" t="s">
        <v>35</v>
      </c>
      <c r="G6" t="s">
        <v>21</v>
      </c>
      <c r="H6" t="s">
        <v>56</v>
      </c>
      <c r="I6" t="s">
        <v>3376</v>
      </c>
      <c r="J6">
        <v>3778.7</v>
      </c>
      <c r="K6" t="s">
        <v>27</v>
      </c>
      <c r="L6" t="s">
        <v>28</v>
      </c>
      <c r="M6" s="1">
        <v>45915.688194444447</v>
      </c>
      <c r="N6">
        <v>41</v>
      </c>
      <c r="O6" t="s">
        <v>62</v>
      </c>
      <c r="P6" t="s">
        <v>23</v>
      </c>
      <c r="Q6" t="s">
        <v>64</v>
      </c>
      <c r="R6">
        <f t="shared" si="0"/>
        <v>28566572</v>
      </c>
      <c r="S6" t="str" cm="1">
        <f t="array" ref="S6">IF(C6="",IFERROR(INDEX($C$2:$C$1166,MATCH(MAX(COUNTIF($C$2:$C$1166,$C$2:$C$1166)),COUNTIF($C$2:$C$1166,$C$2:$C$1166),0)),"Unknown"),C6)</f>
        <v xml:space="preserve">  CHARLES THOMAS </v>
      </c>
      <c r="T6" s="4" t="str" cm="1">
        <f t="array" ref="T6">IF(D6="",IFERROR(INDEX($D$2:$D$1000,MATCH(MAX(COUNTIF($D$2:$D$1166,$D$2:$D$1166)),COUNTIF($D$2:$D$1166,$D$2:$D$1166),0)),"Unknown"),D6)</f>
        <v>Robert Dubois</v>
      </c>
      <c r="U6" t="str">
        <f t="shared" si="1"/>
        <v>EUR</v>
      </c>
      <c r="V6" s="7" t="str">
        <f t="shared" si="1"/>
        <v>GBP</v>
      </c>
      <c r="W6" s="7" t="str">
        <f t="shared" si="2"/>
        <v>Australia</v>
      </c>
      <c r="X6" s="7" t="str">
        <f t="shared" si="2"/>
        <v>France</v>
      </c>
      <c r="Y6" s="7" t="str" cm="1">
        <f t="array" ref="Y6">IF(H6="",IFERROR(INDEX($H$2:$H$1166,MATCH(MAX(COUNTIF($H$2:$H$1166,$H$2:$H$1166)),COUNTIF($H$2:$H$1166,$H$2:$H$1166),0)),"Unknown"),H6)</f>
        <v>Unverified</v>
      </c>
      <c r="Z6" s="7" t="str">
        <f t="shared" si="3"/>
        <v>Internal</v>
      </c>
      <c r="AA6" s="7">
        <f>IF(J6="",AVERAGE($J:$J),J6)</f>
        <v>3778.7</v>
      </c>
      <c r="AB6" s="7">
        <f>IF(N6="",AVERAGE($N:$N),N6)</f>
        <v>41</v>
      </c>
      <c r="AC6" s="7">
        <f t="shared" si="4"/>
        <v>2025</v>
      </c>
      <c r="AD6" s="7">
        <f t="shared" si="5"/>
        <v>9</v>
      </c>
      <c r="AE6" s="7">
        <f>COUNTIF(A:A,A6)</f>
        <v>1</v>
      </c>
      <c r="AF6" s="7" t="str">
        <f t="shared" si="6"/>
        <v>No</v>
      </c>
    </row>
    <row r="7" spans="1:32">
      <c r="A7" t="s">
        <v>65</v>
      </c>
      <c r="B7">
        <v>45351479</v>
      </c>
      <c r="C7" t="s">
        <v>66</v>
      </c>
      <c r="D7" t="s">
        <v>67</v>
      </c>
      <c r="E7" t="s">
        <v>20</v>
      </c>
      <c r="F7" t="s">
        <v>45</v>
      </c>
      <c r="G7" t="s">
        <v>53</v>
      </c>
      <c r="H7" t="s">
        <v>38</v>
      </c>
      <c r="I7" t="s">
        <v>3377</v>
      </c>
      <c r="J7">
        <v>8988.18</v>
      </c>
      <c r="K7" t="s">
        <v>39</v>
      </c>
      <c r="L7" t="s">
        <v>28</v>
      </c>
      <c r="M7" s="1">
        <v>44163.545138888891</v>
      </c>
      <c r="N7">
        <v>20</v>
      </c>
      <c r="O7" t="s">
        <v>37</v>
      </c>
      <c r="P7" t="s">
        <v>68</v>
      </c>
      <c r="Q7" t="s">
        <v>70</v>
      </c>
      <c r="R7">
        <f t="shared" si="0"/>
        <v>45351479</v>
      </c>
      <c r="S7" t="str" cm="1">
        <f t="array" ref="S7">IF(C7="",IFERROR(INDEX($C$2:$C$1166,MATCH(MAX(COUNTIF($C$2:$C$1166,$C$2:$C$1166)),COUNTIF($C$2:$C$1166,$C$2:$C$1166),0)),"Unknown"),C7)</f>
        <v>Charles Dubois</v>
      </c>
      <c r="T7" s="4" t="str" cm="1">
        <f t="array" ref="T7">IF(D7="",IFERROR(INDEX($D$2:$D$1000,MATCH(MAX(COUNTIF($D$2:$D$1166,$D$2:$D$1166)),COUNTIF($D$2:$D$1166,$D$2:$D$1166),0)),"Unknown"),D7)</f>
        <v>Linda Taylor</v>
      </c>
      <c r="U7" t="str">
        <f t="shared" si="1"/>
        <v>ZAR</v>
      </c>
      <c r="V7" s="7" t="str">
        <f t="shared" si="1"/>
        <v>AED</v>
      </c>
      <c r="W7" s="7" t="str">
        <f t="shared" si="2"/>
        <v>South Africa</v>
      </c>
      <c r="X7" s="7" t="str">
        <f t="shared" si="2"/>
        <v>UAE</v>
      </c>
      <c r="Y7" s="7" t="str" cm="1">
        <f t="array" ref="Y7">IF(H7="",IFERROR(INDEX($H$2:$H$1166,MATCH(MAX(COUNTIF($H$2:$H$1166,$H$2:$H$1166)),COUNTIF($H$2:$H$1166,$H$2:$H$1166),0)),"Unknown"),H7)</f>
        <v>Pending</v>
      </c>
      <c r="Z7" s="7" t="str">
        <f t="shared" si="3"/>
        <v>Inter-Transaction</v>
      </c>
      <c r="AA7" s="7">
        <f>IF(J7="",AVERAGE($J:$J),J7)</f>
        <v>8988.18</v>
      </c>
      <c r="AB7" s="7">
        <f>IF(N7="",AVERAGE($N:$N),N7)</f>
        <v>20</v>
      </c>
      <c r="AC7" s="7">
        <f t="shared" si="4"/>
        <v>2020</v>
      </c>
      <c r="AD7" s="7">
        <f t="shared" si="5"/>
        <v>11</v>
      </c>
      <c r="AE7" s="7">
        <f>COUNTIF(A:A,A7)</f>
        <v>1</v>
      </c>
      <c r="AF7" s="7" t="str">
        <f t="shared" si="6"/>
        <v>No</v>
      </c>
    </row>
    <row r="8" spans="1:32">
      <c r="A8" t="s">
        <v>71</v>
      </c>
      <c r="B8">
        <v>75228535</v>
      </c>
      <c r="C8" t="s">
        <v>72</v>
      </c>
      <c r="D8" t="s">
        <v>73</v>
      </c>
      <c r="E8" t="s">
        <v>3375</v>
      </c>
      <c r="F8" t="s">
        <v>21</v>
      </c>
      <c r="G8" t="s">
        <v>45</v>
      </c>
      <c r="H8" t="s">
        <v>74</v>
      </c>
      <c r="I8" t="s">
        <v>3376</v>
      </c>
      <c r="J8">
        <v>11331.43</v>
      </c>
      <c r="K8" t="s">
        <v>47</v>
      </c>
      <c r="L8" t="s">
        <v>75</v>
      </c>
      <c r="M8" s="1">
        <v>44233.765972222223</v>
      </c>
      <c r="N8">
        <v>39</v>
      </c>
      <c r="O8" t="s">
        <v>37</v>
      </c>
      <c r="P8" t="s">
        <v>36</v>
      </c>
      <c r="Q8" t="s">
        <v>76</v>
      </c>
      <c r="R8">
        <f t="shared" si="0"/>
        <v>75228535</v>
      </c>
      <c r="S8" t="str" cm="1">
        <f t="array" ref="S8">IF(C8="",IFERROR(INDEX($C$2:$C$1166,MATCH(MAX(COUNTIF($C$2:$C$1166,$C$2:$C$1166)),COUNTIF($C$2:$C$1166,$C$2:$C$1166),0)),"Unknown"),C8)</f>
        <v>Amir Williams</v>
      </c>
      <c r="T8" s="4" t="str" cm="1">
        <f t="array" ref="T8">IF(D8="",IFERROR(INDEX($D$2:$D$1000,MATCH(MAX(COUNTIF($D$2:$D$1166,$D$2:$D$1166)),COUNTIF($D$2:$D$1166,$D$2:$D$1166),0)),"Unknown"),D8)</f>
        <v>Jean-Pierre Moore</v>
      </c>
      <c r="U8" t="str">
        <f t="shared" si="1"/>
        <v>GBP</v>
      </c>
      <c r="V8" s="7" t="str">
        <f t="shared" si="1"/>
        <v>ZAR</v>
      </c>
      <c r="W8" s="7" t="str">
        <f t="shared" si="2"/>
        <v>South Africa</v>
      </c>
      <c r="X8" s="7" t="str">
        <f t="shared" si="2"/>
        <v>Germany</v>
      </c>
      <c r="Y8" s="7" t="str" cm="1">
        <f t="array" ref="Y8">IF(H8="",IFERROR(INDEX($H$2:$H$1166,MATCH(MAX(COUNTIF($H$2:$H$1166,$H$2:$H$1166)),COUNTIF($H$2:$H$1166,$H$2:$H$1166),0)),"Unknown"),H8)</f>
        <v>Non-KYC</v>
      </c>
      <c r="Z8" s="7" t="str">
        <f t="shared" si="3"/>
        <v>Internal</v>
      </c>
      <c r="AA8" s="7">
        <f>IF(J8="",AVERAGE($J:$J),J8)</f>
        <v>11331.43</v>
      </c>
      <c r="AB8" s="7">
        <f>IF(N8="",AVERAGE($N:$N),N8)</f>
        <v>39</v>
      </c>
      <c r="AC8" s="7">
        <f t="shared" si="4"/>
        <v>2021</v>
      </c>
      <c r="AD8" s="7">
        <f t="shared" si="5"/>
        <v>2</v>
      </c>
      <c r="AE8" s="7">
        <f>COUNTIF(A:A,A8)</f>
        <v>1</v>
      </c>
      <c r="AF8" s="7" t="str">
        <f t="shared" si="6"/>
        <v>No</v>
      </c>
    </row>
    <row r="9" spans="1:32">
      <c r="A9" t="s">
        <v>77</v>
      </c>
      <c r="B9">
        <v>84346088</v>
      </c>
      <c r="C9" t="s">
        <v>78</v>
      </c>
      <c r="D9" t="s">
        <v>79</v>
      </c>
      <c r="E9">
        <v>1</v>
      </c>
      <c r="F9" t="s">
        <v>45</v>
      </c>
      <c r="G9" t="s">
        <v>80</v>
      </c>
      <c r="I9" t="s">
        <v>3372</v>
      </c>
      <c r="J9">
        <v>3221.41</v>
      </c>
      <c r="K9" t="s">
        <v>47</v>
      </c>
      <c r="L9" t="s">
        <v>81</v>
      </c>
      <c r="M9" s="1">
        <v>44244.226388888892</v>
      </c>
      <c r="N9">
        <v>70</v>
      </c>
      <c r="O9" t="s">
        <v>55</v>
      </c>
      <c r="P9" t="s">
        <v>24</v>
      </c>
      <c r="Q9" t="s">
        <v>82</v>
      </c>
      <c r="R9">
        <f t="shared" si="0"/>
        <v>84346088</v>
      </c>
      <c r="S9" t="str" cm="1">
        <f t="array" ref="S9">IF(C9="",IFERROR(INDEX($C$2:$C$1166,MATCH(MAX(COUNTIF($C$2:$C$1166,$C$2:$C$1166)),COUNTIF($C$2:$C$1166,$C$2:$C$1166),0)),"Unknown"),C9)</f>
        <v>Elizabeth Jackson</v>
      </c>
      <c r="T9" s="4" t="str" cm="1">
        <f t="array" ref="T9">IF(D9="",IFERROR(INDEX($D$2:$D$1000,MATCH(MAX(COUNTIF($D$2:$D$1166,$D$2:$D$1166)),COUNTIF($D$2:$D$1166,$D$2:$D$1166),0)),"Unknown"),D9)</f>
        <v>Elizabeth Smith</v>
      </c>
      <c r="U9" t="str">
        <f t="shared" si="1"/>
        <v>ZAR</v>
      </c>
      <c r="V9" s="7" t="str">
        <f t="shared" si="1"/>
        <v>USD</v>
      </c>
      <c r="W9" s="7" t="str">
        <f t="shared" si="2"/>
        <v>UK</v>
      </c>
      <c r="X9" s="7" t="str">
        <f t="shared" si="2"/>
        <v>Brazil</v>
      </c>
      <c r="Y9" s="7" t="str" cm="1">
        <f t="array" ref="Y9">IF(H9="",IFERROR(INDEX($H$2:$H$1166,MATCH(MAX(COUNTIF($H$2:$H$1166,$H$2:$H$1166)),COUNTIF($H$2:$H$1166,$H$2:$H$1166),0)),"Unknown"),H9)</f>
        <v>Pending</v>
      </c>
      <c r="Z9" s="7" t="str">
        <f t="shared" si="3"/>
        <v>Outer-Transaction</v>
      </c>
      <c r="AA9" s="7">
        <f>IF(J9="",AVERAGE($J:$J),J9)</f>
        <v>3221.41</v>
      </c>
      <c r="AB9" s="7">
        <f>IF(N9="",AVERAGE($N:$N),N9)</f>
        <v>70</v>
      </c>
      <c r="AC9" s="7">
        <f t="shared" si="4"/>
        <v>2021</v>
      </c>
      <c r="AD9" s="7">
        <f t="shared" si="5"/>
        <v>2</v>
      </c>
      <c r="AE9" s="7">
        <f>COUNTIF(A:A,A9)</f>
        <v>1</v>
      </c>
      <c r="AF9" s="7" t="str">
        <f t="shared" si="6"/>
        <v>Yes</v>
      </c>
    </row>
    <row r="10" spans="1:32">
      <c r="A10" t="s">
        <v>83</v>
      </c>
      <c r="B10">
        <v>17270733</v>
      </c>
      <c r="C10" t="s">
        <v>84</v>
      </c>
      <c r="D10" t="s">
        <v>85</v>
      </c>
      <c r="E10" t="s">
        <v>3375</v>
      </c>
      <c r="F10" t="s">
        <v>22</v>
      </c>
      <c r="G10" t="s">
        <v>34</v>
      </c>
      <c r="H10" t="s">
        <v>74</v>
      </c>
      <c r="I10" t="s">
        <v>3378</v>
      </c>
      <c r="J10">
        <v>6944.79</v>
      </c>
      <c r="K10" t="s">
        <v>86</v>
      </c>
      <c r="L10" t="s">
        <v>81</v>
      </c>
      <c r="M10" s="1">
        <v>43875.724305555559</v>
      </c>
      <c r="N10">
        <v>19</v>
      </c>
      <c r="O10" t="s">
        <v>68</v>
      </c>
      <c r="P10" t="s">
        <v>55</v>
      </c>
      <c r="Q10" t="s">
        <v>87</v>
      </c>
      <c r="R10">
        <f t="shared" si="0"/>
        <v>17270733</v>
      </c>
      <c r="S10" t="str" cm="1">
        <f t="array" ref="S10">IF(C10="",IFERROR(INDEX($C$2:$C$1166,MATCH(MAX(COUNTIF($C$2:$C$1166,$C$2:$C$1166)),COUNTIF($C$2:$C$1166,$C$2:$C$1166),0)),"Unknown"),C10)</f>
        <v>Marta Nair</v>
      </c>
      <c r="T10" s="4" t="str" cm="1">
        <f t="array" ref="T10">IF(D10="",IFERROR(INDEX($D$2:$D$1000,MATCH(MAX(COUNTIF($D$2:$D$1166,$D$2:$D$1166)),COUNTIF($D$2:$D$1166,$D$2:$D$1166),0)),"Unknown"),D10)</f>
        <v>Sanjay Brown</v>
      </c>
      <c r="U10" t="str">
        <f t="shared" si="1"/>
        <v>BRL</v>
      </c>
      <c r="V10" s="7" t="str">
        <f t="shared" si="1"/>
        <v>CAD</v>
      </c>
      <c r="W10" s="7" t="str">
        <f t="shared" si="2"/>
        <v>UAE</v>
      </c>
      <c r="X10" s="7" t="str">
        <f t="shared" si="2"/>
        <v>UK</v>
      </c>
      <c r="Y10" s="7" t="str" cm="1">
        <f t="array" ref="Y10">IF(H10="",IFERROR(INDEX($H$2:$H$1166,MATCH(MAX(COUNTIF($H$2:$H$1166,$H$2:$H$1166)),COUNTIF($H$2:$H$1166,$H$2:$H$1166),0)),"Unknown"),H10)</f>
        <v>Non-KYC</v>
      </c>
      <c r="Z10" s="7" t="str">
        <f t="shared" si="3"/>
        <v>Inter-Transaction</v>
      </c>
      <c r="AA10" s="7">
        <f>IF(J10="",AVERAGE($J:$J),J10)</f>
        <v>6944.79</v>
      </c>
      <c r="AB10" s="7">
        <f>IF(N10="",AVERAGE($N:$N),N10)</f>
        <v>19</v>
      </c>
      <c r="AC10" s="7">
        <f t="shared" si="4"/>
        <v>2020</v>
      </c>
      <c r="AD10" s="7">
        <f t="shared" si="5"/>
        <v>2</v>
      </c>
      <c r="AE10" s="7">
        <f>COUNTIF(A:A,A10)</f>
        <v>1</v>
      </c>
      <c r="AF10" s="7" t="str">
        <f t="shared" si="6"/>
        <v>No</v>
      </c>
    </row>
    <row r="11" spans="1:32">
      <c r="A11" t="s">
        <v>88</v>
      </c>
      <c r="B11">
        <v>75181648</v>
      </c>
      <c r="C11" t="s">
        <v>89</v>
      </c>
      <c r="D11" t="s">
        <v>90</v>
      </c>
      <c r="E11" t="s">
        <v>20</v>
      </c>
      <c r="F11" t="s">
        <v>91</v>
      </c>
      <c r="G11" t="s">
        <v>92</v>
      </c>
      <c r="I11" t="s">
        <v>3374</v>
      </c>
      <c r="J11">
        <v>14931.39</v>
      </c>
      <c r="K11" t="s">
        <v>27</v>
      </c>
      <c r="L11" t="s">
        <v>81</v>
      </c>
      <c r="M11" s="1">
        <v>46084.204861111109</v>
      </c>
      <c r="N11">
        <v>47</v>
      </c>
      <c r="O11" t="s">
        <v>62</v>
      </c>
      <c r="P11" t="s">
        <v>93</v>
      </c>
      <c r="Q11" t="s">
        <v>94</v>
      </c>
      <c r="R11">
        <f t="shared" si="0"/>
        <v>75181648</v>
      </c>
      <c r="S11" t="str" cm="1">
        <f t="array" ref="S11">IF(C11="",IFERROR(INDEX($C$2:$C$1166,MATCH(MAX(COUNTIF($C$2:$C$1166,$C$2:$C$1166)),COUNTIF($C$2:$C$1166,$C$2:$C$1166),0)),"Unknown"),C11)</f>
        <v>Sarah Miller</v>
      </c>
      <c r="T11" s="4" t="str" cm="1">
        <f t="array" ref="T11">IF(D11="",IFERROR(INDEX($D$2:$D$1000,MATCH(MAX(COUNTIF($D$2:$D$1166,$D$2:$D$1166)),COUNTIF($D$2:$D$1166,$D$2:$D$1166),0)),"Unknown"),D11)</f>
        <v>Zayn Gonzalez</v>
      </c>
      <c r="U11" t="str">
        <f t="shared" si="1"/>
        <v>gbp</v>
      </c>
      <c r="V11" s="7" t="str">
        <f t="shared" si="1"/>
        <v>AUD</v>
      </c>
      <c r="W11" s="7" t="str">
        <f t="shared" si="2"/>
        <v>Australia</v>
      </c>
      <c r="X11" s="7" t="str">
        <f t="shared" si="2"/>
        <v>USA</v>
      </c>
      <c r="Y11" s="7" t="str" cm="1">
        <f t="array" ref="Y11">IF(H11="",IFERROR(INDEX($H$2:$H$1166,MATCH(MAX(COUNTIF($H$2:$H$1166,$H$2:$H$1166)),COUNTIF($H$2:$H$1166,$H$2:$H$1166),0)),"Unknown"),H11)</f>
        <v>Pending</v>
      </c>
      <c r="Z11" s="7" t="str">
        <f t="shared" si="3"/>
        <v>External</v>
      </c>
      <c r="AA11" s="7">
        <f>IF(J11="",AVERAGE($J:$J),J11)</f>
        <v>14931.39</v>
      </c>
      <c r="AB11" s="7">
        <f>IF(N11="",AVERAGE($N:$N),N11)</f>
        <v>47</v>
      </c>
      <c r="AC11" s="7">
        <f t="shared" si="4"/>
        <v>2026</v>
      </c>
      <c r="AD11" s="7">
        <f t="shared" si="5"/>
        <v>3</v>
      </c>
      <c r="AE11" s="7">
        <f>COUNTIF(A:A,A11)</f>
        <v>1</v>
      </c>
      <c r="AF11" s="7" t="str">
        <f t="shared" si="6"/>
        <v>No</v>
      </c>
    </row>
    <row r="12" spans="1:32">
      <c r="A12" t="s">
        <v>95</v>
      </c>
      <c r="B12">
        <v>73993471</v>
      </c>
      <c r="C12" t="s">
        <v>96</v>
      </c>
      <c r="D12" t="s">
        <v>97</v>
      </c>
      <c r="E12" t="s">
        <v>20</v>
      </c>
      <c r="F12" t="s">
        <v>98</v>
      </c>
      <c r="G12" t="s">
        <v>99</v>
      </c>
      <c r="H12" t="s">
        <v>38</v>
      </c>
      <c r="I12" t="s">
        <v>3371</v>
      </c>
      <c r="J12">
        <v>8688</v>
      </c>
      <c r="K12" t="s">
        <v>86</v>
      </c>
      <c r="L12" t="s">
        <v>28</v>
      </c>
      <c r="M12" s="1">
        <v>43892.984027777777</v>
      </c>
      <c r="N12">
        <v>55</v>
      </c>
      <c r="O12" t="s">
        <v>24</v>
      </c>
      <c r="P12" t="s">
        <v>62</v>
      </c>
      <c r="Q12" t="s">
        <v>100</v>
      </c>
      <c r="R12">
        <f t="shared" si="0"/>
        <v>73993471</v>
      </c>
      <c r="S12" t="str" cm="1">
        <f t="array" ref="S12">IF(C12="",IFERROR(INDEX($C$2:$C$1166,MATCH(MAX(COUNTIF($C$2:$C$1166,$C$2:$C$1166)),COUNTIF($C$2:$C$1166,$C$2:$C$1166),0)),"Unknown"),C12)</f>
        <v>Charles Souza</v>
      </c>
      <c r="T12" s="4" t="str" cm="1">
        <f t="array" ref="T12">IF(D12="",IFERROR(INDEX($D$2:$D$1000,MATCH(MAX(COUNTIF($D$2:$D$1166,$D$2:$D$1166)),COUNTIF($D$2:$D$1166,$D$2:$D$1166),0)),"Unknown"),D12)</f>
        <v>Zayn Taylor</v>
      </c>
      <c r="U12" t="str">
        <f t="shared" si="1"/>
        <v>JPY</v>
      </c>
      <c r="V12" s="7" t="str">
        <f t="shared" si="1"/>
        <v>eur</v>
      </c>
      <c r="W12" s="7" t="str">
        <f t="shared" si="2"/>
        <v>Brazil</v>
      </c>
      <c r="X12" s="7" t="str">
        <f t="shared" si="2"/>
        <v>Australia</v>
      </c>
      <c r="Y12" s="7" t="str" cm="1">
        <f t="array" ref="Y12">IF(H12="",IFERROR(INDEX($H$2:$H$1166,MATCH(MAX(COUNTIF($H$2:$H$1166,$H$2:$H$1166)),COUNTIF($H$2:$H$1166,$H$2:$H$1166),0)),"Unknown"),H12)</f>
        <v>Pending</v>
      </c>
      <c r="Z12" s="7" t="str">
        <f t="shared" si="3"/>
        <v>Outer-Transaction</v>
      </c>
      <c r="AA12" s="7">
        <f>IF(J12="",AVERAGE($J:$J),J12)</f>
        <v>8688</v>
      </c>
      <c r="AB12" s="7">
        <f>IF(N12="",AVERAGE($N:$N),N12)</f>
        <v>55</v>
      </c>
      <c r="AC12" s="7">
        <f t="shared" si="4"/>
        <v>2020</v>
      </c>
      <c r="AD12" s="7">
        <f t="shared" si="5"/>
        <v>3</v>
      </c>
      <c r="AE12" s="7">
        <f>COUNTIF(A:A,A12)</f>
        <v>1</v>
      </c>
      <c r="AF12" s="7" t="str">
        <f t="shared" si="6"/>
        <v>No</v>
      </c>
    </row>
    <row r="13" spans="1:32">
      <c r="A13" t="s">
        <v>101</v>
      </c>
      <c r="B13">
        <v>27566185</v>
      </c>
      <c r="C13" t="s">
        <v>84</v>
      </c>
      <c r="D13" t="s">
        <v>102</v>
      </c>
      <c r="E13" t="s">
        <v>20</v>
      </c>
      <c r="F13" t="s">
        <v>35</v>
      </c>
      <c r="G13" t="s">
        <v>80</v>
      </c>
      <c r="H13" t="s">
        <v>103</v>
      </c>
      <c r="I13" t="s">
        <v>3371</v>
      </c>
      <c r="J13">
        <v>13999.56</v>
      </c>
      <c r="K13" t="s">
        <v>86</v>
      </c>
      <c r="L13" t="s">
        <v>48</v>
      </c>
      <c r="M13" s="1">
        <v>46298.068749999999</v>
      </c>
      <c r="N13">
        <v>19</v>
      </c>
      <c r="O13" t="s">
        <v>24</v>
      </c>
      <c r="P13" t="s">
        <v>54</v>
      </c>
      <c r="Q13" t="s">
        <v>104</v>
      </c>
      <c r="R13">
        <f t="shared" si="0"/>
        <v>27566185</v>
      </c>
      <c r="S13" t="str" cm="1">
        <f t="array" ref="S13">IF(C13="",IFERROR(INDEX($C$2:$C$1166,MATCH(MAX(COUNTIF($C$2:$C$1166,$C$2:$C$1166)),COUNTIF($C$2:$C$1166,$C$2:$C$1166),0)),"Unknown"),C13)</f>
        <v>Marta Nair</v>
      </c>
      <c r="T13" s="4" t="str" cm="1">
        <f t="array" ref="T13">IF(D13="",IFERROR(INDEX($D$2:$D$1000,MATCH(MAX(COUNTIF($D$2:$D$1166,$D$2:$D$1166)),COUNTIF($D$2:$D$1166,$D$2:$D$1166),0)),"Unknown"),D13)</f>
        <v>Barbara Anderson</v>
      </c>
      <c r="U13" t="str">
        <f t="shared" si="1"/>
        <v>EUR</v>
      </c>
      <c r="V13" s="7" t="str">
        <f t="shared" si="1"/>
        <v>USD</v>
      </c>
      <c r="W13" s="7" t="str">
        <f t="shared" si="2"/>
        <v>Brazil</v>
      </c>
      <c r="X13" s="7" t="str">
        <f t="shared" si="2"/>
        <v>India</v>
      </c>
      <c r="Y13" s="7" t="str" cm="1">
        <f t="array" ref="Y13">IF(H13="",IFERROR(INDEX($H$2:$H$1166,MATCH(MAX(COUNTIF($H$2:$H$1166,$H$2:$H$1166)),COUNTIF($H$2:$H$1166,$H$2:$H$1166),0)),"Unknown"),H13)</f>
        <v>Verified</v>
      </c>
      <c r="Z13" s="7" t="str">
        <f t="shared" si="3"/>
        <v>Outer-Transaction</v>
      </c>
      <c r="AA13" s="7">
        <f>IF(J13="",AVERAGE($J:$J),J13)</f>
        <v>13999.56</v>
      </c>
      <c r="AB13" s="7">
        <f>IF(N13="",AVERAGE($N:$N),N13)</f>
        <v>19</v>
      </c>
      <c r="AC13" s="7">
        <f t="shared" si="4"/>
        <v>2026</v>
      </c>
      <c r="AD13" s="7">
        <f t="shared" si="5"/>
        <v>10</v>
      </c>
      <c r="AE13" s="7">
        <f>COUNTIF(A:A,A13)</f>
        <v>1</v>
      </c>
      <c r="AF13" s="7" t="str">
        <f t="shared" si="6"/>
        <v>No</v>
      </c>
    </row>
    <row r="14" spans="1:32">
      <c r="A14" t="s">
        <v>105</v>
      </c>
      <c r="B14">
        <v>99639081</v>
      </c>
      <c r="C14" t="s">
        <v>106</v>
      </c>
      <c r="D14" t="s">
        <v>107</v>
      </c>
      <c r="E14">
        <v>0</v>
      </c>
      <c r="F14" t="s">
        <v>21</v>
      </c>
      <c r="G14" t="s">
        <v>53</v>
      </c>
      <c r="I14" t="s">
        <v>3378</v>
      </c>
      <c r="J14">
        <v>3061.92</v>
      </c>
      <c r="K14" t="s">
        <v>57</v>
      </c>
      <c r="L14" t="s">
        <v>81</v>
      </c>
      <c r="M14" s="1">
        <v>44698.593055555553</v>
      </c>
      <c r="N14">
        <v>81</v>
      </c>
      <c r="O14" t="s">
        <v>37</v>
      </c>
      <c r="P14" t="s">
        <v>55</v>
      </c>
      <c r="Q14" t="s">
        <v>108</v>
      </c>
      <c r="R14">
        <f t="shared" si="0"/>
        <v>99639081</v>
      </c>
      <c r="S14" t="str" cm="1">
        <f t="array" ref="S14">IF(C14="",IFERROR(INDEX($C$2:$C$1166,MATCH(MAX(COUNTIF($C$2:$C$1166,$C$2:$C$1166)),COUNTIF($C$2:$C$1166,$C$2:$C$1166),0)),"Unknown"),C14)</f>
        <v>Amir Moore</v>
      </c>
      <c r="T14" s="4" t="str" cm="1">
        <f t="array" ref="T14">IF(D14="",IFERROR(INDEX($D$2:$D$1000,MATCH(MAX(COUNTIF($D$2:$D$1166,$D$2:$D$1166)),COUNTIF($D$2:$D$1166,$D$2:$D$1166),0)),"Unknown"),D14)</f>
        <v>Barbara Souza</v>
      </c>
      <c r="U14" t="str">
        <f t="shared" si="1"/>
        <v>GBP</v>
      </c>
      <c r="V14" s="7" t="str">
        <f t="shared" si="1"/>
        <v>AED</v>
      </c>
      <c r="W14" s="7" t="str">
        <f t="shared" si="2"/>
        <v>South Africa</v>
      </c>
      <c r="X14" s="7" t="str">
        <f t="shared" si="2"/>
        <v>UK</v>
      </c>
      <c r="Y14" s="7" t="str" cm="1">
        <f t="array" ref="Y14">IF(H14="",IFERROR(INDEX($H$2:$H$1166,MATCH(MAX(COUNTIF($H$2:$H$1166,$H$2:$H$1166)),COUNTIF($H$2:$H$1166,$H$2:$H$1166),0)),"Unknown"),H14)</f>
        <v>Pending</v>
      </c>
      <c r="Z14" s="7" t="str">
        <f t="shared" si="3"/>
        <v>Inter-Transaction</v>
      </c>
      <c r="AA14" s="7">
        <f>IF(J14="",AVERAGE($J:$J),J14)</f>
        <v>3061.92</v>
      </c>
      <c r="AB14" s="7">
        <f>IF(N14="",AVERAGE($N:$N),N14)</f>
        <v>81</v>
      </c>
      <c r="AC14" s="7">
        <f t="shared" si="4"/>
        <v>2022</v>
      </c>
      <c r="AD14" s="7">
        <f t="shared" si="5"/>
        <v>5</v>
      </c>
      <c r="AE14" s="7">
        <f>COUNTIF(A:A,A14)</f>
        <v>1</v>
      </c>
      <c r="AF14" s="7" t="str">
        <f t="shared" si="6"/>
        <v>No</v>
      </c>
    </row>
    <row r="15" spans="1:32">
      <c r="A15" t="s">
        <v>109</v>
      </c>
      <c r="B15">
        <v>31687165</v>
      </c>
      <c r="C15" t="s">
        <v>110</v>
      </c>
      <c r="D15" t="s">
        <v>111</v>
      </c>
      <c r="E15" t="s">
        <v>33</v>
      </c>
      <c r="F15" t="s">
        <v>112</v>
      </c>
      <c r="G15" t="s">
        <v>35</v>
      </c>
      <c r="H15" t="s">
        <v>38</v>
      </c>
      <c r="I15" t="s">
        <v>3376</v>
      </c>
      <c r="J15">
        <v>2229.9299999999998</v>
      </c>
      <c r="K15" t="s">
        <v>47</v>
      </c>
      <c r="L15" t="s">
        <v>28</v>
      </c>
      <c r="M15" s="1">
        <v>45322.431250000001</v>
      </c>
      <c r="N15">
        <v>77</v>
      </c>
      <c r="O15" t="s">
        <v>24</v>
      </c>
      <c r="P15" t="s">
        <v>37</v>
      </c>
      <c r="Q15" t="s">
        <v>113</v>
      </c>
      <c r="R15">
        <f t="shared" si="0"/>
        <v>31687165</v>
      </c>
      <c r="S15" t="str" cm="1">
        <f t="array" ref="S15">IF(C15="",IFERROR(INDEX($C$2:$C$1166,MATCH(MAX(COUNTIF($C$2:$C$1166,$C$2:$C$1166)),COUNTIF($C$2:$C$1166,$C$2:$C$1166),0)),"Unknown"),C15)</f>
        <v>Fatima Anderson</v>
      </c>
      <c r="T15" s="4" t="str" cm="1">
        <f t="array" ref="T15">IF(D15="",IFERROR(INDEX($D$2:$D$1000,MATCH(MAX(COUNTIF($D$2:$D$1166,$D$2:$D$1166)),COUNTIF($D$2:$D$1166,$D$2:$D$1166),0)),"Unknown"),D15)</f>
        <v>Karen Rostova</v>
      </c>
      <c r="U15" t="str">
        <f t="shared" si="1"/>
        <v>usd</v>
      </c>
      <c r="V15" s="7" t="str">
        <f t="shared" si="1"/>
        <v>EUR</v>
      </c>
      <c r="W15" s="7" t="str">
        <f t="shared" si="2"/>
        <v>Brazil</v>
      </c>
      <c r="X15" s="7" t="str">
        <f t="shared" si="2"/>
        <v>South Africa</v>
      </c>
      <c r="Y15" s="7" t="str" cm="1">
        <f t="array" ref="Y15">IF(H15="",IFERROR(INDEX($H$2:$H$1166,MATCH(MAX(COUNTIF($H$2:$H$1166,$H$2:$H$1166)),COUNTIF($H$2:$H$1166,$H$2:$H$1166),0)),"Unknown"),H15)</f>
        <v>Pending</v>
      </c>
      <c r="Z15" s="7" t="str">
        <f t="shared" si="3"/>
        <v>Internal</v>
      </c>
      <c r="AA15" s="7">
        <f>IF(J15="",AVERAGE($J:$J),J15)</f>
        <v>2229.9299999999998</v>
      </c>
      <c r="AB15" s="7">
        <f>IF(N15="",AVERAGE($N:$N),N15)</f>
        <v>77</v>
      </c>
      <c r="AC15" s="7">
        <f t="shared" si="4"/>
        <v>2024</v>
      </c>
      <c r="AD15" s="7">
        <f t="shared" si="5"/>
        <v>1</v>
      </c>
      <c r="AE15" s="7">
        <f>COUNTIF(A:A,A15)</f>
        <v>1</v>
      </c>
      <c r="AF15" s="7" t="str">
        <f t="shared" si="6"/>
        <v>Yes</v>
      </c>
    </row>
    <row r="16" spans="1:32">
      <c r="A16" t="s">
        <v>114</v>
      </c>
      <c r="B16">
        <v>57469942</v>
      </c>
      <c r="C16" t="s">
        <v>73</v>
      </c>
      <c r="D16" t="s">
        <v>115</v>
      </c>
      <c r="E16" t="s">
        <v>33</v>
      </c>
      <c r="F16" t="s">
        <v>116</v>
      </c>
      <c r="G16" t="s">
        <v>22</v>
      </c>
      <c r="H16" t="s">
        <v>56</v>
      </c>
      <c r="I16" t="s">
        <v>3377</v>
      </c>
      <c r="J16">
        <v>2698.62</v>
      </c>
      <c r="K16" t="s">
        <v>57</v>
      </c>
      <c r="L16" t="s">
        <v>81</v>
      </c>
      <c r="M16" s="1">
        <v>43849.890972222223</v>
      </c>
      <c r="N16">
        <v>38</v>
      </c>
      <c r="O16" t="s">
        <v>54</v>
      </c>
      <c r="P16" t="s">
        <v>24</v>
      </c>
      <c r="Q16" t="s">
        <v>117</v>
      </c>
      <c r="R16">
        <f t="shared" si="0"/>
        <v>57469942</v>
      </c>
      <c r="S16" t="str" cm="1">
        <f t="array" ref="S16">IF(C16="",IFERROR(INDEX($C$2:$C$1166,MATCH(MAX(COUNTIF($C$2:$C$1166,$C$2:$C$1166)),COUNTIF($C$2:$C$1166,$C$2:$C$1166),0)),"Unknown"),C16)</f>
        <v>Jean-Pierre Moore</v>
      </c>
      <c r="T16" s="4" t="str" cm="1">
        <f t="array" ref="T16">IF(D16="",IFERROR(INDEX($D$2:$D$1000,MATCH(MAX(COUNTIF($D$2:$D$1166,$D$2:$D$1166)),COUNTIF($D$2:$D$1166,$D$2:$D$1166),0)),"Unknown"),D16)</f>
        <v>Carlos Malik</v>
      </c>
      <c r="U16" t="str">
        <f t="shared" si="1"/>
        <v>CHF</v>
      </c>
      <c r="V16" s="7" t="str">
        <f t="shared" si="1"/>
        <v>BRL</v>
      </c>
      <c r="W16" s="7" t="str">
        <f t="shared" si="2"/>
        <v>India</v>
      </c>
      <c r="X16" s="7" t="str">
        <f t="shared" si="2"/>
        <v>Brazil</v>
      </c>
      <c r="Y16" s="7" t="str" cm="1">
        <f t="array" ref="Y16">IF(H16="",IFERROR(INDEX($H$2:$H$1166,MATCH(MAX(COUNTIF($H$2:$H$1166,$H$2:$H$1166)),COUNTIF($H$2:$H$1166,$H$2:$H$1166),0)),"Unknown"),H16)</f>
        <v>Unverified</v>
      </c>
      <c r="Z16" s="7" t="str">
        <f t="shared" si="3"/>
        <v>Inter-Transaction</v>
      </c>
      <c r="AA16" s="7">
        <f>IF(J16="",AVERAGE($J:$J),J16)</f>
        <v>2698.62</v>
      </c>
      <c r="AB16" s="7">
        <f>IF(N16="",AVERAGE($N:$N),N16)</f>
        <v>38</v>
      </c>
      <c r="AC16" s="7">
        <f t="shared" si="4"/>
        <v>2020</v>
      </c>
      <c r="AD16" s="7">
        <f t="shared" si="5"/>
        <v>1</v>
      </c>
      <c r="AE16" s="7">
        <f>COUNTIF(A:A,A16)</f>
        <v>1</v>
      </c>
      <c r="AF16" s="7" t="str">
        <f t="shared" si="6"/>
        <v>Yes</v>
      </c>
    </row>
    <row r="17" spans="1:32">
      <c r="A17" t="s">
        <v>118</v>
      </c>
      <c r="B17">
        <v>71780854</v>
      </c>
      <c r="C17" t="s">
        <v>119</v>
      </c>
      <c r="D17" t="s">
        <v>120</v>
      </c>
      <c r="E17" t="s">
        <v>20</v>
      </c>
      <c r="F17" t="s">
        <v>121</v>
      </c>
      <c r="G17" t="s">
        <v>80</v>
      </c>
      <c r="H17" t="s">
        <v>103</v>
      </c>
      <c r="I17" t="s">
        <v>3374</v>
      </c>
      <c r="J17">
        <v>7645.99</v>
      </c>
      <c r="K17" t="s">
        <v>27</v>
      </c>
      <c r="L17" t="s">
        <v>75</v>
      </c>
      <c r="M17" s="1">
        <v>44195.011805555558</v>
      </c>
      <c r="N17">
        <v>50</v>
      </c>
      <c r="O17" t="s">
        <v>36</v>
      </c>
      <c r="P17" t="s">
        <v>37</v>
      </c>
      <c r="Q17" t="s">
        <v>122</v>
      </c>
      <c r="R17">
        <f t="shared" si="0"/>
        <v>71780854</v>
      </c>
      <c r="S17" t="str" cm="1">
        <f t="array" ref="S17">IF(C17="",IFERROR(INDEX($C$2:$C$1166,MATCH(MAX(COUNTIF($C$2:$C$1166,$C$2:$C$1166)),COUNTIF($C$2:$C$1166,$C$2:$C$1166),0)),"Unknown"),C17)</f>
        <v xml:space="preserve">  SUSAN MARTINEZ </v>
      </c>
      <c r="T17" s="4" t="str" cm="1">
        <f t="array" ref="T17">IF(D17="",IFERROR(INDEX($D$2:$D$1000,MATCH(MAX(COUNTIF($D$2:$D$1166,$D$2:$D$1166)),COUNTIF($D$2:$D$1166,$D$2:$D$1166),0)),"Unknown"),D17)</f>
        <v>Amir Silva</v>
      </c>
      <c r="U17" t="str">
        <f t="shared" si="1"/>
        <v>INR</v>
      </c>
      <c r="V17" s="7" t="str">
        <f t="shared" si="1"/>
        <v>USD</v>
      </c>
      <c r="W17" s="7" t="str">
        <f t="shared" si="2"/>
        <v>Germany</v>
      </c>
      <c r="X17" s="7" t="str">
        <f t="shared" si="2"/>
        <v>South Africa</v>
      </c>
      <c r="Y17" s="7" t="str" cm="1">
        <f t="array" ref="Y17">IF(H17="",IFERROR(INDEX($H$2:$H$1166,MATCH(MAX(COUNTIF($H$2:$H$1166,$H$2:$H$1166)),COUNTIF($H$2:$H$1166,$H$2:$H$1166),0)),"Unknown"),H17)</f>
        <v>Verified</v>
      </c>
      <c r="Z17" s="7" t="str">
        <f t="shared" si="3"/>
        <v>External</v>
      </c>
      <c r="AA17" s="7">
        <f>IF(J17="",AVERAGE($J:$J),J17)</f>
        <v>7645.99</v>
      </c>
      <c r="AB17" s="7">
        <f>IF(N17="",AVERAGE($N:$N),N17)</f>
        <v>50</v>
      </c>
      <c r="AC17" s="7">
        <f t="shared" si="4"/>
        <v>2020</v>
      </c>
      <c r="AD17" s="7">
        <f t="shared" si="5"/>
        <v>12</v>
      </c>
      <c r="AE17" s="7">
        <f>COUNTIF(A:A,A17)</f>
        <v>1</v>
      </c>
      <c r="AF17" s="7" t="str">
        <f t="shared" si="6"/>
        <v>No</v>
      </c>
    </row>
    <row r="18" spans="1:32">
      <c r="A18" t="s">
        <v>123</v>
      </c>
      <c r="B18">
        <v>52101056</v>
      </c>
      <c r="C18" t="s">
        <v>124</v>
      </c>
      <c r="D18" t="s">
        <v>125</v>
      </c>
      <c r="E18" t="s">
        <v>20</v>
      </c>
      <c r="F18" t="s">
        <v>116</v>
      </c>
      <c r="G18" t="s">
        <v>126</v>
      </c>
      <c r="I18" t="s">
        <v>3374</v>
      </c>
      <c r="J18">
        <v>11058.2</v>
      </c>
      <c r="K18" t="s">
        <v>47</v>
      </c>
      <c r="L18" t="s">
        <v>75</v>
      </c>
      <c r="M18" s="1">
        <v>46306.46597222222</v>
      </c>
      <c r="N18">
        <v>75</v>
      </c>
      <c r="O18" t="s">
        <v>127</v>
      </c>
      <c r="P18" t="s">
        <v>62</v>
      </c>
      <c r="Q18" t="s">
        <v>128</v>
      </c>
      <c r="R18">
        <f t="shared" si="0"/>
        <v>52101056</v>
      </c>
      <c r="S18" t="str" cm="1">
        <f t="array" ref="S18">IF(C18="",IFERROR(INDEX($C$2:$C$1166,MATCH(MAX(COUNTIF($C$2:$C$1166,$C$2:$C$1166)),COUNTIF($C$2:$C$1166,$C$2:$C$1166),0)),"Unknown"),C18)</f>
        <v>Jessica Martin</v>
      </c>
      <c r="T18" s="4" t="str" cm="1">
        <f t="array" ref="T18">IF(D18="",IFERROR(INDEX($D$2:$D$1000,MATCH(MAX(COUNTIF($D$2:$D$1166,$D$2:$D$1166)),COUNTIF($D$2:$D$1166,$D$2:$D$1166),0)),"Unknown"),D18)</f>
        <v>Charles Brown</v>
      </c>
      <c r="U18" t="str">
        <f t="shared" si="1"/>
        <v>CHF</v>
      </c>
      <c r="V18" s="7" t="str">
        <f t="shared" si="1"/>
        <v>inr</v>
      </c>
      <c r="W18" s="7" t="str">
        <f t="shared" si="2"/>
        <v>Canada</v>
      </c>
      <c r="X18" s="7" t="str">
        <f t="shared" si="2"/>
        <v>Australia</v>
      </c>
      <c r="Y18" s="7" t="str" cm="1">
        <f t="array" ref="Y18">IF(H18="",IFERROR(INDEX($H$2:$H$1166,MATCH(MAX(COUNTIF($H$2:$H$1166,$H$2:$H$1166)),COUNTIF($H$2:$H$1166,$H$2:$H$1166),0)),"Unknown"),H18)</f>
        <v>Pending</v>
      </c>
      <c r="Z18" s="7" t="str">
        <f t="shared" si="3"/>
        <v>External</v>
      </c>
      <c r="AA18" s="7">
        <f>IF(J18="",AVERAGE($J:$J),J18)</f>
        <v>11058.2</v>
      </c>
      <c r="AB18" s="7">
        <f>IF(N18="",AVERAGE($N:$N),N18)</f>
        <v>75</v>
      </c>
      <c r="AC18" s="7">
        <f t="shared" si="4"/>
        <v>2026</v>
      </c>
      <c r="AD18" s="7">
        <f t="shared" si="5"/>
        <v>10</v>
      </c>
      <c r="AE18" s="7">
        <f>COUNTIF(A:A,A18)</f>
        <v>1</v>
      </c>
      <c r="AF18" s="7" t="str">
        <f t="shared" si="6"/>
        <v>No</v>
      </c>
    </row>
    <row r="19" spans="1:32">
      <c r="A19" t="s">
        <v>129</v>
      </c>
      <c r="B19">
        <v>99508850</v>
      </c>
      <c r="C19" t="s">
        <v>130</v>
      </c>
      <c r="D19" t="s">
        <v>131</v>
      </c>
      <c r="E19" t="s">
        <v>20</v>
      </c>
      <c r="F19" t="s">
        <v>21</v>
      </c>
      <c r="G19" t="s">
        <v>121</v>
      </c>
      <c r="H19" t="s">
        <v>103</v>
      </c>
      <c r="I19" t="s">
        <v>3372</v>
      </c>
      <c r="J19">
        <v>8223.58</v>
      </c>
      <c r="K19" t="s">
        <v>86</v>
      </c>
      <c r="L19" t="s">
        <v>75</v>
      </c>
      <c r="M19" s="1">
        <v>44971.435416666667</v>
      </c>
      <c r="N19">
        <v>39</v>
      </c>
      <c r="O19" t="s">
        <v>23</v>
      </c>
      <c r="P19" t="s">
        <v>36</v>
      </c>
      <c r="Q19" t="s">
        <v>132</v>
      </c>
      <c r="R19">
        <f t="shared" si="0"/>
        <v>99508850</v>
      </c>
      <c r="S19" t="str" cm="1">
        <f t="array" ref="S19">IF(C19="",IFERROR(INDEX($C$2:$C$1166,MATCH(MAX(COUNTIF($C$2:$C$1166,$C$2:$C$1166)),COUNTIF($C$2:$C$1166,$C$2:$C$1166),0)),"Unknown"),C19)</f>
        <v>Jessica Hernandez</v>
      </c>
      <c r="T19" s="4" t="str" cm="1">
        <f t="array" ref="T19">IF(D19="",IFERROR(INDEX($D$2:$D$1000,MATCH(MAX(COUNTIF($D$2:$D$1166,$D$2:$D$1166)),COUNTIF($D$2:$D$1166,$D$2:$D$1166),0)),"Unknown"),D19)</f>
        <v>Joseph Rostova</v>
      </c>
      <c r="U19" t="str">
        <f t="shared" si="1"/>
        <v>GBP</v>
      </c>
      <c r="V19" s="7" t="str">
        <f t="shared" si="1"/>
        <v>INR</v>
      </c>
      <c r="W19" s="7" t="str">
        <f t="shared" si="2"/>
        <v>France</v>
      </c>
      <c r="X19" s="7" t="str">
        <f t="shared" si="2"/>
        <v>Germany</v>
      </c>
      <c r="Y19" s="7" t="str" cm="1">
        <f t="array" ref="Y19">IF(H19="",IFERROR(INDEX($H$2:$H$1166,MATCH(MAX(COUNTIF($H$2:$H$1166,$H$2:$H$1166)),COUNTIF($H$2:$H$1166,$H$2:$H$1166),0)),"Unknown"),H19)</f>
        <v>Verified</v>
      </c>
      <c r="Z19" s="7" t="str">
        <f t="shared" si="3"/>
        <v>Outer-Transaction</v>
      </c>
      <c r="AA19" s="7">
        <f>IF(J19="",AVERAGE($J:$J),J19)</f>
        <v>8223.58</v>
      </c>
      <c r="AB19" s="7">
        <f>IF(N19="",AVERAGE($N:$N),N19)</f>
        <v>39</v>
      </c>
      <c r="AC19" s="7">
        <f t="shared" si="4"/>
        <v>2023</v>
      </c>
      <c r="AD19" s="7">
        <f t="shared" si="5"/>
        <v>2</v>
      </c>
      <c r="AE19" s="7">
        <f>COUNTIF(A:A,A19)</f>
        <v>1</v>
      </c>
      <c r="AF19" s="7" t="str">
        <f t="shared" si="6"/>
        <v>No</v>
      </c>
    </row>
    <row r="20" spans="1:32">
      <c r="A20" t="s">
        <v>133</v>
      </c>
      <c r="B20">
        <v>32775593</v>
      </c>
      <c r="C20" t="s">
        <v>134</v>
      </c>
      <c r="D20" t="s">
        <v>135</v>
      </c>
      <c r="E20" t="s">
        <v>33</v>
      </c>
      <c r="F20" t="s">
        <v>116</v>
      </c>
      <c r="G20" t="s">
        <v>34</v>
      </c>
      <c r="H20" t="s">
        <v>74</v>
      </c>
      <c r="I20" t="s">
        <v>3377</v>
      </c>
      <c r="J20">
        <v>702.74</v>
      </c>
      <c r="K20" t="s">
        <v>39</v>
      </c>
      <c r="L20" t="s">
        <v>28</v>
      </c>
      <c r="M20" s="1">
        <v>44410.332638888889</v>
      </c>
      <c r="N20">
        <v>66</v>
      </c>
      <c r="O20" t="s">
        <v>55</v>
      </c>
      <c r="P20" t="s">
        <v>23</v>
      </c>
      <c r="Q20" t="s">
        <v>136</v>
      </c>
      <c r="R20">
        <f t="shared" si="0"/>
        <v>32775593</v>
      </c>
      <c r="S20" t="str" cm="1">
        <f t="array" ref="S20">IF(C20="",IFERROR(INDEX($C$2:$C$1166,MATCH(MAX(COUNTIF($C$2:$C$1166,$C$2:$C$1166)),COUNTIF($C$2:$C$1166,$C$2:$C$1166),0)),"Unknown"),C20)</f>
        <v>Marta Williams</v>
      </c>
      <c r="T20" s="4" t="str" cm="1">
        <f t="array" ref="T20">IF(D20="",IFERROR(INDEX($D$2:$D$1000,MATCH(MAX(COUNTIF($D$2:$D$1166,$D$2:$D$1166)),COUNTIF($D$2:$D$1166,$D$2:$D$1166),0)),"Unknown"),D20)</f>
        <v>Barbara Taylor</v>
      </c>
      <c r="U20" t="str">
        <f t="shared" si="1"/>
        <v>CHF</v>
      </c>
      <c r="V20" s="7" t="str">
        <f t="shared" si="1"/>
        <v>CAD</v>
      </c>
      <c r="W20" s="7" t="str">
        <f t="shared" si="2"/>
        <v>UK</v>
      </c>
      <c r="X20" s="7" t="str">
        <f t="shared" si="2"/>
        <v>France</v>
      </c>
      <c r="Y20" s="7" t="str" cm="1">
        <f t="array" ref="Y20">IF(H20="",IFERROR(INDEX($H$2:$H$1166,MATCH(MAX(COUNTIF($H$2:$H$1166,$H$2:$H$1166)),COUNTIF($H$2:$H$1166,$H$2:$H$1166),0)),"Unknown"),H20)</f>
        <v>Non-KYC</v>
      </c>
      <c r="Z20" s="7" t="str">
        <f t="shared" si="3"/>
        <v>Inter-Transaction</v>
      </c>
      <c r="AA20" s="7">
        <f>IF(J20="",AVERAGE($J:$J),J20)</f>
        <v>702.74</v>
      </c>
      <c r="AB20" s="7">
        <f>IF(N20="",AVERAGE($N:$N),N20)</f>
        <v>66</v>
      </c>
      <c r="AC20" s="7">
        <f t="shared" si="4"/>
        <v>2021</v>
      </c>
      <c r="AD20" s="7">
        <f t="shared" si="5"/>
        <v>8</v>
      </c>
      <c r="AE20" s="7">
        <f>COUNTIF(A:A,A20)</f>
        <v>1</v>
      </c>
      <c r="AF20" s="7" t="str">
        <f t="shared" si="6"/>
        <v>Yes</v>
      </c>
    </row>
    <row r="21" spans="1:32">
      <c r="A21" t="s">
        <v>137</v>
      </c>
      <c r="B21">
        <v>10744212</v>
      </c>
      <c r="C21" t="s">
        <v>138</v>
      </c>
      <c r="D21" t="s">
        <v>139</v>
      </c>
      <c r="E21" t="s">
        <v>20</v>
      </c>
      <c r="F21" t="s">
        <v>92</v>
      </c>
      <c r="G21" t="s">
        <v>121</v>
      </c>
      <c r="H21" t="s">
        <v>25</v>
      </c>
      <c r="I21" t="s">
        <v>3372</v>
      </c>
      <c r="J21">
        <v>2008.75</v>
      </c>
      <c r="K21" t="s">
        <v>39</v>
      </c>
      <c r="L21" t="s">
        <v>75</v>
      </c>
      <c r="M21" s="1">
        <v>44376.265277777777</v>
      </c>
      <c r="N21">
        <v>76</v>
      </c>
      <c r="O21" t="s">
        <v>68</v>
      </c>
      <c r="P21" t="s">
        <v>23</v>
      </c>
      <c r="Q21" t="s">
        <v>140</v>
      </c>
      <c r="R21">
        <f t="shared" si="0"/>
        <v>10744212</v>
      </c>
      <c r="S21" t="str" cm="1">
        <f t="array" ref="S21">IF(C21="",IFERROR(INDEX($C$2:$C$1166,MATCH(MAX(COUNTIF($C$2:$C$1166,$C$2:$C$1166)),COUNTIF($C$2:$C$1166,$C$2:$C$1166),0)),"Unknown"),C21)</f>
        <v xml:space="preserve">  CARLOS DUBOIS </v>
      </c>
      <c r="T21" s="4" t="str" cm="1">
        <f t="array" ref="T21">IF(D21="",IFERROR(INDEX($D$2:$D$1000,MATCH(MAX(COUNTIF($D$2:$D$1166,$D$2:$D$1166)),COUNTIF($D$2:$D$1166,$D$2:$D$1166),0)),"Unknown"),D21)</f>
        <v>Zayn Dubois</v>
      </c>
      <c r="U21" t="str">
        <f t="shared" si="1"/>
        <v>AUD</v>
      </c>
      <c r="V21" s="7" t="str">
        <f t="shared" si="1"/>
        <v>INR</v>
      </c>
      <c r="W21" s="7" t="str">
        <f t="shared" si="2"/>
        <v>UAE</v>
      </c>
      <c r="X21" s="7" t="str">
        <f t="shared" si="2"/>
        <v>France</v>
      </c>
      <c r="Y21" s="7" t="str" cm="1">
        <f t="array" ref="Y21">IF(H21="",IFERROR(INDEX($H$2:$H$1166,MATCH(MAX(COUNTIF($H$2:$H$1166,$H$2:$H$1166)),COUNTIF($H$2:$H$1166,$H$2:$H$1166),0)),"Unknown"),H21)</f>
        <v>KYC</v>
      </c>
      <c r="Z21" s="7" t="str">
        <f t="shared" si="3"/>
        <v>Outer-Transaction</v>
      </c>
      <c r="AA21" s="7">
        <f>IF(J21="",AVERAGE($J:$J),J21)</f>
        <v>2008.75</v>
      </c>
      <c r="AB21" s="7">
        <f>IF(N21="",AVERAGE($N:$N),N21)</f>
        <v>76</v>
      </c>
      <c r="AC21" s="7">
        <f t="shared" si="4"/>
        <v>2021</v>
      </c>
      <c r="AD21" s="7">
        <f t="shared" si="5"/>
        <v>6</v>
      </c>
      <c r="AE21" s="7">
        <f>COUNTIF(A:A,A21)</f>
        <v>1</v>
      </c>
      <c r="AF21" s="7" t="str">
        <f t="shared" si="6"/>
        <v>No</v>
      </c>
    </row>
    <row r="22" spans="1:32">
      <c r="A22" t="s">
        <v>141</v>
      </c>
      <c r="B22">
        <v>73709724</v>
      </c>
      <c r="C22" t="s">
        <v>142</v>
      </c>
      <c r="D22" t="s">
        <v>143</v>
      </c>
      <c r="E22" t="s">
        <v>20</v>
      </c>
      <c r="F22" t="s">
        <v>53</v>
      </c>
      <c r="G22" t="s">
        <v>98</v>
      </c>
      <c r="H22" t="s">
        <v>103</v>
      </c>
      <c r="I22" t="s">
        <v>3378</v>
      </c>
      <c r="J22">
        <v>13396.47</v>
      </c>
      <c r="K22" t="s">
        <v>86</v>
      </c>
      <c r="L22" t="s">
        <v>48</v>
      </c>
      <c r="M22" s="1">
        <v>45560.856249999997</v>
      </c>
      <c r="N22">
        <v>59</v>
      </c>
      <c r="O22" t="s">
        <v>23</v>
      </c>
      <c r="P22" t="s">
        <v>37</v>
      </c>
      <c r="Q22" t="s">
        <v>144</v>
      </c>
      <c r="R22">
        <f t="shared" si="0"/>
        <v>73709724</v>
      </c>
      <c r="S22" t="str" cm="1">
        <f t="array" ref="S22">IF(C22="",IFERROR(INDEX($C$2:$C$1166,MATCH(MAX(COUNTIF($C$2:$C$1166,$C$2:$C$1166)),COUNTIF($C$2:$C$1166,$C$2:$C$1166),0)),"Unknown"),C22)</f>
        <v>Thomas Rodriguez</v>
      </c>
      <c r="T22" s="4" t="str" cm="1">
        <f t="array" ref="T22">IF(D22="",IFERROR(INDEX($D$2:$D$1000,MATCH(MAX(COUNTIF($D$2:$D$1166,$D$2:$D$1166)),COUNTIF($D$2:$D$1166,$D$2:$D$1166),0)),"Unknown"),D22)</f>
        <v>Jean-Pierre Davis</v>
      </c>
      <c r="U22" t="str">
        <f t="shared" si="1"/>
        <v>AED</v>
      </c>
      <c r="V22" s="7" t="str">
        <f t="shared" si="1"/>
        <v>JPY</v>
      </c>
      <c r="W22" s="7" t="str">
        <f t="shared" si="2"/>
        <v>France</v>
      </c>
      <c r="X22" s="7" t="str">
        <f t="shared" si="2"/>
        <v>South Africa</v>
      </c>
      <c r="Y22" s="7" t="str" cm="1">
        <f t="array" ref="Y22">IF(H22="",IFERROR(INDEX($H$2:$H$1166,MATCH(MAX(COUNTIF($H$2:$H$1166,$H$2:$H$1166)),COUNTIF($H$2:$H$1166,$H$2:$H$1166),0)),"Unknown"),H22)</f>
        <v>Verified</v>
      </c>
      <c r="Z22" s="7" t="str">
        <f t="shared" si="3"/>
        <v>Inter-Transaction</v>
      </c>
      <c r="AA22" s="7">
        <f>IF(J22="",AVERAGE($J:$J),J22)</f>
        <v>13396.47</v>
      </c>
      <c r="AB22" s="7">
        <f>IF(N22="",AVERAGE($N:$N),N22)</f>
        <v>59</v>
      </c>
      <c r="AC22" s="7">
        <f t="shared" si="4"/>
        <v>2024</v>
      </c>
      <c r="AD22" s="7">
        <f t="shared" si="5"/>
        <v>9</v>
      </c>
      <c r="AE22" s="7">
        <f>COUNTIF(A:A,A22)</f>
        <v>1</v>
      </c>
      <c r="AF22" s="7" t="str">
        <f t="shared" si="6"/>
        <v>No</v>
      </c>
    </row>
    <row r="23" spans="1:32">
      <c r="A23" t="s">
        <v>145</v>
      </c>
      <c r="B23">
        <v>37760841</v>
      </c>
      <c r="D23" t="s">
        <v>147</v>
      </c>
      <c r="E23" t="s">
        <v>3375</v>
      </c>
      <c r="F23" t="s">
        <v>22</v>
      </c>
      <c r="G23" t="s">
        <v>80</v>
      </c>
      <c r="H23" t="s">
        <v>56</v>
      </c>
      <c r="I23" t="s">
        <v>3372</v>
      </c>
      <c r="J23">
        <v>8077.93</v>
      </c>
      <c r="K23" t="s">
        <v>27</v>
      </c>
      <c r="L23" t="s">
        <v>48</v>
      </c>
      <c r="M23" s="1">
        <v>46203.431250000001</v>
      </c>
      <c r="N23">
        <v>77</v>
      </c>
      <c r="O23" t="s">
        <v>68</v>
      </c>
      <c r="P23" t="s">
        <v>68</v>
      </c>
      <c r="Q23" t="s">
        <v>148</v>
      </c>
      <c r="R23">
        <f t="shared" si="0"/>
        <v>37760841</v>
      </c>
      <c r="S23" t="str" cm="1">
        <f t="array" ref="S23">IF(C23="",IFERROR(INDEX($C$2:$C$1166,MATCH(MAX(COUNTIF($C$2:$C$1166,$C$2:$C$1166)),COUNTIF($C$2:$C$1166,$C$2:$C$1166),0)),"Unknown"),C23)</f>
        <v>Fatima Brown</v>
      </c>
      <c r="T23" s="4" t="str" cm="1">
        <f t="array" ref="T23">IF(D23="",IFERROR(INDEX($D$2:$D$1000,MATCH(MAX(COUNTIF($D$2:$D$1166,$D$2:$D$1166)),COUNTIF($D$2:$D$1166,$D$2:$D$1166),0)),"Unknown"),D23)</f>
        <v>Joseph Volkov</v>
      </c>
      <c r="U23" t="str">
        <f t="shared" si="1"/>
        <v>BRL</v>
      </c>
      <c r="V23" s="7" t="str">
        <f t="shared" si="1"/>
        <v>USD</v>
      </c>
      <c r="W23" s="7" t="str">
        <f t="shared" si="2"/>
        <v>UAE</v>
      </c>
      <c r="X23" s="7" t="str">
        <f t="shared" si="2"/>
        <v>UAE</v>
      </c>
      <c r="Y23" s="7" t="str" cm="1">
        <f t="array" ref="Y23">IF(H23="",IFERROR(INDEX($H$2:$H$1166,MATCH(MAX(COUNTIF($H$2:$H$1166,$H$2:$H$1166)),COUNTIF($H$2:$H$1166,$H$2:$H$1166),0)),"Unknown"),H23)</f>
        <v>Unverified</v>
      </c>
      <c r="Z23" s="7" t="str">
        <f t="shared" si="3"/>
        <v>Outer-Transaction</v>
      </c>
      <c r="AA23" s="7">
        <f>IF(J23="",AVERAGE($J:$J),J23)</f>
        <v>8077.93</v>
      </c>
      <c r="AB23" s="7">
        <f>IF(N23="",AVERAGE($N:$N),N23)</f>
        <v>77</v>
      </c>
      <c r="AC23" s="7">
        <f t="shared" si="4"/>
        <v>2026</v>
      </c>
      <c r="AD23" s="7">
        <f t="shared" si="5"/>
        <v>6</v>
      </c>
      <c r="AE23" s="7">
        <f>COUNTIF(A:A,A23)</f>
        <v>1</v>
      </c>
      <c r="AF23" s="7" t="str">
        <f t="shared" si="6"/>
        <v>No</v>
      </c>
    </row>
    <row r="24" spans="1:32">
      <c r="A24" t="s">
        <v>149</v>
      </c>
      <c r="B24">
        <v>72732043</v>
      </c>
      <c r="C24" t="s">
        <v>150</v>
      </c>
      <c r="D24" t="s">
        <v>151</v>
      </c>
      <c r="E24" t="s">
        <v>20</v>
      </c>
      <c r="F24" t="s">
        <v>92</v>
      </c>
      <c r="G24" t="s">
        <v>116</v>
      </c>
      <c r="H24" t="s">
        <v>25</v>
      </c>
      <c r="I24" t="s">
        <v>3378</v>
      </c>
      <c r="J24">
        <v>5692.77</v>
      </c>
      <c r="K24" t="s">
        <v>47</v>
      </c>
      <c r="L24" t="s">
        <v>81</v>
      </c>
      <c r="M24" s="1">
        <v>43885.398611111108</v>
      </c>
      <c r="N24">
        <v>32</v>
      </c>
      <c r="O24" t="s">
        <v>93</v>
      </c>
      <c r="P24" t="s">
        <v>36</v>
      </c>
      <c r="Q24" t="s">
        <v>152</v>
      </c>
      <c r="R24">
        <f t="shared" si="0"/>
        <v>72732043</v>
      </c>
      <c r="S24" t="str" cm="1">
        <f t="array" ref="S24">IF(C24="",IFERROR(INDEX($C$2:$C$1166,MATCH(MAX(COUNTIF($C$2:$C$1166,$C$2:$C$1166)),COUNTIF($C$2:$C$1166,$C$2:$C$1166),0)),"Unknown"),C24)</f>
        <v>Priya Jones</v>
      </c>
      <c r="T24" s="4" t="str" cm="1">
        <f t="array" ref="T24">IF(D24="",IFERROR(INDEX($D$2:$D$1000,MATCH(MAX(COUNTIF($D$2:$D$1166,$D$2:$D$1166)),COUNTIF($D$2:$D$1166,$D$2:$D$1166),0)),"Unknown"),D24)</f>
        <v>Nancy Moore</v>
      </c>
      <c r="U24" t="str">
        <f t="shared" si="1"/>
        <v>AUD</v>
      </c>
      <c r="V24" s="7" t="str">
        <f t="shared" si="1"/>
        <v>CHF</v>
      </c>
      <c r="W24" s="7" t="str">
        <f t="shared" si="2"/>
        <v>USA</v>
      </c>
      <c r="X24" s="7" t="str">
        <f t="shared" si="2"/>
        <v>Germany</v>
      </c>
      <c r="Y24" s="7" t="str" cm="1">
        <f t="array" ref="Y24">IF(H24="",IFERROR(INDEX($H$2:$H$1166,MATCH(MAX(COUNTIF($H$2:$H$1166,$H$2:$H$1166)),COUNTIF($H$2:$H$1166,$H$2:$H$1166),0)),"Unknown"),H24)</f>
        <v>KYC</v>
      </c>
      <c r="Z24" s="7" t="str">
        <f t="shared" si="3"/>
        <v>Inter-Transaction</v>
      </c>
      <c r="AA24" s="7">
        <f>IF(J24="",AVERAGE($J:$J),J24)</f>
        <v>5692.77</v>
      </c>
      <c r="AB24" s="7">
        <f>IF(N24="",AVERAGE($N:$N),N24)</f>
        <v>32</v>
      </c>
      <c r="AC24" s="7">
        <f t="shared" si="4"/>
        <v>2020</v>
      </c>
      <c r="AD24" s="7">
        <f t="shared" si="5"/>
        <v>2</v>
      </c>
      <c r="AE24" s="7">
        <f>COUNTIF(A:A,A24)</f>
        <v>1</v>
      </c>
      <c r="AF24" s="7" t="str">
        <f t="shared" si="6"/>
        <v>No</v>
      </c>
    </row>
    <row r="25" spans="1:32">
      <c r="A25" t="s">
        <v>153</v>
      </c>
      <c r="B25">
        <v>82399599</v>
      </c>
      <c r="C25" t="s">
        <v>154</v>
      </c>
      <c r="D25" t="s">
        <v>155</v>
      </c>
      <c r="E25" t="s">
        <v>20</v>
      </c>
      <c r="F25" t="s">
        <v>45</v>
      </c>
      <c r="G25" t="s">
        <v>80</v>
      </c>
      <c r="H25" t="s">
        <v>74</v>
      </c>
      <c r="I25" t="s">
        <v>3372</v>
      </c>
      <c r="J25">
        <v>10045.19</v>
      </c>
      <c r="K25" t="s">
        <v>27</v>
      </c>
      <c r="L25" t="s">
        <v>48</v>
      </c>
      <c r="M25" s="1">
        <v>44608.811111111114</v>
      </c>
      <c r="N25">
        <v>79</v>
      </c>
      <c r="O25" t="s">
        <v>23</v>
      </c>
      <c r="P25" t="s">
        <v>23</v>
      </c>
      <c r="Q25" t="s">
        <v>156</v>
      </c>
      <c r="R25">
        <f t="shared" si="0"/>
        <v>82399599</v>
      </c>
      <c r="S25" t="str" cm="1">
        <f t="array" ref="S25">IF(C25="",IFERROR(INDEX($C$2:$C$1166,MATCH(MAX(COUNTIF($C$2:$C$1166,$C$2:$C$1166)),COUNTIF($C$2:$C$1166,$C$2:$C$1166),0)),"Unknown"),C25)</f>
        <v xml:space="preserve">  MARY LOPEZ </v>
      </c>
      <c r="T25" s="4" t="str" cm="1">
        <f t="array" ref="T25">IF(D25="",IFERROR(INDEX($D$2:$D$1000,MATCH(MAX(COUNTIF($D$2:$D$1166,$D$2:$D$1166)),COUNTIF($D$2:$D$1166,$D$2:$D$1166),0)),"Unknown"),D25)</f>
        <v>Elizabeth Nair</v>
      </c>
      <c r="U25" t="str">
        <f t="shared" si="1"/>
        <v>ZAR</v>
      </c>
      <c r="V25" s="7" t="str">
        <f t="shared" si="1"/>
        <v>USD</v>
      </c>
      <c r="W25" s="7" t="str">
        <f t="shared" si="2"/>
        <v>France</v>
      </c>
      <c r="X25" s="7" t="str">
        <f t="shared" si="2"/>
        <v>France</v>
      </c>
      <c r="Y25" s="7" t="str" cm="1">
        <f t="array" ref="Y25">IF(H25="",IFERROR(INDEX($H$2:$H$1166,MATCH(MAX(COUNTIF($H$2:$H$1166,$H$2:$H$1166)),COUNTIF($H$2:$H$1166,$H$2:$H$1166),0)),"Unknown"),H25)</f>
        <v>Non-KYC</v>
      </c>
      <c r="Z25" s="7" t="str">
        <f t="shared" si="3"/>
        <v>Outer-Transaction</v>
      </c>
      <c r="AA25" s="7">
        <f>IF(J25="",AVERAGE($J:$J),J25)</f>
        <v>10045.19</v>
      </c>
      <c r="AB25" s="7">
        <f>IF(N25="",AVERAGE($N:$N),N25)</f>
        <v>79</v>
      </c>
      <c r="AC25" s="7">
        <f t="shared" si="4"/>
        <v>2022</v>
      </c>
      <c r="AD25" s="7">
        <f t="shared" si="5"/>
        <v>2</v>
      </c>
      <c r="AE25" s="7">
        <f>COUNTIF(A:A,A25)</f>
        <v>1</v>
      </c>
      <c r="AF25" s="7" t="str">
        <f t="shared" si="6"/>
        <v>No</v>
      </c>
    </row>
    <row r="26" spans="1:32">
      <c r="A26" t="s">
        <v>157</v>
      </c>
      <c r="B26">
        <v>51746937</v>
      </c>
      <c r="C26" t="s">
        <v>158</v>
      </c>
      <c r="D26" t="s">
        <v>159</v>
      </c>
      <c r="E26" t="s">
        <v>20</v>
      </c>
      <c r="F26" t="s">
        <v>45</v>
      </c>
      <c r="G26" t="s">
        <v>160</v>
      </c>
      <c r="H26" t="s">
        <v>25</v>
      </c>
      <c r="I26" t="s">
        <v>3374</v>
      </c>
      <c r="J26">
        <v>11589.49</v>
      </c>
      <c r="K26" t="s">
        <v>27</v>
      </c>
      <c r="L26" t="s">
        <v>28</v>
      </c>
      <c r="M26" s="1">
        <v>43872.393750000003</v>
      </c>
      <c r="N26">
        <v>79</v>
      </c>
      <c r="O26" t="s">
        <v>127</v>
      </c>
      <c r="P26" t="s">
        <v>36</v>
      </c>
      <c r="Q26" t="s">
        <v>161</v>
      </c>
      <c r="R26">
        <f t="shared" si="0"/>
        <v>51746937</v>
      </c>
      <c r="S26" t="str" cm="1">
        <f t="array" ref="S26">IF(C26="",IFERROR(INDEX($C$2:$C$1166,MATCH(MAX(COUNTIF($C$2:$C$1166,$C$2:$C$1166)),COUNTIF($C$2:$C$1166,$C$2:$C$1166),0)),"Unknown"),C26)</f>
        <v>Patricia Jackson</v>
      </c>
      <c r="T26" s="4" t="str" cm="1">
        <f t="array" ref="T26">IF(D26="",IFERROR(INDEX($D$2:$D$1000,MATCH(MAX(COUNTIF($D$2:$D$1166,$D$2:$D$1166)),COUNTIF($D$2:$D$1166,$D$2:$D$1166),0)),"Unknown"),D26)</f>
        <v>John Souza</v>
      </c>
      <c r="U26" t="str">
        <f t="shared" si="1"/>
        <v>ZAR</v>
      </c>
      <c r="V26" s="7" t="str">
        <f t="shared" si="1"/>
        <v>aud</v>
      </c>
      <c r="W26" s="7" t="str">
        <f t="shared" si="2"/>
        <v>Canada</v>
      </c>
      <c r="X26" s="7" t="str">
        <f t="shared" si="2"/>
        <v>Germany</v>
      </c>
      <c r="Y26" s="7" t="str" cm="1">
        <f t="array" ref="Y26">IF(H26="",IFERROR(INDEX($H$2:$H$1166,MATCH(MAX(COUNTIF($H$2:$H$1166,$H$2:$H$1166)),COUNTIF($H$2:$H$1166,$H$2:$H$1166),0)),"Unknown"),H26)</f>
        <v>KYC</v>
      </c>
      <c r="Z26" s="7" t="str">
        <f t="shared" si="3"/>
        <v>External</v>
      </c>
      <c r="AA26" s="7">
        <f>IF(J26="",AVERAGE($J:$J),J26)</f>
        <v>11589.49</v>
      </c>
      <c r="AB26" s="7">
        <f>IF(N26="",AVERAGE($N:$N),N26)</f>
        <v>79</v>
      </c>
      <c r="AC26" s="7">
        <f t="shared" si="4"/>
        <v>2020</v>
      </c>
      <c r="AD26" s="7">
        <f t="shared" si="5"/>
        <v>2</v>
      </c>
      <c r="AE26" s="7">
        <f>COUNTIF(A:A,A26)</f>
        <v>1</v>
      </c>
      <c r="AF26" s="7" t="str">
        <f t="shared" si="6"/>
        <v>No</v>
      </c>
    </row>
    <row r="27" spans="1:32">
      <c r="A27" t="s">
        <v>162</v>
      </c>
      <c r="B27">
        <v>24165187</v>
      </c>
      <c r="C27" t="s">
        <v>163</v>
      </c>
      <c r="D27" t="s">
        <v>164</v>
      </c>
      <c r="E27" t="s">
        <v>20</v>
      </c>
      <c r="F27" t="s">
        <v>22</v>
      </c>
      <c r="G27" t="s">
        <v>21</v>
      </c>
      <c r="H27" t="s">
        <v>38</v>
      </c>
      <c r="I27" t="s">
        <v>3372</v>
      </c>
      <c r="J27">
        <v>6978.46</v>
      </c>
      <c r="K27" t="s">
        <v>27</v>
      </c>
      <c r="L27" t="s">
        <v>75</v>
      </c>
      <c r="M27" s="1">
        <v>45151.717361111114</v>
      </c>
      <c r="N27">
        <v>64</v>
      </c>
      <c r="O27" t="s">
        <v>37</v>
      </c>
      <c r="P27" t="s">
        <v>55</v>
      </c>
      <c r="Q27" t="s">
        <v>165</v>
      </c>
      <c r="R27">
        <f t="shared" si="0"/>
        <v>24165187</v>
      </c>
      <c r="S27" t="str" cm="1">
        <f t="array" ref="S27">IF(C27="",IFERROR(INDEX($C$2:$C$1166,MATCH(MAX(COUNTIF($C$2:$C$1166,$C$2:$C$1166)),COUNTIF($C$2:$C$1166,$C$2:$C$1166),0)),"Unknown"),C27)</f>
        <v>Jessica Lopez</v>
      </c>
      <c r="T27" s="4" t="str" cm="1">
        <f t="array" ref="T27">IF(D27="",IFERROR(INDEX($D$2:$D$1000,MATCH(MAX(COUNTIF($D$2:$D$1166,$D$2:$D$1166)),COUNTIF($D$2:$D$1166,$D$2:$D$1166),0)),"Unknown"),D27)</f>
        <v>Sanjay Volkov</v>
      </c>
      <c r="U27" t="str">
        <f t="shared" si="1"/>
        <v>BRL</v>
      </c>
      <c r="V27" s="7" t="str">
        <f t="shared" si="1"/>
        <v>GBP</v>
      </c>
      <c r="W27" s="7" t="str">
        <f t="shared" si="2"/>
        <v>South Africa</v>
      </c>
      <c r="X27" s="7" t="str">
        <f t="shared" si="2"/>
        <v>UK</v>
      </c>
      <c r="Y27" s="7" t="str" cm="1">
        <f t="array" ref="Y27">IF(H27="",IFERROR(INDEX($H$2:$H$1166,MATCH(MAX(COUNTIF($H$2:$H$1166,$H$2:$H$1166)),COUNTIF($H$2:$H$1166,$H$2:$H$1166),0)),"Unknown"),H27)</f>
        <v>Pending</v>
      </c>
      <c r="Z27" s="7" t="str">
        <f t="shared" si="3"/>
        <v>Outer-Transaction</v>
      </c>
      <c r="AA27" s="7">
        <f>IF(J27="",AVERAGE($J:$J),J27)</f>
        <v>6978.46</v>
      </c>
      <c r="AB27" s="7">
        <f>IF(N27="",AVERAGE($N:$N),N27)</f>
        <v>64</v>
      </c>
      <c r="AC27" s="7">
        <f t="shared" si="4"/>
        <v>2023</v>
      </c>
      <c r="AD27" s="7">
        <f t="shared" si="5"/>
        <v>8</v>
      </c>
      <c r="AE27" s="7">
        <f>COUNTIF(A:A,A27)</f>
        <v>1</v>
      </c>
      <c r="AF27" s="7" t="str">
        <f t="shared" si="6"/>
        <v>No</v>
      </c>
    </row>
    <row r="28" spans="1:32">
      <c r="A28" t="s">
        <v>166</v>
      </c>
      <c r="B28">
        <v>55150390</v>
      </c>
      <c r="C28" t="s">
        <v>167</v>
      </c>
      <c r="D28" t="s">
        <v>168</v>
      </c>
      <c r="E28" t="s">
        <v>20</v>
      </c>
      <c r="F28" t="s">
        <v>121</v>
      </c>
      <c r="G28" t="s">
        <v>34</v>
      </c>
      <c r="H28" t="s">
        <v>25</v>
      </c>
      <c r="I28" t="s">
        <v>3376</v>
      </c>
      <c r="J28">
        <v>14221.46</v>
      </c>
      <c r="K28" t="s">
        <v>86</v>
      </c>
      <c r="L28" t="s">
        <v>48</v>
      </c>
      <c r="M28" s="1">
        <v>44061.727083333331</v>
      </c>
      <c r="N28">
        <v>79</v>
      </c>
      <c r="O28" t="s">
        <v>54</v>
      </c>
      <c r="P28" t="s">
        <v>36</v>
      </c>
      <c r="Q28" t="s">
        <v>169</v>
      </c>
      <c r="R28">
        <f t="shared" si="0"/>
        <v>55150390</v>
      </c>
      <c r="S28" t="str" cm="1">
        <f t="array" ref="S28">IF(C28="",IFERROR(INDEX($C$2:$C$1166,MATCH(MAX(COUNTIF($C$2:$C$1166,$C$2:$C$1166)),COUNTIF($C$2:$C$1166,$C$2:$C$1166),0)),"Unknown"),C28)</f>
        <v>John Thomas</v>
      </c>
      <c r="T28" s="4" t="str" cm="1">
        <f t="array" ref="T28">IF(D28="",IFERROR(INDEX($D$2:$D$1000,MATCH(MAX(COUNTIF($D$2:$D$1166,$D$2:$D$1166)),COUNTIF($D$2:$D$1166,$D$2:$D$1166),0)),"Unknown"),D28)</f>
        <v>Zayn Hernandez</v>
      </c>
      <c r="U28" t="str">
        <f t="shared" si="1"/>
        <v>INR</v>
      </c>
      <c r="V28" s="7" t="str">
        <f t="shared" si="1"/>
        <v>CAD</v>
      </c>
      <c r="W28" s="7" t="str">
        <f t="shared" si="2"/>
        <v>India</v>
      </c>
      <c r="X28" s="7" t="str">
        <f t="shared" si="2"/>
        <v>Germany</v>
      </c>
      <c r="Y28" s="7" t="str" cm="1">
        <f t="array" ref="Y28">IF(H28="",IFERROR(INDEX($H$2:$H$1166,MATCH(MAX(COUNTIF($H$2:$H$1166,$H$2:$H$1166)),COUNTIF($H$2:$H$1166,$H$2:$H$1166),0)),"Unknown"),H28)</f>
        <v>KYC</v>
      </c>
      <c r="Z28" s="7" t="str">
        <f t="shared" si="3"/>
        <v>Internal</v>
      </c>
      <c r="AA28" s="7">
        <f>IF(J28="",AVERAGE($J:$J),J28)</f>
        <v>14221.46</v>
      </c>
      <c r="AB28" s="7">
        <f>IF(N28="",AVERAGE($N:$N),N28)</f>
        <v>79</v>
      </c>
      <c r="AC28" s="7">
        <f t="shared" si="4"/>
        <v>2020</v>
      </c>
      <c r="AD28" s="7">
        <f t="shared" si="5"/>
        <v>8</v>
      </c>
      <c r="AE28" s="7">
        <f>COUNTIF(A:A,A28)</f>
        <v>1</v>
      </c>
      <c r="AF28" s="7" t="str">
        <f t="shared" si="6"/>
        <v>No</v>
      </c>
    </row>
    <row r="29" spans="1:32">
      <c r="A29" t="s">
        <v>170</v>
      </c>
      <c r="B29">
        <v>39742165</v>
      </c>
      <c r="C29" t="s">
        <v>131</v>
      </c>
      <c r="D29" t="s">
        <v>171</v>
      </c>
      <c r="E29" t="s">
        <v>33</v>
      </c>
      <c r="F29" t="s">
        <v>34</v>
      </c>
      <c r="G29" t="s">
        <v>44</v>
      </c>
      <c r="H29" t="s">
        <v>56</v>
      </c>
      <c r="I29" t="s">
        <v>3378</v>
      </c>
      <c r="J29">
        <v>4606.28</v>
      </c>
      <c r="K29" t="s">
        <v>47</v>
      </c>
      <c r="L29" t="s">
        <v>28</v>
      </c>
      <c r="M29" s="1">
        <v>44283.963194444441</v>
      </c>
      <c r="N29">
        <v>68</v>
      </c>
      <c r="O29" t="s">
        <v>36</v>
      </c>
      <c r="P29" t="s">
        <v>127</v>
      </c>
      <c r="Q29" t="s">
        <v>172</v>
      </c>
      <c r="R29">
        <f t="shared" si="0"/>
        <v>39742165</v>
      </c>
      <c r="S29" t="str" cm="1">
        <f t="array" ref="S29">IF(C29="",IFERROR(INDEX($C$2:$C$1166,MATCH(MAX(COUNTIF($C$2:$C$1166,$C$2:$C$1166)),COUNTIF($C$2:$C$1166,$C$2:$C$1166),0)),"Unknown"),C29)</f>
        <v>Joseph Rostova</v>
      </c>
      <c r="T29" s="4" t="str" cm="1">
        <f t="array" ref="T29">IF(D29="",IFERROR(INDEX($D$2:$D$1000,MATCH(MAX(COUNTIF($D$2:$D$1166,$D$2:$D$1166)),COUNTIF($D$2:$D$1166,$D$2:$D$1166),0)),"Unknown"),D29)</f>
        <v>Elizabeth Martinez</v>
      </c>
      <c r="U29" t="str">
        <f t="shared" si="1"/>
        <v>CAD</v>
      </c>
      <c r="V29" s="7" t="str">
        <f t="shared" si="1"/>
        <v>SGD</v>
      </c>
      <c r="W29" s="7" t="str">
        <f t="shared" si="2"/>
        <v>Germany</v>
      </c>
      <c r="X29" s="7" t="str">
        <f t="shared" si="2"/>
        <v>Canada</v>
      </c>
      <c r="Y29" s="7" t="str" cm="1">
        <f t="array" ref="Y29">IF(H29="",IFERROR(INDEX($H$2:$H$1166,MATCH(MAX(COUNTIF($H$2:$H$1166,$H$2:$H$1166)),COUNTIF($H$2:$H$1166,$H$2:$H$1166),0)),"Unknown"),H29)</f>
        <v>Unverified</v>
      </c>
      <c r="Z29" s="7" t="str">
        <f t="shared" si="3"/>
        <v>Inter-Transaction</v>
      </c>
      <c r="AA29" s="7">
        <f>IF(J29="",AVERAGE($J:$J),J29)</f>
        <v>4606.28</v>
      </c>
      <c r="AB29" s="7">
        <f>IF(N29="",AVERAGE($N:$N),N29)</f>
        <v>68</v>
      </c>
      <c r="AC29" s="7">
        <f t="shared" si="4"/>
        <v>2021</v>
      </c>
      <c r="AD29" s="7">
        <f t="shared" si="5"/>
        <v>3</v>
      </c>
      <c r="AE29" s="7">
        <f>COUNTIF(A:A,A29)</f>
        <v>1</v>
      </c>
      <c r="AF29" s="7" t="str">
        <f t="shared" si="6"/>
        <v>Yes</v>
      </c>
    </row>
    <row r="30" spans="1:32">
      <c r="A30" t="s">
        <v>173</v>
      </c>
      <c r="B30">
        <v>89133014</v>
      </c>
      <c r="C30" t="s">
        <v>174</v>
      </c>
      <c r="D30" t="s">
        <v>175</v>
      </c>
      <c r="E30" t="s">
        <v>20</v>
      </c>
      <c r="F30" t="s">
        <v>121</v>
      </c>
      <c r="G30" t="s">
        <v>176</v>
      </c>
      <c r="H30" t="s">
        <v>25</v>
      </c>
      <c r="I30" t="s">
        <v>3376</v>
      </c>
      <c r="J30">
        <v>4389.13</v>
      </c>
      <c r="K30" t="s">
        <v>47</v>
      </c>
      <c r="L30" t="s">
        <v>81</v>
      </c>
      <c r="M30" s="1">
        <v>46272.411805555559</v>
      </c>
      <c r="N30">
        <v>72</v>
      </c>
      <c r="O30" t="s">
        <v>36</v>
      </c>
      <c r="P30" t="s">
        <v>62</v>
      </c>
      <c r="Q30" t="s">
        <v>177</v>
      </c>
      <c r="R30">
        <f t="shared" si="0"/>
        <v>89133014</v>
      </c>
      <c r="S30" t="str" cm="1">
        <f t="array" ref="S30">IF(C30="",IFERROR(INDEX($C$2:$C$1166,MATCH(MAX(COUNTIF($C$2:$C$1166,$C$2:$C$1166)),COUNTIF($C$2:$C$1166,$C$2:$C$1166),0)),"Unknown"),C30)</f>
        <v>Jean-Pierre Taylor</v>
      </c>
      <c r="T30" s="4" t="str" cm="1">
        <f t="array" ref="T30">IF(D30="",IFERROR(INDEX($D$2:$D$1000,MATCH(MAX(COUNTIF($D$2:$D$1166,$D$2:$D$1166)),COUNTIF($D$2:$D$1166,$D$2:$D$1166),0)),"Unknown"),D30)</f>
        <v>Nancy Martinez</v>
      </c>
      <c r="U30" t="str">
        <f t="shared" si="1"/>
        <v>INR</v>
      </c>
      <c r="V30" s="7" t="str">
        <f t="shared" si="1"/>
        <v>aed</v>
      </c>
      <c r="W30" s="7" t="str">
        <f t="shared" si="2"/>
        <v>Germany</v>
      </c>
      <c r="X30" s="7" t="str">
        <f t="shared" si="2"/>
        <v>Australia</v>
      </c>
      <c r="Y30" s="7" t="str" cm="1">
        <f t="array" ref="Y30">IF(H30="",IFERROR(INDEX($H$2:$H$1166,MATCH(MAX(COUNTIF($H$2:$H$1166,$H$2:$H$1166)),COUNTIF($H$2:$H$1166,$H$2:$H$1166),0)),"Unknown"),H30)</f>
        <v>KYC</v>
      </c>
      <c r="Z30" s="7" t="str">
        <f t="shared" si="3"/>
        <v>Internal</v>
      </c>
      <c r="AA30" s="7">
        <f>IF(J30="",AVERAGE($J:$J),J30)</f>
        <v>4389.13</v>
      </c>
      <c r="AB30" s="7">
        <f>IF(N30="",AVERAGE($N:$N),N30)</f>
        <v>72</v>
      </c>
      <c r="AC30" s="7">
        <f t="shared" si="4"/>
        <v>2026</v>
      </c>
      <c r="AD30" s="7">
        <f t="shared" si="5"/>
        <v>9</v>
      </c>
      <c r="AE30" s="7">
        <f>COUNTIF(A:A,A30)</f>
        <v>1</v>
      </c>
      <c r="AF30" s="7" t="str">
        <f t="shared" si="6"/>
        <v>No</v>
      </c>
    </row>
    <row r="31" spans="1:32">
      <c r="A31" t="s">
        <v>178</v>
      </c>
      <c r="B31">
        <v>25312516</v>
      </c>
      <c r="C31" t="s">
        <v>72</v>
      </c>
      <c r="D31" t="s">
        <v>179</v>
      </c>
      <c r="E31" t="s">
        <v>20</v>
      </c>
      <c r="F31" t="s">
        <v>180</v>
      </c>
      <c r="G31" t="s">
        <v>45</v>
      </c>
      <c r="H31" t="s">
        <v>25</v>
      </c>
      <c r="I31" t="s">
        <v>3376</v>
      </c>
      <c r="J31">
        <v>11469.01</v>
      </c>
      <c r="K31" t="s">
        <v>27</v>
      </c>
      <c r="L31" t="s">
        <v>48</v>
      </c>
      <c r="M31" s="1">
        <v>45376.536111111112</v>
      </c>
      <c r="N31">
        <v>81</v>
      </c>
      <c r="O31" t="s">
        <v>54</v>
      </c>
      <c r="P31" t="s">
        <v>23</v>
      </c>
      <c r="Q31" t="s">
        <v>181</v>
      </c>
      <c r="R31">
        <f t="shared" si="0"/>
        <v>25312516</v>
      </c>
      <c r="S31" t="str" cm="1">
        <f t="array" ref="S31">IF(C31="",IFERROR(INDEX($C$2:$C$1166,MATCH(MAX(COUNTIF($C$2:$C$1166,$C$2:$C$1166)),COUNTIF($C$2:$C$1166,$C$2:$C$1166),0)),"Unknown"),C31)</f>
        <v>Amir Williams</v>
      </c>
      <c r="T31" s="4" t="str" cm="1">
        <f t="array" ref="T31">IF(D31="",IFERROR(INDEX($D$2:$D$1000,MATCH(MAX(COUNTIF($D$2:$D$1166,$D$2:$D$1166)),COUNTIF($D$2:$D$1166,$D$2:$D$1166),0)),"Unknown"),D31)</f>
        <v>Joseph Thomas</v>
      </c>
      <c r="U31" t="str">
        <f t="shared" si="1"/>
        <v>zar</v>
      </c>
      <c r="V31" s="7" t="str">
        <f t="shared" si="1"/>
        <v>ZAR</v>
      </c>
      <c r="W31" s="7" t="str">
        <f t="shared" si="2"/>
        <v>India</v>
      </c>
      <c r="X31" s="7" t="str">
        <f t="shared" si="2"/>
        <v>France</v>
      </c>
      <c r="Y31" s="7" t="str" cm="1">
        <f t="array" ref="Y31">IF(H31="",IFERROR(INDEX($H$2:$H$1166,MATCH(MAX(COUNTIF($H$2:$H$1166,$H$2:$H$1166)),COUNTIF($H$2:$H$1166,$H$2:$H$1166),0)),"Unknown"),H31)</f>
        <v>KYC</v>
      </c>
      <c r="Z31" s="7" t="str">
        <f t="shared" si="3"/>
        <v>Internal</v>
      </c>
      <c r="AA31" s="7">
        <f>IF(J31="",AVERAGE($J:$J),J31)</f>
        <v>11469.01</v>
      </c>
      <c r="AB31" s="7">
        <f>IF(N31="",AVERAGE($N:$N),N31)</f>
        <v>81</v>
      </c>
      <c r="AC31" s="7">
        <f t="shared" si="4"/>
        <v>2024</v>
      </c>
      <c r="AD31" s="7">
        <f t="shared" si="5"/>
        <v>3</v>
      </c>
      <c r="AE31" s="7">
        <f>COUNTIF(A:A,A31)</f>
        <v>1</v>
      </c>
      <c r="AF31" s="7" t="str">
        <f t="shared" si="6"/>
        <v>No</v>
      </c>
    </row>
    <row r="32" spans="1:32">
      <c r="A32" t="s">
        <v>182</v>
      </c>
      <c r="B32">
        <v>23318904</v>
      </c>
      <c r="C32" t="s">
        <v>183</v>
      </c>
      <c r="D32" t="s">
        <v>184</v>
      </c>
      <c r="E32" t="s">
        <v>20</v>
      </c>
      <c r="F32" t="s">
        <v>35</v>
      </c>
      <c r="G32" t="s">
        <v>21</v>
      </c>
      <c r="H32" t="s">
        <v>56</v>
      </c>
      <c r="I32" t="s">
        <v>3378</v>
      </c>
      <c r="J32">
        <v>499.27</v>
      </c>
      <c r="K32" t="s">
        <v>57</v>
      </c>
      <c r="L32" t="s">
        <v>75</v>
      </c>
      <c r="M32" s="1">
        <v>45212.293749999997</v>
      </c>
      <c r="N32">
        <v>20</v>
      </c>
      <c r="O32" t="s">
        <v>62</v>
      </c>
      <c r="P32" t="s">
        <v>36</v>
      </c>
      <c r="Q32" t="s">
        <v>185</v>
      </c>
      <c r="R32">
        <f t="shared" si="0"/>
        <v>23318904</v>
      </c>
      <c r="S32" t="str" cm="1">
        <f t="array" ref="S32">IF(C32="",IFERROR(INDEX($C$2:$C$1166,MATCH(MAX(COUNTIF($C$2:$C$1166,$C$2:$C$1166)),COUNTIF($C$2:$C$1166,$C$2:$C$1166),0)),"Unknown"),C32)</f>
        <v>Jean-Pierre Miller</v>
      </c>
      <c r="T32" s="4" t="str" cm="1">
        <f t="array" ref="T32">IF(D32="",IFERROR(INDEX($D$2:$D$1000,MATCH(MAX(COUNTIF($D$2:$D$1166,$D$2:$D$1166)),COUNTIF($D$2:$D$1166,$D$2:$D$1166),0)),"Unknown"),D32)</f>
        <v>Sanjay Miller</v>
      </c>
      <c r="U32" t="str">
        <f t="shared" si="1"/>
        <v>EUR</v>
      </c>
      <c r="V32" s="7" t="str">
        <f t="shared" si="1"/>
        <v>GBP</v>
      </c>
      <c r="W32" s="7" t="str">
        <f t="shared" si="2"/>
        <v>Australia</v>
      </c>
      <c r="X32" s="7" t="str">
        <f t="shared" si="2"/>
        <v>Germany</v>
      </c>
      <c r="Y32" s="7" t="str" cm="1">
        <f t="array" ref="Y32">IF(H32="",IFERROR(INDEX($H$2:$H$1166,MATCH(MAX(COUNTIF($H$2:$H$1166,$H$2:$H$1166)),COUNTIF($H$2:$H$1166,$H$2:$H$1166),0)),"Unknown"),H32)</f>
        <v>Unverified</v>
      </c>
      <c r="Z32" s="7" t="str">
        <f t="shared" si="3"/>
        <v>Inter-Transaction</v>
      </c>
      <c r="AA32" s="7">
        <f>IF(J32="",AVERAGE($J:$J),J32)</f>
        <v>499.27</v>
      </c>
      <c r="AB32" s="7">
        <f>IF(N32="",AVERAGE($N:$N),N32)</f>
        <v>20</v>
      </c>
      <c r="AC32" s="7">
        <f t="shared" si="4"/>
        <v>2023</v>
      </c>
      <c r="AD32" s="7">
        <f t="shared" si="5"/>
        <v>10</v>
      </c>
      <c r="AE32" s="7">
        <f>COUNTIF(A:A,A32)</f>
        <v>1</v>
      </c>
      <c r="AF32" s="7" t="str">
        <f t="shared" si="6"/>
        <v>No</v>
      </c>
    </row>
    <row r="33" spans="1:32">
      <c r="A33" t="s">
        <v>186</v>
      </c>
      <c r="B33">
        <v>25405014</v>
      </c>
      <c r="C33" t="s">
        <v>187</v>
      </c>
      <c r="D33" t="s">
        <v>188</v>
      </c>
      <c r="E33" t="s">
        <v>33</v>
      </c>
      <c r="F33" t="s">
        <v>91</v>
      </c>
      <c r="G33" t="s">
        <v>35</v>
      </c>
      <c r="H33" t="s">
        <v>56</v>
      </c>
      <c r="I33" t="s">
        <v>3377</v>
      </c>
      <c r="J33">
        <v>7035.78</v>
      </c>
      <c r="K33" t="s">
        <v>57</v>
      </c>
      <c r="L33" t="s">
        <v>81</v>
      </c>
      <c r="M33" s="1">
        <v>45298.12777777778</v>
      </c>
      <c r="N33">
        <v>68</v>
      </c>
      <c r="O33" t="s">
        <v>93</v>
      </c>
      <c r="P33" t="s">
        <v>37</v>
      </c>
      <c r="Q33" t="s">
        <v>189</v>
      </c>
      <c r="R33">
        <f t="shared" si="0"/>
        <v>25405014</v>
      </c>
      <c r="S33" t="str" cm="1">
        <f t="array" ref="S33">IF(C33="",IFERROR(INDEX($C$2:$C$1166,MATCH(MAX(COUNTIF($C$2:$C$1166,$C$2:$C$1166)),COUNTIF($C$2:$C$1166,$C$2:$C$1166),0)),"Unknown"),C33)</f>
        <v>Karen Davis</v>
      </c>
      <c r="T33" s="4" t="str" cm="1">
        <f t="array" ref="T33">IF(D33="",IFERROR(INDEX($D$2:$D$1000,MATCH(MAX(COUNTIF($D$2:$D$1166,$D$2:$D$1166)),COUNTIF($D$2:$D$1166,$D$2:$D$1166),0)),"Unknown"),D33)</f>
        <v>Sanjay Jones</v>
      </c>
      <c r="U33" t="str">
        <f t="shared" si="1"/>
        <v>gbp</v>
      </c>
      <c r="V33" s="7" t="str">
        <f t="shared" si="1"/>
        <v>EUR</v>
      </c>
      <c r="W33" s="7" t="str">
        <f t="shared" si="2"/>
        <v>USA</v>
      </c>
      <c r="X33" s="7" t="str">
        <f t="shared" si="2"/>
        <v>South Africa</v>
      </c>
      <c r="Y33" s="7" t="str" cm="1">
        <f t="array" ref="Y33">IF(H33="",IFERROR(INDEX($H$2:$H$1166,MATCH(MAX(COUNTIF($H$2:$H$1166,$H$2:$H$1166)),COUNTIF($H$2:$H$1166,$H$2:$H$1166),0)),"Unknown"),H33)</f>
        <v>Unverified</v>
      </c>
      <c r="Z33" s="7" t="str">
        <f t="shared" si="3"/>
        <v>Inter-Transaction</v>
      </c>
      <c r="AA33" s="7">
        <f>IF(J33="",AVERAGE($J:$J),J33)</f>
        <v>7035.78</v>
      </c>
      <c r="AB33" s="7">
        <f>IF(N33="",AVERAGE($N:$N),N33)</f>
        <v>68</v>
      </c>
      <c r="AC33" s="7">
        <f t="shared" si="4"/>
        <v>2024</v>
      </c>
      <c r="AD33" s="7">
        <f t="shared" si="5"/>
        <v>1</v>
      </c>
      <c r="AE33" s="7">
        <f>COUNTIF(A:A,A33)</f>
        <v>1</v>
      </c>
      <c r="AF33" s="7" t="str">
        <f t="shared" si="6"/>
        <v>Yes</v>
      </c>
    </row>
    <row r="34" spans="1:32">
      <c r="A34" t="s">
        <v>190</v>
      </c>
      <c r="B34">
        <v>22257687</v>
      </c>
      <c r="C34" t="s">
        <v>191</v>
      </c>
      <c r="D34" t="s">
        <v>192</v>
      </c>
      <c r="E34" t="s">
        <v>20</v>
      </c>
      <c r="F34" t="s">
        <v>80</v>
      </c>
      <c r="G34" t="s">
        <v>45</v>
      </c>
      <c r="H34" t="s">
        <v>56</v>
      </c>
      <c r="I34" t="s">
        <v>3378</v>
      </c>
      <c r="J34">
        <v>2730.52</v>
      </c>
      <c r="K34" t="s">
        <v>27</v>
      </c>
      <c r="L34" t="s">
        <v>81</v>
      </c>
      <c r="M34" s="1">
        <v>44982.033333333333</v>
      </c>
      <c r="N34">
        <v>24</v>
      </c>
      <c r="O34" t="s">
        <v>68</v>
      </c>
      <c r="P34" t="s">
        <v>93</v>
      </c>
      <c r="Q34" t="s">
        <v>193</v>
      </c>
      <c r="R34">
        <f t="shared" si="0"/>
        <v>22257687</v>
      </c>
      <c r="S34" t="str" cm="1">
        <f t="array" ref="S34">IF(C34="",IFERROR(INDEX($C$2:$C$1166,MATCH(MAX(COUNTIF($C$2:$C$1166,$C$2:$C$1166)),COUNTIF($C$2:$C$1166,$C$2:$C$1166),0)),"Unknown"),C34)</f>
        <v>Elizabeth Velez</v>
      </c>
      <c r="T34" s="4" t="str" cm="1">
        <f t="array" ref="T34">IF(D34="",IFERROR(INDEX($D$2:$D$1000,MATCH(MAX(COUNTIF($D$2:$D$1166,$D$2:$D$1166)),COUNTIF($D$2:$D$1166,$D$2:$D$1166),0)),"Unknown"),D34)</f>
        <v>Amir Malik</v>
      </c>
      <c r="U34" t="str">
        <f t="shared" si="1"/>
        <v>USD</v>
      </c>
      <c r="V34" s="7" t="str">
        <f t="shared" si="1"/>
        <v>ZAR</v>
      </c>
      <c r="W34" s="7" t="str">
        <f t="shared" si="2"/>
        <v>UAE</v>
      </c>
      <c r="X34" s="7" t="str">
        <f t="shared" si="2"/>
        <v>USA</v>
      </c>
      <c r="Y34" s="7" t="str" cm="1">
        <f t="array" ref="Y34">IF(H34="",IFERROR(INDEX($H$2:$H$1166,MATCH(MAX(COUNTIF($H$2:$H$1166,$H$2:$H$1166)),COUNTIF($H$2:$H$1166,$H$2:$H$1166),0)),"Unknown"),H34)</f>
        <v>Unverified</v>
      </c>
      <c r="Z34" s="7" t="str">
        <f t="shared" si="3"/>
        <v>Inter-Transaction</v>
      </c>
      <c r="AA34" s="7">
        <f>IF(J34="",AVERAGE($J:$J),J34)</f>
        <v>2730.52</v>
      </c>
      <c r="AB34" s="7">
        <f>IF(N34="",AVERAGE($N:$N),N34)</f>
        <v>24</v>
      </c>
      <c r="AC34" s="7">
        <f t="shared" si="4"/>
        <v>2023</v>
      </c>
      <c r="AD34" s="7">
        <f t="shared" si="5"/>
        <v>2</v>
      </c>
      <c r="AE34" s="7">
        <f>COUNTIF(A:A,A34)</f>
        <v>1</v>
      </c>
      <c r="AF34" s="7" t="str">
        <f t="shared" si="6"/>
        <v>No</v>
      </c>
    </row>
    <row r="35" spans="1:32">
      <c r="A35" t="s">
        <v>194</v>
      </c>
      <c r="B35">
        <v>48683937</v>
      </c>
      <c r="C35" t="s">
        <v>195</v>
      </c>
      <c r="D35" t="s">
        <v>196</v>
      </c>
      <c r="E35" t="s">
        <v>20</v>
      </c>
      <c r="F35" t="s">
        <v>44</v>
      </c>
      <c r="G35" t="s">
        <v>35</v>
      </c>
      <c r="H35" t="s">
        <v>25</v>
      </c>
      <c r="I35" t="s">
        <v>3374</v>
      </c>
      <c r="J35">
        <v>13041.82</v>
      </c>
      <c r="K35" t="s">
        <v>39</v>
      </c>
      <c r="L35" t="s">
        <v>81</v>
      </c>
      <c r="M35" s="1">
        <v>46270.061805555553</v>
      </c>
      <c r="N35">
        <v>38</v>
      </c>
      <c r="O35" t="s">
        <v>127</v>
      </c>
      <c r="P35" t="s">
        <v>127</v>
      </c>
      <c r="Q35" t="s">
        <v>197</v>
      </c>
      <c r="R35">
        <f t="shared" si="0"/>
        <v>48683937</v>
      </c>
      <c r="S35" t="str" cm="1">
        <f t="array" ref="S35">IF(C35="",IFERROR(INDEX($C$2:$C$1166,MATCH(MAX(COUNTIF($C$2:$C$1166,$C$2:$C$1166)),COUNTIF($C$2:$C$1166,$C$2:$C$1166),0)),"Unknown"),C35)</f>
        <v>Marta Gonzalez</v>
      </c>
      <c r="T35" s="4" t="str" cm="1">
        <f t="array" ref="T35">IF(D35="",IFERROR(INDEX($D$2:$D$1000,MATCH(MAX(COUNTIF($D$2:$D$1166,$D$2:$D$1166)),COUNTIF($D$2:$D$1166,$D$2:$D$1166),0)),"Unknown"),D35)</f>
        <v>Amir Dubois</v>
      </c>
      <c r="U35" t="str">
        <f t="shared" si="1"/>
        <v>SGD</v>
      </c>
      <c r="V35" s="7" t="str">
        <f t="shared" si="1"/>
        <v>EUR</v>
      </c>
      <c r="W35" s="7" t="str">
        <f t="shared" si="2"/>
        <v>Canada</v>
      </c>
      <c r="X35" s="7" t="str">
        <f t="shared" si="2"/>
        <v>Canada</v>
      </c>
      <c r="Y35" s="7" t="str" cm="1">
        <f t="array" ref="Y35">IF(H35="",IFERROR(INDEX($H$2:$H$1166,MATCH(MAX(COUNTIF($H$2:$H$1166,$H$2:$H$1166)),COUNTIF($H$2:$H$1166,$H$2:$H$1166),0)),"Unknown"),H35)</f>
        <v>KYC</v>
      </c>
      <c r="Z35" s="7" t="str">
        <f t="shared" si="3"/>
        <v>External</v>
      </c>
      <c r="AA35" s="7">
        <f>IF(J35="",AVERAGE($J:$J),J35)</f>
        <v>13041.82</v>
      </c>
      <c r="AB35" s="7">
        <f>IF(N35="",AVERAGE($N:$N),N35)</f>
        <v>38</v>
      </c>
      <c r="AC35" s="7">
        <f t="shared" si="4"/>
        <v>2026</v>
      </c>
      <c r="AD35" s="7">
        <f t="shared" si="5"/>
        <v>9</v>
      </c>
      <c r="AE35" s="7">
        <f>COUNTIF(A:A,A35)</f>
        <v>1</v>
      </c>
      <c r="AF35" s="7" t="str">
        <f t="shared" si="6"/>
        <v>No</v>
      </c>
    </row>
    <row r="36" spans="1:32">
      <c r="A36" t="s">
        <v>198</v>
      </c>
      <c r="B36">
        <v>48658617</v>
      </c>
      <c r="C36" t="s">
        <v>199</v>
      </c>
      <c r="D36" t="s">
        <v>200</v>
      </c>
      <c r="E36" t="s">
        <v>20</v>
      </c>
      <c r="F36" t="s">
        <v>45</v>
      </c>
      <c r="G36" t="s">
        <v>116</v>
      </c>
      <c r="H36" t="s">
        <v>74</v>
      </c>
      <c r="I36" t="s">
        <v>3377</v>
      </c>
      <c r="J36">
        <v>6927.1</v>
      </c>
      <c r="K36" t="s">
        <v>86</v>
      </c>
      <c r="L36" t="s">
        <v>48</v>
      </c>
      <c r="M36" s="1">
        <v>45047.318055555559</v>
      </c>
      <c r="N36">
        <v>56</v>
      </c>
      <c r="O36" t="s">
        <v>24</v>
      </c>
      <c r="P36" t="s">
        <v>127</v>
      </c>
      <c r="Q36" t="s">
        <v>201</v>
      </c>
      <c r="R36">
        <f t="shared" si="0"/>
        <v>48658617</v>
      </c>
      <c r="S36" t="str" cm="1">
        <f t="array" ref="S36">IF(C36="",IFERROR(INDEX($C$2:$C$1166,MATCH(MAX(COUNTIF($C$2:$C$1166,$C$2:$C$1166)),COUNTIF($C$2:$C$1166,$C$2:$C$1166),0)),"Unknown"),C36)</f>
        <v xml:space="preserve">  THOMAS VOLKOV </v>
      </c>
      <c r="T36" s="4" t="str" cm="1">
        <f t="array" ref="T36">IF(D36="",IFERROR(INDEX($D$2:$D$1000,MATCH(MAX(COUNTIF($D$2:$D$1166,$D$2:$D$1166)),COUNTIF($D$2:$D$1166,$D$2:$D$1166),0)),"Unknown"),D36)</f>
        <v>Elena Thomas</v>
      </c>
      <c r="U36" t="str">
        <f t="shared" si="1"/>
        <v>ZAR</v>
      </c>
      <c r="V36" s="7" t="str">
        <f t="shared" si="1"/>
        <v>CHF</v>
      </c>
      <c r="W36" s="7" t="str">
        <f t="shared" si="2"/>
        <v>Brazil</v>
      </c>
      <c r="X36" s="7" t="str">
        <f t="shared" si="2"/>
        <v>Canada</v>
      </c>
      <c r="Y36" s="7" t="str" cm="1">
        <f t="array" ref="Y36">IF(H36="",IFERROR(INDEX($H$2:$H$1166,MATCH(MAX(COUNTIF($H$2:$H$1166,$H$2:$H$1166)),COUNTIF($H$2:$H$1166,$H$2:$H$1166),0)),"Unknown"),H36)</f>
        <v>Non-KYC</v>
      </c>
      <c r="Z36" s="7" t="str">
        <f t="shared" si="3"/>
        <v>Inter-Transaction</v>
      </c>
      <c r="AA36" s="7">
        <f>IF(J36="",AVERAGE($J:$J),J36)</f>
        <v>6927.1</v>
      </c>
      <c r="AB36" s="7">
        <f>IF(N36="",AVERAGE($N:$N),N36)</f>
        <v>56</v>
      </c>
      <c r="AC36" s="7">
        <f t="shared" si="4"/>
        <v>2023</v>
      </c>
      <c r="AD36" s="7">
        <f t="shared" si="5"/>
        <v>5</v>
      </c>
      <c r="AE36" s="7">
        <f>COUNTIF(A:A,A36)</f>
        <v>1</v>
      </c>
      <c r="AF36" s="7" t="str">
        <f t="shared" si="6"/>
        <v>No</v>
      </c>
    </row>
    <row r="37" spans="1:32">
      <c r="A37" t="s">
        <v>202</v>
      </c>
      <c r="B37">
        <v>61484043</v>
      </c>
      <c r="C37" t="s">
        <v>203</v>
      </c>
      <c r="D37" t="s">
        <v>204</v>
      </c>
      <c r="E37" t="s">
        <v>20</v>
      </c>
      <c r="F37" t="s">
        <v>21</v>
      </c>
      <c r="G37" t="s">
        <v>35</v>
      </c>
      <c r="H37" t="s">
        <v>25</v>
      </c>
      <c r="I37" t="s">
        <v>3378</v>
      </c>
      <c r="J37">
        <v>10893.5</v>
      </c>
      <c r="K37" t="s">
        <v>27</v>
      </c>
      <c r="L37" t="s">
        <v>81</v>
      </c>
      <c r="M37" s="1">
        <v>44711.600694444445</v>
      </c>
      <c r="N37">
        <v>35</v>
      </c>
      <c r="O37" t="s">
        <v>23</v>
      </c>
      <c r="P37" t="s">
        <v>68</v>
      </c>
      <c r="Q37" t="s">
        <v>205</v>
      </c>
      <c r="R37">
        <f t="shared" si="0"/>
        <v>61484043</v>
      </c>
      <c r="S37" t="str" cm="1">
        <f t="array" ref="S37">IF(C37="",IFERROR(INDEX($C$2:$C$1166,MATCH(MAX(COUNTIF($C$2:$C$1166,$C$2:$C$1166)),COUNTIF($C$2:$C$1166,$C$2:$C$1166),0)),"Unknown"),C37)</f>
        <v>William Souza</v>
      </c>
      <c r="T37" s="4" t="str" cm="1">
        <f t="array" ref="T37">IF(D37="",IFERROR(INDEX($D$2:$D$1000,MATCH(MAX(COUNTIF($D$2:$D$1166,$D$2:$D$1166)),COUNTIF($D$2:$D$1166,$D$2:$D$1166),0)),"Unknown"),D37)</f>
        <v>Nancy Taylor</v>
      </c>
      <c r="U37" t="str">
        <f t="shared" si="1"/>
        <v>GBP</v>
      </c>
      <c r="V37" s="7" t="str">
        <f t="shared" si="1"/>
        <v>EUR</v>
      </c>
      <c r="W37" s="7" t="str">
        <f t="shared" si="2"/>
        <v>France</v>
      </c>
      <c r="X37" s="7" t="str">
        <f t="shared" si="2"/>
        <v>UAE</v>
      </c>
      <c r="Y37" s="7" t="str" cm="1">
        <f t="array" ref="Y37">IF(H37="",IFERROR(INDEX($H$2:$H$1166,MATCH(MAX(COUNTIF($H$2:$H$1166,$H$2:$H$1166)),COUNTIF($H$2:$H$1166,$H$2:$H$1166),0)),"Unknown"),H37)</f>
        <v>KYC</v>
      </c>
      <c r="Z37" s="7" t="str">
        <f t="shared" si="3"/>
        <v>Inter-Transaction</v>
      </c>
      <c r="AA37" s="7">
        <f>IF(J37="",AVERAGE($J:$J),J37)</f>
        <v>10893.5</v>
      </c>
      <c r="AB37" s="7">
        <f>IF(N37="",AVERAGE($N:$N),N37)</f>
        <v>35</v>
      </c>
      <c r="AC37" s="7">
        <f t="shared" si="4"/>
        <v>2022</v>
      </c>
      <c r="AD37" s="7">
        <f t="shared" si="5"/>
        <v>5</v>
      </c>
      <c r="AE37" s="7">
        <f>COUNTIF(A:A,A37)</f>
        <v>1</v>
      </c>
      <c r="AF37" s="7" t="str">
        <f t="shared" si="6"/>
        <v>No</v>
      </c>
    </row>
    <row r="38" spans="1:32">
      <c r="A38" t="s">
        <v>206</v>
      </c>
      <c r="B38">
        <v>42051937</v>
      </c>
      <c r="C38" t="s">
        <v>207</v>
      </c>
      <c r="D38" t="s">
        <v>208</v>
      </c>
      <c r="E38" t="s">
        <v>20</v>
      </c>
      <c r="F38" t="s">
        <v>80</v>
      </c>
      <c r="G38" t="s">
        <v>34</v>
      </c>
      <c r="I38" t="s">
        <v>3371</v>
      </c>
      <c r="J38">
        <v>7434.98</v>
      </c>
      <c r="K38" t="s">
        <v>86</v>
      </c>
      <c r="L38" t="s">
        <v>48</v>
      </c>
      <c r="M38" s="1">
        <v>43915.189583333333</v>
      </c>
      <c r="N38">
        <v>21</v>
      </c>
      <c r="O38" t="s">
        <v>93</v>
      </c>
      <c r="P38" t="s">
        <v>36</v>
      </c>
      <c r="Q38" t="s">
        <v>209</v>
      </c>
      <c r="R38">
        <f t="shared" si="0"/>
        <v>42051937</v>
      </c>
      <c r="S38" t="str" cm="1">
        <f t="array" ref="S38">IF(C38="",IFERROR(INDEX($C$2:$C$1166,MATCH(MAX(COUNTIF($C$2:$C$1166,$C$2:$C$1166)),COUNTIF($C$2:$C$1166,$C$2:$C$1166),0)),"Unknown"),C38)</f>
        <v>Christopher Gonzalez</v>
      </c>
      <c r="T38" s="4" t="str" cm="1">
        <f t="array" ref="T38">IF(D38="",IFERROR(INDEX($D$2:$D$1000,MATCH(MAX(COUNTIF($D$2:$D$1166,$D$2:$D$1166)),COUNTIF($D$2:$D$1166,$D$2:$D$1166),0)),"Unknown"),D38)</f>
        <v>Elizabeth Malik</v>
      </c>
      <c r="U38" t="str">
        <f t="shared" si="1"/>
        <v>USD</v>
      </c>
      <c r="V38" s="7" t="str">
        <f t="shared" si="1"/>
        <v>CAD</v>
      </c>
      <c r="W38" s="7" t="str">
        <f t="shared" si="2"/>
        <v>USA</v>
      </c>
      <c r="X38" s="7" t="str">
        <f t="shared" si="2"/>
        <v>Germany</v>
      </c>
      <c r="Y38" s="7" t="str" cm="1">
        <f t="array" ref="Y38">IF(H38="",IFERROR(INDEX($H$2:$H$1166,MATCH(MAX(COUNTIF($H$2:$H$1166,$H$2:$H$1166)),COUNTIF($H$2:$H$1166,$H$2:$H$1166),0)),"Unknown"),H38)</f>
        <v>Pending</v>
      </c>
      <c r="Z38" s="7" t="str">
        <f t="shared" si="3"/>
        <v>Outer-Transaction</v>
      </c>
      <c r="AA38" s="7">
        <f>IF(J38="",AVERAGE($J:$J),J38)</f>
        <v>7434.98</v>
      </c>
      <c r="AB38" s="7">
        <f>IF(N38="",AVERAGE($N:$N),N38)</f>
        <v>21</v>
      </c>
      <c r="AC38" s="7">
        <f t="shared" si="4"/>
        <v>2020</v>
      </c>
      <c r="AD38" s="7">
        <f t="shared" si="5"/>
        <v>3</v>
      </c>
      <c r="AE38" s="7">
        <f>COUNTIF(A:A,A38)</f>
        <v>1</v>
      </c>
      <c r="AF38" s="7" t="str">
        <f t="shared" si="6"/>
        <v>No</v>
      </c>
    </row>
    <row r="39" spans="1:32">
      <c r="A39" t="s">
        <v>210</v>
      </c>
      <c r="B39">
        <v>65026398</v>
      </c>
      <c r="C39" t="s">
        <v>211</v>
      </c>
      <c r="D39" t="s">
        <v>212</v>
      </c>
      <c r="E39" t="s">
        <v>3375</v>
      </c>
      <c r="F39" t="s">
        <v>53</v>
      </c>
      <c r="G39" t="s">
        <v>34</v>
      </c>
      <c r="H39" t="s">
        <v>38</v>
      </c>
      <c r="I39" t="s">
        <v>3372</v>
      </c>
      <c r="J39">
        <v>14312.55</v>
      </c>
      <c r="K39" t="s">
        <v>39</v>
      </c>
      <c r="L39" t="s">
        <v>28</v>
      </c>
      <c r="M39" s="1">
        <v>44884.277083333334</v>
      </c>
      <c r="N39">
        <v>77</v>
      </c>
      <c r="O39" t="s">
        <v>23</v>
      </c>
      <c r="P39" t="s">
        <v>68</v>
      </c>
      <c r="Q39" t="s">
        <v>213</v>
      </c>
      <c r="R39">
        <f t="shared" si="0"/>
        <v>65026398</v>
      </c>
      <c r="S39" t="str" cm="1">
        <f t="array" ref="S39">IF(C39="",IFERROR(INDEX($C$2:$C$1166,MATCH(MAX(COUNTIF($C$2:$C$1166,$C$2:$C$1166)),COUNTIF($C$2:$C$1166,$C$2:$C$1166),0)),"Unknown"),C39)</f>
        <v>Zayn Nair</v>
      </c>
      <c r="T39" s="4" t="str" cm="1">
        <f t="array" ref="T39">IF(D39="",IFERROR(INDEX($D$2:$D$1000,MATCH(MAX(COUNTIF($D$2:$D$1166,$D$2:$D$1166)),COUNTIF($D$2:$D$1166,$D$2:$D$1166),0)),"Unknown"),D39)</f>
        <v>Michael Williams</v>
      </c>
      <c r="U39" t="str">
        <f t="shared" si="1"/>
        <v>AED</v>
      </c>
      <c r="V39" s="7" t="str">
        <f t="shared" si="1"/>
        <v>CAD</v>
      </c>
      <c r="W39" s="7" t="str">
        <f t="shared" si="2"/>
        <v>France</v>
      </c>
      <c r="X39" s="7" t="str">
        <f t="shared" si="2"/>
        <v>UAE</v>
      </c>
      <c r="Y39" s="7" t="str" cm="1">
        <f t="array" ref="Y39">IF(H39="",IFERROR(INDEX($H$2:$H$1166,MATCH(MAX(COUNTIF($H$2:$H$1166,$H$2:$H$1166)),COUNTIF($H$2:$H$1166,$H$2:$H$1166),0)),"Unknown"),H39)</f>
        <v>Pending</v>
      </c>
      <c r="Z39" s="7" t="str">
        <f t="shared" si="3"/>
        <v>Outer-Transaction</v>
      </c>
      <c r="AA39" s="7">
        <f>IF(J39="",AVERAGE($J:$J),J39)</f>
        <v>14312.55</v>
      </c>
      <c r="AB39" s="7">
        <f>IF(N39="",AVERAGE($N:$N),N39)</f>
        <v>77</v>
      </c>
      <c r="AC39" s="7">
        <f t="shared" si="4"/>
        <v>2022</v>
      </c>
      <c r="AD39" s="7">
        <f t="shared" si="5"/>
        <v>11</v>
      </c>
      <c r="AE39" s="7">
        <f>COUNTIF(A:A,A39)</f>
        <v>2</v>
      </c>
      <c r="AF39" s="7" t="str">
        <f t="shared" si="6"/>
        <v>No</v>
      </c>
    </row>
    <row r="40" spans="1:32">
      <c r="A40" t="s">
        <v>214</v>
      </c>
      <c r="B40">
        <v>23489853</v>
      </c>
      <c r="C40" t="s">
        <v>215</v>
      </c>
      <c r="D40" t="s">
        <v>216</v>
      </c>
      <c r="E40" t="s">
        <v>20</v>
      </c>
      <c r="F40" t="s">
        <v>80</v>
      </c>
      <c r="G40" t="s">
        <v>34</v>
      </c>
      <c r="H40" t="s">
        <v>38</v>
      </c>
      <c r="I40" t="s">
        <v>3374</v>
      </c>
      <c r="J40">
        <v>11889.87</v>
      </c>
      <c r="K40" t="s">
        <v>47</v>
      </c>
      <c r="L40" t="s">
        <v>48</v>
      </c>
      <c r="M40" s="1">
        <v>43879.276388888888</v>
      </c>
      <c r="N40">
        <v>31</v>
      </c>
      <c r="O40" t="s">
        <v>127</v>
      </c>
      <c r="P40" t="s">
        <v>68</v>
      </c>
      <c r="Q40" t="s">
        <v>217</v>
      </c>
      <c r="R40">
        <f t="shared" si="0"/>
        <v>23489853</v>
      </c>
      <c r="S40" t="str" cm="1">
        <f t="array" ref="S40">IF(C40="",IFERROR(INDEX($C$2:$C$1166,MATCH(MAX(COUNTIF($C$2:$C$1166,$C$2:$C$1166)),COUNTIF($C$2:$C$1166,$C$2:$C$1166),0)),"Unknown"),C40)</f>
        <v>Thomas Garcia</v>
      </c>
      <c r="T40" s="4" t="str" cm="1">
        <f t="array" ref="T40">IF(D40="",IFERROR(INDEX($D$2:$D$1000,MATCH(MAX(COUNTIF($D$2:$D$1166,$D$2:$D$1166)),COUNTIF($D$2:$D$1166,$D$2:$D$1166),0)),"Unknown"),D40)</f>
        <v>Elena Martinez</v>
      </c>
      <c r="U40" t="str">
        <f t="shared" si="1"/>
        <v>USD</v>
      </c>
      <c r="V40" s="7" t="str">
        <f t="shared" si="1"/>
        <v>CAD</v>
      </c>
      <c r="W40" s="7" t="str">
        <f t="shared" si="2"/>
        <v>Canada</v>
      </c>
      <c r="X40" s="7" t="str">
        <f t="shared" si="2"/>
        <v>UAE</v>
      </c>
      <c r="Y40" s="7" t="str" cm="1">
        <f t="array" ref="Y40">IF(H40="",IFERROR(INDEX($H$2:$H$1166,MATCH(MAX(COUNTIF($H$2:$H$1166,$H$2:$H$1166)),COUNTIF($H$2:$H$1166,$H$2:$H$1166),0)),"Unknown"),H40)</f>
        <v>Pending</v>
      </c>
      <c r="Z40" s="7" t="str">
        <f t="shared" si="3"/>
        <v>External</v>
      </c>
      <c r="AA40" s="7">
        <f>IF(J40="",AVERAGE($J:$J),J40)</f>
        <v>11889.87</v>
      </c>
      <c r="AB40" s="7">
        <f>IF(N40="",AVERAGE($N:$N),N40)</f>
        <v>31</v>
      </c>
      <c r="AC40" s="7">
        <f t="shared" si="4"/>
        <v>2020</v>
      </c>
      <c r="AD40" s="7">
        <f t="shared" si="5"/>
        <v>2</v>
      </c>
      <c r="AE40" s="7">
        <f>COUNTIF(A:A,A40)</f>
        <v>1</v>
      </c>
      <c r="AF40" s="7" t="str">
        <f t="shared" si="6"/>
        <v>No</v>
      </c>
    </row>
    <row r="41" spans="1:32">
      <c r="A41" t="s">
        <v>218</v>
      </c>
      <c r="B41">
        <v>71682508</v>
      </c>
      <c r="C41" t="s">
        <v>219</v>
      </c>
      <c r="D41" t="s">
        <v>220</v>
      </c>
      <c r="E41" t="s">
        <v>20</v>
      </c>
      <c r="F41" t="s">
        <v>53</v>
      </c>
      <c r="G41" t="s">
        <v>45</v>
      </c>
      <c r="H41" t="s">
        <v>56</v>
      </c>
      <c r="I41" t="s">
        <v>3374</v>
      </c>
      <c r="J41">
        <v>3758.97</v>
      </c>
      <c r="K41" t="s">
        <v>57</v>
      </c>
      <c r="L41" t="s">
        <v>48</v>
      </c>
      <c r="M41" s="1">
        <v>44999.577777777777</v>
      </c>
      <c r="N41">
        <v>26</v>
      </c>
      <c r="O41" t="s">
        <v>55</v>
      </c>
      <c r="P41" t="s">
        <v>93</v>
      </c>
      <c r="Q41" t="s">
        <v>221</v>
      </c>
      <c r="R41">
        <f t="shared" si="0"/>
        <v>71682508</v>
      </c>
      <c r="S41" t="str" cm="1">
        <f t="array" ref="S41">IF(C41="",IFERROR(INDEX($C$2:$C$1166,MATCH(MAX(COUNTIF($C$2:$C$1166,$C$2:$C$1166)),COUNTIF($C$2:$C$1166,$C$2:$C$1166),0)),"Unknown"),C41)</f>
        <v>David Velez</v>
      </c>
      <c r="T41" s="4" t="str" cm="1">
        <f t="array" ref="T41">IF(D41="",IFERROR(INDEX($D$2:$D$1000,MATCH(MAX(COUNTIF($D$2:$D$1166,$D$2:$D$1166)),COUNTIF($D$2:$D$1166,$D$2:$D$1166),0)),"Unknown"),D41)</f>
        <v>John Volkov</v>
      </c>
      <c r="U41" t="str">
        <f t="shared" si="1"/>
        <v>AED</v>
      </c>
      <c r="V41" s="7" t="str">
        <f t="shared" si="1"/>
        <v>ZAR</v>
      </c>
      <c r="W41" s="7" t="str">
        <f t="shared" si="2"/>
        <v>UK</v>
      </c>
      <c r="X41" s="7" t="str">
        <f t="shared" si="2"/>
        <v>USA</v>
      </c>
      <c r="Y41" s="7" t="str" cm="1">
        <f t="array" ref="Y41">IF(H41="",IFERROR(INDEX($H$2:$H$1166,MATCH(MAX(COUNTIF($H$2:$H$1166,$H$2:$H$1166)),COUNTIF($H$2:$H$1166,$H$2:$H$1166),0)),"Unknown"),H41)</f>
        <v>Unverified</v>
      </c>
      <c r="Z41" s="7" t="str">
        <f t="shared" si="3"/>
        <v>External</v>
      </c>
      <c r="AA41" s="7">
        <f>IF(J41="",AVERAGE($J:$J),J41)</f>
        <v>3758.97</v>
      </c>
      <c r="AB41" s="7">
        <f>IF(N41="",AVERAGE($N:$N),N41)</f>
        <v>26</v>
      </c>
      <c r="AC41" s="7">
        <f t="shared" si="4"/>
        <v>2023</v>
      </c>
      <c r="AD41" s="7">
        <f t="shared" si="5"/>
        <v>3</v>
      </c>
      <c r="AE41" s="7">
        <f>COUNTIF(A:A,A41)</f>
        <v>1</v>
      </c>
      <c r="AF41" s="7" t="str">
        <f t="shared" si="6"/>
        <v>No</v>
      </c>
    </row>
    <row r="42" spans="1:32">
      <c r="A42" t="s">
        <v>222</v>
      </c>
      <c r="B42">
        <v>98346110</v>
      </c>
      <c r="C42" t="s">
        <v>223</v>
      </c>
      <c r="D42" t="s">
        <v>224</v>
      </c>
      <c r="E42" t="s">
        <v>3373</v>
      </c>
      <c r="F42" t="s">
        <v>22</v>
      </c>
      <c r="G42" t="s">
        <v>80</v>
      </c>
      <c r="H42" t="s">
        <v>74</v>
      </c>
      <c r="I42" t="s">
        <v>3376</v>
      </c>
      <c r="J42">
        <v>12030.96</v>
      </c>
      <c r="K42" t="s">
        <v>47</v>
      </c>
      <c r="L42" t="s">
        <v>48</v>
      </c>
      <c r="M42" s="1">
        <v>43899.734027777777</v>
      </c>
      <c r="N42">
        <v>70</v>
      </c>
      <c r="O42" t="s">
        <v>55</v>
      </c>
      <c r="P42" t="s">
        <v>55</v>
      </c>
      <c r="Q42" t="s">
        <v>225</v>
      </c>
      <c r="R42">
        <f t="shared" si="0"/>
        <v>98346110</v>
      </c>
      <c r="S42" t="str" cm="1">
        <f t="array" ref="S42">IF(C42="",IFERROR(INDEX($C$2:$C$1166,MATCH(MAX(COUNTIF($C$2:$C$1166,$C$2:$C$1166)),COUNTIF($C$2:$C$1166,$C$2:$C$1166),0)),"Unknown"),C42)</f>
        <v>Joseph Rodriguez</v>
      </c>
      <c r="T42" s="4" t="str" cm="1">
        <f t="array" ref="T42">IF(D42="",IFERROR(INDEX($D$2:$D$1000,MATCH(MAX(COUNTIF($D$2:$D$1166,$D$2:$D$1166)),COUNTIF($D$2:$D$1166,$D$2:$D$1166),0)),"Unknown"),D42)</f>
        <v>John Jackson</v>
      </c>
      <c r="U42" t="str">
        <f t="shared" si="1"/>
        <v>BRL</v>
      </c>
      <c r="V42" s="7" t="str">
        <f t="shared" si="1"/>
        <v>USD</v>
      </c>
      <c r="W42" s="7" t="str">
        <f t="shared" si="2"/>
        <v>UK</v>
      </c>
      <c r="X42" s="7" t="str">
        <f t="shared" si="2"/>
        <v>UK</v>
      </c>
      <c r="Y42" s="7" t="str" cm="1">
        <f t="array" ref="Y42">IF(H42="",IFERROR(INDEX($H$2:$H$1166,MATCH(MAX(COUNTIF($H$2:$H$1166,$H$2:$H$1166)),COUNTIF($H$2:$H$1166,$H$2:$H$1166),0)),"Unknown"),H42)</f>
        <v>Non-KYC</v>
      </c>
      <c r="Z42" s="7" t="str">
        <f t="shared" si="3"/>
        <v>Internal</v>
      </c>
      <c r="AA42" s="7">
        <f>IF(J42="",AVERAGE($J:$J),J42)</f>
        <v>12030.96</v>
      </c>
      <c r="AB42" s="7">
        <f>IF(N42="",AVERAGE($N:$N),N42)</f>
        <v>70</v>
      </c>
      <c r="AC42" s="7">
        <f t="shared" si="4"/>
        <v>2020</v>
      </c>
      <c r="AD42" s="7">
        <f t="shared" si="5"/>
        <v>3</v>
      </c>
      <c r="AE42" s="7">
        <f>COUNTIF(A:A,A42)</f>
        <v>1</v>
      </c>
      <c r="AF42" s="7" t="str">
        <f t="shared" si="6"/>
        <v>Yes</v>
      </c>
    </row>
    <row r="43" spans="1:32">
      <c r="A43" t="s">
        <v>226</v>
      </c>
      <c r="B43">
        <v>51464269</v>
      </c>
      <c r="C43" t="s">
        <v>227</v>
      </c>
      <c r="D43" t="s">
        <v>228</v>
      </c>
      <c r="E43">
        <v>1</v>
      </c>
      <c r="F43" t="s">
        <v>21</v>
      </c>
      <c r="G43" t="s">
        <v>35</v>
      </c>
      <c r="H43" t="s">
        <v>103</v>
      </c>
      <c r="I43" t="s">
        <v>3376</v>
      </c>
      <c r="J43">
        <v>7531.9</v>
      </c>
      <c r="K43" t="s">
        <v>57</v>
      </c>
      <c r="L43" t="s">
        <v>48</v>
      </c>
      <c r="M43" s="1">
        <v>46357.15347222222</v>
      </c>
      <c r="N43">
        <v>19</v>
      </c>
      <c r="O43" t="s">
        <v>93</v>
      </c>
      <c r="P43" t="s">
        <v>36</v>
      </c>
      <c r="Q43" t="s">
        <v>229</v>
      </c>
      <c r="R43">
        <f t="shared" si="0"/>
        <v>51464269</v>
      </c>
      <c r="S43" t="str" cm="1">
        <f t="array" ref="S43">IF(C43="",IFERROR(INDEX($C$2:$C$1166,MATCH(MAX(COUNTIF($C$2:$C$1166,$C$2:$C$1166)),COUNTIF($C$2:$C$1166,$C$2:$C$1166),0)),"Unknown"),C43)</f>
        <v>Lucas Anderson</v>
      </c>
      <c r="T43" s="4" t="str" cm="1">
        <f t="array" ref="T43">IF(D43="",IFERROR(INDEX($D$2:$D$1000,MATCH(MAX(COUNTIF($D$2:$D$1166,$D$2:$D$1166)),COUNTIF($D$2:$D$1166,$D$2:$D$1166),0)),"Unknown"),D43)</f>
        <v>Mary Jackson</v>
      </c>
      <c r="U43" t="str">
        <f t="shared" si="1"/>
        <v>GBP</v>
      </c>
      <c r="V43" s="7" t="str">
        <f t="shared" si="1"/>
        <v>EUR</v>
      </c>
      <c r="W43" s="7" t="str">
        <f t="shared" si="2"/>
        <v>USA</v>
      </c>
      <c r="X43" s="7" t="str">
        <f t="shared" si="2"/>
        <v>Germany</v>
      </c>
      <c r="Y43" s="7" t="str" cm="1">
        <f t="array" ref="Y43">IF(H43="",IFERROR(INDEX($H$2:$H$1166,MATCH(MAX(COUNTIF($H$2:$H$1166,$H$2:$H$1166)),COUNTIF($H$2:$H$1166,$H$2:$H$1166),0)),"Unknown"),H43)</f>
        <v>Verified</v>
      </c>
      <c r="Z43" s="7" t="str">
        <f t="shared" si="3"/>
        <v>Internal</v>
      </c>
      <c r="AA43" s="7">
        <f>IF(J43="",AVERAGE($J:$J),J43)</f>
        <v>7531.9</v>
      </c>
      <c r="AB43" s="7">
        <f>IF(N43="",AVERAGE($N:$N),N43)</f>
        <v>19</v>
      </c>
      <c r="AC43" s="7">
        <f t="shared" si="4"/>
        <v>2026</v>
      </c>
      <c r="AD43" s="7">
        <f t="shared" si="5"/>
        <v>12</v>
      </c>
      <c r="AE43" s="7">
        <f>COUNTIF(A:A,A43)</f>
        <v>1</v>
      </c>
      <c r="AF43" s="7" t="str">
        <f t="shared" si="6"/>
        <v>Yes</v>
      </c>
    </row>
    <row r="44" spans="1:32">
      <c r="A44" t="s">
        <v>230</v>
      </c>
      <c r="B44">
        <v>40281491</v>
      </c>
      <c r="C44" t="s">
        <v>231</v>
      </c>
      <c r="D44" t="s">
        <v>232</v>
      </c>
      <c r="E44" t="s">
        <v>20</v>
      </c>
      <c r="F44" t="s">
        <v>98</v>
      </c>
      <c r="G44" t="s">
        <v>34</v>
      </c>
      <c r="I44" t="s">
        <v>3374</v>
      </c>
      <c r="J44">
        <v>3939.8</v>
      </c>
      <c r="K44" t="s">
        <v>39</v>
      </c>
      <c r="L44" t="s">
        <v>75</v>
      </c>
      <c r="M44" s="1">
        <v>45532.738194444442</v>
      </c>
      <c r="N44">
        <v>77</v>
      </c>
      <c r="O44" t="s">
        <v>37</v>
      </c>
      <c r="P44" t="s">
        <v>24</v>
      </c>
      <c r="Q44" t="s">
        <v>233</v>
      </c>
      <c r="R44">
        <f t="shared" si="0"/>
        <v>40281491</v>
      </c>
      <c r="S44" t="str" cm="1">
        <f t="array" ref="S44">IF(C44="",IFERROR(INDEX($C$2:$C$1166,MATCH(MAX(COUNTIF($C$2:$C$1166,$C$2:$C$1166)),COUNTIF($C$2:$C$1166,$C$2:$C$1166),0)),"Unknown"),C44)</f>
        <v>Zayn Velez</v>
      </c>
      <c r="T44" s="4" t="str" cm="1">
        <f t="array" ref="T44">IF(D44="",IFERROR(INDEX($D$2:$D$1000,MATCH(MAX(COUNTIF($D$2:$D$1166,$D$2:$D$1166)),COUNTIF($D$2:$D$1166,$D$2:$D$1166),0)),"Unknown"),D44)</f>
        <v>Fatima Velez</v>
      </c>
      <c r="U44" t="str">
        <f t="shared" si="1"/>
        <v>JPY</v>
      </c>
      <c r="V44" s="7" t="str">
        <f t="shared" si="1"/>
        <v>CAD</v>
      </c>
      <c r="W44" s="7" t="str">
        <f t="shared" si="2"/>
        <v>South Africa</v>
      </c>
      <c r="X44" s="7" t="str">
        <f t="shared" si="2"/>
        <v>Brazil</v>
      </c>
      <c r="Y44" s="7" t="str" cm="1">
        <f t="array" ref="Y44">IF(H44="",IFERROR(INDEX($H$2:$H$1166,MATCH(MAX(COUNTIF($H$2:$H$1166,$H$2:$H$1166)),COUNTIF($H$2:$H$1166,$H$2:$H$1166),0)),"Unknown"),H44)</f>
        <v>Pending</v>
      </c>
      <c r="Z44" s="7" t="str">
        <f t="shared" si="3"/>
        <v>External</v>
      </c>
      <c r="AA44" s="7">
        <f>IF(J44="",AVERAGE($J:$J),J44)</f>
        <v>3939.8</v>
      </c>
      <c r="AB44" s="7">
        <f>IF(N44="",AVERAGE($N:$N),N44)</f>
        <v>77</v>
      </c>
      <c r="AC44" s="7">
        <f t="shared" si="4"/>
        <v>2024</v>
      </c>
      <c r="AD44" s="7">
        <f t="shared" si="5"/>
        <v>8</v>
      </c>
      <c r="AE44" s="7">
        <f>COUNTIF(A:A,A44)</f>
        <v>1</v>
      </c>
      <c r="AF44" s="7" t="str">
        <f t="shared" si="6"/>
        <v>No</v>
      </c>
    </row>
    <row r="45" spans="1:32">
      <c r="A45" t="s">
        <v>234</v>
      </c>
      <c r="B45">
        <v>95282470</v>
      </c>
      <c r="C45" t="s">
        <v>235</v>
      </c>
      <c r="D45" t="s">
        <v>236</v>
      </c>
      <c r="E45">
        <v>0</v>
      </c>
      <c r="F45" t="s">
        <v>92</v>
      </c>
      <c r="G45" t="s">
        <v>35</v>
      </c>
      <c r="H45" t="s">
        <v>38</v>
      </c>
      <c r="I45" t="s">
        <v>3371</v>
      </c>
      <c r="J45">
        <v>5835.8</v>
      </c>
      <c r="K45" t="s">
        <v>57</v>
      </c>
      <c r="L45" t="s">
        <v>81</v>
      </c>
      <c r="M45" s="1">
        <v>45429.64166666667</v>
      </c>
      <c r="N45">
        <v>61</v>
      </c>
      <c r="O45" t="s">
        <v>127</v>
      </c>
      <c r="P45" t="s">
        <v>23</v>
      </c>
      <c r="Q45" t="s">
        <v>237</v>
      </c>
      <c r="R45">
        <f t="shared" si="0"/>
        <v>95282470</v>
      </c>
      <c r="S45" t="str" cm="1">
        <f t="array" ref="S45">IF(C45="",IFERROR(INDEX($C$2:$C$1166,MATCH(MAX(COUNTIF($C$2:$C$1166,$C$2:$C$1166)),COUNTIF($C$2:$C$1166,$C$2:$C$1166),0)),"Unknown"),C45)</f>
        <v>Amir Anderson</v>
      </c>
      <c r="T45" s="4" t="str" cm="1">
        <f t="array" ref="T45">IF(D45="",IFERROR(INDEX($D$2:$D$1000,MATCH(MAX(COUNTIF($D$2:$D$1166,$D$2:$D$1166)),COUNTIF($D$2:$D$1166,$D$2:$D$1166),0)),"Unknown"),D45)</f>
        <v>Priya Rostova</v>
      </c>
      <c r="U45" t="str">
        <f t="shared" si="1"/>
        <v>AUD</v>
      </c>
      <c r="V45" s="7" t="str">
        <f t="shared" si="1"/>
        <v>EUR</v>
      </c>
      <c r="W45" s="7" t="str">
        <f t="shared" si="2"/>
        <v>Canada</v>
      </c>
      <c r="X45" s="7" t="str">
        <f t="shared" si="2"/>
        <v>France</v>
      </c>
      <c r="Y45" s="7" t="str" cm="1">
        <f t="array" ref="Y45">IF(H45="",IFERROR(INDEX($H$2:$H$1166,MATCH(MAX(COUNTIF($H$2:$H$1166,$H$2:$H$1166)),COUNTIF($H$2:$H$1166,$H$2:$H$1166),0)),"Unknown"),H45)</f>
        <v>Pending</v>
      </c>
      <c r="Z45" s="7" t="str">
        <f t="shared" si="3"/>
        <v>Outer-Transaction</v>
      </c>
      <c r="AA45" s="7">
        <f>IF(J45="",AVERAGE($J:$J),J45)</f>
        <v>5835.8</v>
      </c>
      <c r="AB45" s="7">
        <f>IF(N45="",AVERAGE($N:$N),N45)</f>
        <v>61</v>
      </c>
      <c r="AC45" s="7">
        <f t="shared" si="4"/>
        <v>2024</v>
      </c>
      <c r="AD45" s="7">
        <f t="shared" si="5"/>
        <v>5</v>
      </c>
      <c r="AE45" s="7">
        <f>COUNTIF(A:A,A45)</f>
        <v>1</v>
      </c>
      <c r="AF45" s="7" t="str">
        <f t="shared" si="6"/>
        <v>No</v>
      </c>
    </row>
    <row r="46" spans="1:32">
      <c r="A46" t="s">
        <v>238</v>
      </c>
      <c r="B46">
        <v>69509870</v>
      </c>
      <c r="C46" t="s">
        <v>239</v>
      </c>
      <c r="D46" t="s">
        <v>240</v>
      </c>
      <c r="E46" t="s">
        <v>3373</v>
      </c>
      <c r="F46" t="s">
        <v>45</v>
      </c>
      <c r="G46" t="s">
        <v>34</v>
      </c>
      <c r="H46" t="s">
        <v>25</v>
      </c>
      <c r="I46" t="s">
        <v>3372</v>
      </c>
      <c r="J46">
        <v>1384.18</v>
      </c>
      <c r="K46" t="s">
        <v>47</v>
      </c>
      <c r="L46" t="s">
        <v>28</v>
      </c>
      <c r="M46" s="1">
        <v>46025.275694444441</v>
      </c>
      <c r="N46">
        <v>25</v>
      </c>
      <c r="O46" t="s">
        <v>127</v>
      </c>
      <c r="P46" t="s">
        <v>68</v>
      </c>
      <c r="Q46" t="s">
        <v>241</v>
      </c>
      <c r="R46">
        <f t="shared" si="0"/>
        <v>69509870</v>
      </c>
      <c r="S46" t="str" cm="1">
        <f t="array" ref="S46">IF(C46="",IFERROR(INDEX($C$2:$C$1166,MATCH(MAX(COUNTIF($C$2:$C$1166,$C$2:$C$1166)),COUNTIF($C$2:$C$1166,$C$2:$C$1166),0)),"Unknown"),C46)</f>
        <v>Thomas Davis</v>
      </c>
      <c r="T46" s="4" t="str" cm="1">
        <f t="array" ref="T46">IF(D46="",IFERROR(INDEX($D$2:$D$1000,MATCH(MAX(COUNTIF($D$2:$D$1166,$D$2:$D$1166)),COUNTIF($D$2:$D$1166,$D$2:$D$1166),0)),"Unknown"),D46)</f>
        <v>Zayn Lopez</v>
      </c>
      <c r="U46" t="str">
        <f t="shared" si="1"/>
        <v>ZAR</v>
      </c>
      <c r="V46" s="7" t="str">
        <f t="shared" si="1"/>
        <v>CAD</v>
      </c>
      <c r="W46" s="7" t="str">
        <f t="shared" si="2"/>
        <v>Canada</v>
      </c>
      <c r="X46" s="7" t="str">
        <f t="shared" si="2"/>
        <v>UAE</v>
      </c>
      <c r="Y46" s="7" t="str" cm="1">
        <f t="array" ref="Y46">IF(H46="",IFERROR(INDEX($H$2:$H$1166,MATCH(MAX(COUNTIF($H$2:$H$1166,$H$2:$H$1166)),COUNTIF($H$2:$H$1166,$H$2:$H$1166),0)),"Unknown"),H46)</f>
        <v>KYC</v>
      </c>
      <c r="Z46" s="7" t="str">
        <f t="shared" si="3"/>
        <v>Outer-Transaction</v>
      </c>
      <c r="AA46" s="7">
        <f>IF(J46="",AVERAGE($J:$J),J46)</f>
        <v>1384.18</v>
      </c>
      <c r="AB46" s="7">
        <f>IF(N46="",AVERAGE($N:$N),N46)</f>
        <v>25</v>
      </c>
      <c r="AC46" s="7">
        <f t="shared" si="4"/>
        <v>2026</v>
      </c>
      <c r="AD46" s="7">
        <f t="shared" si="5"/>
        <v>1</v>
      </c>
      <c r="AE46" s="7">
        <f>COUNTIF(A:A,A46)</f>
        <v>1</v>
      </c>
      <c r="AF46" s="7" t="str">
        <f t="shared" si="6"/>
        <v>Yes</v>
      </c>
    </row>
    <row r="47" spans="1:32">
      <c r="A47" t="s">
        <v>242</v>
      </c>
      <c r="B47">
        <v>41272553</v>
      </c>
      <c r="C47" t="s">
        <v>243</v>
      </c>
      <c r="D47" t="s">
        <v>244</v>
      </c>
      <c r="E47" t="s">
        <v>20</v>
      </c>
      <c r="F47" t="s">
        <v>80</v>
      </c>
      <c r="G47" t="s">
        <v>53</v>
      </c>
      <c r="I47" t="s">
        <v>3377</v>
      </c>
      <c r="J47">
        <v>1985.73</v>
      </c>
      <c r="K47" t="s">
        <v>57</v>
      </c>
      <c r="L47" t="s">
        <v>48</v>
      </c>
      <c r="M47" s="1">
        <v>45700.168055555558</v>
      </c>
      <c r="N47">
        <v>64</v>
      </c>
      <c r="O47" t="s">
        <v>54</v>
      </c>
      <c r="P47" t="s">
        <v>62</v>
      </c>
      <c r="Q47" t="s">
        <v>245</v>
      </c>
      <c r="R47">
        <f t="shared" si="0"/>
        <v>41272553</v>
      </c>
      <c r="S47" t="str" cm="1">
        <f t="array" ref="S47">IF(C47="",IFERROR(INDEX($C$2:$C$1166,MATCH(MAX(COUNTIF($C$2:$C$1166,$C$2:$C$1166)),COUNTIF($C$2:$C$1166,$C$2:$C$1166),0)),"Unknown"),C47)</f>
        <v>Richard Dubois</v>
      </c>
      <c r="T47" s="4" t="str" cm="1">
        <f t="array" ref="T47">IF(D47="",IFERROR(INDEX($D$2:$D$1000,MATCH(MAX(COUNTIF($D$2:$D$1166,$D$2:$D$1166)),COUNTIF($D$2:$D$1166,$D$2:$D$1166),0)),"Unknown"),D47)</f>
        <v>Michael Silva</v>
      </c>
      <c r="U47" t="str">
        <f t="shared" si="1"/>
        <v>USD</v>
      </c>
      <c r="V47" s="7" t="str">
        <f t="shared" si="1"/>
        <v>AED</v>
      </c>
      <c r="W47" s="7" t="str">
        <f t="shared" si="2"/>
        <v>India</v>
      </c>
      <c r="X47" s="7" t="str">
        <f t="shared" si="2"/>
        <v>Australia</v>
      </c>
      <c r="Y47" s="7" t="str" cm="1">
        <f t="array" ref="Y47">IF(H47="",IFERROR(INDEX($H$2:$H$1166,MATCH(MAX(COUNTIF($H$2:$H$1166,$H$2:$H$1166)),COUNTIF($H$2:$H$1166,$H$2:$H$1166),0)),"Unknown"),H47)</f>
        <v>Pending</v>
      </c>
      <c r="Z47" s="7" t="str">
        <f t="shared" si="3"/>
        <v>Inter-Transaction</v>
      </c>
      <c r="AA47" s="7">
        <f>IF(J47="",AVERAGE($J:$J),J47)</f>
        <v>1985.73</v>
      </c>
      <c r="AB47" s="7">
        <f>IF(N47="",AVERAGE($N:$N),N47)</f>
        <v>64</v>
      </c>
      <c r="AC47" s="7">
        <f t="shared" si="4"/>
        <v>2025</v>
      </c>
      <c r="AD47" s="7">
        <f t="shared" si="5"/>
        <v>2</v>
      </c>
      <c r="AE47" s="7">
        <f>COUNTIF(A:A,A47)</f>
        <v>1</v>
      </c>
      <c r="AF47" s="7" t="str">
        <f t="shared" si="6"/>
        <v>No</v>
      </c>
    </row>
    <row r="48" spans="1:32">
      <c r="A48" t="s">
        <v>246</v>
      </c>
      <c r="B48">
        <v>58592048</v>
      </c>
      <c r="C48" t="s">
        <v>247</v>
      </c>
      <c r="D48" t="s">
        <v>248</v>
      </c>
      <c r="E48" t="s">
        <v>3373</v>
      </c>
      <c r="F48" t="s">
        <v>116</v>
      </c>
      <c r="G48" t="s">
        <v>80</v>
      </c>
      <c r="H48" t="s">
        <v>25</v>
      </c>
      <c r="I48" t="s">
        <v>3377</v>
      </c>
      <c r="J48">
        <v>14978.82</v>
      </c>
      <c r="K48" t="s">
        <v>39</v>
      </c>
      <c r="L48" t="s">
        <v>81</v>
      </c>
      <c r="M48" s="1">
        <v>44846.479166666664</v>
      </c>
      <c r="N48">
        <v>52</v>
      </c>
      <c r="O48" t="s">
        <v>37</v>
      </c>
      <c r="P48" t="s">
        <v>54</v>
      </c>
      <c r="Q48" t="s">
        <v>249</v>
      </c>
      <c r="R48">
        <f t="shared" si="0"/>
        <v>58592048</v>
      </c>
      <c r="S48" t="str" cm="1">
        <f t="array" ref="S48">IF(C48="",IFERROR(INDEX($C$2:$C$1166,MATCH(MAX(COUNTIF($C$2:$C$1166,$C$2:$C$1166)),COUNTIF($C$2:$C$1166,$C$2:$C$1166),0)),"Unknown"),C48)</f>
        <v>Charles Jackson</v>
      </c>
      <c r="T48" s="4" t="str" cm="1">
        <f t="array" ref="T48">IF(D48="",IFERROR(INDEX($D$2:$D$1000,MATCH(MAX(COUNTIF($D$2:$D$1166,$D$2:$D$1166)),COUNTIF($D$2:$D$1166,$D$2:$D$1166),0)),"Unknown"),D48)</f>
        <v>Patricia Anderson</v>
      </c>
      <c r="U48" t="str">
        <f t="shared" si="1"/>
        <v>CHF</v>
      </c>
      <c r="V48" s="7" t="str">
        <f t="shared" si="1"/>
        <v>USD</v>
      </c>
      <c r="W48" s="7" t="str">
        <f t="shared" si="2"/>
        <v>South Africa</v>
      </c>
      <c r="X48" s="7" t="str">
        <f t="shared" si="2"/>
        <v>India</v>
      </c>
      <c r="Y48" s="7" t="str" cm="1">
        <f t="array" ref="Y48">IF(H48="",IFERROR(INDEX($H$2:$H$1166,MATCH(MAX(COUNTIF($H$2:$H$1166,$H$2:$H$1166)),COUNTIF($H$2:$H$1166,$H$2:$H$1166),0)),"Unknown"),H48)</f>
        <v>KYC</v>
      </c>
      <c r="Z48" s="7" t="str">
        <f t="shared" si="3"/>
        <v>Inter-Transaction</v>
      </c>
      <c r="AA48" s="7">
        <f>IF(J48="",AVERAGE($J:$J),J48)</f>
        <v>14978.82</v>
      </c>
      <c r="AB48" s="7">
        <f>IF(N48="",AVERAGE($N:$N),N48)</f>
        <v>52</v>
      </c>
      <c r="AC48" s="7">
        <f t="shared" si="4"/>
        <v>2022</v>
      </c>
      <c r="AD48" s="7">
        <f t="shared" si="5"/>
        <v>10</v>
      </c>
      <c r="AE48" s="7">
        <f>COUNTIF(A:A,A48)</f>
        <v>1</v>
      </c>
      <c r="AF48" s="7" t="str">
        <f t="shared" si="6"/>
        <v>Yes</v>
      </c>
    </row>
    <row r="49" spans="1:32">
      <c r="A49" t="s">
        <v>250</v>
      </c>
      <c r="B49">
        <v>94970119</v>
      </c>
      <c r="C49" t="s">
        <v>251</v>
      </c>
      <c r="D49" t="s">
        <v>252</v>
      </c>
      <c r="E49" t="s">
        <v>33</v>
      </c>
      <c r="F49" t="s">
        <v>116</v>
      </c>
      <c r="G49" t="s">
        <v>98</v>
      </c>
      <c r="I49" t="s">
        <v>3374</v>
      </c>
      <c r="J49">
        <v>13166.82</v>
      </c>
      <c r="K49" t="s">
        <v>27</v>
      </c>
      <c r="L49" t="s">
        <v>48</v>
      </c>
      <c r="M49" s="1">
        <v>44276.611805555556</v>
      </c>
      <c r="N49">
        <v>53</v>
      </c>
      <c r="O49" t="s">
        <v>68</v>
      </c>
      <c r="P49" t="s">
        <v>62</v>
      </c>
      <c r="Q49" t="s">
        <v>253</v>
      </c>
      <c r="R49">
        <f t="shared" si="0"/>
        <v>94970119</v>
      </c>
      <c r="S49" t="str" cm="1">
        <f t="array" ref="S49">IF(C49="",IFERROR(INDEX($C$2:$C$1166,MATCH(MAX(COUNTIF($C$2:$C$1166,$C$2:$C$1166)),COUNTIF($C$2:$C$1166,$C$2:$C$1166),0)),"Unknown"),C49)</f>
        <v>Christopher Moore</v>
      </c>
      <c r="T49" s="4" t="str" cm="1">
        <f t="array" ref="T49">IF(D49="",IFERROR(INDEX($D$2:$D$1000,MATCH(MAX(COUNTIF($D$2:$D$1166,$D$2:$D$1166)),COUNTIF($D$2:$D$1166,$D$2:$D$1166),0)),"Unknown"),D49)</f>
        <v>Elena Hernandez</v>
      </c>
      <c r="U49" t="str">
        <f t="shared" si="1"/>
        <v>CHF</v>
      </c>
      <c r="V49" s="7" t="str">
        <f t="shared" si="1"/>
        <v>JPY</v>
      </c>
      <c r="W49" s="7" t="str">
        <f t="shared" si="2"/>
        <v>UAE</v>
      </c>
      <c r="X49" s="7" t="str">
        <f t="shared" si="2"/>
        <v>Australia</v>
      </c>
      <c r="Y49" s="7" t="str" cm="1">
        <f t="array" ref="Y49">IF(H49="",IFERROR(INDEX($H$2:$H$1166,MATCH(MAX(COUNTIF($H$2:$H$1166,$H$2:$H$1166)),COUNTIF($H$2:$H$1166,$H$2:$H$1166),0)),"Unknown"),H49)</f>
        <v>Pending</v>
      </c>
      <c r="Z49" s="7" t="str">
        <f t="shared" si="3"/>
        <v>External</v>
      </c>
      <c r="AA49" s="7">
        <f>IF(J49="",AVERAGE($J:$J),J49)</f>
        <v>13166.82</v>
      </c>
      <c r="AB49" s="7">
        <f>IF(N49="",AVERAGE($N:$N),N49)</f>
        <v>53</v>
      </c>
      <c r="AC49" s="7">
        <f t="shared" si="4"/>
        <v>2021</v>
      </c>
      <c r="AD49" s="7">
        <f t="shared" si="5"/>
        <v>3</v>
      </c>
      <c r="AE49" s="7">
        <f>COUNTIF(A:A,A49)</f>
        <v>1</v>
      </c>
      <c r="AF49" s="7" t="str">
        <f t="shared" si="6"/>
        <v>Yes</v>
      </c>
    </row>
    <row r="50" spans="1:32">
      <c r="A50" t="s">
        <v>254</v>
      </c>
      <c r="B50">
        <v>99269266</v>
      </c>
      <c r="C50" t="s">
        <v>255</v>
      </c>
      <c r="D50" t="s">
        <v>256</v>
      </c>
      <c r="E50" t="s">
        <v>20</v>
      </c>
      <c r="F50" t="s">
        <v>35</v>
      </c>
      <c r="G50" t="s">
        <v>35</v>
      </c>
      <c r="H50" t="s">
        <v>38</v>
      </c>
      <c r="I50" t="s">
        <v>3377</v>
      </c>
      <c r="J50">
        <v>8801.11</v>
      </c>
      <c r="K50" t="s">
        <v>27</v>
      </c>
      <c r="L50" t="s">
        <v>75</v>
      </c>
      <c r="M50" s="1">
        <v>46099.804166666669</v>
      </c>
      <c r="N50">
        <v>67</v>
      </c>
      <c r="O50" t="s">
        <v>68</v>
      </c>
      <c r="P50" t="s">
        <v>93</v>
      </c>
      <c r="Q50" t="s">
        <v>257</v>
      </c>
      <c r="R50">
        <f t="shared" si="0"/>
        <v>99269266</v>
      </c>
      <c r="S50" t="str" cm="1">
        <f t="array" ref="S50">IF(C50="",IFERROR(INDEX($C$2:$C$1166,MATCH(MAX(COUNTIF($C$2:$C$1166,$C$2:$C$1166)),COUNTIF($C$2:$C$1166,$C$2:$C$1166),0)),"Unknown"),C50)</f>
        <v>David Lopez</v>
      </c>
      <c r="T50" s="4" t="str" cm="1">
        <f t="array" ref="T50">IF(D50="",IFERROR(INDEX($D$2:$D$1000,MATCH(MAX(COUNTIF($D$2:$D$1166,$D$2:$D$1166)),COUNTIF($D$2:$D$1166,$D$2:$D$1166),0)),"Unknown"),D50)</f>
        <v>Michael Velez</v>
      </c>
      <c r="U50" t="str">
        <f t="shared" si="1"/>
        <v>EUR</v>
      </c>
      <c r="V50" s="7" t="str">
        <f t="shared" si="1"/>
        <v>EUR</v>
      </c>
      <c r="W50" s="7" t="str">
        <f t="shared" si="2"/>
        <v>UAE</v>
      </c>
      <c r="X50" s="7" t="str">
        <f t="shared" si="2"/>
        <v>USA</v>
      </c>
      <c r="Y50" s="7" t="str" cm="1">
        <f t="array" ref="Y50">IF(H50="",IFERROR(INDEX($H$2:$H$1166,MATCH(MAX(COUNTIF($H$2:$H$1166,$H$2:$H$1166)),COUNTIF($H$2:$H$1166,$H$2:$H$1166),0)),"Unknown"),H50)</f>
        <v>Pending</v>
      </c>
      <c r="Z50" s="7" t="str">
        <f t="shared" si="3"/>
        <v>Inter-Transaction</v>
      </c>
      <c r="AA50" s="7">
        <f>IF(J50="",AVERAGE($J:$J),J50)</f>
        <v>8801.11</v>
      </c>
      <c r="AB50" s="7">
        <f>IF(N50="",AVERAGE($N:$N),N50)</f>
        <v>67</v>
      </c>
      <c r="AC50" s="7">
        <f t="shared" si="4"/>
        <v>2026</v>
      </c>
      <c r="AD50" s="7">
        <f t="shared" si="5"/>
        <v>3</v>
      </c>
      <c r="AE50" s="7">
        <f>COUNTIF(A:A,A50)</f>
        <v>1</v>
      </c>
      <c r="AF50" s="7" t="str">
        <f t="shared" si="6"/>
        <v>No</v>
      </c>
    </row>
    <row r="51" spans="1:32">
      <c r="A51" t="s">
        <v>258</v>
      </c>
      <c r="B51">
        <v>51936181</v>
      </c>
      <c r="C51" t="s">
        <v>259</v>
      </c>
      <c r="D51" t="s">
        <v>260</v>
      </c>
      <c r="E51" t="s">
        <v>3373</v>
      </c>
      <c r="F51" t="s">
        <v>45</v>
      </c>
      <c r="G51" t="s">
        <v>44</v>
      </c>
      <c r="H51" t="s">
        <v>38</v>
      </c>
      <c r="I51" t="s">
        <v>3371</v>
      </c>
      <c r="J51">
        <v>12110.25</v>
      </c>
      <c r="K51" t="s">
        <v>27</v>
      </c>
      <c r="L51" t="s">
        <v>28</v>
      </c>
      <c r="M51" s="1">
        <v>45232.665972222225</v>
      </c>
      <c r="N51">
        <v>21</v>
      </c>
      <c r="O51" t="s">
        <v>24</v>
      </c>
      <c r="P51" t="s">
        <v>93</v>
      </c>
      <c r="Q51" t="s">
        <v>261</v>
      </c>
      <c r="R51">
        <f t="shared" si="0"/>
        <v>51936181</v>
      </c>
      <c r="S51" t="str" cm="1">
        <f t="array" ref="S51">IF(C51="",IFERROR(INDEX($C$2:$C$1166,MATCH(MAX(COUNTIF($C$2:$C$1166,$C$2:$C$1166)),COUNTIF($C$2:$C$1166,$C$2:$C$1166),0)),"Unknown"),C51)</f>
        <v>Susan Brown</v>
      </c>
      <c r="T51" s="4" t="str" cm="1">
        <f t="array" ref="T51">IF(D51="",IFERROR(INDEX($D$2:$D$1000,MATCH(MAX(COUNTIF($D$2:$D$1166,$D$2:$D$1166)),COUNTIF($D$2:$D$1166,$D$2:$D$1166),0)),"Unknown"),D51)</f>
        <v>Christopher Taylor</v>
      </c>
      <c r="U51" t="str">
        <f t="shared" si="1"/>
        <v>ZAR</v>
      </c>
      <c r="V51" s="7" t="str">
        <f t="shared" si="1"/>
        <v>SGD</v>
      </c>
      <c r="W51" s="7" t="str">
        <f t="shared" si="2"/>
        <v>Brazil</v>
      </c>
      <c r="X51" s="7" t="str">
        <f t="shared" si="2"/>
        <v>USA</v>
      </c>
      <c r="Y51" s="7" t="str" cm="1">
        <f t="array" ref="Y51">IF(H51="",IFERROR(INDEX($H$2:$H$1166,MATCH(MAX(COUNTIF($H$2:$H$1166,$H$2:$H$1166)),COUNTIF($H$2:$H$1166,$H$2:$H$1166),0)),"Unknown"),H51)</f>
        <v>Pending</v>
      </c>
      <c r="Z51" s="7" t="str">
        <f t="shared" si="3"/>
        <v>Outer-Transaction</v>
      </c>
      <c r="AA51" s="7">
        <f>IF(J51="",AVERAGE($J:$J),J51)</f>
        <v>12110.25</v>
      </c>
      <c r="AB51" s="7">
        <f>IF(N51="",AVERAGE($N:$N),N51)</f>
        <v>21</v>
      </c>
      <c r="AC51" s="7">
        <f t="shared" si="4"/>
        <v>2023</v>
      </c>
      <c r="AD51" s="7">
        <f t="shared" si="5"/>
        <v>11</v>
      </c>
      <c r="AE51" s="7">
        <f>COUNTIF(A:A,A51)</f>
        <v>1</v>
      </c>
      <c r="AF51" s="7" t="str">
        <f t="shared" si="6"/>
        <v>Yes</v>
      </c>
    </row>
    <row r="52" spans="1:32">
      <c r="A52" t="s">
        <v>262</v>
      </c>
      <c r="B52">
        <v>98227303</v>
      </c>
      <c r="C52" t="s">
        <v>263</v>
      </c>
      <c r="D52" t="s">
        <v>264</v>
      </c>
      <c r="E52" t="s">
        <v>20</v>
      </c>
      <c r="F52" t="s">
        <v>80</v>
      </c>
      <c r="G52" t="s">
        <v>35</v>
      </c>
      <c r="I52" t="s">
        <v>3378</v>
      </c>
      <c r="J52">
        <v>11654.77</v>
      </c>
      <c r="K52" t="s">
        <v>27</v>
      </c>
      <c r="L52" t="s">
        <v>28</v>
      </c>
      <c r="M52" s="1">
        <v>45973.443749999999</v>
      </c>
      <c r="N52">
        <v>19</v>
      </c>
      <c r="O52" t="s">
        <v>36</v>
      </c>
      <c r="P52" t="s">
        <v>37</v>
      </c>
      <c r="Q52" t="s">
        <v>265</v>
      </c>
      <c r="R52">
        <f t="shared" si="0"/>
        <v>98227303</v>
      </c>
      <c r="S52" t="str" cm="1">
        <f t="array" ref="S52">IF(C52="",IFERROR(INDEX($C$2:$C$1166,MATCH(MAX(COUNTIF($C$2:$C$1166,$C$2:$C$1166)),COUNTIF($C$2:$C$1166,$C$2:$C$1166),0)),"Unknown"),C52)</f>
        <v>Joseph Williams</v>
      </c>
      <c r="T52" s="4" t="str" cm="1">
        <f t="array" ref="T52">IF(D52="",IFERROR(INDEX($D$2:$D$1000,MATCH(MAX(COUNTIF($D$2:$D$1166,$D$2:$D$1166)),COUNTIF($D$2:$D$1166,$D$2:$D$1166),0)),"Unknown"),D52)</f>
        <v>Michael Al-Sayed</v>
      </c>
      <c r="U52" t="str">
        <f t="shared" si="1"/>
        <v>USD</v>
      </c>
      <c r="V52" s="7" t="str">
        <f t="shared" si="1"/>
        <v>EUR</v>
      </c>
      <c r="W52" s="7" t="str">
        <f t="shared" si="2"/>
        <v>Germany</v>
      </c>
      <c r="X52" s="7" t="str">
        <f t="shared" si="2"/>
        <v>South Africa</v>
      </c>
      <c r="Y52" s="7" t="str" cm="1">
        <f t="array" ref="Y52">IF(H52="",IFERROR(INDEX($H$2:$H$1166,MATCH(MAX(COUNTIF($H$2:$H$1166,$H$2:$H$1166)),COUNTIF($H$2:$H$1166,$H$2:$H$1166),0)),"Unknown"),H52)</f>
        <v>Pending</v>
      </c>
      <c r="Z52" s="7" t="str">
        <f t="shared" si="3"/>
        <v>Inter-Transaction</v>
      </c>
      <c r="AA52" s="7">
        <f>IF(J52="",AVERAGE($J:$J),J52)</f>
        <v>11654.77</v>
      </c>
      <c r="AB52" s="7">
        <f>IF(N52="",AVERAGE($N:$N),N52)</f>
        <v>19</v>
      </c>
      <c r="AC52" s="7">
        <f t="shared" si="4"/>
        <v>2025</v>
      </c>
      <c r="AD52" s="7">
        <f t="shared" si="5"/>
        <v>11</v>
      </c>
      <c r="AE52" s="7">
        <f>COUNTIF(A:A,A52)</f>
        <v>1</v>
      </c>
      <c r="AF52" s="7" t="str">
        <f t="shared" si="6"/>
        <v>No</v>
      </c>
    </row>
    <row r="53" spans="1:32">
      <c r="A53" t="s">
        <v>266</v>
      </c>
      <c r="B53">
        <v>65590800</v>
      </c>
      <c r="C53" t="s">
        <v>267</v>
      </c>
      <c r="E53" t="b">
        <v>1</v>
      </c>
      <c r="F53" t="s">
        <v>92</v>
      </c>
      <c r="G53" t="s">
        <v>35</v>
      </c>
      <c r="H53" t="s">
        <v>56</v>
      </c>
      <c r="I53" t="s">
        <v>3376</v>
      </c>
      <c r="J53">
        <v>831.18</v>
      </c>
      <c r="K53" t="s">
        <v>47</v>
      </c>
      <c r="L53" t="s">
        <v>75</v>
      </c>
      <c r="M53" s="1">
        <v>44092.098611111112</v>
      </c>
      <c r="N53">
        <v>23</v>
      </c>
      <c r="O53" t="s">
        <v>55</v>
      </c>
      <c r="P53" t="s">
        <v>55</v>
      </c>
      <c r="Q53" t="s">
        <v>268</v>
      </c>
      <c r="R53">
        <f t="shared" si="0"/>
        <v>65590800</v>
      </c>
      <c r="S53" t="str" cm="1">
        <f t="array" ref="S53">IF(C53="",IFERROR(INDEX($C$2:$C$1166,MATCH(MAX(COUNTIF($C$2:$C$1166,$C$2:$C$1166)),COUNTIF($C$2:$C$1166,$C$2:$C$1166),0)),"Unknown"),C53)</f>
        <v>David Miller</v>
      </c>
      <c r="T53" s="4" t="str" cm="1">
        <f t="array" ref="T53">IF(D53="",IFERROR(INDEX($D$2:$D$1000,MATCH(MAX(COUNTIF($D$2:$D$1166,$D$2:$D$1166)),COUNTIF($D$2:$D$1166,$D$2:$D$1166),0)),"Unknown"),D53)</f>
        <v>Patricia Smith</v>
      </c>
      <c r="U53" t="str">
        <f t="shared" si="1"/>
        <v>AUD</v>
      </c>
      <c r="V53" s="7" t="str">
        <f t="shared" si="1"/>
        <v>EUR</v>
      </c>
      <c r="W53" s="7" t="str">
        <f t="shared" si="2"/>
        <v>UK</v>
      </c>
      <c r="X53" s="7" t="str">
        <f t="shared" si="2"/>
        <v>UK</v>
      </c>
      <c r="Y53" s="7" t="str" cm="1">
        <f t="array" ref="Y53">IF(H53="",IFERROR(INDEX($H$2:$H$1166,MATCH(MAX(COUNTIF($H$2:$H$1166,$H$2:$H$1166)),COUNTIF($H$2:$H$1166,$H$2:$H$1166),0)),"Unknown"),H53)</f>
        <v>Unverified</v>
      </c>
      <c r="Z53" s="7" t="str">
        <f t="shared" si="3"/>
        <v>Internal</v>
      </c>
      <c r="AA53" s="7">
        <f>IF(J53="",AVERAGE($J:$J),J53)</f>
        <v>831.18</v>
      </c>
      <c r="AB53" s="7">
        <f>IF(N53="",AVERAGE($N:$N),N53)</f>
        <v>23</v>
      </c>
      <c r="AC53" s="7">
        <f t="shared" si="4"/>
        <v>2020</v>
      </c>
      <c r="AD53" s="7">
        <f t="shared" si="5"/>
        <v>9</v>
      </c>
      <c r="AE53" s="7">
        <f>COUNTIF(A:A,A53)</f>
        <v>1</v>
      </c>
      <c r="AF53" s="7" t="str">
        <f t="shared" si="6"/>
        <v>No</v>
      </c>
    </row>
    <row r="54" spans="1:32">
      <c r="A54" t="s">
        <v>269</v>
      </c>
      <c r="B54">
        <v>40884937</v>
      </c>
      <c r="C54" t="s">
        <v>270</v>
      </c>
      <c r="D54" t="s">
        <v>271</v>
      </c>
      <c r="E54" t="s">
        <v>20</v>
      </c>
      <c r="F54" t="s">
        <v>35</v>
      </c>
      <c r="G54" t="s">
        <v>160</v>
      </c>
      <c r="H54" t="s">
        <v>38</v>
      </c>
      <c r="I54" t="s">
        <v>3372</v>
      </c>
      <c r="J54">
        <v>8605.26</v>
      </c>
      <c r="K54" t="s">
        <v>39</v>
      </c>
      <c r="L54" t="s">
        <v>75</v>
      </c>
      <c r="M54" s="1">
        <v>45679.265277777777</v>
      </c>
      <c r="N54">
        <v>71</v>
      </c>
      <c r="O54" t="s">
        <v>68</v>
      </c>
      <c r="P54" t="s">
        <v>23</v>
      </c>
      <c r="Q54" t="s">
        <v>272</v>
      </c>
      <c r="R54">
        <f t="shared" si="0"/>
        <v>40884937</v>
      </c>
      <c r="S54" t="str" cm="1">
        <f t="array" ref="S54">IF(C54="",IFERROR(INDEX($C$2:$C$1166,MATCH(MAX(COUNTIF($C$2:$C$1166,$C$2:$C$1166)),COUNTIF($C$2:$C$1166,$C$2:$C$1166),0)),"Unknown"),C54)</f>
        <v>Charles Moore</v>
      </c>
      <c r="T54" s="4" t="str" cm="1">
        <f t="array" ref="T54">IF(D54="",IFERROR(INDEX($D$2:$D$1000,MATCH(MAX(COUNTIF($D$2:$D$1166,$D$2:$D$1166)),COUNTIF($D$2:$D$1166,$D$2:$D$1166),0)),"Unknown"),D54)</f>
        <v>Amir Velez</v>
      </c>
      <c r="U54" t="str">
        <f t="shared" si="1"/>
        <v>EUR</v>
      </c>
      <c r="V54" s="7" t="str">
        <f t="shared" si="1"/>
        <v>aud</v>
      </c>
      <c r="W54" s="7" t="str">
        <f t="shared" si="2"/>
        <v>UAE</v>
      </c>
      <c r="X54" s="7" t="str">
        <f t="shared" si="2"/>
        <v>France</v>
      </c>
      <c r="Y54" s="7" t="str" cm="1">
        <f t="array" ref="Y54">IF(H54="",IFERROR(INDEX($H$2:$H$1166,MATCH(MAX(COUNTIF($H$2:$H$1166,$H$2:$H$1166)),COUNTIF($H$2:$H$1166,$H$2:$H$1166),0)),"Unknown"),H54)</f>
        <v>Pending</v>
      </c>
      <c r="Z54" s="7" t="str">
        <f t="shared" si="3"/>
        <v>Outer-Transaction</v>
      </c>
      <c r="AA54" s="7">
        <f>IF(J54="",AVERAGE($J:$J),J54)</f>
        <v>8605.26</v>
      </c>
      <c r="AB54" s="7">
        <f>IF(N54="",AVERAGE($N:$N),N54)</f>
        <v>71</v>
      </c>
      <c r="AC54" s="7">
        <f t="shared" si="4"/>
        <v>2025</v>
      </c>
      <c r="AD54" s="7">
        <f t="shared" si="5"/>
        <v>1</v>
      </c>
      <c r="AE54" s="7">
        <f>COUNTIF(A:A,A54)</f>
        <v>1</v>
      </c>
      <c r="AF54" s="7" t="str">
        <f t="shared" si="6"/>
        <v>No</v>
      </c>
    </row>
    <row r="55" spans="1:32">
      <c r="A55" t="s">
        <v>273</v>
      </c>
      <c r="B55">
        <v>68614462</v>
      </c>
      <c r="C55" t="s">
        <v>43</v>
      </c>
      <c r="D55" t="s">
        <v>274</v>
      </c>
      <c r="E55" t="s">
        <v>20</v>
      </c>
      <c r="F55" t="s">
        <v>98</v>
      </c>
      <c r="G55" t="s">
        <v>35</v>
      </c>
      <c r="H55" t="s">
        <v>38</v>
      </c>
      <c r="I55" t="s">
        <v>3374</v>
      </c>
      <c r="J55">
        <v>1719.26</v>
      </c>
      <c r="K55" t="s">
        <v>27</v>
      </c>
      <c r="L55" t="s">
        <v>48</v>
      </c>
      <c r="M55" s="1">
        <v>44727.28125</v>
      </c>
      <c r="N55">
        <v>21</v>
      </c>
      <c r="O55" t="s">
        <v>37</v>
      </c>
      <c r="P55" t="s">
        <v>68</v>
      </c>
      <c r="Q55" t="s">
        <v>275</v>
      </c>
      <c r="R55">
        <f t="shared" si="0"/>
        <v>68614462</v>
      </c>
      <c r="S55" t="str" cm="1">
        <f t="array" ref="S55">IF(C55="",IFERROR(INDEX($C$2:$C$1166,MATCH(MAX(COUNTIF($C$2:$C$1166,$C$2:$C$1166)),COUNTIF($C$2:$C$1166,$C$2:$C$1166),0)),"Unknown"),C55)</f>
        <v>Zayn Brown</v>
      </c>
      <c r="T55" s="4" t="str" cm="1">
        <f t="array" ref="T55">IF(D55="",IFERROR(INDEX($D$2:$D$1000,MATCH(MAX(COUNTIF($D$2:$D$1166,$D$2:$D$1166)),COUNTIF($D$2:$D$1166,$D$2:$D$1166),0)),"Unknown"),D55)</f>
        <v>Elizabeth Wilson</v>
      </c>
      <c r="U55" t="str">
        <f t="shared" si="1"/>
        <v>JPY</v>
      </c>
      <c r="V55" s="7" t="str">
        <f t="shared" si="1"/>
        <v>EUR</v>
      </c>
      <c r="W55" s="7" t="str">
        <f t="shared" si="2"/>
        <v>South Africa</v>
      </c>
      <c r="X55" s="7" t="str">
        <f t="shared" si="2"/>
        <v>UAE</v>
      </c>
      <c r="Y55" s="7" t="str" cm="1">
        <f t="array" ref="Y55">IF(H55="",IFERROR(INDEX($H$2:$H$1166,MATCH(MAX(COUNTIF($H$2:$H$1166,$H$2:$H$1166)),COUNTIF($H$2:$H$1166,$H$2:$H$1166),0)),"Unknown"),H55)</f>
        <v>Pending</v>
      </c>
      <c r="Z55" s="7" t="str">
        <f t="shared" si="3"/>
        <v>External</v>
      </c>
      <c r="AA55" s="7">
        <f>IF(J55="",AVERAGE($J:$J),J55)</f>
        <v>1719.26</v>
      </c>
      <c r="AB55" s="7">
        <f>IF(N55="",AVERAGE($N:$N),N55)</f>
        <v>21</v>
      </c>
      <c r="AC55" s="7">
        <f t="shared" si="4"/>
        <v>2022</v>
      </c>
      <c r="AD55" s="7">
        <f t="shared" si="5"/>
        <v>6</v>
      </c>
      <c r="AE55" s="7">
        <f>COUNTIF(A:A,A55)</f>
        <v>1</v>
      </c>
      <c r="AF55" s="7" t="str">
        <f t="shared" si="6"/>
        <v>No</v>
      </c>
    </row>
    <row r="56" spans="1:32">
      <c r="A56" t="s">
        <v>276</v>
      </c>
      <c r="B56">
        <v>30517835</v>
      </c>
      <c r="C56" t="s">
        <v>277</v>
      </c>
      <c r="D56" t="s">
        <v>278</v>
      </c>
      <c r="E56" t="b">
        <v>1</v>
      </c>
      <c r="F56" t="s">
        <v>45</v>
      </c>
      <c r="G56" t="s">
        <v>44</v>
      </c>
      <c r="I56" t="s">
        <v>3374</v>
      </c>
      <c r="J56">
        <v>14798.11</v>
      </c>
      <c r="K56" t="s">
        <v>57</v>
      </c>
      <c r="L56" t="s">
        <v>75</v>
      </c>
      <c r="M56" s="1">
        <v>44925.070138888892</v>
      </c>
      <c r="N56">
        <v>71</v>
      </c>
      <c r="O56" t="s">
        <v>127</v>
      </c>
      <c r="P56" t="s">
        <v>62</v>
      </c>
      <c r="Q56" t="s">
        <v>279</v>
      </c>
      <c r="R56">
        <f t="shared" si="0"/>
        <v>30517835</v>
      </c>
      <c r="S56" t="str" cm="1">
        <f t="array" ref="S56">IF(C56="",IFERROR(INDEX($C$2:$C$1166,MATCH(MAX(COUNTIF($C$2:$C$1166,$C$2:$C$1166)),COUNTIF($C$2:$C$1166,$C$2:$C$1166),0)),"Unknown"),C56)</f>
        <v>Jean-Pierre Dubois</v>
      </c>
      <c r="T56" s="4" t="str" cm="1">
        <f t="array" ref="T56">IF(D56="",IFERROR(INDEX($D$2:$D$1000,MATCH(MAX(COUNTIF($D$2:$D$1166,$D$2:$D$1166)),COUNTIF($D$2:$D$1166,$D$2:$D$1166),0)),"Unknown"),D56)</f>
        <v>Sanjay Williams</v>
      </c>
      <c r="U56" t="str">
        <f t="shared" si="1"/>
        <v>ZAR</v>
      </c>
      <c r="V56" s="7" t="str">
        <f t="shared" si="1"/>
        <v>SGD</v>
      </c>
      <c r="W56" s="7" t="str">
        <f t="shared" si="2"/>
        <v>Canada</v>
      </c>
      <c r="X56" s="7" t="str">
        <f t="shared" si="2"/>
        <v>Australia</v>
      </c>
      <c r="Y56" s="7" t="str" cm="1">
        <f t="array" ref="Y56">IF(H56="",IFERROR(INDEX($H$2:$H$1166,MATCH(MAX(COUNTIF($H$2:$H$1166,$H$2:$H$1166)),COUNTIF($H$2:$H$1166,$H$2:$H$1166),0)),"Unknown"),H56)</f>
        <v>Pending</v>
      </c>
      <c r="Z56" s="7" t="str">
        <f t="shared" si="3"/>
        <v>External</v>
      </c>
      <c r="AA56" s="7">
        <f>IF(J56="",AVERAGE($J:$J),J56)</f>
        <v>14798.11</v>
      </c>
      <c r="AB56" s="7">
        <f>IF(N56="",AVERAGE($N:$N),N56)</f>
        <v>71</v>
      </c>
      <c r="AC56" s="7">
        <f t="shared" si="4"/>
        <v>2022</v>
      </c>
      <c r="AD56" s="7">
        <f t="shared" si="5"/>
        <v>12</v>
      </c>
      <c r="AE56" s="7">
        <f>COUNTIF(A:A,A56)</f>
        <v>1</v>
      </c>
      <c r="AF56" s="7" t="str">
        <f t="shared" si="6"/>
        <v>No</v>
      </c>
    </row>
    <row r="57" spans="1:32">
      <c r="A57" t="s">
        <v>280</v>
      </c>
      <c r="B57">
        <v>71974027</v>
      </c>
      <c r="C57" t="s">
        <v>281</v>
      </c>
      <c r="D57" t="s">
        <v>282</v>
      </c>
      <c r="E57" t="s">
        <v>20</v>
      </c>
      <c r="F57" t="s">
        <v>35</v>
      </c>
      <c r="G57" t="s">
        <v>45</v>
      </c>
      <c r="H57" t="s">
        <v>38</v>
      </c>
      <c r="I57" t="s">
        <v>3374</v>
      </c>
      <c r="J57">
        <v>13439.19</v>
      </c>
      <c r="K57" t="s">
        <v>39</v>
      </c>
      <c r="L57" t="s">
        <v>48</v>
      </c>
      <c r="M57" s="1">
        <v>46097.789583333331</v>
      </c>
      <c r="N57">
        <v>80</v>
      </c>
      <c r="O57" t="s">
        <v>68</v>
      </c>
      <c r="P57" t="s">
        <v>54</v>
      </c>
      <c r="Q57" t="s">
        <v>283</v>
      </c>
      <c r="R57">
        <f t="shared" si="0"/>
        <v>71974027</v>
      </c>
      <c r="S57" t="str" cm="1">
        <f t="array" ref="S57">IF(C57="",IFERROR(INDEX($C$2:$C$1166,MATCH(MAX(COUNTIF($C$2:$C$1166,$C$2:$C$1166)),COUNTIF($C$2:$C$1166,$C$2:$C$1166),0)),"Unknown"),C57)</f>
        <v>Thomas Johnson</v>
      </c>
      <c r="T57" s="4" t="str" cm="1">
        <f t="array" ref="T57">IF(D57="",IFERROR(INDEX($D$2:$D$1000,MATCH(MAX(COUNTIF($D$2:$D$1166,$D$2:$D$1166)),COUNTIF($D$2:$D$1166,$D$2:$D$1166),0)),"Unknown"),D57)</f>
        <v>Mary Lopez</v>
      </c>
      <c r="U57" t="str">
        <f t="shared" si="1"/>
        <v>EUR</v>
      </c>
      <c r="V57" s="7" t="str">
        <f t="shared" si="1"/>
        <v>ZAR</v>
      </c>
      <c r="W57" s="7" t="str">
        <f t="shared" si="2"/>
        <v>UAE</v>
      </c>
      <c r="X57" s="7" t="str">
        <f t="shared" si="2"/>
        <v>India</v>
      </c>
      <c r="Y57" s="7" t="str" cm="1">
        <f t="array" ref="Y57">IF(H57="",IFERROR(INDEX($H$2:$H$1166,MATCH(MAX(COUNTIF($H$2:$H$1166,$H$2:$H$1166)),COUNTIF($H$2:$H$1166,$H$2:$H$1166),0)),"Unknown"),H57)</f>
        <v>Pending</v>
      </c>
      <c r="Z57" s="7" t="str">
        <f t="shared" si="3"/>
        <v>External</v>
      </c>
      <c r="AA57" s="7">
        <f>IF(J57="",AVERAGE($J:$J),J57)</f>
        <v>13439.19</v>
      </c>
      <c r="AB57" s="7">
        <f>IF(N57="",AVERAGE($N:$N),N57)</f>
        <v>80</v>
      </c>
      <c r="AC57" s="7">
        <f t="shared" si="4"/>
        <v>2026</v>
      </c>
      <c r="AD57" s="7">
        <f t="shared" si="5"/>
        <v>3</v>
      </c>
      <c r="AE57" s="7">
        <f>COUNTIF(A:A,A57)</f>
        <v>1</v>
      </c>
      <c r="AF57" s="7" t="str">
        <f t="shared" si="6"/>
        <v>No</v>
      </c>
    </row>
    <row r="58" spans="1:32">
      <c r="A58" t="s">
        <v>284</v>
      </c>
      <c r="B58">
        <v>21318464</v>
      </c>
      <c r="C58" t="s">
        <v>285</v>
      </c>
      <c r="D58" t="s">
        <v>286</v>
      </c>
      <c r="E58" t="s">
        <v>33</v>
      </c>
      <c r="F58" t="s">
        <v>44</v>
      </c>
      <c r="G58" t="s">
        <v>44</v>
      </c>
      <c r="H58" t="s">
        <v>103</v>
      </c>
      <c r="I58" t="s">
        <v>3374</v>
      </c>
      <c r="J58">
        <v>8972.31</v>
      </c>
      <c r="K58" t="s">
        <v>57</v>
      </c>
      <c r="L58" t="s">
        <v>28</v>
      </c>
      <c r="M58" s="1">
        <v>45387.365972222222</v>
      </c>
      <c r="N58">
        <v>35</v>
      </c>
      <c r="O58" t="s">
        <v>127</v>
      </c>
      <c r="P58" t="s">
        <v>93</v>
      </c>
      <c r="Q58" t="s">
        <v>287</v>
      </c>
      <c r="R58">
        <f t="shared" si="0"/>
        <v>21318464</v>
      </c>
      <c r="S58" t="str" cm="1">
        <f t="array" ref="S58">IF(C58="",IFERROR(INDEX($C$2:$C$1166,MATCH(MAX(COUNTIF($C$2:$C$1166,$C$2:$C$1166)),COUNTIF($C$2:$C$1166,$C$2:$C$1166),0)),"Unknown"),C58)</f>
        <v>Charles Nair</v>
      </c>
      <c r="T58" s="4" t="str" cm="1">
        <f t="array" ref="T58">IF(D58="",IFERROR(INDEX($D$2:$D$1000,MATCH(MAX(COUNTIF($D$2:$D$1166,$D$2:$D$1166)),COUNTIF($D$2:$D$1166,$D$2:$D$1166),0)),"Unknown"),D58)</f>
        <v>Linda Johnson</v>
      </c>
      <c r="U58" t="str">
        <f t="shared" si="1"/>
        <v>SGD</v>
      </c>
      <c r="V58" s="7" t="str">
        <f t="shared" si="1"/>
        <v>SGD</v>
      </c>
      <c r="W58" s="7" t="str">
        <f t="shared" si="2"/>
        <v>Canada</v>
      </c>
      <c r="X58" s="7" t="str">
        <f t="shared" si="2"/>
        <v>USA</v>
      </c>
      <c r="Y58" s="7" t="str" cm="1">
        <f t="array" ref="Y58">IF(H58="",IFERROR(INDEX($H$2:$H$1166,MATCH(MAX(COUNTIF($H$2:$H$1166,$H$2:$H$1166)),COUNTIF($H$2:$H$1166,$H$2:$H$1166),0)),"Unknown"),H58)</f>
        <v>Verified</v>
      </c>
      <c r="Z58" s="7" t="str">
        <f t="shared" si="3"/>
        <v>External</v>
      </c>
      <c r="AA58" s="7">
        <f>IF(J58="",AVERAGE($J:$J),J58)</f>
        <v>8972.31</v>
      </c>
      <c r="AB58" s="7">
        <f>IF(N58="",AVERAGE($N:$N),N58)</f>
        <v>35</v>
      </c>
      <c r="AC58" s="7">
        <f t="shared" si="4"/>
        <v>2024</v>
      </c>
      <c r="AD58" s="7">
        <f t="shared" si="5"/>
        <v>4</v>
      </c>
      <c r="AE58" s="7">
        <f>COUNTIF(A:A,A58)</f>
        <v>1</v>
      </c>
      <c r="AF58" s="7" t="str">
        <f t="shared" si="6"/>
        <v>Yes</v>
      </c>
    </row>
    <row r="59" spans="1:32">
      <c r="A59" t="s">
        <v>288</v>
      </c>
      <c r="C59" t="s">
        <v>289</v>
      </c>
      <c r="D59" t="s">
        <v>290</v>
      </c>
      <c r="E59" t="s">
        <v>20</v>
      </c>
      <c r="F59" t="s">
        <v>53</v>
      </c>
      <c r="G59" t="s">
        <v>45</v>
      </c>
      <c r="H59" t="s">
        <v>56</v>
      </c>
      <c r="I59" t="s">
        <v>3374</v>
      </c>
      <c r="J59">
        <v>11877.01</v>
      </c>
      <c r="K59" t="s">
        <v>47</v>
      </c>
      <c r="L59" t="s">
        <v>28</v>
      </c>
      <c r="M59" s="1">
        <v>43922.761805555558</v>
      </c>
      <c r="N59">
        <v>61</v>
      </c>
      <c r="O59" t="s">
        <v>68</v>
      </c>
      <c r="P59" t="s">
        <v>93</v>
      </c>
      <c r="Q59" t="s">
        <v>291</v>
      </c>
      <c r="R59">
        <f t="shared" si="0"/>
        <v>0</v>
      </c>
      <c r="S59" t="str" cm="1">
        <f t="array" ref="S59">IF(C59="",IFERROR(INDEX($C$2:$C$1166,MATCH(MAX(COUNTIF($C$2:$C$1166,$C$2:$C$1166)),COUNTIF($C$2:$C$1166,$C$2:$C$1166),0)),"Unknown"),C59)</f>
        <v>Robert Jackson</v>
      </c>
      <c r="T59" s="4" t="str" cm="1">
        <f t="array" ref="T59">IF(D59="",IFERROR(INDEX($D$2:$D$1000,MATCH(MAX(COUNTIF($D$2:$D$1166,$D$2:$D$1166)),COUNTIF($D$2:$D$1166,$D$2:$D$1166),0)),"Unknown"),D59)</f>
        <v>Marta Jones</v>
      </c>
      <c r="U59" t="str">
        <f t="shared" si="1"/>
        <v>AED</v>
      </c>
      <c r="V59" s="7" t="str">
        <f t="shared" si="1"/>
        <v>ZAR</v>
      </c>
      <c r="W59" s="7" t="str">
        <f t="shared" si="2"/>
        <v>UAE</v>
      </c>
      <c r="X59" s="7" t="str">
        <f t="shared" si="2"/>
        <v>USA</v>
      </c>
      <c r="Y59" s="7" t="str" cm="1">
        <f t="array" ref="Y59">IF(H59="",IFERROR(INDEX($H$2:$H$1166,MATCH(MAX(COUNTIF($H$2:$H$1166,$H$2:$H$1166)),COUNTIF($H$2:$H$1166,$H$2:$H$1166),0)),"Unknown"),H59)</f>
        <v>Unverified</v>
      </c>
      <c r="Z59" s="7" t="str">
        <f t="shared" si="3"/>
        <v>External</v>
      </c>
      <c r="AA59" s="7">
        <f>IF(J59="",AVERAGE($J:$J),J59)</f>
        <v>11877.01</v>
      </c>
      <c r="AB59" s="7">
        <f>IF(N59="",AVERAGE($N:$N),N59)</f>
        <v>61</v>
      </c>
      <c r="AC59" s="7">
        <f t="shared" si="4"/>
        <v>2020</v>
      </c>
      <c r="AD59" s="7">
        <f t="shared" si="5"/>
        <v>4</v>
      </c>
      <c r="AE59" s="7">
        <f>COUNTIF(A:A,A59)</f>
        <v>1</v>
      </c>
      <c r="AF59" s="7" t="str">
        <f t="shared" si="6"/>
        <v>No</v>
      </c>
    </row>
    <row r="60" spans="1:32">
      <c r="A60" t="s">
        <v>292</v>
      </c>
      <c r="B60">
        <v>28463709</v>
      </c>
      <c r="C60" t="s">
        <v>212</v>
      </c>
      <c r="D60" t="s">
        <v>293</v>
      </c>
      <c r="E60" t="s">
        <v>20</v>
      </c>
      <c r="F60" t="s">
        <v>98</v>
      </c>
      <c r="G60" t="s">
        <v>294</v>
      </c>
      <c r="H60" t="s">
        <v>74</v>
      </c>
      <c r="I60" t="s">
        <v>3376</v>
      </c>
      <c r="J60">
        <v>5657.03</v>
      </c>
      <c r="K60" t="s">
        <v>47</v>
      </c>
      <c r="L60" t="s">
        <v>48</v>
      </c>
      <c r="M60" s="1">
        <v>43957.365972222222</v>
      </c>
      <c r="N60">
        <v>51</v>
      </c>
      <c r="O60" t="s">
        <v>55</v>
      </c>
      <c r="P60" t="s">
        <v>55</v>
      </c>
      <c r="Q60" t="s">
        <v>295</v>
      </c>
      <c r="R60">
        <f t="shared" si="0"/>
        <v>28463709</v>
      </c>
      <c r="S60" t="str" cm="1">
        <f t="array" ref="S60">IF(C60="",IFERROR(INDEX($C$2:$C$1166,MATCH(MAX(COUNTIF($C$2:$C$1166,$C$2:$C$1166)),COUNTIF($C$2:$C$1166,$C$2:$C$1166),0)),"Unknown"),C60)</f>
        <v>Michael Williams</v>
      </c>
      <c r="T60" s="4" t="str" cm="1">
        <f t="array" ref="T60">IF(D60="",IFERROR(INDEX($D$2:$D$1000,MATCH(MAX(COUNTIF($D$2:$D$1166,$D$2:$D$1166)),COUNTIF($D$2:$D$1166,$D$2:$D$1166),0)),"Unknown"),D60)</f>
        <v>Barbara Malik</v>
      </c>
      <c r="U60" t="str">
        <f t="shared" si="1"/>
        <v>JPY</v>
      </c>
      <c r="V60" s="7" t="str">
        <f t="shared" si="1"/>
        <v>jpy</v>
      </c>
      <c r="W60" s="7" t="str">
        <f t="shared" si="2"/>
        <v>UK</v>
      </c>
      <c r="X60" s="7" t="str">
        <f t="shared" si="2"/>
        <v>UK</v>
      </c>
      <c r="Y60" s="7" t="str" cm="1">
        <f t="array" ref="Y60">IF(H60="",IFERROR(INDEX($H$2:$H$1166,MATCH(MAX(COUNTIF($H$2:$H$1166,$H$2:$H$1166)),COUNTIF($H$2:$H$1166,$H$2:$H$1166),0)),"Unknown"),H60)</f>
        <v>Non-KYC</v>
      </c>
      <c r="Z60" s="7" t="str">
        <f t="shared" si="3"/>
        <v>Internal</v>
      </c>
      <c r="AA60" s="7">
        <f>IF(J60="",AVERAGE($J:$J),J60)</f>
        <v>5657.03</v>
      </c>
      <c r="AB60" s="7">
        <f>IF(N60="",AVERAGE($N:$N),N60)</f>
        <v>51</v>
      </c>
      <c r="AC60" s="7">
        <f t="shared" si="4"/>
        <v>2020</v>
      </c>
      <c r="AD60" s="7">
        <f t="shared" si="5"/>
        <v>5</v>
      </c>
      <c r="AE60" s="7">
        <f>COUNTIF(A:A,A60)</f>
        <v>1</v>
      </c>
      <c r="AF60" s="7" t="str">
        <f t="shared" si="6"/>
        <v>No</v>
      </c>
    </row>
    <row r="61" spans="1:32">
      <c r="A61" t="s">
        <v>296</v>
      </c>
      <c r="B61">
        <v>70254091</v>
      </c>
      <c r="C61" t="s">
        <v>297</v>
      </c>
      <c r="D61" t="s">
        <v>171</v>
      </c>
      <c r="E61" t="s">
        <v>3373</v>
      </c>
      <c r="F61" t="s">
        <v>44</v>
      </c>
      <c r="G61" t="s">
        <v>121</v>
      </c>
      <c r="H61" t="s">
        <v>56</v>
      </c>
      <c r="I61" t="s">
        <v>3376</v>
      </c>
      <c r="J61">
        <v>7916.62</v>
      </c>
      <c r="K61" t="s">
        <v>47</v>
      </c>
      <c r="L61" t="s">
        <v>48</v>
      </c>
      <c r="M61" s="1">
        <v>43910.52847222222</v>
      </c>
      <c r="N61">
        <v>79</v>
      </c>
      <c r="O61" t="s">
        <v>23</v>
      </c>
      <c r="P61" t="s">
        <v>54</v>
      </c>
      <c r="Q61" t="s">
        <v>298</v>
      </c>
      <c r="R61">
        <f t="shared" si="0"/>
        <v>70254091</v>
      </c>
      <c r="S61" t="str" cm="1">
        <f t="array" ref="S61">IF(C61="",IFERROR(INDEX($C$2:$C$1166,MATCH(MAX(COUNTIF($C$2:$C$1166,$C$2:$C$1166)),COUNTIF($C$2:$C$1166,$C$2:$C$1166),0)),"Unknown"),C61)</f>
        <v>Elizabeth Moore</v>
      </c>
      <c r="T61" s="4" t="str" cm="1">
        <f t="array" ref="T61">IF(D61="",IFERROR(INDEX($D$2:$D$1000,MATCH(MAX(COUNTIF($D$2:$D$1166,$D$2:$D$1166)),COUNTIF($D$2:$D$1166,$D$2:$D$1166),0)),"Unknown"),D61)</f>
        <v>Elizabeth Martinez</v>
      </c>
      <c r="U61" t="str">
        <f t="shared" si="1"/>
        <v>SGD</v>
      </c>
      <c r="V61" s="7" t="str">
        <f t="shared" si="1"/>
        <v>INR</v>
      </c>
      <c r="W61" s="7" t="str">
        <f t="shared" si="2"/>
        <v>France</v>
      </c>
      <c r="X61" s="7" t="str">
        <f t="shared" si="2"/>
        <v>India</v>
      </c>
      <c r="Y61" s="7" t="str" cm="1">
        <f t="array" ref="Y61">IF(H61="",IFERROR(INDEX($H$2:$H$1166,MATCH(MAX(COUNTIF($H$2:$H$1166,$H$2:$H$1166)),COUNTIF($H$2:$H$1166,$H$2:$H$1166),0)),"Unknown"),H61)</f>
        <v>Unverified</v>
      </c>
      <c r="Z61" s="7" t="str">
        <f t="shared" si="3"/>
        <v>Internal</v>
      </c>
      <c r="AA61" s="7">
        <f>IF(J61="",AVERAGE($J:$J),J61)</f>
        <v>7916.62</v>
      </c>
      <c r="AB61" s="7">
        <f>IF(N61="",AVERAGE($N:$N),N61)</f>
        <v>79</v>
      </c>
      <c r="AC61" s="7">
        <f t="shared" si="4"/>
        <v>2020</v>
      </c>
      <c r="AD61" s="7">
        <f t="shared" si="5"/>
        <v>3</v>
      </c>
      <c r="AE61" s="7">
        <f>COUNTIF(A:A,A61)</f>
        <v>1</v>
      </c>
      <c r="AF61" s="7" t="str">
        <f t="shared" si="6"/>
        <v>Yes</v>
      </c>
    </row>
    <row r="62" spans="1:32">
      <c r="A62" t="s">
        <v>299</v>
      </c>
      <c r="B62">
        <v>48260510</v>
      </c>
      <c r="D62" t="s">
        <v>300</v>
      </c>
      <c r="E62" t="s">
        <v>20</v>
      </c>
      <c r="F62" t="s">
        <v>98</v>
      </c>
      <c r="G62" t="s">
        <v>21</v>
      </c>
      <c r="H62" t="s">
        <v>25</v>
      </c>
      <c r="I62" t="s">
        <v>3372</v>
      </c>
      <c r="J62">
        <v>808.32</v>
      </c>
      <c r="K62" t="s">
        <v>27</v>
      </c>
      <c r="L62" t="s">
        <v>75</v>
      </c>
      <c r="M62" s="1">
        <v>45678.800694444442</v>
      </c>
      <c r="N62">
        <v>31</v>
      </c>
      <c r="O62" t="s">
        <v>68</v>
      </c>
      <c r="P62" t="s">
        <v>54</v>
      </c>
      <c r="Q62" t="s">
        <v>301</v>
      </c>
      <c r="R62">
        <f t="shared" si="0"/>
        <v>48260510</v>
      </c>
      <c r="S62" t="str" cm="1">
        <f t="array" ref="S62">IF(C62="",IFERROR(INDEX($C$2:$C$1166,MATCH(MAX(COUNTIF($C$2:$C$1166,$C$2:$C$1166)),COUNTIF($C$2:$C$1166,$C$2:$C$1166),0)),"Unknown"),C62)</f>
        <v>Fatima Brown</v>
      </c>
      <c r="T62" s="4" t="str" cm="1">
        <f t="array" ref="T62">IF(D62="",IFERROR(INDEX($D$2:$D$1000,MATCH(MAX(COUNTIF($D$2:$D$1166,$D$2:$D$1166)),COUNTIF($D$2:$D$1166,$D$2:$D$1166),0)),"Unknown"),D62)</f>
        <v>Linda Rodriguez</v>
      </c>
      <c r="U62" t="str">
        <f t="shared" si="1"/>
        <v>JPY</v>
      </c>
      <c r="V62" s="7" t="str">
        <f t="shared" si="1"/>
        <v>GBP</v>
      </c>
      <c r="W62" s="7" t="str">
        <f t="shared" si="2"/>
        <v>UAE</v>
      </c>
      <c r="X62" s="7" t="str">
        <f t="shared" si="2"/>
        <v>India</v>
      </c>
      <c r="Y62" s="7" t="str" cm="1">
        <f t="array" ref="Y62">IF(H62="",IFERROR(INDEX($H$2:$H$1166,MATCH(MAX(COUNTIF($H$2:$H$1166,$H$2:$H$1166)),COUNTIF($H$2:$H$1166,$H$2:$H$1166),0)),"Unknown"),H62)</f>
        <v>KYC</v>
      </c>
      <c r="Z62" s="7" t="str">
        <f t="shared" si="3"/>
        <v>Outer-Transaction</v>
      </c>
      <c r="AA62" s="7">
        <f>IF(J62="",AVERAGE($J:$J),J62)</f>
        <v>808.32</v>
      </c>
      <c r="AB62" s="7">
        <f>IF(N62="",AVERAGE($N:$N),N62)</f>
        <v>31</v>
      </c>
      <c r="AC62" s="7">
        <f t="shared" si="4"/>
        <v>2025</v>
      </c>
      <c r="AD62" s="7">
        <f t="shared" si="5"/>
        <v>1</v>
      </c>
      <c r="AE62" s="7">
        <f>COUNTIF(A:A,A62)</f>
        <v>1</v>
      </c>
      <c r="AF62" s="7" t="str">
        <f t="shared" si="6"/>
        <v>No</v>
      </c>
    </row>
    <row r="63" spans="1:32">
      <c r="A63" t="s">
        <v>302</v>
      </c>
      <c r="B63">
        <v>28468304</v>
      </c>
      <c r="C63" t="s">
        <v>303</v>
      </c>
      <c r="D63" t="s">
        <v>304</v>
      </c>
      <c r="E63" t="s">
        <v>20</v>
      </c>
      <c r="F63" t="s">
        <v>21</v>
      </c>
      <c r="G63" t="s">
        <v>22</v>
      </c>
      <c r="H63" t="s">
        <v>74</v>
      </c>
      <c r="I63" t="s">
        <v>3376</v>
      </c>
      <c r="J63">
        <v>14103.99</v>
      </c>
      <c r="K63" t="s">
        <v>27</v>
      </c>
      <c r="L63" t="s">
        <v>81</v>
      </c>
      <c r="M63" s="1">
        <v>44813.474999999999</v>
      </c>
      <c r="N63">
        <v>65</v>
      </c>
      <c r="O63" t="s">
        <v>37</v>
      </c>
      <c r="P63" t="s">
        <v>55</v>
      </c>
      <c r="Q63" t="s">
        <v>305</v>
      </c>
      <c r="R63">
        <f t="shared" si="0"/>
        <v>28468304</v>
      </c>
      <c r="S63" t="str" cm="1">
        <f t="array" ref="S63">IF(C63="",IFERROR(INDEX($C$2:$C$1166,MATCH(MAX(COUNTIF($C$2:$C$1166,$C$2:$C$1166)),COUNTIF($C$2:$C$1166,$C$2:$C$1166),0)),"Unknown"),C63)</f>
        <v xml:space="preserve">  MARY MARTINEZ </v>
      </c>
      <c r="T63" s="4" t="str" cm="1">
        <f t="array" ref="T63">IF(D63="",IFERROR(INDEX($D$2:$D$1000,MATCH(MAX(COUNTIF($D$2:$D$1166,$D$2:$D$1166)),COUNTIF($D$2:$D$1166,$D$2:$D$1166),0)),"Unknown"),D63)</f>
        <v>Priya Khan</v>
      </c>
      <c r="U63" t="str">
        <f t="shared" si="1"/>
        <v>GBP</v>
      </c>
      <c r="V63" s="7" t="str">
        <f t="shared" si="1"/>
        <v>BRL</v>
      </c>
      <c r="W63" s="7" t="str">
        <f t="shared" si="2"/>
        <v>South Africa</v>
      </c>
      <c r="X63" s="7" t="str">
        <f t="shared" si="2"/>
        <v>UK</v>
      </c>
      <c r="Y63" s="7" t="str" cm="1">
        <f t="array" ref="Y63">IF(H63="",IFERROR(INDEX($H$2:$H$1166,MATCH(MAX(COUNTIF($H$2:$H$1166,$H$2:$H$1166)),COUNTIF($H$2:$H$1166,$H$2:$H$1166),0)),"Unknown"),H63)</f>
        <v>Non-KYC</v>
      </c>
      <c r="Z63" s="7" t="str">
        <f t="shared" si="3"/>
        <v>Internal</v>
      </c>
      <c r="AA63" s="7">
        <f>IF(J63="",AVERAGE($J:$J),J63)</f>
        <v>14103.99</v>
      </c>
      <c r="AB63" s="7">
        <f>IF(N63="",AVERAGE($N:$N),N63)</f>
        <v>65</v>
      </c>
      <c r="AC63" s="7">
        <f t="shared" si="4"/>
        <v>2022</v>
      </c>
      <c r="AD63" s="7">
        <f t="shared" si="5"/>
        <v>9</v>
      </c>
      <c r="AE63" s="7">
        <f>COUNTIF(A:A,A63)</f>
        <v>1</v>
      </c>
      <c r="AF63" s="7" t="str">
        <f t="shared" si="6"/>
        <v>No</v>
      </c>
    </row>
    <row r="64" spans="1:32">
      <c r="A64" t="s">
        <v>306</v>
      </c>
      <c r="C64" t="s">
        <v>151</v>
      </c>
      <c r="D64" t="s">
        <v>307</v>
      </c>
      <c r="E64" t="s">
        <v>20</v>
      </c>
      <c r="F64" t="s">
        <v>121</v>
      </c>
      <c r="G64" t="s">
        <v>22</v>
      </c>
      <c r="I64" t="s">
        <v>3374</v>
      </c>
      <c r="J64">
        <v>1293.3499999999999</v>
      </c>
      <c r="K64" t="s">
        <v>57</v>
      </c>
      <c r="L64" t="s">
        <v>28</v>
      </c>
      <c r="M64" s="1">
        <v>44746.776388888888</v>
      </c>
      <c r="N64">
        <v>32</v>
      </c>
      <c r="O64" t="s">
        <v>68</v>
      </c>
      <c r="P64" t="s">
        <v>93</v>
      </c>
      <c r="Q64" t="s">
        <v>308</v>
      </c>
      <c r="R64">
        <f t="shared" si="0"/>
        <v>0</v>
      </c>
      <c r="S64" t="str" cm="1">
        <f t="array" ref="S64">IF(C64="",IFERROR(INDEX($C$2:$C$1166,MATCH(MAX(COUNTIF($C$2:$C$1166,$C$2:$C$1166)),COUNTIF($C$2:$C$1166,$C$2:$C$1166),0)),"Unknown"),C64)</f>
        <v>Nancy Moore</v>
      </c>
      <c r="T64" s="4" t="str" cm="1">
        <f t="array" ref="T64">IF(D64="",IFERROR(INDEX($D$2:$D$1000,MATCH(MAX(COUNTIF($D$2:$D$1166,$D$2:$D$1166)),COUNTIF($D$2:$D$1166,$D$2:$D$1166),0)),"Unknown"),D64)</f>
        <v>John Nair</v>
      </c>
      <c r="U64" t="str">
        <f t="shared" si="1"/>
        <v>INR</v>
      </c>
      <c r="V64" s="7" t="str">
        <f t="shared" si="1"/>
        <v>BRL</v>
      </c>
      <c r="W64" s="7" t="str">
        <f t="shared" si="2"/>
        <v>UAE</v>
      </c>
      <c r="X64" s="7" t="str">
        <f t="shared" si="2"/>
        <v>USA</v>
      </c>
      <c r="Y64" s="7" t="str" cm="1">
        <f t="array" ref="Y64">IF(H64="",IFERROR(INDEX($H$2:$H$1166,MATCH(MAX(COUNTIF($H$2:$H$1166,$H$2:$H$1166)),COUNTIF($H$2:$H$1166,$H$2:$H$1166),0)),"Unknown"),H64)</f>
        <v>Pending</v>
      </c>
      <c r="Z64" s="7" t="str">
        <f t="shared" si="3"/>
        <v>External</v>
      </c>
      <c r="AA64" s="7">
        <f>IF(J64="",AVERAGE($J:$J),J64)</f>
        <v>1293.3499999999999</v>
      </c>
      <c r="AB64" s="7">
        <f>IF(N64="",AVERAGE($N:$N),N64)</f>
        <v>32</v>
      </c>
      <c r="AC64" s="7">
        <f t="shared" si="4"/>
        <v>2022</v>
      </c>
      <c r="AD64" s="7">
        <f t="shared" si="5"/>
        <v>7</v>
      </c>
      <c r="AE64" s="7">
        <f>COUNTIF(A:A,A64)</f>
        <v>1</v>
      </c>
      <c r="AF64" s="7" t="str">
        <f t="shared" si="6"/>
        <v>No</v>
      </c>
    </row>
    <row r="65" spans="1:32">
      <c r="A65" t="s">
        <v>309</v>
      </c>
      <c r="B65">
        <v>57928328</v>
      </c>
      <c r="C65" t="s">
        <v>310</v>
      </c>
      <c r="D65" t="s">
        <v>311</v>
      </c>
      <c r="E65" t="b">
        <v>0</v>
      </c>
      <c r="F65" t="s">
        <v>45</v>
      </c>
      <c r="G65" t="s">
        <v>35</v>
      </c>
      <c r="I65" t="s">
        <v>3371</v>
      </c>
      <c r="J65">
        <v>12457.45</v>
      </c>
      <c r="K65" t="s">
        <v>39</v>
      </c>
      <c r="L65" t="s">
        <v>81</v>
      </c>
      <c r="M65" s="1">
        <v>46364.926388888889</v>
      </c>
      <c r="N65">
        <v>79</v>
      </c>
      <c r="O65" t="s">
        <v>36</v>
      </c>
      <c r="P65" t="s">
        <v>23</v>
      </c>
      <c r="Q65" t="s">
        <v>312</v>
      </c>
      <c r="R65">
        <f t="shared" si="0"/>
        <v>57928328</v>
      </c>
      <c r="S65" t="str" cm="1">
        <f t="array" ref="S65">IF(C65="",IFERROR(INDEX($C$2:$C$1166,MATCH(MAX(COUNTIF($C$2:$C$1166,$C$2:$C$1166)),COUNTIF($C$2:$C$1166,$C$2:$C$1166),0)),"Unknown"),C65)</f>
        <v xml:space="preserve">  LUCAS WILLIAMS </v>
      </c>
      <c r="T65" s="4" t="str" cm="1">
        <f t="array" ref="T65">IF(D65="",IFERROR(INDEX($D$2:$D$1000,MATCH(MAX(COUNTIF($D$2:$D$1166,$D$2:$D$1166)),COUNTIF($D$2:$D$1166,$D$2:$D$1166),0)),"Unknown"),D65)</f>
        <v>Susan Davis</v>
      </c>
      <c r="U65" t="str">
        <f t="shared" si="1"/>
        <v>ZAR</v>
      </c>
      <c r="V65" s="7" t="str">
        <f t="shared" si="1"/>
        <v>EUR</v>
      </c>
      <c r="W65" s="7" t="str">
        <f t="shared" si="2"/>
        <v>Germany</v>
      </c>
      <c r="X65" s="7" t="str">
        <f t="shared" si="2"/>
        <v>France</v>
      </c>
      <c r="Y65" s="7" t="str" cm="1">
        <f t="array" ref="Y65">IF(H65="",IFERROR(INDEX($H$2:$H$1166,MATCH(MAX(COUNTIF($H$2:$H$1166,$H$2:$H$1166)),COUNTIF($H$2:$H$1166,$H$2:$H$1166),0)),"Unknown"),H65)</f>
        <v>Pending</v>
      </c>
      <c r="Z65" s="7" t="str">
        <f t="shared" si="3"/>
        <v>Outer-Transaction</v>
      </c>
      <c r="AA65" s="7">
        <f>IF(J65="",AVERAGE($J:$J),J65)</f>
        <v>12457.45</v>
      </c>
      <c r="AB65" s="7">
        <f>IF(N65="",AVERAGE($N:$N),N65)</f>
        <v>79</v>
      </c>
      <c r="AC65" s="7">
        <f t="shared" si="4"/>
        <v>2026</v>
      </c>
      <c r="AD65" s="7">
        <f t="shared" si="5"/>
        <v>12</v>
      </c>
      <c r="AE65" s="7">
        <f>COUNTIF(A:A,A65)</f>
        <v>1</v>
      </c>
      <c r="AF65" s="7" t="str">
        <f t="shared" si="6"/>
        <v>No</v>
      </c>
    </row>
    <row r="66" spans="1:32">
      <c r="A66" t="s">
        <v>313</v>
      </c>
      <c r="B66">
        <v>52358553</v>
      </c>
      <c r="C66" t="s">
        <v>314</v>
      </c>
      <c r="D66" t="s">
        <v>315</v>
      </c>
      <c r="E66" t="s">
        <v>20</v>
      </c>
      <c r="F66" t="s">
        <v>98</v>
      </c>
      <c r="G66" t="s">
        <v>44</v>
      </c>
      <c r="I66" t="s">
        <v>3378</v>
      </c>
      <c r="J66">
        <v>4105.5200000000004</v>
      </c>
      <c r="K66" t="s">
        <v>57</v>
      </c>
      <c r="L66" t="s">
        <v>81</v>
      </c>
      <c r="M66" s="1">
        <v>44524.643055555556</v>
      </c>
      <c r="N66">
        <v>57</v>
      </c>
      <c r="O66" t="s">
        <v>55</v>
      </c>
      <c r="P66" t="s">
        <v>36</v>
      </c>
      <c r="Q66" t="s">
        <v>316</v>
      </c>
      <c r="R66">
        <f t="shared" ref="R66:R129" si="7">IF(B66="",0,B66)</f>
        <v>52358553</v>
      </c>
      <c r="S66" t="str" cm="1">
        <f t="array" ref="S66">IF(C66="",IFERROR(INDEX($C$2:$C$1166,MATCH(MAX(COUNTIF($C$2:$C$1166,$C$2:$C$1166)),COUNTIF($C$2:$C$1166,$C$2:$C$1166),0)),"Unknown"),C66)</f>
        <v>Priya Martinez</v>
      </c>
      <c r="T66" s="4" t="str" cm="1">
        <f t="array" ref="T66">IF(D66="",IFERROR(INDEX($D$2:$D$1000,MATCH(MAX(COUNTIF($D$2:$D$1166,$D$2:$D$1166)),COUNTIF($D$2:$D$1166,$D$2:$D$1166),0)),"Unknown"),D66)</f>
        <v>Charles Gonzalez</v>
      </c>
      <c r="U66" t="str">
        <f t="shared" ref="U66:V129" si="8">TRIM(F66)</f>
        <v>JPY</v>
      </c>
      <c r="V66" s="7" t="str">
        <f t="shared" si="8"/>
        <v>SGD</v>
      </c>
      <c r="W66" s="7" t="str">
        <f t="shared" ref="W66:X129" si="9">TRIM(O66)</f>
        <v>UK</v>
      </c>
      <c r="X66" s="7" t="str">
        <f t="shared" si="9"/>
        <v>Germany</v>
      </c>
      <c r="Y66" s="7" t="str" cm="1">
        <f t="array" ref="Y66">IF(H66="",IFERROR(INDEX($H$2:$H$1166,MATCH(MAX(COUNTIF($H$2:$H$1166,$H$2:$H$1166)),COUNTIF($H$2:$H$1166,$H$2:$H$1166),0)),"Unknown"),H66)</f>
        <v>Pending</v>
      </c>
      <c r="Z66" s="7" t="str">
        <f t="shared" ref="Z66:Z129" si="10">PROPER(I66)</f>
        <v>Inter-Transaction</v>
      </c>
      <c r="AA66" s="7">
        <f>IF(J66="",AVERAGE($J:$J),J66)</f>
        <v>4105.5200000000004</v>
      </c>
      <c r="AB66" s="7">
        <f>IF(N66="",AVERAGE($N:$N),N66)</f>
        <v>57</v>
      </c>
      <c r="AC66" s="7">
        <f t="shared" ref="AC66:AC129" si="11">YEAR(M66)</f>
        <v>2021</v>
      </c>
      <c r="AD66" s="7">
        <f t="shared" ref="AD66:AD129" si="12">MONTH(M66)</f>
        <v>11</v>
      </c>
      <c r="AE66" s="7">
        <f>COUNTIF(A:A,A66)</f>
        <v>1</v>
      </c>
      <c r="AF66" s="7" t="str">
        <f t="shared" ref="AF66:AF129" si="13">IF(E66="","",IF(OR(E66="Yes",E66="Y",E66="TRUE",E66=1),"Yes","No"))</f>
        <v>No</v>
      </c>
    </row>
    <row r="67" spans="1:32">
      <c r="A67" t="s">
        <v>317</v>
      </c>
      <c r="B67">
        <v>79696025</v>
      </c>
      <c r="C67" t="s">
        <v>318</v>
      </c>
      <c r="D67" t="s">
        <v>319</v>
      </c>
      <c r="E67" t="s">
        <v>20</v>
      </c>
      <c r="F67" t="s">
        <v>92</v>
      </c>
      <c r="G67" t="s">
        <v>116</v>
      </c>
      <c r="H67" t="s">
        <v>103</v>
      </c>
      <c r="I67" t="s">
        <v>3378</v>
      </c>
      <c r="J67">
        <v>6694.28</v>
      </c>
      <c r="K67" t="s">
        <v>39</v>
      </c>
      <c r="L67" t="s">
        <v>48</v>
      </c>
      <c r="M67" s="1">
        <v>43855.29791666667</v>
      </c>
      <c r="N67">
        <v>70</v>
      </c>
      <c r="O67" t="s">
        <v>37</v>
      </c>
      <c r="P67" t="s">
        <v>36</v>
      </c>
      <c r="Q67" t="s">
        <v>320</v>
      </c>
      <c r="R67">
        <f t="shared" si="7"/>
        <v>79696025</v>
      </c>
      <c r="S67" t="str" cm="1">
        <f t="array" ref="S67">IF(C67="",IFERROR(INDEX($C$2:$C$1166,MATCH(MAX(COUNTIF($C$2:$C$1166,$C$2:$C$1166)),COUNTIF($C$2:$C$1166,$C$2:$C$1166),0)),"Unknown"),C67)</f>
        <v>David Silva</v>
      </c>
      <c r="T67" s="4" t="str" cm="1">
        <f t="array" ref="T67">IF(D67="",IFERROR(INDEX($D$2:$D$1000,MATCH(MAX(COUNTIF($D$2:$D$1166,$D$2:$D$1166)),COUNTIF($D$2:$D$1166,$D$2:$D$1166),0)),"Unknown"),D67)</f>
        <v>Robert Al-Sayed</v>
      </c>
      <c r="U67" t="str">
        <f t="shared" si="8"/>
        <v>AUD</v>
      </c>
      <c r="V67" s="7" t="str">
        <f t="shared" si="8"/>
        <v>CHF</v>
      </c>
      <c r="W67" s="7" t="str">
        <f t="shared" si="9"/>
        <v>South Africa</v>
      </c>
      <c r="X67" s="7" t="str">
        <f t="shared" si="9"/>
        <v>Germany</v>
      </c>
      <c r="Y67" s="7" t="str" cm="1">
        <f t="array" ref="Y67">IF(H67="",IFERROR(INDEX($H$2:$H$1166,MATCH(MAX(COUNTIF($H$2:$H$1166,$H$2:$H$1166)),COUNTIF($H$2:$H$1166,$H$2:$H$1166),0)),"Unknown"),H67)</f>
        <v>Verified</v>
      </c>
      <c r="Z67" s="7" t="str">
        <f t="shared" si="10"/>
        <v>Inter-Transaction</v>
      </c>
      <c r="AA67" s="7">
        <f>IF(J67="",AVERAGE($J:$J),J67)</f>
        <v>6694.28</v>
      </c>
      <c r="AB67" s="7">
        <f>IF(N67="",AVERAGE($N:$N),N67)</f>
        <v>70</v>
      </c>
      <c r="AC67" s="7">
        <f t="shared" si="11"/>
        <v>2020</v>
      </c>
      <c r="AD67" s="7">
        <f t="shared" si="12"/>
        <v>1</v>
      </c>
      <c r="AE67" s="7">
        <f>COUNTIF(A:A,A67)</f>
        <v>1</v>
      </c>
      <c r="AF67" s="7" t="str">
        <f t="shared" si="13"/>
        <v>No</v>
      </c>
    </row>
    <row r="68" spans="1:32">
      <c r="A68" t="s">
        <v>321</v>
      </c>
      <c r="B68">
        <v>17698469</v>
      </c>
      <c r="C68" t="s">
        <v>322</v>
      </c>
      <c r="D68" t="s">
        <v>323</v>
      </c>
      <c r="E68" t="s">
        <v>33</v>
      </c>
      <c r="F68" t="s">
        <v>22</v>
      </c>
      <c r="G68" t="s">
        <v>45</v>
      </c>
      <c r="H68" t="s">
        <v>74</v>
      </c>
      <c r="I68" t="s">
        <v>3377</v>
      </c>
      <c r="J68">
        <v>3547.57</v>
      </c>
      <c r="K68" t="s">
        <v>57</v>
      </c>
      <c r="L68" t="s">
        <v>75</v>
      </c>
      <c r="M68" s="1">
        <v>43986.159722222219</v>
      </c>
      <c r="N68">
        <v>41</v>
      </c>
      <c r="O68" t="s">
        <v>54</v>
      </c>
      <c r="P68" t="s">
        <v>55</v>
      </c>
      <c r="Q68" t="s">
        <v>324</v>
      </c>
      <c r="R68">
        <f t="shared" si="7"/>
        <v>17698469</v>
      </c>
      <c r="S68" t="str" cm="1">
        <f t="array" ref="S68">IF(C68="",IFERROR(INDEX($C$2:$C$1166,MATCH(MAX(COUNTIF($C$2:$C$1166,$C$2:$C$1166)),COUNTIF($C$2:$C$1166,$C$2:$C$1166),0)),"Unknown"),C68)</f>
        <v>Robert Velez</v>
      </c>
      <c r="T68" s="4" t="str" cm="1">
        <f t="array" ref="T68">IF(D68="",IFERROR(INDEX($D$2:$D$1000,MATCH(MAX(COUNTIF($D$2:$D$1166,$D$2:$D$1166)),COUNTIF($D$2:$D$1166,$D$2:$D$1166),0)),"Unknown"),D68)</f>
        <v>Sanjay Gonzalez</v>
      </c>
      <c r="U68" t="str">
        <f t="shared" si="8"/>
        <v>BRL</v>
      </c>
      <c r="V68" s="7" t="str">
        <f t="shared" si="8"/>
        <v>ZAR</v>
      </c>
      <c r="W68" s="7" t="str">
        <f t="shared" si="9"/>
        <v>India</v>
      </c>
      <c r="X68" s="7" t="str">
        <f t="shared" si="9"/>
        <v>UK</v>
      </c>
      <c r="Y68" s="7" t="str" cm="1">
        <f t="array" ref="Y68">IF(H68="",IFERROR(INDEX($H$2:$H$1166,MATCH(MAX(COUNTIF($H$2:$H$1166,$H$2:$H$1166)),COUNTIF($H$2:$H$1166,$H$2:$H$1166),0)),"Unknown"),H68)</f>
        <v>Non-KYC</v>
      </c>
      <c r="Z68" s="7" t="str">
        <f t="shared" si="10"/>
        <v>Inter-Transaction</v>
      </c>
      <c r="AA68" s="7">
        <f>IF(J68="",AVERAGE($J:$J),J68)</f>
        <v>3547.57</v>
      </c>
      <c r="AB68" s="7">
        <f>IF(N68="",AVERAGE($N:$N),N68)</f>
        <v>41</v>
      </c>
      <c r="AC68" s="7">
        <f t="shared" si="11"/>
        <v>2020</v>
      </c>
      <c r="AD68" s="7">
        <f t="shared" si="12"/>
        <v>6</v>
      </c>
      <c r="AE68" s="7">
        <f>COUNTIF(A:A,A68)</f>
        <v>1</v>
      </c>
      <c r="AF68" s="7" t="str">
        <f t="shared" si="13"/>
        <v>Yes</v>
      </c>
    </row>
    <row r="69" spans="1:32">
      <c r="A69" t="s">
        <v>325</v>
      </c>
      <c r="B69">
        <v>81062902</v>
      </c>
      <c r="C69" t="s">
        <v>326</v>
      </c>
      <c r="D69" t="s">
        <v>327</v>
      </c>
      <c r="E69" t="s">
        <v>3375</v>
      </c>
      <c r="F69" t="s">
        <v>35</v>
      </c>
      <c r="G69" t="s">
        <v>80</v>
      </c>
      <c r="H69" t="s">
        <v>103</v>
      </c>
      <c r="I69" t="s">
        <v>3374</v>
      </c>
      <c r="J69">
        <v>6699.63</v>
      </c>
      <c r="K69" t="s">
        <v>27</v>
      </c>
      <c r="L69" t="s">
        <v>75</v>
      </c>
      <c r="M69" s="1">
        <v>45643.768750000003</v>
      </c>
      <c r="N69">
        <v>43</v>
      </c>
      <c r="O69" t="s">
        <v>37</v>
      </c>
      <c r="P69" t="s">
        <v>54</v>
      </c>
      <c r="Q69" t="s">
        <v>328</v>
      </c>
      <c r="R69">
        <f t="shared" si="7"/>
        <v>81062902</v>
      </c>
      <c r="S69" t="str" cm="1">
        <f t="array" ref="S69">IF(C69="",IFERROR(INDEX($C$2:$C$1166,MATCH(MAX(COUNTIF($C$2:$C$1166,$C$2:$C$1166)),COUNTIF($C$2:$C$1166,$C$2:$C$1166),0)),"Unknown"),C69)</f>
        <v>Susan Gonzalez</v>
      </c>
      <c r="T69" s="4" t="str" cm="1">
        <f t="array" ref="T69">IF(D69="",IFERROR(INDEX($D$2:$D$1000,MATCH(MAX(COUNTIF($D$2:$D$1166,$D$2:$D$1166)),COUNTIF($D$2:$D$1166,$D$2:$D$1166),0)),"Unknown"),D69)</f>
        <v>Richard Nair</v>
      </c>
      <c r="U69" t="str">
        <f t="shared" si="8"/>
        <v>EUR</v>
      </c>
      <c r="V69" s="7" t="str">
        <f t="shared" si="8"/>
        <v>USD</v>
      </c>
      <c r="W69" s="7" t="str">
        <f t="shared" si="9"/>
        <v>South Africa</v>
      </c>
      <c r="X69" s="7" t="str">
        <f t="shared" si="9"/>
        <v>India</v>
      </c>
      <c r="Y69" s="7" t="str" cm="1">
        <f t="array" ref="Y69">IF(H69="",IFERROR(INDEX($H$2:$H$1166,MATCH(MAX(COUNTIF($H$2:$H$1166,$H$2:$H$1166)),COUNTIF($H$2:$H$1166,$H$2:$H$1166),0)),"Unknown"),H69)</f>
        <v>Verified</v>
      </c>
      <c r="Z69" s="7" t="str">
        <f t="shared" si="10"/>
        <v>External</v>
      </c>
      <c r="AA69" s="7">
        <f>IF(J69="",AVERAGE($J:$J),J69)</f>
        <v>6699.63</v>
      </c>
      <c r="AB69" s="7">
        <f>IF(N69="",AVERAGE($N:$N),N69)</f>
        <v>43</v>
      </c>
      <c r="AC69" s="7">
        <f t="shared" si="11"/>
        <v>2024</v>
      </c>
      <c r="AD69" s="7">
        <f t="shared" si="12"/>
        <v>12</v>
      </c>
      <c r="AE69" s="7">
        <f>COUNTIF(A:A,A69)</f>
        <v>1</v>
      </c>
      <c r="AF69" s="7" t="str">
        <f t="shared" si="13"/>
        <v>No</v>
      </c>
    </row>
    <row r="70" spans="1:32">
      <c r="A70" t="s">
        <v>329</v>
      </c>
      <c r="B70">
        <v>52894344</v>
      </c>
      <c r="C70" t="s">
        <v>330</v>
      </c>
      <c r="D70" t="s">
        <v>331</v>
      </c>
      <c r="E70" t="s">
        <v>20</v>
      </c>
      <c r="F70" t="s">
        <v>53</v>
      </c>
      <c r="G70" t="s">
        <v>53</v>
      </c>
      <c r="H70" t="s">
        <v>38</v>
      </c>
      <c r="I70" t="s">
        <v>3371</v>
      </c>
      <c r="J70">
        <v>1829.22</v>
      </c>
      <c r="K70" t="s">
        <v>47</v>
      </c>
      <c r="L70" t="s">
        <v>48</v>
      </c>
      <c r="M70" s="1">
        <v>45384.873611111114</v>
      </c>
      <c r="N70">
        <v>77</v>
      </c>
      <c r="O70" t="s">
        <v>36</v>
      </c>
      <c r="P70" t="s">
        <v>68</v>
      </c>
      <c r="Q70" t="s">
        <v>332</v>
      </c>
      <c r="R70">
        <f t="shared" si="7"/>
        <v>52894344</v>
      </c>
      <c r="S70" t="str" cm="1">
        <f t="array" ref="S70">IF(C70="",IFERROR(INDEX($C$2:$C$1166,MATCH(MAX(COUNTIF($C$2:$C$1166,$C$2:$C$1166)),COUNTIF($C$2:$C$1166,$C$2:$C$1166),0)),"Unknown"),C70)</f>
        <v>Marta Lopez</v>
      </c>
      <c r="T70" s="4" t="str" cm="1">
        <f t="array" ref="T70">IF(D70="",IFERROR(INDEX($D$2:$D$1000,MATCH(MAX(COUNTIF($D$2:$D$1166,$D$2:$D$1166)),COUNTIF($D$2:$D$1166,$D$2:$D$1166),0)),"Unknown"),D70)</f>
        <v>Elena Williams</v>
      </c>
      <c r="U70" t="str">
        <f t="shared" si="8"/>
        <v>AED</v>
      </c>
      <c r="V70" s="7" t="str">
        <f t="shared" si="8"/>
        <v>AED</v>
      </c>
      <c r="W70" s="7" t="str">
        <f t="shared" si="9"/>
        <v>Germany</v>
      </c>
      <c r="X70" s="7" t="str">
        <f t="shared" si="9"/>
        <v>UAE</v>
      </c>
      <c r="Y70" s="7" t="str" cm="1">
        <f t="array" ref="Y70">IF(H70="",IFERROR(INDEX($H$2:$H$1166,MATCH(MAX(COUNTIF($H$2:$H$1166,$H$2:$H$1166)),COUNTIF($H$2:$H$1166,$H$2:$H$1166),0)),"Unknown"),H70)</f>
        <v>Pending</v>
      </c>
      <c r="Z70" s="7" t="str">
        <f t="shared" si="10"/>
        <v>Outer-Transaction</v>
      </c>
      <c r="AA70" s="7">
        <f>IF(J70="",AVERAGE($J:$J),J70)</f>
        <v>1829.22</v>
      </c>
      <c r="AB70" s="7">
        <f>IF(N70="",AVERAGE($N:$N),N70)</f>
        <v>77</v>
      </c>
      <c r="AC70" s="7">
        <f t="shared" si="11"/>
        <v>2024</v>
      </c>
      <c r="AD70" s="7">
        <f t="shared" si="12"/>
        <v>4</v>
      </c>
      <c r="AE70" s="7">
        <f>COUNTIF(A:A,A70)</f>
        <v>1</v>
      </c>
      <c r="AF70" s="7" t="str">
        <f t="shared" si="13"/>
        <v>No</v>
      </c>
    </row>
    <row r="71" spans="1:32">
      <c r="A71" t="s">
        <v>333</v>
      </c>
      <c r="B71">
        <v>18824561</v>
      </c>
      <c r="C71" t="s">
        <v>334</v>
      </c>
      <c r="D71" t="s">
        <v>335</v>
      </c>
      <c r="E71" t="s">
        <v>20</v>
      </c>
      <c r="F71" t="s">
        <v>92</v>
      </c>
      <c r="G71" t="s">
        <v>92</v>
      </c>
      <c r="I71" t="s">
        <v>3376</v>
      </c>
      <c r="J71">
        <v>5174.28</v>
      </c>
      <c r="K71" t="s">
        <v>27</v>
      </c>
      <c r="L71" t="s">
        <v>48</v>
      </c>
      <c r="M71" s="1">
        <v>45797.592361111114</v>
      </c>
      <c r="N71">
        <v>58</v>
      </c>
      <c r="O71" t="s">
        <v>23</v>
      </c>
      <c r="P71" t="s">
        <v>55</v>
      </c>
      <c r="Q71" t="s">
        <v>336</v>
      </c>
      <c r="R71">
        <f t="shared" si="7"/>
        <v>18824561</v>
      </c>
      <c r="S71" t="str" cm="1">
        <f t="array" ref="S71">IF(C71="",IFERROR(INDEX($C$2:$C$1166,MATCH(MAX(COUNTIF($C$2:$C$1166,$C$2:$C$1166)),COUNTIF($C$2:$C$1166,$C$2:$C$1166),0)),"Unknown"),C71)</f>
        <v>Barbara Gonzalez</v>
      </c>
      <c r="T71" s="4" t="str" cm="1">
        <f t="array" ref="T71">IF(D71="",IFERROR(INDEX($D$2:$D$1000,MATCH(MAX(COUNTIF($D$2:$D$1166,$D$2:$D$1166)),COUNTIF($D$2:$D$1166,$D$2:$D$1166),0)),"Unknown"),D71)</f>
        <v>Elena Al-Sayed</v>
      </c>
      <c r="U71" t="str">
        <f t="shared" si="8"/>
        <v>AUD</v>
      </c>
      <c r="V71" s="7" t="str">
        <f t="shared" si="8"/>
        <v>AUD</v>
      </c>
      <c r="W71" s="7" t="str">
        <f t="shared" si="9"/>
        <v>France</v>
      </c>
      <c r="X71" s="7" t="str">
        <f t="shared" si="9"/>
        <v>UK</v>
      </c>
      <c r="Y71" s="7" t="str" cm="1">
        <f t="array" ref="Y71">IF(H71="",IFERROR(INDEX($H$2:$H$1166,MATCH(MAX(COUNTIF($H$2:$H$1166,$H$2:$H$1166)),COUNTIF($H$2:$H$1166,$H$2:$H$1166),0)),"Unknown"),H71)</f>
        <v>Pending</v>
      </c>
      <c r="Z71" s="7" t="str">
        <f t="shared" si="10"/>
        <v>Internal</v>
      </c>
      <c r="AA71" s="7">
        <f>IF(J71="",AVERAGE($J:$J),J71)</f>
        <v>5174.28</v>
      </c>
      <c r="AB71" s="7">
        <f>IF(N71="",AVERAGE($N:$N),N71)</f>
        <v>58</v>
      </c>
      <c r="AC71" s="7">
        <f t="shared" si="11"/>
        <v>2025</v>
      </c>
      <c r="AD71" s="7">
        <f t="shared" si="12"/>
        <v>5</v>
      </c>
      <c r="AE71" s="7">
        <f>COUNTIF(A:A,A71)</f>
        <v>1</v>
      </c>
      <c r="AF71" s="7" t="str">
        <f t="shared" si="13"/>
        <v>No</v>
      </c>
    </row>
    <row r="72" spans="1:32">
      <c r="A72" t="s">
        <v>337</v>
      </c>
      <c r="B72">
        <v>40262109</v>
      </c>
      <c r="C72" t="s">
        <v>338</v>
      </c>
      <c r="D72" t="s">
        <v>339</v>
      </c>
      <c r="E72" t="s">
        <v>20</v>
      </c>
      <c r="F72" t="s">
        <v>53</v>
      </c>
      <c r="G72" t="s">
        <v>121</v>
      </c>
      <c r="H72" t="s">
        <v>38</v>
      </c>
      <c r="I72" t="s">
        <v>3374</v>
      </c>
      <c r="J72">
        <v>2537.85</v>
      </c>
      <c r="K72" t="s">
        <v>27</v>
      </c>
      <c r="L72" t="s">
        <v>48</v>
      </c>
      <c r="M72" s="1">
        <v>45564.032638888886</v>
      </c>
      <c r="N72">
        <v>46</v>
      </c>
      <c r="O72" t="s">
        <v>55</v>
      </c>
      <c r="P72" t="s">
        <v>23</v>
      </c>
      <c r="Q72" t="s">
        <v>340</v>
      </c>
      <c r="R72">
        <f t="shared" si="7"/>
        <v>40262109</v>
      </c>
      <c r="S72" t="str" cm="1">
        <f t="array" ref="S72">IF(C72="",IFERROR(INDEX($C$2:$C$1166,MATCH(MAX(COUNTIF($C$2:$C$1166,$C$2:$C$1166)),COUNTIF($C$2:$C$1166,$C$2:$C$1166),0)),"Unknown"),C72)</f>
        <v>Susan Taylor</v>
      </c>
      <c r="T72" s="4" t="str" cm="1">
        <f t="array" ref="T72">IF(D72="",IFERROR(INDEX($D$2:$D$1000,MATCH(MAX(COUNTIF($D$2:$D$1166,$D$2:$D$1166)),COUNTIF($D$2:$D$1166,$D$2:$D$1166),0)),"Unknown"),D72)</f>
        <v>Carlos Martinez</v>
      </c>
      <c r="U72" t="str">
        <f t="shared" si="8"/>
        <v>AED</v>
      </c>
      <c r="V72" s="7" t="str">
        <f t="shared" si="8"/>
        <v>INR</v>
      </c>
      <c r="W72" s="7" t="str">
        <f t="shared" si="9"/>
        <v>UK</v>
      </c>
      <c r="X72" s="7" t="str">
        <f t="shared" si="9"/>
        <v>France</v>
      </c>
      <c r="Y72" s="7" t="str" cm="1">
        <f t="array" ref="Y72">IF(H72="",IFERROR(INDEX($H$2:$H$1166,MATCH(MAX(COUNTIF($H$2:$H$1166,$H$2:$H$1166)),COUNTIF($H$2:$H$1166,$H$2:$H$1166),0)),"Unknown"),H72)</f>
        <v>Pending</v>
      </c>
      <c r="Z72" s="7" t="str">
        <f t="shared" si="10"/>
        <v>External</v>
      </c>
      <c r="AA72" s="7">
        <f>IF(J72="",AVERAGE($J:$J),J72)</f>
        <v>2537.85</v>
      </c>
      <c r="AB72" s="7">
        <f>IF(N72="",AVERAGE($N:$N),N72)</f>
        <v>46</v>
      </c>
      <c r="AC72" s="7">
        <f t="shared" si="11"/>
        <v>2024</v>
      </c>
      <c r="AD72" s="7">
        <f t="shared" si="12"/>
        <v>9</v>
      </c>
      <c r="AE72" s="7">
        <f>COUNTIF(A:A,A72)</f>
        <v>1</v>
      </c>
      <c r="AF72" s="7" t="str">
        <f t="shared" si="13"/>
        <v>No</v>
      </c>
    </row>
    <row r="73" spans="1:32">
      <c r="A73" t="s">
        <v>341</v>
      </c>
      <c r="B73">
        <v>16101779</v>
      </c>
      <c r="C73" t="s">
        <v>342</v>
      </c>
      <c r="D73" t="s">
        <v>343</v>
      </c>
      <c r="E73" t="b">
        <v>1</v>
      </c>
      <c r="F73" t="s">
        <v>116</v>
      </c>
      <c r="G73" t="s">
        <v>92</v>
      </c>
      <c r="H73" t="s">
        <v>103</v>
      </c>
      <c r="I73" t="s">
        <v>3372</v>
      </c>
      <c r="J73">
        <v>3680.72</v>
      </c>
      <c r="K73" t="s">
        <v>39</v>
      </c>
      <c r="L73" t="s">
        <v>75</v>
      </c>
      <c r="M73" s="1">
        <v>44911.387499999997</v>
      </c>
      <c r="N73">
        <v>32</v>
      </c>
      <c r="O73" t="s">
        <v>54</v>
      </c>
      <c r="P73" t="s">
        <v>55</v>
      </c>
      <c r="Q73" t="s">
        <v>344</v>
      </c>
      <c r="R73">
        <f t="shared" si="7"/>
        <v>16101779</v>
      </c>
      <c r="S73" t="str" cm="1">
        <f t="array" ref="S73">IF(C73="",IFERROR(INDEX($C$2:$C$1166,MATCH(MAX(COUNTIF($C$2:$C$1166,$C$2:$C$1166)),COUNTIF($C$2:$C$1166,$C$2:$C$1166),0)),"Unknown"),C73)</f>
        <v>Sanjay Dubois</v>
      </c>
      <c r="T73" s="4" t="str" cm="1">
        <f t="array" ref="T73">IF(D73="",IFERROR(INDEX($D$2:$D$1000,MATCH(MAX(COUNTIF($D$2:$D$1166,$D$2:$D$1166)),COUNTIF($D$2:$D$1166,$D$2:$D$1166),0)),"Unknown"),D73)</f>
        <v>Christopher Rodriguez</v>
      </c>
      <c r="U73" t="str">
        <f t="shared" si="8"/>
        <v>CHF</v>
      </c>
      <c r="V73" s="7" t="str">
        <f t="shared" si="8"/>
        <v>AUD</v>
      </c>
      <c r="W73" s="7" t="str">
        <f t="shared" si="9"/>
        <v>India</v>
      </c>
      <c r="X73" s="7" t="str">
        <f t="shared" si="9"/>
        <v>UK</v>
      </c>
      <c r="Y73" s="7" t="str" cm="1">
        <f t="array" ref="Y73">IF(H73="",IFERROR(INDEX($H$2:$H$1166,MATCH(MAX(COUNTIF($H$2:$H$1166,$H$2:$H$1166)),COUNTIF($H$2:$H$1166,$H$2:$H$1166),0)),"Unknown"),H73)</f>
        <v>Verified</v>
      </c>
      <c r="Z73" s="7" t="str">
        <f t="shared" si="10"/>
        <v>Outer-Transaction</v>
      </c>
      <c r="AA73" s="7">
        <f>IF(J73="",AVERAGE($J:$J),J73)</f>
        <v>3680.72</v>
      </c>
      <c r="AB73" s="7">
        <f>IF(N73="",AVERAGE($N:$N),N73)</f>
        <v>32</v>
      </c>
      <c r="AC73" s="7">
        <f t="shared" si="11"/>
        <v>2022</v>
      </c>
      <c r="AD73" s="7">
        <f t="shared" si="12"/>
        <v>12</v>
      </c>
      <c r="AE73" s="7">
        <f>COUNTIF(A:A,A73)</f>
        <v>1</v>
      </c>
      <c r="AF73" s="7" t="str">
        <f t="shared" si="13"/>
        <v>No</v>
      </c>
    </row>
    <row r="74" spans="1:32">
      <c r="A74" t="s">
        <v>345</v>
      </c>
      <c r="B74">
        <v>52857920</v>
      </c>
      <c r="C74" t="s">
        <v>346</v>
      </c>
      <c r="D74" t="s">
        <v>326</v>
      </c>
      <c r="E74" t="s">
        <v>20</v>
      </c>
      <c r="F74" t="s">
        <v>34</v>
      </c>
      <c r="G74" t="s">
        <v>98</v>
      </c>
      <c r="H74" t="s">
        <v>25</v>
      </c>
      <c r="I74" t="s">
        <v>3377</v>
      </c>
      <c r="J74">
        <v>4360.28</v>
      </c>
      <c r="K74" t="s">
        <v>39</v>
      </c>
      <c r="L74" t="s">
        <v>81</v>
      </c>
      <c r="M74" s="1">
        <v>45459.876388888886</v>
      </c>
      <c r="N74">
        <v>62</v>
      </c>
      <c r="O74" t="s">
        <v>36</v>
      </c>
      <c r="P74" t="s">
        <v>127</v>
      </c>
      <c r="Q74" t="s">
        <v>347</v>
      </c>
      <c r="R74">
        <f t="shared" si="7"/>
        <v>52857920</v>
      </c>
      <c r="S74" t="str" cm="1">
        <f t="array" ref="S74">IF(C74="",IFERROR(INDEX($C$2:$C$1166,MATCH(MAX(COUNTIF($C$2:$C$1166,$C$2:$C$1166)),COUNTIF($C$2:$C$1166,$C$2:$C$1166),0)),"Unknown"),C74)</f>
        <v>Fatima Malik</v>
      </c>
      <c r="T74" s="4" t="str" cm="1">
        <f t="array" ref="T74">IF(D74="",IFERROR(INDEX($D$2:$D$1000,MATCH(MAX(COUNTIF($D$2:$D$1166,$D$2:$D$1166)),COUNTIF($D$2:$D$1166,$D$2:$D$1166),0)),"Unknown"),D74)</f>
        <v>Susan Gonzalez</v>
      </c>
      <c r="U74" t="str">
        <f t="shared" si="8"/>
        <v>CAD</v>
      </c>
      <c r="V74" s="7" t="str">
        <f t="shared" si="8"/>
        <v>JPY</v>
      </c>
      <c r="W74" s="7" t="str">
        <f t="shared" si="9"/>
        <v>Germany</v>
      </c>
      <c r="X74" s="7" t="str">
        <f t="shared" si="9"/>
        <v>Canada</v>
      </c>
      <c r="Y74" s="7" t="str" cm="1">
        <f t="array" ref="Y74">IF(H74="",IFERROR(INDEX($H$2:$H$1166,MATCH(MAX(COUNTIF($H$2:$H$1166,$H$2:$H$1166)),COUNTIF($H$2:$H$1166,$H$2:$H$1166),0)),"Unknown"),H74)</f>
        <v>KYC</v>
      </c>
      <c r="Z74" s="7" t="str">
        <f t="shared" si="10"/>
        <v>Inter-Transaction</v>
      </c>
      <c r="AA74" s="7">
        <f>IF(J74="",AVERAGE($J:$J),J74)</f>
        <v>4360.28</v>
      </c>
      <c r="AB74" s="7">
        <f>IF(N74="",AVERAGE($N:$N),N74)</f>
        <v>62</v>
      </c>
      <c r="AC74" s="7">
        <f t="shared" si="11"/>
        <v>2024</v>
      </c>
      <c r="AD74" s="7">
        <f t="shared" si="12"/>
        <v>6</v>
      </c>
      <c r="AE74" s="7">
        <f>COUNTIF(A:A,A74)</f>
        <v>1</v>
      </c>
      <c r="AF74" s="7" t="str">
        <f t="shared" si="13"/>
        <v>No</v>
      </c>
    </row>
    <row r="75" spans="1:32">
      <c r="A75" t="s">
        <v>348</v>
      </c>
      <c r="B75">
        <v>76942394</v>
      </c>
      <c r="C75" t="s">
        <v>349</v>
      </c>
      <c r="D75" t="s">
        <v>350</v>
      </c>
      <c r="E75" t="s">
        <v>20</v>
      </c>
      <c r="F75" t="s">
        <v>92</v>
      </c>
      <c r="G75" t="s">
        <v>98</v>
      </c>
      <c r="H75" t="s">
        <v>38</v>
      </c>
      <c r="I75" t="s">
        <v>3374</v>
      </c>
      <c r="J75">
        <v>10091.08</v>
      </c>
      <c r="K75" t="s">
        <v>57</v>
      </c>
      <c r="L75" t="s">
        <v>28</v>
      </c>
      <c r="M75" s="1">
        <v>43849.194444444445</v>
      </c>
      <c r="N75">
        <v>82</v>
      </c>
      <c r="O75" t="s">
        <v>36</v>
      </c>
      <c r="P75" t="s">
        <v>62</v>
      </c>
      <c r="Q75" t="s">
        <v>351</v>
      </c>
      <c r="R75">
        <f t="shared" si="7"/>
        <v>76942394</v>
      </c>
      <c r="S75" t="str" cm="1">
        <f t="array" ref="S75">IF(C75="",IFERROR(INDEX($C$2:$C$1166,MATCH(MAX(COUNTIF($C$2:$C$1166,$C$2:$C$1166)),COUNTIF($C$2:$C$1166,$C$2:$C$1166),0)),"Unknown"),C75)</f>
        <v xml:space="preserve">  CARLOS MARTINEZ </v>
      </c>
      <c r="T75" s="4" t="str" cm="1">
        <f t="array" ref="T75">IF(D75="",IFERROR(INDEX($D$2:$D$1000,MATCH(MAX(COUNTIF($D$2:$D$1166,$D$2:$D$1166)),COUNTIF($D$2:$D$1166,$D$2:$D$1166),0)),"Unknown"),D75)</f>
        <v>Sarah Smith</v>
      </c>
      <c r="U75" t="str">
        <f t="shared" si="8"/>
        <v>AUD</v>
      </c>
      <c r="V75" s="7" t="str">
        <f t="shared" si="8"/>
        <v>JPY</v>
      </c>
      <c r="W75" s="7" t="str">
        <f t="shared" si="9"/>
        <v>Germany</v>
      </c>
      <c r="X75" s="7" t="str">
        <f t="shared" si="9"/>
        <v>Australia</v>
      </c>
      <c r="Y75" s="7" t="str" cm="1">
        <f t="array" ref="Y75">IF(H75="",IFERROR(INDEX($H$2:$H$1166,MATCH(MAX(COUNTIF($H$2:$H$1166,$H$2:$H$1166)),COUNTIF($H$2:$H$1166,$H$2:$H$1166),0)),"Unknown"),H75)</f>
        <v>Pending</v>
      </c>
      <c r="Z75" s="7" t="str">
        <f t="shared" si="10"/>
        <v>External</v>
      </c>
      <c r="AA75" s="7">
        <f>IF(J75="",AVERAGE($J:$J),J75)</f>
        <v>10091.08</v>
      </c>
      <c r="AB75" s="7">
        <f>IF(N75="",AVERAGE($N:$N),N75)</f>
        <v>82</v>
      </c>
      <c r="AC75" s="7">
        <f t="shared" si="11"/>
        <v>2020</v>
      </c>
      <c r="AD75" s="7">
        <f t="shared" si="12"/>
        <v>1</v>
      </c>
      <c r="AE75" s="7">
        <f>COUNTIF(A:A,A75)</f>
        <v>1</v>
      </c>
      <c r="AF75" s="7" t="str">
        <f t="shared" si="13"/>
        <v>No</v>
      </c>
    </row>
    <row r="76" spans="1:32">
      <c r="A76" t="s">
        <v>352</v>
      </c>
      <c r="B76">
        <v>36126192</v>
      </c>
      <c r="C76" t="s">
        <v>353</v>
      </c>
      <c r="D76" t="s">
        <v>354</v>
      </c>
      <c r="E76" t="s">
        <v>3375</v>
      </c>
      <c r="F76" t="s">
        <v>44</v>
      </c>
      <c r="G76" t="s">
        <v>98</v>
      </c>
      <c r="H76" t="s">
        <v>56</v>
      </c>
      <c r="I76" t="s">
        <v>3378</v>
      </c>
      <c r="J76">
        <v>11925.51</v>
      </c>
      <c r="K76" t="s">
        <v>57</v>
      </c>
      <c r="L76" t="s">
        <v>75</v>
      </c>
      <c r="M76" s="1">
        <v>45238.715277777781</v>
      </c>
      <c r="N76">
        <v>26</v>
      </c>
      <c r="O76" t="s">
        <v>93</v>
      </c>
      <c r="P76" t="s">
        <v>54</v>
      </c>
      <c r="Q76" t="s">
        <v>355</v>
      </c>
      <c r="R76">
        <f t="shared" si="7"/>
        <v>36126192</v>
      </c>
      <c r="S76" t="str" cm="1">
        <f t="array" ref="S76">IF(C76="",IFERROR(INDEX($C$2:$C$1166,MATCH(MAX(COUNTIF($C$2:$C$1166,$C$2:$C$1166)),COUNTIF($C$2:$C$1166,$C$2:$C$1166),0)),"Unknown"),C76)</f>
        <v>Susan Moore</v>
      </c>
      <c r="T76" s="4" t="str" cm="1">
        <f t="array" ref="T76">IF(D76="",IFERROR(INDEX($D$2:$D$1000,MATCH(MAX(COUNTIF($D$2:$D$1166,$D$2:$D$1166)),COUNTIF($D$2:$D$1166,$D$2:$D$1166),0)),"Unknown"),D76)</f>
        <v>Barbara Williams</v>
      </c>
      <c r="U76" t="str">
        <f t="shared" si="8"/>
        <v>SGD</v>
      </c>
      <c r="V76" s="7" t="str">
        <f t="shared" si="8"/>
        <v>JPY</v>
      </c>
      <c r="W76" s="7" t="str">
        <f t="shared" si="9"/>
        <v>USA</v>
      </c>
      <c r="X76" s="7" t="str">
        <f t="shared" si="9"/>
        <v>India</v>
      </c>
      <c r="Y76" s="7" t="str" cm="1">
        <f t="array" ref="Y76">IF(H76="",IFERROR(INDEX($H$2:$H$1166,MATCH(MAX(COUNTIF($H$2:$H$1166,$H$2:$H$1166)),COUNTIF($H$2:$H$1166,$H$2:$H$1166),0)),"Unknown"),H76)</f>
        <v>Unverified</v>
      </c>
      <c r="Z76" s="7" t="str">
        <f t="shared" si="10"/>
        <v>Inter-Transaction</v>
      </c>
      <c r="AA76" s="7">
        <f>IF(J76="",AVERAGE($J:$J),J76)</f>
        <v>11925.51</v>
      </c>
      <c r="AB76" s="7">
        <f>IF(N76="",AVERAGE($N:$N),N76)</f>
        <v>26</v>
      </c>
      <c r="AC76" s="7">
        <f t="shared" si="11"/>
        <v>2023</v>
      </c>
      <c r="AD76" s="7">
        <f t="shared" si="12"/>
        <v>11</v>
      </c>
      <c r="AE76" s="7">
        <f>COUNTIF(A:A,A76)</f>
        <v>1</v>
      </c>
      <c r="AF76" s="7" t="str">
        <f t="shared" si="13"/>
        <v>No</v>
      </c>
    </row>
    <row r="77" spans="1:32">
      <c r="A77" t="s">
        <v>356</v>
      </c>
      <c r="B77">
        <v>71335966</v>
      </c>
      <c r="C77" t="s">
        <v>357</v>
      </c>
      <c r="D77" t="s">
        <v>358</v>
      </c>
      <c r="E77" t="s">
        <v>20</v>
      </c>
      <c r="F77" t="s">
        <v>116</v>
      </c>
      <c r="G77" t="s">
        <v>34</v>
      </c>
      <c r="H77" t="s">
        <v>38</v>
      </c>
      <c r="I77" t="s">
        <v>3376</v>
      </c>
      <c r="J77">
        <v>7352.8</v>
      </c>
      <c r="K77" t="s">
        <v>27</v>
      </c>
      <c r="L77" t="s">
        <v>75</v>
      </c>
      <c r="M77" s="1">
        <v>45047.625694444447</v>
      </c>
      <c r="N77">
        <v>18</v>
      </c>
      <c r="O77" t="s">
        <v>55</v>
      </c>
      <c r="P77" t="s">
        <v>37</v>
      </c>
      <c r="Q77" t="s">
        <v>359</v>
      </c>
      <c r="R77">
        <f t="shared" si="7"/>
        <v>71335966</v>
      </c>
      <c r="S77" t="str" cm="1">
        <f t="array" ref="S77">IF(C77="",IFERROR(INDEX($C$2:$C$1166,MATCH(MAX(COUNTIF($C$2:$C$1166,$C$2:$C$1166)),COUNTIF($C$2:$C$1166,$C$2:$C$1166),0)),"Unknown"),C77)</f>
        <v>Michael Martin</v>
      </c>
      <c r="T77" s="4" t="str" cm="1">
        <f t="array" ref="T77">IF(D77="",IFERROR(INDEX($D$2:$D$1000,MATCH(MAX(COUNTIF($D$2:$D$1166,$D$2:$D$1166)),COUNTIF($D$2:$D$1166,$D$2:$D$1166),0)),"Unknown"),D77)</f>
        <v>Carlos Taylor</v>
      </c>
      <c r="U77" t="str">
        <f t="shared" si="8"/>
        <v>CHF</v>
      </c>
      <c r="V77" s="7" t="str">
        <f t="shared" si="8"/>
        <v>CAD</v>
      </c>
      <c r="W77" s="7" t="str">
        <f t="shared" si="9"/>
        <v>UK</v>
      </c>
      <c r="X77" s="7" t="str">
        <f t="shared" si="9"/>
        <v>South Africa</v>
      </c>
      <c r="Y77" s="7" t="str" cm="1">
        <f t="array" ref="Y77">IF(H77="",IFERROR(INDEX($H$2:$H$1166,MATCH(MAX(COUNTIF($H$2:$H$1166,$H$2:$H$1166)),COUNTIF($H$2:$H$1166,$H$2:$H$1166),0)),"Unknown"),H77)</f>
        <v>Pending</v>
      </c>
      <c r="Z77" s="7" t="str">
        <f t="shared" si="10"/>
        <v>Internal</v>
      </c>
      <c r="AA77" s="7">
        <f>IF(J77="",AVERAGE($J:$J),J77)</f>
        <v>7352.8</v>
      </c>
      <c r="AB77" s="7">
        <f>IF(N77="",AVERAGE($N:$N),N77)</f>
        <v>18</v>
      </c>
      <c r="AC77" s="7">
        <f t="shared" si="11"/>
        <v>2023</v>
      </c>
      <c r="AD77" s="7">
        <f t="shared" si="12"/>
        <v>5</v>
      </c>
      <c r="AE77" s="7">
        <f>COUNTIF(A:A,A77)</f>
        <v>1</v>
      </c>
      <c r="AF77" s="7" t="str">
        <f t="shared" si="13"/>
        <v>No</v>
      </c>
    </row>
    <row r="78" spans="1:32">
      <c r="A78" t="s">
        <v>360</v>
      </c>
      <c r="B78">
        <v>94457912</v>
      </c>
      <c r="C78" t="s">
        <v>361</v>
      </c>
      <c r="D78" t="s">
        <v>362</v>
      </c>
      <c r="E78" t="s">
        <v>20</v>
      </c>
      <c r="F78" t="s">
        <v>116</v>
      </c>
      <c r="G78" t="s">
        <v>116</v>
      </c>
      <c r="H78" t="s">
        <v>56</v>
      </c>
      <c r="I78" t="s">
        <v>3371</v>
      </c>
      <c r="J78">
        <v>12326.7</v>
      </c>
      <c r="K78" t="s">
        <v>47</v>
      </c>
      <c r="L78" t="s">
        <v>28</v>
      </c>
      <c r="M78" s="1">
        <v>46115.495138888888</v>
      </c>
      <c r="N78">
        <v>25</v>
      </c>
      <c r="O78" t="s">
        <v>37</v>
      </c>
      <c r="P78" t="s">
        <v>37</v>
      </c>
      <c r="Q78" t="s">
        <v>363</v>
      </c>
      <c r="R78">
        <f t="shared" si="7"/>
        <v>94457912</v>
      </c>
      <c r="S78" t="str" cm="1">
        <f t="array" ref="S78">IF(C78="",IFERROR(INDEX($C$2:$C$1166,MATCH(MAX(COUNTIF($C$2:$C$1166,$C$2:$C$1166)),COUNTIF($C$2:$C$1166,$C$2:$C$1166),0)),"Unknown"),C78)</f>
        <v>John Martin</v>
      </c>
      <c r="T78" s="4" t="str" cm="1">
        <f t="array" ref="T78">IF(D78="",IFERROR(INDEX($D$2:$D$1000,MATCH(MAX(COUNTIF($D$2:$D$1166,$D$2:$D$1166)),COUNTIF($D$2:$D$1166,$D$2:$D$1166),0)),"Unknown"),D78)</f>
        <v>Sarah Rodriguez</v>
      </c>
      <c r="U78" t="str">
        <f t="shared" si="8"/>
        <v>CHF</v>
      </c>
      <c r="V78" s="7" t="str">
        <f t="shared" si="8"/>
        <v>CHF</v>
      </c>
      <c r="W78" s="7" t="str">
        <f t="shared" si="9"/>
        <v>South Africa</v>
      </c>
      <c r="X78" s="7" t="str">
        <f t="shared" si="9"/>
        <v>South Africa</v>
      </c>
      <c r="Y78" s="7" t="str" cm="1">
        <f t="array" ref="Y78">IF(H78="",IFERROR(INDEX($H$2:$H$1166,MATCH(MAX(COUNTIF($H$2:$H$1166,$H$2:$H$1166)),COUNTIF($H$2:$H$1166,$H$2:$H$1166),0)),"Unknown"),H78)</f>
        <v>Unverified</v>
      </c>
      <c r="Z78" s="7" t="str">
        <f t="shared" si="10"/>
        <v>Outer-Transaction</v>
      </c>
      <c r="AA78" s="7">
        <f>IF(J78="",AVERAGE($J:$J),J78)</f>
        <v>12326.7</v>
      </c>
      <c r="AB78" s="7">
        <f>IF(N78="",AVERAGE($N:$N),N78)</f>
        <v>25</v>
      </c>
      <c r="AC78" s="7">
        <f t="shared" si="11"/>
        <v>2026</v>
      </c>
      <c r="AD78" s="7">
        <f t="shared" si="12"/>
        <v>4</v>
      </c>
      <c r="AE78" s="7">
        <f>COUNTIF(A:A,A78)</f>
        <v>1</v>
      </c>
      <c r="AF78" s="7" t="str">
        <f t="shared" si="13"/>
        <v>No</v>
      </c>
    </row>
    <row r="79" spans="1:32">
      <c r="A79" t="s">
        <v>364</v>
      </c>
      <c r="B79">
        <v>73297813</v>
      </c>
      <c r="C79" t="s">
        <v>365</v>
      </c>
      <c r="D79" t="s">
        <v>366</v>
      </c>
      <c r="E79" t="s">
        <v>20</v>
      </c>
      <c r="F79" t="s">
        <v>21</v>
      </c>
      <c r="G79" t="s">
        <v>98</v>
      </c>
      <c r="H79" t="s">
        <v>74</v>
      </c>
      <c r="I79" t="s">
        <v>3372</v>
      </c>
      <c r="J79">
        <v>13682.74</v>
      </c>
      <c r="K79" t="s">
        <v>57</v>
      </c>
      <c r="L79" t="s">
        <v>75</v>
      </c>
      <c r="M79" s="1">
        <v>45241.237500000003</v>
      </c>
      <c r="N79">
        <v>80</v>
      </c>
      <c r="O79" t="s">
        <v>127</v>
      </c>
      <c r="P79" t="s">
        <v>54</v>
      </c>
      <c r="Q79" t="s">
        <v>367</v>
      </c>
      <c r="R79">
        <f t="shared" si="7"/>
        <v>73297813</v>
      </c>
      <c r="S79" t="str" cm="1">
        <f t="array" ref="S79">IF(C79="",IFERROR(INDEX($C$2:$C$1166,MATCH(MAX(COUNTIF($C$2:$C$1166,$C$2:$C$1166)),COUNTIF($C$2:$C$1166,$C$2:$C$1166),0)),"Unknown"),C79)</f>
        <v>Zayn Malik</v>
      </c>
      <c r="T79" s="4" t="str" cm="1">
        <f t="array" ref="T79">IF(D79="",IFERROR(INDEX($D$2:$D$1000,MATCH(MAX(COUNTIF($D$2:$D$1166,$D$2:$D$1166)),COUNTIF($D$2:$D$1166,$D$2:$D$1166),0)),"Unknown"),D79)</f>
        <v>Fatima Al-Sayed</v>
      </c>
      <c r="U79" t="str">
        <f t="shared" si="8"/>
        <v>GBP</v>
      </c>
      <c r="V79" s="7" t="str">
        <f t="shared" si="8"/>
        <v>JPY</v>
      </c>
      <c r="W79" s="7" t="str">
        <f t="shared" si="9"/>
        <v>Canada</v>
      </c>
      <c r="X79" s="7" t="str">
        <f t="shared" si="9"/>
        <v>India</v>
      </c>
      <c r="Y79" s="7" t="str" cm="1">
        <f t="array" ref="Y79">IF(H79="",IFERROR(INDEX($H$2:$H$1166,MATCH(MAX(COUNTIF($H$2:$H$1166,$H$2:$H$1166)),COUNTIF($H$2:$H$1166,$H$2:$H$1166),0)),"Unknown"),H79)</f>
        <v>Non-KYC</v>
      </c>
      <c r="Z79" s="7" t="str">
        <f t="shared" si="10"/>
        <v>Outer-Transaction</v>
      </c>
      <c r="AA79" s="7">
        <f>IF(J79="",AVERAGE($J:$J),J79)</f>
        <v>13682.74</v>
      </c>
      <c r="AB79" s="7">
        <f>IF(N79="",AVERAGE($N:$N),N79)</f>
        <v>80</v>
      </c>
      <c r="AC79" s="7">
        <f t="shared" si="11"/>
        <v>2023</v>
      </c>
      <c r="AD79" s="7">
        <f t="shared" si="12"/>
        <v>11</v>
      </c>
      <c r="AE79" s="7">
        <f>COUNTIF(A:A,A79)</f>
        <v>1</v>
      </c>
      <c r="AF79" s="7" t="str">
        <f t="shared" si="13"/>
        <v>No</v>
      </c>
    </row>
    <row r="80" spans="1:32">
      <c r="A80" t="s">
        <v>368</v>
      </c>
      <c r="B80">
        <v>48789478</v>
      </c>
      <c r="C80" t="s">
        <v>369</v>
      </c>
      <c r="D80" t="s">
        <v>370</v>
      </c>
      <c r="E80" t="s">
        <v>33</v>
      </c>
      <c r="F80" t="s">
        <v>44</v>
      </c>
      <c r="G80" t="s">
        <v>34</v>
      </c>
      <c r="H80" t="s">
        <v>38</v>
      </c>
      <c r="I80" t="s">
        <v>3372</v>
      </c>
      <c r="J80">
        <v>13437.45</v>
      </c>
      <c r="K80" t="s">
        <v>39</v>
      </c>
      <c r="L80" t="s">
        <v>75</v>
      </c>
      <c r="M80" s="1">
        <v>44107.321527777778</v>
      </c>
      <c r="N80">
        <v>28</v>
      </c>
      <c r="O80" t="s">
        <v>23</v>
      </c>
      <c r="P80" t="s">
        <v>23</v>
      </c>
      <c r="Q80" t="s">
        <v>371</v>
      </c>
      <c r="R80">
        <f t="shared" si="7"/>
        <v>48789478</v>
      </c>
      <c r="S80" t="str" cm="1">
        <f t="array" ref="S80">IF(C80="",IFERROR(INDEX($C$2:$C$1166,MATCH(MAX(COUNTIF($C$2:$C$1166,$C$2:$C$1166)),COUNTIF($C$2:$C$1166,$C$2:$C$1166),0)),"Unknown"),C80)</f>
        <v>Elena Miller</v>
      </c>
      <c r="T80" s="4" t="str" cm="1">
        <f t="array" ref="T80">IF(D80="",IFERROR(INDEX($D$2:$D$1000,MATCH(MAX(COUNTIF($D$2:$D$1166,$D$2:$D$1166)),COUNTIF($D$2:$D$1166,$D$2:$D$1166),0)),"Unknown"),D80)</f>
        <v>Elena Rostova</v>
      </c>
      <c r="U80" t="str">
        <f t="shared" si="8"/>
        <v>SGD</v>
      </c>
      <c r="V80" s="7" t="str">
        <f t="shared" si="8"/>
        <v>CAD</v>
      </c>
      <c r="W80" s="7" t="str">
        <f t="shared" si="9"/>
        <v>France</v>
      </c>
      <c r="X80" s="7" t="str">
        <f t="shared" si="9"/>
        <v>France</v>
      </c>
      <c r="Y80" s="7" t="str" cm="1">
        <f t="array" ref="Y80">IF(H80="",IFERROR(INDEX($H$2:$H$1166,MATCH(MAX(COUNTIF($H$2:$H$1166,$H$2:$H$1166)),COUNTIF($H$2:$H$1166,$H$2:$H$1166),0)),"Unknown"),H80)</f>
        <v>Pending</v>
      </c>
      <c r="Z80" s="7" t="str">
        <f t="shared" si="10"/>
        <v>Outer-Transaction</v>
      </c>
      <c r="AA80" s="7">
        <f>IF(J80="",AVERAGE($J:$J),J80)</f>
        <v>13437.45</v>
      </c>
      <c r="AB80" s="7">
        <f>IF(N80="",AVERAGE($N:$N),N80)</f>
        <v>28</v>
      </c>
      <c r="AC80" s="7">
        <f t="shared" si="11"/>
        <v>2020</v>
      </c>
      <c r="AD80" s="7">
        <f t="shared" si="12"/>
        <v>10</v>
      </c>
      <c r="AE80" s="7">
        <f>COUNTIF(A:A,A80)</f>
        <v>1</v>
      </c>
      <c r="AF80" s="7" t="str">
        <f t="shared" si="13"/>
        <v>Yes</v>
      </c>
    </row>
    <row r="81" spans="1:32">
      <c r="A81" t="s">
        <v>372</v>
      </c>
      <c r="B81">
        <v>37121108</v>
      </c>
      <c r="C81" t="s">
        <v>373</v>
      </c>
      <c r="E81" t="s">
        <v>20</v>
      </c>
      <c r="F81" t="s">
        <v>53</v>
      </c>
      <c r="G81" t="s">
        <v>21</v>
      </c>
      <c r="H81" t="s">
        <v>74</v>
      </c>
      <c r="I81" t="s">
        <v>3374</v>
      </c>
      <c r="J81">
        <v>3500.22</v>
      </c>
      <c r="K81" t="s">
        <v>86</v>
      </c>
      <c r="L81" t="s">
        <v>81</v>
      </c>
      <c r="M81" s="1">
        <v>44575.047222222223</v>
      </c>
      <c r="N81">
        <v>25</v>
      </c>
      <c r="O81" t="s">
        <v>127</v>
      </c>
      <c r="P81" t="s">
        <v>127</v>
      </c>
      <c r="Q81" t="s">
        <v>374</v>
      </c>
      <c r="R81">
        <f t="shared" si="7"/>
        <v>37121108</v>
      </c>
      <c r="S81" t="str" cm="1">
        <f t="array" ref="S81">IF(C81="",IFERROR(INDEX($C$2:$C$1166,MATCH(MAX(COUNTIF($C$2:$C$1166,$C$2:$C$1166)),COUNTIF($C$2:$C$1166,$C$2:$C$1166),0)),"Unknown"),C81)</f>
        <v xml:space="preserve">  AMIR MOORE </v>
      </c>
      <c r="T81" s="4" t="str" cm="1">
        <f t="array" ref="T81">IF(D81="",IFERROR(INDEX($D$2:$D$1000,MATCH(MAX(COUNTIF($D$2:$D$1166,$D$2:$D$1166)),COUNTIF($D$2:$D$1166,$D$2:$D$1166),0)),"Unknown"),D81)</f>
        <v>Patricia Smith</v>
      </c>
      <c r="U81" t="str">
        <f t="shared" si="8"/>
        <v>AED</v>
      </c>
      <c r="V81" s="7" t="str">
        <f t="shared" si="8"/>
        <v>GBP</v>
      </c>
      <c r="W81" s="7" t="str">
        <f t="shared" si="9"/>
        <v>Canada</v>
      </c>
      <c r="X81" s="7" t="str">
        <f t="shared" si="9"/>
        <v>Canada</v>
      </c>
      <c r="Y81" s="7" t="str" cm="1">
        <f t="array" ref="Y81">IF(H81="",IFERROR(INDEX($H$2:$H$1166,MATCH(MAX(COUNTIF($H$2:$H$1166,$H$2:$H$1166)),COUNTIF($H$2:$H$1166,$H$2:$H$1166),0)),"Unknown"),H81)</f>
        <v>Non-KYC</v>
      </c>
      <c r="Z81" s="7" t="str">
        <f t="shared" si="10"/>
        <v>External</v>
      </c>
      <c r="AA81" s="7">
        <f>IF(J81="",AVERAGE($J:$J),J81)</f>
        <v>3500.22</v>
      </c>
      <c r="AB81" s="7">
        <f>IF(N81="",AVERAGE($N:$N),N81)</f>
        <v>25</v>
      </c>
      <c r="AC81" s="7">
        <f t="shared" si="11"/>
        <v>2022</v>
      </c>
      <c r="AD81" s="7">
        <f t="shared" si="12"/>
        <v>1</v>
      </c>
      <c r="AE81" s="7">
        <f>COUNTIF(A:A,A81)</f>
        <v>1</v>
      </c>
      <c r="AF81" s="7" t="str">
        <f t="shared" si="13"/>
        <v>No</v>
      </c>
    </row>
    <row r="82" spans="1:32">
      <c r="A82" t="s">
        <v>375</v>
      </c>
      <c r="B82">
        <v>73847325</v>
      </c>
      <c r="C82" t="s">
        <v>376</v>
      </c>
      <c r="D82" t="s">
        <v>377</v>
      </c>
      <c r="E82" t="s">
        <v>20</v>
      </c>
      <c r="F82" t="s">
        <v>34</v>
      </c>
      <c r="G82" t="s">
        <v>53</v>
      </c>
      <c r="I82" t="s">
        <v>3377</v>
      </c>
      <c r="J82">
        <v>13699.31</v>
      </c>
      <c r="K82" t="s">
        <v>47</v>
      </c>
      <c r="L82" t="s">
        <v>81</v>
      </c>
      <c r="M82" s="1">
        <v>44382.584027777775</v>
      </c>
      <c r="N82">
        <v>52</v>
      </c>
      <c r="O82" t="s">
        <v>37</v>
      </c>
      <c r="P82" t="s">
        <v>127</v>
      </c>
      <c r="Q82" t="s">
        <v>378</v>
      </c>
      <c r="R82">
        <f t="shared" si="7"/>
        <v>73847325</v>
      </c>
      <c r="S82" t="str" cm="1">
        <f t="array" ref="S82">IF(C82="",IFERROR(INDEX($C$2:$C$1166,MATCH(MAX(COUNTIF($C$2:$C$1166,$C$2:$C$1166)),COUNTIF($C$2:$C$1166,$C$2:$C$1166),0)),"Unknown"),C82)</f>
        <v>Sarah Nair</v>
      </c>
      <c r="T82" s="4" t="str" cm="1">
        <f t="array" ref="T82">IF(D82="",IFERROR(INDEX($D$2:$D$1000,MATCH(MAX(COUNTIF($D$2:$D$1166,$D$2:$D$1166)),COUNTIF($D$2:$D$1166,$D$2:$D$1166),0)),"Unknown"),D82)</f>
        <v>William Dubois</v>
      </c>
      <c r="U82" t="str">
        <f t="shared" si="8"/>
        <v>CAD</v>
      </c>
      <c r="V82" s="7" t="str">
        <f t="shared" si="8"/>
        <v>AED</v>
      </c>
      <c r="W82" s="7" t="str">
        <f t="shared" si="9"/>
        <v>South Africa</v>
      </c>
      <c r="X82" s="7" t="str">
        <f t="shared" si="9"/>
        <v>Canada</v>
      </c>
      <c r="Y82" s="7" t="str" cm="1">
        <f t="array" ref="Y82">IF(H82="",IFERROR(INDEX($H$2:$H$1166,MATCH(MAX(COUNTIF($H$2:$H$1166,$H$2:$H$1166)),COUNTIF($H$2:$H$1166,$H$2:$H$1166),0)),"Unknown"),H82)</f>
        <v>Pending</v>
      </c>
      <c r="Z82" s="7" t="str">
        <f t="shared" si="10"/>
        <v>Inter-Transaction</v>
      </c>
      <c r="AA82" s="7">
        <f>IF(J82="",AVERAGE($J:$J),J82)</f>
        <v>13699.31</v>
      </c>
      <c r="AB82" s="7">
        <f>IF(N82="",AVERAGE($N:$N),N82)</f>
        <v>52</v>
      </c>
      <c r="AC82" s="7">
        <f t="shared" si="11"/>
        <v>2021</v>
      </c>
      <c r="AD82" s="7">
        <f t="shared" si="12"/>
        <v>7</v>
      </c>
      <c r="AE82" s="7">
        <f>COUNTIF(A:A,A82)</f>
        <v>1</v>
      </c>
      <c r="AF82" s="7" t="str">
        <f t="shared" si="13"/>
        <v>No</v>
      </c>
    </row>
    <row r="83" spans="1:32">
      <c r="A83" t="s">
        <v>379</v>
      </c>
      <c r="B83">
        <v>11243818</v>
      </c>
      <c r="C83" t="s">
        <v>380</v>
      </c>
      <c r="E83" t="s">
        <v>33</v>
      </c>
      <c r="F83" t="s">
        <v>34</v>
      </c>
      <c r="G83" t="s">
        <v>53</v>
      </c>
      <c r="H83" t="s">
        <v>38</v>
      </c>
      <c r="I83" t="s">
        <v>3372</v>
      </c>
      <c r="J83">
        <v>4099.83</v>
      </c>
      <c r="K83" t="s">
        <v>86</v>
      </c>
      <c r="L83" t="s">
        <v>75</v>
      </c>
      <c r="M83" s="1">
        <v>45007.006249999999</v>
      </c>
      <c r="N83">
        <v>52</v>
      </c>
      <c r="O83" t="s">
        <v>37</v>
      </c>
      <c r="P83" t="s">
        <v>93</v>
      </c>
      <c r="Q83" t="s">
        <v>381</v>
      </c>
      <c r="R83">
        <f t="shared" si="7"/>
        <v>11243818</v>
      </c>
      <c r="S83" t="str" cm="1">
        <f t="array" ref="S83">IF(C83="",IFERROR(INDEX($C$2:$C$1166,MATCH(MAX(COUNTIF($C$2:$C$1166,$C$2:$C$1166)),COUNTIF($C$2:$C$1166,$C$2:$C$1166),0)),"Unknown"),C83)</f>
        <v>Barbara Jackson</v>
      </c>
      <c r="T83" s="4" t="str" cm="1">
        <f t="array" ref="T83">IF(D83="",IFERROR(INDEX($D$2:$D$1000,MATCH(MAX(COUNTIF($D$2:$D$1166,$D$2:$D$1166)),COUNTIF($D$2:$D$1166,$D$2:$D$1166),0)),"Unknown"),D83)</f>
        <v>Patricia Smith</v>
      </c>
      <c r="U83" t="str">
        <f t="shared" si="8"/>
        <v>CAD</v>
      </c>
      <c r="V83" s="7" t="str">
        <f t="shared" si="8"/>
        <v>AED</v>
      </c>
      <c r="W83" s="7" t="str">
        <f t="shared" si="9"/>
        <v>South Africa</v>
      </c>
      <c r="X83" s="7" t="str">
        <f t="shared" si="9"/>
        <v>USA</v>
      </c>
      <c r="Y83" s="7" t="str" cm="1">
        <f t="array" ref="Y83">IF(H83="",IFERROR(INDEX($H$2:$H$1166,MATCH(MAX(COUNTIF($H$2:$H$1166,$H$2:$H$1166)),COUNTIF($H$2:$H$1166,$H$2:$H$1166),0)),"Unknown"),H83)</f>
        <v>Pending</v>
      </c>
      <c r="Z83" s="7" t="str">
        <f t="shared" si="10"/>
        <v>Outer-Transaction</v>
      </c>
      <c r="AA83" s="7">
        <f>IF(J83="",AVERAGE($J:$J),J83)</f>
        <v>4099.83</v>
      </c>
      <c r="AB83" s="7">
        <f>IF(N83="",AVERAGE($N:$N),N83)</f>
        <v>52</v>
      </c>
      <c r="AC83" s="7">
        <f t="shared" si="11"/>
        <v>2023</v>
      </c>
      <c r="AD83" s="7">
        <f t="shared" si="12"/>
        <v>3</v>
      </c>
      <c r="AE83" s="7">
        <f>COUNTIF(A:A,A83)</f>
        <v>1</v>
      </c>
      <c r="AF83" s="7" t="str">
        <f t="shared" si="13"/>
        <v>Yes</v>
      </c>
    </row>
    <row r="84" spans="1:32">
      <c r="A84" t="s">
        <v>382</v>
      </c>
      <c r="B84">
        <v>35925669</v>
      </c>
      <c r="C84" t="s">
        <v>383</v>
      </c>
      <c r="D84" t="s">
        <v>211</v>
      </c>
      <c r="E84" t="s">
        <v>3375</v>
      </c>
      <c r="F84" t="s">
        <v>92</v>
      </c>
      <c r="G84" t="s">
        <v>98</v>
      </c>
      <c r="H84" t="s">
        <v>74</v>
      </c>
      <c r="I84" t="s">
        <v>3377</v>
      </c>
      <c r="J84">
        <v>3919.17</v>
      </c>
      <c r="K84" t="s">
        <v>47</v>
      </c>
      <c r="L84" t="s">
        <v>81</v>
      </c>
      <c r="M84" s="1">
        <v>44469.071527777778</v>
      </c>
      <c r="N84">
        <v>50</v>
      </c>
      <c r="O84" t="s">
        <v>55</v>
      </c>
      <c r="P84" t="s">
        <v>62</v>
      </c>
      <c r="Q84" t="s">
        <v>384</v>
      </c>
      <c r="R84">
        <f t="shared" si="7"/>
        <v>35925669</v>
      </c>
      <c r="S84" t="str" cm="1">
        <f t="array" ref="S84">IF(C84="",IFERROR(INDEX($C$2:$C$1166,MATCH(MAX(COUNTIF($C$2:$C$1166,$C$2:$C$1166)),COUNTIF($C$2:$C$1166,$C$2:$C$1166),0)),"Unknown"),C84)</f>
        <v>Linda Martin</v>
      </c>
      <c r="T84" s="4" t="str" cm="1">
        <f t="array" ref="T84">IF(D84="",IFERROR(INDEX($D$2:$D$1000,MATCH(MAX(COUNTIF($D$2:$D$1166,$D$2:$D$1166)),COUNTIF($D$2:$D$1166,$D$2:$D$1166),0)),"Unknown"),D84)</f>
        <v>Zayn Nair</v>
      </c>
      <c r="U84" t="str">
        <f t="shared" si="8"/>
        <v>AUD</v>
      </c>
      <c r="V84" s="7" t="str">
        <f t="shared" si="8"/>
        <v>JPY</v>
      </c>
      <c r="W84" s="7" t="str">
        <f t="shared" si="9"/>
        <v>UK</v>
      </c>
      <c r="X84" s="7" t="str">
        <f t="shared" si="9"/>
        <v>Australia</v>
      </c>
      <c r="Y84" s="7" t="str" cm="1">
        <f t="array" ref="Y84">IF(H84="",IFERROR(INDEX($H$2:$H$1166,MATCH(MAX(COUNTIF($H$2:$H$1166,$H$2:$H$1166)),COUNTIF($H$2:$H$1166,$H$2:$H$1166),0)),"Unknown"),H84)</f>
        <v>Non-KYC</v>
      </c>
      <c r="Z84" s="7" t="str">
        <f t="shared" si="10"/>
        <v>Inter-Transaction</v>
      </c>
      <c r="AA84" s="7">
        <f>IF(J84="",AVERAGE($J:$J),J84)</f>
        <v>3919.17</v>
      </c>
      <c r="AB84" s="7">
        <f>IF(N84="",AVERAGE($N:$N),N84)</f>
        <v>50</v>
      </c>
      <c r="AC84" s="7">
        <f t="shared" si="11"/>
        <v>2021</v>
      </c>
      <c r="AD84" s="7">
        <f t="shared" si="12"/>
        <v>9</v>
      </c>
      <c r="AE84" s="7">
        <f>COUNTIF(A:A,A84)</f>
        <v>1</v>
      </c>
      <c r="AF84" s="7" t="str">
        <f t="shared" si="13"/>
        <v>No</v>
      </c>
    </row>
    <row r="85" spans="1:32">
      <c r="A85" t="s">
        <v>385</v>
      </c>
      <c r="B85">
        <v>72464258</v>
      </c>
      <c r="C85" t="s">
        <v>386</v>
      </c>
      <c r="D85" t="s">
        <v>387</v>
      </c>
      <c r="E85" t="s">
        <v>20</v>
      </c>
      <c r="F85" t="s">
        <v>22</v>
      </c>
      <c r="G85" t="s">
        <v>53</v>
      </c>
      <c r="H85" t="s">
        <v>74</v>
      </c>
      <c r="I85" t="s">
        <v>3372</v>
      </c>
      <c r="J85">
        <v>2306.25</v>
      </c>
      <c r="K85" t="s">
        <v>27</v>
      </c>
      <c r="L85" t="s">
        <v>75</v>
      </c>
      <c r="M85" s="1">
        <v>44067.921527777777</v>
      </c>
      <c r="N85">
        <v>22</v>
      </c>
      <c r="O85" t="s">
        <v>37</v>
      </c>
      <c r="P85" t="s">
        <v>36</v>
      </c>
      <c r="Q85" t="s">
        <v>388</v>
      </c>
      <c r="R85">
        <f t="shared" si="7"/>
        <v>72464258</v>
      </c>
      <c r="S85" t="str" cm="1">
        <f t="array" ref="S85">IF(C85="",IFERROR(INDEX($C$2:$C$1166,MATCH(MAX(COUNTIF($C$2:$C$1166,$C$2:$C$1166)),COUNTIF($C$2:$C$1166,$C$2:$C$1166),0)),"Unknown"),C85)</f>
        <v>Barbara Garcia</v>
      </c>
      <c r="T85" s="4" t="str" cm="1">
        <f t="array" ref="T85">IF(D85="",IFERROR(INDEX($D$2:$D$1000,MATCH(MAX(COUNTIF($D$2:$D$1166,$D$2:$D$1166)),COUNTIF($D$2:$D$1166,$D$2:$D$1166),0)),"Unknown"),D85)</f>
        <v>Joseph Velez</v>
      </c>
      <c r="U85" t="str">
        <f t="shared" si="8"/>
        <v>BRL</v>
      </c>
      <c r="V85" s="7" t="str">
        <f t="shared" si="8"/>
        <v>AED</v>
      </c>
      <c r="W85" s="7" t="str">
        <f t="shared" si="9"/>
        <v>South Africa</v>
      </c>
      <c r="X85" s="7" t="str">
        <f t="shared" si="9"/>
        <v>Germany</v>
      </c>
      <c r="Y85" s="7" t="str" cm="1">
        <f t="array" ref="Y85">IF(H85="",IFERROR(INDEX($H$2:$H$1166,MATCH(MAX(COUNTIF($H$2:$H$1166,$H$2:$H$1166)),COUNTIF($H$2:$H$1166,$H$2:$H$1166),0)),"Unknown"),H85)</f>
        <v>Non-KYC</v>
      </c>
      <c r="Z85" s="7" t="str">
        <f t="shared" si="10"/>
        <v>Outer-Transaction</v>
      </c>
      <c r="AA85" s="7">
        <f>IF(J85="",AVERAGE($J:$J),J85)</f>
        <v>2306.25</v>
      </c>
      <c r="AB85" s="7">
        <f>IF(N85="",AVERAGE($N:$N),N85)</f>
        <v>22</v>
      </c>
      <c r="AC85" s="7">
        <f t="shared" si="11"/>
        <v>2020</v>
      </c>
      <c r="AD85" s="7">
        <f t="shared" si="12"/>
        <v>8</v>
      </c>
      <c r="AE85" s="7">
        <f>COUNTIF(A:A,A85)</f>
        <v>1</v>
      </c>
      <c r="AF85" s="7" t="str">
        <f t="shared" si="13"/>
        <v>No</v>
      </c>
    </row>
    <row r="86" spans="1:32">
      <c r="A86" t="s">
        <v>389</v>
      </c>
      <c r="B86">
        <v>89968863</v>
      </c>
      <c r="C86" t="s">
        <v>390</v>
      </c>
      <c r="D86" t="s">
        <v>391</v>
      </c>
      <c r="E86" t="s">
        <v>20</v>
      </c>
      <c r="F86" t="s">
        <v>392</v>
      </c>
      <c r="G86" t="s">
        <v>393</v>
      </c>
      <c r="H86" t="s">
        <v>38</v>
      </c>
      <c r="I86" t="s">
        <v>3376</v>
      </c>
      <c r="J86">
        <v>2256.29</v>
      </c>
      <c r="K86" t="s">
        <v>57</v>
      </c>
      <c r="L86" t="s">
        <v>81</v>
      </c>
      <c r="M86" s="1">
        <v>44828.203472222223</v>
      </c>
      <c r="N86">
        <v>58</v>
      </c>
      <c r="O86" t="s">
        <v>93</v>
      </c>
      <c r="P86" t="s">
        <v>24</v>
      </c>
      <c r="Q86" t="s">
        <v>394</v>
      </c>
      <c r="R86">
        <f t="shared" si="7"/>
        <v>89968863</v>
      </c>
      <c r="S86" t="str" cm="1">
        <f t="array" ref="S86">IF(C86="",IFERROR(INDEX($C$2:$C$1166,MATCH(MAX(COUNTIF($C$2:$C$1166,$C$2:$C$1166)),COUNTIF($C$2:$C$1166,$C$2:$C$1166),0)),"Unknown"),C86)</f>
        <v>Zayn Silva</v>
      </c>
      <c r="T86" s="4" t="str" cm="1">
        <f t="array" ref="T86">IF(D86="",IFERROR(INDEX($D$2:$D$1000,MATCH(MAX(COUNTIF($D$2:$D$1166,$D$2:$D$1166)),COUNTIF($D$2:$D$1166,$D$2:$D$1166),0)),"Unknown"),D86)</f>
        <v>Robert Taylor</v>
      </c>
      <c r="U86" t="str">
        <f t="shared" si="8"/>
        <v>brl</v>
      </c>
      <c r="V86" s="7" t="str">
        <f t="shared" si="8"/>
        <v>cad</v>
      </c>
      <c r="W86" s="7" t="str">
        <f t="shared" si="9"/>
        <v>USA</v>
      </c>
      <c r="X86" s="7" t="str">
        <f t="shared" si="9"/>
        <v>Brazil</v>
      </c>
      <c r="Y86" s="7" t="str" cm="1">
        <f t="array" ref="Y86">IF(H86="",IFERROR(INDEX($H$2:$H$1166,MATCH(MAX(COUNTIF($H$2:$H$1166,$H$2:$H$1166)),COUNTIF($H$2:$H$1166,$H$2:$H$1166),0)),"Unknown"),H86)</f>
        <v>Pending</v>
      </c>
      <c r="Z86" s="7" t="str">
        <f t="shared" si="10"/>
        <v>Internal</v>
      </c>
      <c r="AA86" s="7">
        <f>IF(J86="",AVERAGE($J:$J),J86)</f>
        <v>2256.29</v>
      </c>
      <c r="AB86" s="7">
        <f>IF(N86="",AVERAGE($N:$N),N86)</f>
        <v>58</v>
      </c>
      <c r="AC86" s="7">
        <f t="shared" si="11"/>
        <v>2022</v>
      </c>
      <c r="AD86" s="7">
        <f t="shared" si="12"/>
        <v>9</v>
      </c>
      <c r="AE86" s="7">
        <f>COUNTIF(A:A,A86)</f>
        <v>1</v>
      </c>
      <c r="AF86" s="7" t="str">
        <f t="shared" si="13"/>
        <v>No</v>
      </c>
    </row>
    <row r="87" spans="1:32">
      <c r="A87" t="s">
        <v>395</v>
      </c>
      <c r="B87">
        <v>65757342</v>
      </c>
      <c r="C87" t="s">
        <v>396</v>
      </c>
      <c r="D87" t="s">
        <v>397</v>
      </c>
      <c r="E87" t="s">
        <v>20</v>
      </c>
      <c r="F87" t="s">
        <v>176</v>
      </c>
      <c r="G87" t="s">
        <v>392</v>
      </c>
      <c r="H87" t="s">
        <v>56</v>
      </c>
      <c r="I87" t="s">
        <v>3378</v>
      </c>
      <c r="J87">
        <v>10508.77</v>
      </c>
      <c r="K87" t="s">
        <v>27</v>
      </c>
      <c r="L87" t="s">
        <v>28</v>
      </c>
      <c r="M87" s="1">
        <v>45933.031944444447</v>
      </c>
      <c r="N87">
        <v>45</v>
      </c>
      <c r="O87" t="s">
        <v>54</v>
      </c>
      <c r="P87" t="s">
        <v>23</v>
      </c>
      <c r="Q87" t="s">
        <v>398</v>
      </c>
      <c r="R87">
        <f t="shared" si="7"/>
        <v>65757342</v>
      </c>
      <c r="S87" t="str" cm="1">
        <f t="array" ref="S87">IF(C87="",IFERROR(INDEX($C$2:$C$1166,MATCH(MAX(COUNTIF($C$2:$C$1166,$C$2:$C$1166)),COUNTIF($C$2:$C$1166,$C$2:$C$1166),0)),"Unknown"),C87)</f>
        <v>Thomas Jackson</v>
      </c>
      <c r="T87" s="4" t="str" cm="1">
        <f t="array" ref="T87">IF(D87="",IFERROR(INDEX($D$2:$D$1000,MATCH(MAX(COUNTIF($D$2:$D$1166,$D$2:$D$1166)),COUNTIF($D$2:$D$1166,$D$2:$D$1166),0)),"Unknown"),D87)</f>
        <v>Mary Moore</v>
      </c>
      <c r="U87" t="str">
        <f t="shared" si="8"/>
        <v>aed</v>
      </c>
      <c r="V87" s="7" t="str">
        <f t="shared" si="8"/>
        <v>brl</v>
      </c>
      <c r="W87" s="7" t="str">
        <f t="shared" si="9"/>
        <v>India</v>
      </c>
      <c r="X87" s="7" t="str">
        <f t="shared" si="9"/>
        <v>France</v>
      </c>
      <c r="Y87" s="7" t="str" cm="1">
        <f t="array" ref="Y87">IF(H87="",IFERROR(INDEX($H$2:$H$1166,MATCH(MAX(COUNTIF($H$2:$H$1166,$H$2:$H$1166)),COUNTIF($H$2:$H$1166,$H$2:$H$1166),0)),"Unknown"),H87)</f>
        <v>Unverified</v>
      </c>
      <c r="Z87" s="7" t="str">
        <f t="shared" si="10"/>
        <v>Inter-Transaction</v>
      </c>
      <c r="AA87" s="7">
        <f>IF(J87="",AVERAGE($J:$J),J87)</f>
        <v>10508.77</v>
      </c>
      <c r="AB87" s="7">
        <f>IF(N87="",AVERAGE($N:$N),N87)</f>
        <v>45</v>
      </c>
      <c r="AC87" s="7">
        <f t="shared" si="11"/>
        <v>2025</v>
      </c>
      <c r="AD87" s="7">
        <f t="shared" si="12"/>
        <v>10</v>
      </c>
      <c r="AE87" s="7">
        <f>COUNTIF(A:A,A87)</f>
        <v>1</v>
      </c>
      <c r="AF87" s="7" t="str">
        <f t="shared" si="13"/>
        <v>No</v>
      </c>
    </row>
    <row r="88" spans="1:32">
      <c r="A88" t="s">
        <v>399</v>
      </c>
      <c r="C88" t="s">
        <v>400</v>
      </c>
      <c r="D88" t="s">
        <v>401</v>
      </c>
      <c r="E88" t="s">
        <v>20</v>
      </c>
      <c r="F88" t="s">
        <v>92</v>
      </c>
      <c r="G88" t="s">
        <v>92</v>
      </c>
      <c r="H88" t="s">
        <v>25</v>
      </c>
      <c r="I88" t="s">
        <v>3371</v>
      </c>
      <c r="J88">
        <v>14892.77</v>
      </c>
      <c r="K88" t="s">
        <v>39</v>
      </c>
      <c r="L88" t="s">
        <v>48</v>
      </c>
      <c r="M88" s="1">
        <v>45834.238194444442</v>
      </c>
      <c r="N88">
        <v>24</v>
      </c>
      <c r="O88" t="s">
        <v>37</v>
      </c>
      <c r="P88" t="s">
        <v>24</v>
      </c>
      <c r="Q88" t="s">
        <v>402</v>
      </c>
      <c r="R88">
        <f t="shared" si="7"/>
        <v>0</v>
      </c>
      <c r="S88" t="str" cm="1">
        <f t="array" ref="S88">IF(C88="",IFERROR(INDEX($C$2:$C$1166,MATCH(MAX(COUNTIF($C$2:$C$1166,$C$2:$C$1166)),COUNTIF($C$2:$C$1166,$C$2:$C$1166),0)),"Unknown"),C88)</f>
        <v>Carlos Gonzalez</v>
      </c>
      <c r="T88" s="4" t="str" cm="1">
        <f t="array" ref="T88">IF(D88="",IFERROR(INDEX($D$2:$D$1000,MATCH(MAX(COUNTIF($D$2:$D$1166,$D$2:$D$1166)),COUNTIF($D$2:$D$1166,$D$2:$D$1166),0)),"Unknown"),D88)</f>
        <v>Thomas Malik</v>
      </c>
      <c r="U88" t="str">
        <f t="shared" si="8"/>
        <v>AUD</v>
      </c>
      <c r="V88" s="7" t="str">
        <f t="shared" si="8"/>
        <v>AUD</v>
      </c>
      <c r="W88" s="7" t="str">
        <f t="shared" si="9"/>
        <v>South Africa</v>
      </c>
      <c r="X88" s="7" t="str">
        <f t="shared" si="9"/>
        <v>Brazil</v>
      </c>
      <c r="Y88" s="7" t="str" cm="1">
        <f t="array" ref="Y88">IF(H88="",IFERROR(INDEX($H$2:$H$1166,MATCH(MAX(COUNTIF($H$2:$H$1166,$H$2:$H$1166)),COUNTIF($H$2:$H$1166,$H$2:$H$1166),0)),"Unknown"),H88)</f>
        <v>KYC</v>
      </c>
      <c r="Z88" s="7" t="str">
        <f t="shared" si="10"/>
        <v>Outer-Transaction</v>
      </c>
      <c r="AA88" s="7">
        <f>IF(J88="",AVERAGE($J:$J),J88)</f>
        <v>14892.77</v>
      </c>
      <c r="AB88" s="7">
        <f>IF(N88="",AVERAGE($N:$N),N88)</f>
        <v>24</v>
      </c>
      <c r="AC88" s="7">
        <f t="shared" si="11"/>
        <v>2025</v>
      </c>
      <c r="AD88" s="7">
        <f t="shared" si="12"/>
        <v>6</v>
      </c>
      <c r="AE88" s="7">
        <f>COUNTIF(A:A,A88)</f>
        <v>1</v>
      </c>
      <c r="AF88" s="7" t="str">
        <f t="shared" si="13"/>
        <v>No</v>
      </c>
    </row>
    <row r="89" spans="1:32">
      <c r="A89" t="s">
        <v>403</v>
      </c>
      <c r="B89">
        <v>43220503</v>
      </c>
      <c r="C89" t="s">
        <v>404</v>
      </c>
      <c r="D89" t="s">
        <v>405</v>
      </c>
      <c r="E89" t="s">
        <v>20</v>
      </c>
      <c r="F89" t="s">
        <v>392</v>
      </c>
      <c r="G89" t="s">
        <v>35</v>
      </c>
      <c r="H89" t="s">
        <v>74</v>
      </c>
      <c r="I89" t="s">
        <v>3371</v>
      </c>
      <c r="J89">
        <v>1018.69</v>
      </c>
      <c r="K89" t="s">
        <v>27</v>
      </c>
      <c r="L89" t="s">
        <v>28</v>
      </c>
      <c r="M89" s="1">
        <v>45290.322222222225</v>
      </c>
      <c r="N89">
        <v>29</v>
      </c>
      <c r="O89" t="s">
        <v>127</v>
      </c>
      <c r="P89" t="s">
        <v>24</v>
      </c>
      <c r="Q89" t="s">
        <v>406</v>
      </c>
      <c r="R89">
        <f t="shared" si="7"/>
        <v>43220503</v>
      </c>
      <c r="S89" t="str" cm="1">
        <f t="array" ref="S89">IF(C89="",IFERROR(INDEX($C$2:$C$1166,MATCH(MAX(COUNTIF($C$2:$C$1166,$C$2:$C$1166)),COUNTIF($C$2:$C$1166,$C$2:$C$1166),0)),"Unknown"),C89)</f>
        <v>Thomas Lopez</v>
      </c>
      <c r="T89" s="4" t="str" cm="1">
        <f t="array" ref="T89">IF(D89="",IFERROR(INDEX($D$2:$D$1000,MATCH(MAX(COUNTIF($D$2:$D$1166,$D$2:$D$1166)),COUNTIF($D$2:$D$1166,$D$2:$D$1166),0)),"Unknown"),D89)</f>
        <v>Michael Rodriguez</v>
      </c>
      <c r="U89" t="str">
        <f t="shared" si="8"/>
        <v>brl</v>
      </c>
      <c r="V89" s="7" t="str">
        <f t="shared" si="8"/>
        <v>EUR</v>
      </c>
      <c r="W89" s="7" t="str">
        <f t="shared" si="9"/>
        <v>Canada</v>
      </c>
      <c r="X89" s="7" t="str">
        <f t="shared" si="9"/>
        <v>Brazil</v>
      </c>
      <c r="Y89" s="7" t="str" cm="1">
        <f t="array" ref="Y89">IF(H89="",IFERROR(INDEX($H$2:$H$1166,MATCH(MAX(COUNTIF($H$2:$H$1166,$H$2:$H$1166)),COUNTIF($H$2:$H$1166,$H$2:$H$1166),0)),"Unknown"),H89)</f>
        <v>Non-KYC</v>
      </c>
      <c r="Z89" s="7" t="str">
        <f t="shared" si="10"/>
        <v>Outer-Transaction</v>
      </c>
      <c r="AA89" s="7">
        <f>IF(J89="",AVERAGE($J:$J),J89)</f>
        <v>1018.69</v>
      </c>
      <c r="AB89" s="7">
        <f>IF(N89="",AVERAGE($N:$N),N89)</f>
        <v>29</v>
      </c>
      <c r="AC89" s="7">
        <f t="shared" si="11"/>
        <v>2023</v>
      </c>
      <c r="AD89" s="7">
        <f t="shared" si="12"/>
        <v>12</v>
      </c>
      <c r="AE89" s="7">
        <f>COUNTIF(A:A,A89)</f>
        <v>1</v>
      </c>
      <c r="AF89" s="7" t="str">
        <f t="shared" si="13"/>
        <v>No</v>
      </c>
    </row>
    <row r="90" spans="1:32">
      <c r="A90" t="s">
        <v>407</v>
      </c>
      <c r="B90">
        <v>17575790</v>
      </c>
      <c r="C90" t="s">
        <v>408</v>
      </c>
      <c r="D90" t="s">
        <v>409</v>
      </c>
      <c r="E90" t="s">
        <v>20</v>
      </c>
      <c r="F90" t="s">
        <v>22</v>
      </c>
      <c r="G90" t="s">
        <v>116</v>
      </c>
      <c r="H90" t="s">
        <v>74</v>
      </c>
      <c r="I90" t="s">
        <v>3374</v>
      </c>
      <c r="J90">
        <v>7823.55</v>
      </c>
      <c r="K90" t="s">
        <v>39</v>
      </c>
      <c r="L90" t="s">
        <v>75</v>
      </c>
      <c r="M90" s="1">
        <v>45987.771527777775</v>
      </c>
      <c r="N90">
        <v>51</v>
      </c>
      <c r="O90" t="s">
        <v>37</v>
      </c>
      <c r="P90" t="s">
        <v>54</v>
      </c>
      <c r="Q90" t="s">
        <v>410</v>
      </c>
      <c r="R90">
        <f t="shared" si="7"/>
        <v>17575790</v>
      </c>
      <c r="S90" t="str" cm="1">
        <f t="array" ref="S90">IF(C90="",IFERROR(INDEX($C$2:$C$1166,MATCH(MAX(COUNTIF($C$2:$C$1166,$C$2:$C$1166)),COUNTIF($C$2:$C$1166,$C$2:$C$1166),0)),"Unknown"),C90)</f>
        <v>Michael Taylor</v>
      </c>
      <c r="T90" s="4" t="str" cm="1">
        <f t="array" ref="T90">IF(D90="",IFERROR(INDEX($D$2:$D$1000,MATCH(MAX(COUNTIF($D$2:$D$1166,$D$2:$D$1166)),COUNTIF($D$2:$D$1166,$D$2:$D$1166),0)),"Unknown"),D90)</f>
        <v>Barbara Davis</v>
      </c>
      <c r="U90" t="str">
        <f t="shared" si="8"/>
        <v>BRL</v>
      </c>
      <c r="V90" s="7" t="str">
        <f t="shared" si="8"/>
        <v>CHF</v>
      </c>
      <c r="W90" s="7" t="str">
        <f t="shared" si="9"/>
        <v>South Africa</v>
      </c>
      <c r="X90" s="7" t="str">
        <f t="shared" si="9"/>
        <v>India</v>
      </c>
      <c r="Y90" s="7" t="str" cm="1">
        <f t="array" ref="Y90">IF(H90="",IFERROR(INDEX($H$2:$H$1166,MATCH(MAX(COUNTIF($H$2:$H$1166,$H$2:$H$1166)),COUNTIF($H$2:$H$1166,$H$2:$H$1166),0)),"Unknown"),H90)</f>
        <v>Non-KYC</v>
      </c>
      <c r="Z90" s="7" t="str">
        <f t="shared" si="10"/>
        <v>External</v>
      </c>
      <c r="AA90" s="7">
        <f>IF(J90="",AVERAGE($J:$J),J90)</f>
        <v>7823.55</v>
      </c>
      <c r="AB90" s="7">
        <f>IF(N90="",AVERAGE($N:$N),N90)</f>
        <v>51</v>
      </c>
      <c r="AC90" s="7">
        <f t="shared" si="11"/>
        <v>2025</v>
      </c>
      <c r="AD90" s="7">
        <f t="shared" si="12"/>
        <v>11</v>
      </c>
      <c r="AE90" s="7">
        <f>COUNTIF(A:A,A90)</f>
        <v>1</v>
      </c>
      <c r="AF90" s="7" t="str">
        <f t="shared" si="13"/>
        <v>No</v>
      </c>
    </row>
    <row r="91" spans="1:32">
      <c r="A91" t="s">
        <v>411</v>
      </c>
      <c r="B91">
        <v>56226575</v>
      </c>
      <c r="C91" t="s">
        <v>412</v>
      </c>
      <c r="D91" t="s">
        <v>413</v>
      </c>
      <c r="E91" t="s">
        <v>20</v>
      </c>
      <c r="F91" t="s">
        <v>22</v>
      </c>
      <c r="G91" t="s">
        <v>92</v>
      </c>
      <c r="H91" t="s">
        <v>74</v>
      </c>
      <c r="I91" t="s">
        <v>3378</v>
      </c>
      <c r="J91">
        <v>12864.54</v>
      </c>
      <c r="K91" t="s">
        <v>47</v>
      </c>
      <c r="L91" t="s">
        <v>81</v>
      </c>
      <c r="M91" s="1">
        <v>45038.029166666667</v>
      </c>
      <c r="N91">
        <v>50</v>
      </c>
      <c r="O91" t="s">
        <v>93</v>
      </c>
      <c r="P91" t="s">
        <v>37</v>
      </c>
      <c r="Q91" t="s">
        <v>414</v>
      </c>
      <c r="R91">
        <f t="shared" si="7"/>
        <v>56226575</v>
      </c>
      <c r="S91" t="str" cm="1">
        <f t="array" ref="S91">IF(C91="",IFERROR(INDEX($C$2:$C$1166,MATCH(MAX(COUNTIF($C$2:$C$1166,$C$2:$C$1166)),COUNTIF($C$2:$C$1166,$C$2:$C$1166),0)),"Unknown"),C91)</f>
        <v>Sanjay Velez</v>
      </c>
      <c r="T91" s="4" t="str" cm="1">
        <f t="array" ref="T91">IF(D91="",IFERROR(INDEX($D$2:$D$1000,MATCH(MAX(COUNTIF($D$2:$D$1166,$D$2:$D$1166)),COUNTIF($D$2:$D$1166,$D$2:$D$1166),0)),"Unknown"),D91)</f>
        <v>Joseph Silva</v>
      </c>
      <c r="U91" t="str">
        <f t="shared" si="8"/>
        <v>BRL</v>
      </c>
      <c r="V91" s="7" t="str">
        <f t="shared" si="8"/>
        <v>AUD</v>
      </c>
      <c r="W91" s="7" t="str">
        <f t="shared" si="9"/>
        <v>USA</v>
      </c>
      <c r="X91" s="7" t="str">
        <f t="shared" si="9"/>
        <v>South Africa</v>
      </c>
      <c r="Y91" s="7" t="str" cm="1">
        <f t="array" ref="Y91">IF(H91="",IFERROR(INDEX($H$2:$H$1166,MATCH(MAX(COUNTIF($H$2:$H$1166,$H$2:$H$1166)),COUNTIF($H$2:$H$1166,$H$2:$H$1166),0)),"Unknown"),H91)</f>
        <v>Non-KYC</v>
      </c>
      <c r="Z91" s="7" t="str">
        <f t="shared" si="10"/>
        <v>Inter-Transaction</v>
      </c>
      <c r="AA91" s="7">
        <f>IF(J91="",AVERAGE($J:$J),J91)</f>
        <v>12864.54</v>
      </c>
      <c r="AB91" s="7">
        <f>IF(N91="",AVERAGE($N:$N),N91)</f>
        <v>50</v>
      </c>
      <c r="AC91" s="7">
        <f t="shared" si="11"/>
        <v>2023</v>
      </c>
      <c r="AD91" s="7">
        <f t="shared" si="12"/>
        <v>4</v>
      </c>
      <c r="AE91" s="7">
        <f>COUNTIF(A:A,A91)</f>
        <v>1</v>
      </c>
      <c r="AF91" s="7" t="str">
        <f t="shared" si="13"/>
        <v>No</v>
      </c>
    </row>
    <row r="92" spans="1:32">
      <c r="A92" t="s">
        <v>415</v>
      </c>
      <c r="B92">
        <v>70369365</v>
      </c>
      <c r="D92" t="s">
        <v>416</v>
      </c>
      <c r="E92" t="s">
        <v>20</v>
      </c>
      <c r="F92" t="s">
        <v>121</v>
      </c>
      <c r="G92" t="s">
        <v>80</v>
      </c>
      <c r="H92" t="s">
        <v>38</v>
      </c>
      <c r="I92" t="s">
        <v>3374</v>
      </c>
      <c r="J92">
        <v>10075.040000000001</v>
      </c>
      <c r="K92" t="s">
        <v>47</v>
      </c>
      <c r="L92" t="s">
        <v>81</v>
      </c>
      <c r="M92" s="1">
        <v>45222.813888888886</v>
      </c>
      <c r="N92">
        <v>65</v>
      </c>
      <c r="O92" t="s">
        <v>68</v>
      </c>
      <c r="P92" t="s">
        <v>37</v>
      </c>
      <c r="Q92" t="s">
        <v>417</v>
      </c>
      <c r="R92">
        <f t="shared" si="7"/>
        <v>70369365</v>
      </c>
      <c r="S92" t="str" cm="1">
        <f t="array" ref="S92">IF(C92="",IFERROR(INDEX($C$2:$C$1166,MATCH(MAX(COUNTIF($C$2:$C$1166,$C$2:$C$1166)),COUNTIF($C$2:$C$1166,$C$2:$C$1166),0)),"Unknown"),C92)</f>
        <v>Fatima Brown</v>
      </c>
      <c r="T92" s="4" t="str" cm="1">
        <f t="array" ref="T92">IF(D92="",IFERROR(INDEX($D$2:$D$1000,MATCH(MAX(COUNTIF($D$2:$D$1166,$D$2:$D$1166)),COUNTIF($D$2:$D$1166,$D$2:$D$1166),0)),"Unknown"),D92)</f>
        <v>Robert Moore</v>
      </c>
      <c r="U92" t="str">
        <f t="shared" si="8"/>
        <v>INR</v>
      </c>
      <c r="V92" s="7" t="str">
        <f t="shared" si="8"/>
        <v>USD</v>
      </c>
      <c r="W92" s="7" t="str">
        <f t="shared" si="9"/>
        <v>UAE</v>
      </c>
      <c r="X92" s="7" t="str">
        <f t="shared" si="9"/>
        <v>South Africa</v>
      </c>
      <c r="Y92" s="7" t="str" cm="1">
        <f t="array" ref="Y92">IF(H92="",IFERROR(INDEX($H$2:$H$1166,MATCH(MAX(COUNTIF($H$2:$H$1166,$H$2:$H$1166)),COUNTIF($H$2:$H$1166,$H$2:$H$1166),0)),"Unknown"),H92)</f>
        <v>Pending</v>
      </c>
      <c r="Z92" s="7" t="str">
        <f t="shared" si="10"/>
        <v>External</v>
      </c>
      <c r="AA92" s="7">
        <f>IF(J92="",AVERAGE($J:$J),J92)</f>
        <v>10075.040000000001</v>
      </c>
      <c r="AB92" s="7">
        <f>IF(N92="",AVERAGE($N:$N),N92)</f>
        <v>65</v>
      </c>
      <c r="AC92" s="7">
        <f t="shared" si="11"/>
        <v>2023</v>
      </c>
      <c r="AD92" s="7">
        <f t="shared" si="12"/>
        <v>10</v>
      </c>
      <c r="AE92" s="7">
        <f>COUNTIF(A:A,A92)</f>
        <v>1</v>
      </c>
      <c r="AF92" s="7" t="str">
        <f t="shared" si="13"/>
        <v>No</v>
      </c>
    </row>
    <row r="93" spans="1:32">
      <c r="A93" t="s">
        <v>418</v>
      </c>
      <c r="B93">
        <v>74279671</v>
      </c>
      <c r="C93" t="s">
        <v>419</v>
      </c>
      <c r="D93" t="s">
        <v>420</v>
      </c>
      <c r="E93" t="s">
        <v>20</v>
      </c>
      <c r="F93" t="s">
        <v>92</v>
      </c>
      <c r="G93" t="s">
        <v>121</v>
      </c>
      <c r="H93" t="s">
        <v>103</v>
      </c>
      <c r="I93" t="s">
        <v>3378</v>
      </c>
      <c r="J93">
        <v>7697.12</v>
      </c>
      <c r="K93" t="s">
        <v>39</v>
      </c>
      <c r="L93" t="s">
        <v>81</v>
      </c>
      <c r="M93" s="1">
        <v>45837.313194444447</v>
      </c>
      <c r="N93">
        <v>40</v>
      </c>
      <c r="O93" t="s">
        <v>68</v>
      </c>
      <c r="P93" t="s">
        <v>36</v>
      </c>
      <c r="Q93" t="s">
        <v>421</v>
      </c>
      <c r="R93">
        <f t="shared" si="7"/>
        <v>74279671</v>
      </c>
      <c r="S93" t="str" cm="1">
        <f t="array" ref="S93">IF(C93="",IFERROR(INDEX($C$2:$C$1166,MATCH(MAX(COUNTIF($C$2:$C$1166,$C$2:$C$1166)),COUNTIF($C$2:$C$1166,$C$2:$C$1166),0)),"Unknown"),C93)</f>
        <v>Priya Davis</v>
      </c>
      <c r="T93" s="4" t="str" cm="1">
        <f t="array" ref="T93">IF(D93="",IFERROR(INDEX($D$2:$D$1000,MATCH(MAX(COUNTIF($D$2:$D$1166,$D$2:$D$1166)),COUNTIF($D$2:$D$1166,$D$2:$D$1166),0)),"Unknown"),D93)</f>
        <v>Elena Martin</v>
      </c>
      <c r="U93" t="str">
        <f t="shared" si="8"/>
        <v>AUD</v>
      </c>
      <c r="V93" s="7" t="str">
        <f t="shared" si="8"/>
        <v>INR</v>
      </c>
      <c r="W93" s="7" t="str">
        <f t="shared" si="9"/>
        <v>UAE</v>
      </c>
      <c r="X93" s="7" t="str">
        <f t="shared" si="9"/>
        <v>Germany</v>
      </c>
      <c r="Y93" s="7" t="str" cm="1">
        <f t="array" ref="Y93">IF(H93="",IFERROR(INDEX($H$2:$H$1166,MATCH(MAX(COUNTIF($H$2:$H$1166,$H$2:$H$1166)),COUNTIF($H$2:$H$1166,$H$2:$H$1166),0)),"Unknown"),H93)</f>
        <v>Verified</v>
      </c>
      <c r="Z93" s="7" t="str">
        <f t="shared" si="10"/>
        <v>Inter-Transaction</v>
      </c>
      <c r="AA93" s="7">
        <f>IF(J93="",AVERAGE($J:$J),J93)</f>
        <v>7697.12</v>
      </c>
      <c r="AB93" s="7">
        <f>IF(N93="",AVERAGE($N:$N),N93)</f>
        <v>40</v>
      </c>
      <c r="AC93" s="7">
        <f t="shared" si="11"/>
        <v>2025</v>
      </c>
      <c r="AD93" s="7">
        <f t="shared" si="12"/>
        <v>6</v>
      </c>
      <c r="AE93" s="7">
        <f>COUNTIF(A:A,A93)</f>
        <v>1</v>
      </c>
      <c r="AF93" s="7" t="str">
        <f t="shared" si="13"/>
        <v>No</v>
      </c>
    </row>
    <row r="94" spans="1:32">
      <c r="A94" t="s">
        <v>422</v>
      </c>
      <c r="B94">
        <v>29585415</v>
      </c>
      <c r="C94" t="s">
        <v>423</v>
      </c>
      <c r="D94" t="s">
        <v>424</v>
      </c>
      <c r="E94" t="s">
        <v>20</v>
      </c>
      <c r="F94" t="s">
        <v>22</v>
      </c>
      <c r="G94" t="s">
        <v>92</v>
      </c>
      <c r="H94" t="s">
        <v>38</v>
      </c>
      <c r="I94" t="s">
        <v>3374</v>
      </c>
      <c r="J94">
        <v>14152.53</v>
      </c>
      <c r="K94" t="s">
        <v>57</v>
      </c>
      <c r="L94" t="s">
        <v>75</v>
      </c>
      <c r="M94" s="1">
        <v>45052.177777777775</v>
      </c>
      <c r="N94">
        <v>79</v>
      </c>
      <c r="O94" t="s">
        <v>36</v>
      </c>
      <c r="P94" t="s">
        <v>54</v>
      </c>
      <c r="Q94" t="s">
        <v>425</v>
      </c>
      <c r="R94">
        <f t="shared" si="7"/>
        <v>29585415</v>
      </c>
      <c r="S94" t="str" cm="1">
        <f t="array" ref="S94">IF(C94="",IFERROR(INDEX($C$2:$C$1166,MATCH(MAX(COUNTIF($C$2:$C$1166,$C$2:$C$1166)),COUNTIF($C$2:$C$1166,$C$2:$C$1166),0)),"Unknown"),C94)</f>
        <v>John Rodriguez</v>
      </c>
      <c r="T94" s="4" t="str" cm="1">
        <f t="array" ref="T94">IF(D94="",IFERROR(INDEX($D$2:$D$1000,MATCH(MAX(COUNTIF($D$2:$D$1166,$D$2:$D$1166)),COUNTIF($D$2:$D$1166,$D$2:$D$1166),0)),"Unknown"),D94)</f>
        <v>Karen Souza</v>
      </c>
      <c r="U94" t="str">
        <f t="shared" si="8"/>
        <v>BRL</v>
      </c>
      <c r="V94" s="7" t="str">
        <f t="shared" si="8"/>
        <v>AUD</v>
      </c>
      <c r="W94" s="7" t="str">
        <f t="shared" si="9"/>
        <v>Germany</v>
      </c>
      <c r="X94" s="7" t="str">
        <f t="shared" si="9"/>
        <v>India</v>
      </c>
      <c r="Y94" s="7" t="str" cm="1">
        <f t="array" ref="Y94">IF(H94="",IFERROR(INDEX($H$2:$H$1166,MATCH(MAX(COUNTIF($H$2:$H$1166,$H$2:$H$1166)),COUNTIF($H$2:$H$1166,$H$2:$H$1166),0)),"Unknown"),H94)</f>
        <v>Pending</v>
      </c>
      <c r="Z94" s="7" t="str">
        <f t="shared" si="10"/>
        <v>External</v>
      </c>
      <c r="AA94" s="7">
        <f>IF(J94="",AVERAGE($J:$J),J94)</f>
        <v>14152.53</v>
      </c>
      <c r="AB94" s="7">
        <f>IF(N94="",AVERAGE($N:$N),N94)</f>
        <v>79</v>
      </c>
      <c r="AC94" s="7">
        <f t="shared" si="11"/>
        <v>2023</v>
      </c>
      <c r="AD94" s="7">
        <f t="shared" si="12"/>
        <v>5</v>
      </c>
      <c r="AE94" s="7">
        <f>COUNTIF(A:A,A94)</f>
        <v>1</v>
      </c>
      <c r="AF94" s="7" t="str">
        <f t="shared" si="13"/>
        <v>No</v>
      </c>
    </row>
    <row r="95" spans="1:32">
      <c r="A95" t="s">
        <v>426</v>
      </c>
      <c r="B95">
        <v>34702473</v>
      </c>
      <c r="C95" t="s">
        <v>427</v>
      </c>
      <c r="D95" t="s">
        <v>428</v>
      </c>
      <c r="E95" t="s">
        <v>20</v>
      </c>
      <c r="F95" t="s">
        <v>98</v>
      </c>
      <c r="G95" t="s">
        <v>80</v>
      </c>
      <c r="H95" t="s">
        <v>74</v>
      </c>
      <c r="I95" t="s">
        <v>3374</v>
      </c>
      <c r="J95">
        <v>3479.19</v>
      </c>
      <c r="K95" t="s">
        <v>47</v>
      </c>
      <c r="L95" t="s">
        <v>28</v>
      </c>
      <c r="M95" s="1">
        <v>45225.330555555556</v>
      </c>
      <c r="N95">
        <v>54</v>
      </c>
      <c r="O95" t="s">
        <v>23</v>
      </c>
      <c r="P95" t="s">
        <v>24</v>
      </c>
      <c r="Q95" t="s">
        <v>429</v>
      </c>
      <c r="R95">
        <f t="shared" si="7"/>
        <v>34702473</v>
      </c>
      <c r="S95" t="str" cm="1">
        <f t="array" ref="S95">IF(C95="",IFERROR(INDEX($C$2:$C$1166,MATCH(MAX(COUNTIF($C$2:$C$1166,$C$2:$C$1166)),COUNTIF($C$2:$C$1166,$C$2:$C$1166),0)),"Unknown"),C95)</f>
        <v xml:space="preserve">  PRIYA VOLKOV </v>
      </c>
      <c r="T95" s="4" t="str" cm="1">
        <f t="array" ref="T95">IF(D95="",IFERROR(INDEX($D$2:$D$1000,MATCH(MAX(COUNTIF($D$2:$D$1166,$D$2:$D$1166)),COUNTIF($D$2:$D$1166,$D$2:$D$1166),0)),"Unknown"),D95)</f>
        <v xml:space="preserve"> karen nair   </v>
      </c>
      <c r="U95" t="str">
        <f t="shared" si="8"/>
        <v>JPY</v>
      </c>
      <c r="V95" s="7" t="str">
        <f t="shared" si="8"/>
        <v>USD</v>
      </c>
      <c r="W95" s="7" t="str">
        <f t="shared" si="9"/>
        <v>France</v>
      </c>
      <c r="X95" s="7" t="str">
        <f t="shared" si="9"/>
        <v>Brazil</v>
      </c>
      <c r="Y95" s="7" t="str" cm="1">
        <f t="array" ref="Y95">IF(H95="",IFERROR(INDEX($H$2:$H$1166,MATCH(MAX(COUNTIF($H$2:$H$1166,$H$2:$H$1166)),COUNTIF($H$2:$H$1166,$H$2:$H$1166),0)),"Unknown"),H95)</f>
        <v>Non-KYC</v>
      </c>
      <c r="Z95" s="7" t="str">
        <f t="shared" si="10"/>
        <v>External</v>
      </c>
      <c r="AA95" s="7">
        <f>IF(J95="",AVERAGE($J:$J),J95)</f>
        <v>3479.19</v>
      </c>
      <c r="AB95" s="7">
        <f>IF(N95="",AVERAGE($N:$N),N95)</f>
        <v>54</v>
      </c>
      <c r="AC95" s="7">
        <f t="shared" si="11"/>
        <v>2023</v>
      </c>
      <c r="AD95" s="7">
        <f t="shared" si="12"/>
        <v>10</v>
      </c>
      <c r="AE95" s="7">
        <f>COUNTIF(A:A,A95)</f>
        <v>1</v>
      </c>
      <c r="AF95" s="7" t="str">
        <f t="shared" si="13"/>
        <v>No</v>
      </c>
    </row>
    <row r="96" spans="1:32">
      <c r="A96" t="s">
        <v>430</v>
      </c>
      <c r="B96">
        <v>10887495</v>
      </c>
      <c r="C96" t="s">
        <v>431</v>
      </c>
      <c r="D96" t="s">
        <v>432</v>
      </c>
      <c r="E96">
        <v>1</v>
      </c>
      <c r="F96" t="s">
        <v>22</v>
      </c>
      <c r="G96" t="s">
        <v>53</v>
      </c>
      <c r="H96" t="s">
        <v>74</v>
      </c>
      <c r="I96" t="s">
        <v>3377</v>
      </c>
      <c r="J96">
        <v>13771.55</v>
      </c>
      <c r="K96" t="s">
        <v>27</v>
      </c>
      <c r="L96" t="s">
        <v>48</v>
      </c>
      <c r="M96" s="1">
        <v>44203.397916666669</v>
      </c>
      <c r="N96">
        <v>61</v>
      </c>
      <c r="O96" t="s">
        <v>24</v>
      </c>
      <c r="P96" t="s">
        <v>68</v>
      </c>
      <c r="Q96" t="s">
        <v>433</v>
      </c>
      <c r="R96">
        <f t="shared" si="7"/>
        <v>10887495</v>
      </c>
      <c r="S96" t="str" cm="1">
        <f t="array" ref="S96">IF(C96="",IFERROR(INDEX($C$2:$C$1166,MATCH(MAX(COUNTIF($C$2:$C$1166,$C$2:$C$1166)),COUNTIF($C$2:$C$1166,$C$2:$C$1166),0)),"Unknown"),C96)</f>
        <v>Karen Moore</v>
      </c>
      <c r="T96" s="4" t="str" cm="1">
        <f t="array" ref="T96">IF(D96="",IFERROR(INDEX($D$2:$D$1000,MATCH(MAX(COUNTIF($D$2:$D$1166,$D$2:$D$1166)),COUNTIF($D$2:$D$1166,$D$2:$D$1166),0)),"Unknown"),D96)</f>
        <v>Jessica Smith</v>
      </c>
      <c r="U96" t="str">
        <f t="shared" si="8"/>
        <v>BRL</v>
      </c>
      <c r="V96" s="7" t="str">
        <f t="shared" si="8"/>
        <v>AED</v>
      </c>
      <c r="W96" s="7" t="str">
        <f t="shared" si="9"/>
        <v>Brazil</v>
      </c>
      <c r="X96" s="7" t="str">
        <f t="shared" si="9"/>
        <v>UAE</v>
      </c>
      <c r="Y96" s="7" t="str" cm="1">
        <f t="array" ref="Y96">IF(H96="",IFERROR(INDEX($H$2:$H$1166,MATCH(MAX(COUNTIF($H$2:$H$1166,$H$2:$H$1166)),COUNTIF($H$2:$H$1166,$H$2:$H$1166),0)),"Unknown"),H96)</f>
        <v>Non-KYC</v>
      </c>
      <c r="Z96" s="7" t="str">
        <f t="shared" si="10"/>
        <v>Inter-Transaction</v>
      </c>
      <c r="AA96" s="7">
        <f>IF(J96="",AVERAGE($J:$J),J96)</f>
        <v>13771.55</v>
      </c>
      <c r="AB96" s="7">
        <f>IF(N96="",AVERAGE($N:$N),N96)</f>
        <v>61</v>
      </c>
      <c r="AC96" s="7">
        <f t="shared" si="11"/>
        <v>2021</v>
      </c>
      <c r="AD96" s="7">
        <f t="shared" si="12"/>
        <v>1</v>
      </c>
      <c r="AE96" s="7">
        <f>COUNTIF(A:A,A96)</f>
        <v>1</v>
      </c>
      <c r="AF96" s="7" t="str">
        <f t="shared" si="13"/>
        <v>Yes</v>
      </c>
    </row>
    <row r="97" spans="1:32">
      <c r="A97" t="s">
        <v>434</v>
      </c>
      <c r="B97">
        <v>85833309</v>
      </c>
      <c r="C97" t="s">
        <v>435</v>
      </c>
      <c r="D97" t="s">
        <v>171</v>
      </c>
      <c r="E97" t="s">
        <v>20</v>
      </c>
      <c r="F97" t="s">
        <v>35</v>
      </c>
      <c r="G97" t="s">
        <v>180</v>
      </c>
      <c r="H97" t="s">
        <v>56</v>
      </c>
      <c r="I97" t="s">
        <v>3377</v>
      </c>
      <c r="J97">
        <v>9554.85</v>
      </c>
      <c r="K97" t="s">
        <v>47</v>
      </c>
      <c r="L97" t="s">
        <v>28</v>
      </c>
      <c r="M97" s="1">
        <v>45351.371527777781</v>
      </c>
      <c r="N97">
        <v>52</v>
      </c>
      <c r="O97" t="s">
        <v>54</v>
      </c>
      <c r="P97" t="s">
        <v>37</v>
      </c>
      <c r="Q97" t="s">
        <v>436</v>
      </c>
      <c r="R97">
        <f t="shared" si="7"/>
        <v>85833309</v>
      </c>
      <c r="S97" t="str" cm="1">
        <f t="array" ref="S97">IF(C97="",IFERROR(INDEX($C$2:$C$1166,MATCH(MAX(COUNTIF($C$2:$C$1166,$C$2:$C$1166)),COUNTIF($C$2:$C$1166,$C$2:$C$1166),0)),"Unknown"),C97)</f>
        <v>Elizabeth Rostova</v>
      </c>
      <c r="T97" s="4" t="str" cm="1">
        <f t="array" ref="T97">IF(D97="",IFERROR(INDEX($D$2:$D$1000,MATCH(MAX(COUNTIF($D$2:$D$1166,$D$2:$D$1166)),COUNTIF($D$2:$D$1166,$D$2:$D$1166),0)),"Unknown"),D97)</f>
        <v>Elizabeth Martinez</v>
      </c>
      <c r="U97" t="str">
        <f t="shared" si="8"/>
        <v>EUR</v>
      </c>
      <c r="V97" s="7" t="str">
        <f t="shared" si="8"/>
        <v>zar</v>
      </c>
      <c r="W97" s="7" t="str">
        <f t="shared" si="9"/>
        <v>India</v>
      </c>
      <c r="X97" s="7" t="str">
        <f t="shared" si="9"/>
        <v>South Africa</v>
      </c>
      <c r="Y97" s="7" t="str" cm="1">
        <f t="array" ref="Y97">IF(H97="",IFERROR(INDEX($H$2:$H$1166,MATCH(MAX(COUNTIF($H$2:$H$1166,$H$2:$H$1166)),COUNTIF($H$2:$H$1166,$H$2:$H$1166),0)),"Unknown"),H97)</f>
        <v>Unverified</v>
      </c>
      <c r="Z97" s="7" t="str">
        <f t="shared" si="10"/>
        <v>Inter-Transaction</v>
      </c>
      <c r="AA97" s="7">
        <f>IF(J97="",AVERAGE($J:$J),J97)</f>
        <v>9554.85</v>
      </c>
      <c r="AB97" s="7">
        <f>IF(N97="",AVERAGE($N:$N),N97)</f>
        <v>52</v>
      </c>
      <c r="AC97" s="7">
        <f t="shared" si="11"/>
        <v>2024</v>
      </c>
      <c r="AD97" s="7">
        <f t="shared" si="12"/>
        <v>2</v>
      </c>
      <c r="AE97" s="7">
        <f>COUNTIF(A:A,A97)</f>
        <v>1</v>
      </c>
      <c r="AF97" s="7" t="str">
        <f t="shared" si="13"/>
        <v>No</v>
      </c>
    </row>
    <row r="98" spans="1:32">
      <c r="A98" t="s">
        <v>437</v>
      </c>
      <c r="B98">
        <v>38375916</v>
      </c>
      <c r="C98" t="s">
        <v>115</v>
      </c>
      <c r="D98" t="s">
        <v>438</v>
      </c>
      <c r="E98" t="s">
        <v>20</v>
      </c>
      <c r="F98" t="s">
        <v>53</v>
      </c>
      <c r="G98" t="s">
        <v>80</v>
      </c>
      <c r="H98" t="s">
        <v>74</v>
      </c>
      <c r="I98" t="s">
        <v>3378</v>
      </c>
      <c r="J98">
        <v>244.71</v>
      </c>
      <c r="K98" t="s">
        <v>47</v>
      </c>
      <c r="L98" t="s">
        <v>48</v>
      </c>
      <c r="M98" s="1">
        <v>46079.94027777778</v>
      </c>
      <c r="N98">
        <v>82</v>
      </c>
      <c r="O98" t="s">
        <v>62</v>
      </c>
      <c r="P98" t="s">
        <v>23</v>
      </c>
      <c r="Q98" t="s">
        <v>439</v>
      </c>
      <c r="R98">
        <f t="shared" si="7"/>
        <v>38375916</v>
      </c>
      <c r="S98" t="str" cm="1">
        <f t="array" ref="S98">IF(C98="",IFERROR(INDEX($C$2:$C$1166,MATCH(MAX(COUNTIF($C$2:$C$1166,$C$2:$C$1166)),COUNTIF($C$2:$C$1166,$C$2:$C$1166),0)),"Unknown"),C98)</f>
        <v>Carlos Malik</v>
      </c>
      <c r="T98" s="4" t="str" cm="1">
        <f t="array" ref="T98">IF(D98="",IFERROR(INDEX($D$2:$D$1000,MATCH(MAX(COUNTIF($D$2:$D$1166,$D$2:$D$1166)),COUNTIF($D$2:$D$1166,$D$2:$D$1166),0)),"Unknown"),D98)</f>
        <v>Elena Volkov</v>
      </c>
      <c r="U98" t="str">
        <f t="shared" si="8"/>
        <v>AED</v>
      </c>
      <c r="V98" s="7" t="str">
        <f t="shared" si="8"/>
        <v>USD</v>
      </c>
      <c r="W98" s="7" t="str">
        <f t="shared" si="9"/>
        <v>Australia</v>
      </c>
      <c r="X98" s="7" t="str">
        <f t="shared" si="9"/>
        <v>France</v>
      </c>
      <c r="Y98" s="7" t="str" cm="1">
        <f t="array" ref="Y98">IF(H98="",IFERROR(INDEX($H$2:$H$1166,MATCH(MAX(COUNTIF($H$2:$H$1166,$H$2:$H$1166)),COUNTIF($H$2:$H$1166,$H$2:$H$1166),0)),"Unknown"),H98)</f>
        <v>Non-KYC</v>
      </c>
      <c r="Z98" s="7" t="str">
        <f t="shared" si="10"/>
        <v>Inter-Transaction</v>
      </c>
      <c r="AA98" s="7">
        <f>IF(J98="",AVERAGE($J:$J),J98)</f>
        <v>244.71</v>
      </c>
      <c r="AB98" s="7">
        <f>IF(N98="",AVERAGE($N:$N),N98)</f>
        <v>82</v>
      </c>
      <c r="AC98" s="7">
        <f t="shared" si="11"/>
        <v>2026</v>
      </c>
      <c r="AD98" s="7">
        <f t="shared" si="12"/>
        <v>2</v>
      </c>
      <c r="AE98" s="7">
        <f>COUNTIF(A:A,A98)</f>
        <v>1</v>
      </c>
      <c r="AF98" s="7" t="str">
        <f t="shared" si="13"/>
        <v>No</v>
      </c>
    </row>
    <row r="99" spans="1:32">
      <c r="A99" t="s">
        <v>440</v>
      </c>
      <c r="B99">
        <v>28783850</v>
      </c>
      <c r="C99" t="s">
        <v>441</v>
      </c>
      <c r="D99" t="s">
        <v>442</v>
      </c>
      <c r="E99" t="s">
        <v>20</v>
      </c>
      <c r="F99" t="s">
        <v>34</v>
      </c>
      <c r="G99" t="s">
        <v>112</v>
      </c>
      <c r="H99" t="s">
        <v>38</v>
      </c>
      <c r="I99" t="s">
        <v>3372</v>
      </c>
      <c r="J99">
        <v>14534.12</v>
      </c>
      <c r="K99" t="s">
        <v>57</v>
      </c>
      <c r="L99" t="s">
        <v>28</v>
      </c>
      <c r="M99" s="1">
        <v>44679.712500000001</v>
      </c>
      <c r="N99">
        <v>64</v>
      </c>
      <c r="O99" t="s">
        <v>36</v>
      </c>
      <c r="P99" t="s">
        <v>23</v>
      </c>
      <c r="Q99" t="s">
        <v>443</v>
      </c>
      <c r="R99">
        <f t="shared" si="7"/>
        <v>28783850</v>
      </c>
      <c r="S99" t="str" cm="1">
        <f t="array" ref="S99">IF(C99="",IFERROR(INDEX($C$2:$C$1166,MATCH(MAX(COUNTIF($C$2:$C$1166,$C$2:$C$1166)),COUNTIF($C$2:$C$1166,$C$2:$C$1166),0)),"Unknown"),C99)</f>
        <v>Lucas Rostova</v>
      </c>
      <c r="T99" s="4" t="str" cm="1">
        <f t="array" ref="T99">IF(D99="",IFERROR(INDEX($D$2:$D$1000,MATCH(MAX(COUNTIF($D$2:$D$1166,$D$2:$D$1166)),COUNTIF($D$2:$D$1166,$D$2:$D$1166),0)),"Unknown"),D99)</f>
        <v>Fatima Williams</v>
      </c>
      <c r="U99" t="str">
        <f t="shared" si="8"/>
        <v>CAD</v>
      </c>
      <c r="V99" s="7" t="str">
        <f t="shared" si="8"/>
        <v>usd</v>
      </c>
      <c r="W99" s="7" t="str">
        <f t="shared" si="9"/>
        <v>Germany</v>
      </c>
      <c r="X99" s="7" t="str">
        <f t="shared" si="9"/>
        <v>France</v>
      </c>
      <c r="Y99" s="7" t="str" cm="1">
        <f t="array" ref="Y99">IF(H99="",IFERROR(INDEX($H$2:$H$1166,MATCH(MAX(COUNTIF($H$2:$H$1166,$H$2:$H$1166)),COUNTIF($H$2:$H$1166,$H$2:$H$1166),0)),"Unknown"),H99)</f>
        <v>Pending</v>
      </c>
      <c r="Z99" s="7" t="str">
        <f t="shared" si="10"/>
        <v>Outer-Transaction</v>
      </c>
      <c r="AA99" s="7">
        <f>IF(J99="",AVERAGE($J:$J),J99)</f>
        <v>14534.12</v>
      </c>
      <c r="AB99" s="7">
        <f>IF(N99="",AVERAGE($N:$N),N99)</f>
        <v>64</v>
      </c>
      <c r="AC99" s="7">
        <f t="shared" si="11"/>
        <v>2022</v>
      </c>
      <c r="AD99" s="7">
        <f t="shared" si="12"/>
        <v>4</v>
      </c>
      <c r="AE99" s="7">
        <f>COUNTIF(A:A,A99)</f>
        <v>1</v>
      </c>
      <c r="AF99" s="7" t="str">
        <f t="shared" si="13"/>
        <v>No</v>
      </c>
    </row>
    <row r="100" spans="1:32">
      <c r="A100" t="s">
        <v>444</v>
      </c>
      <c r="B100">
        <v>93029219</v>
      </c>
      <c r="C100" t="s">
        <v>445</v>
      </c>
      <c r="D100" t="s">
        <v>435</v>
      </c>
      <c r="E100" t="s">
        <v>20</v>
      </c>
      <c r="F100" t="s">
        <v>53</v>
      </c>
      <c r="G100" t="s">
        <v>21</v>
      </c>
      <c r="H100" t="s">
        <v>25</v>
      </c>
      <c r="I100" t="s">
        <v>3377</v>
      </c>
      <c r="J100">
        <v>14144.97</v>
      </c>
      <c r="K100" t="s">
        <v>39</v>
      </c>
      <c r="L100" t="s">
        <v>75</v>
      </c>
      <c r="M100" s="1">
        <v>45176.619444444441</v>
      </c>
      <c r="N100">
        <v>20</v>
      </c>
      <c r="O100" t="s">
        <v>23</v>
      </c>
      <c r="P100" t="s">
        <v>93</v>
      </c>
      <c r="Q100" t="s">
        <v>446</v>
      </c>
      <c r="R100">
        <f t="shared" si="7"/>
        <v>93029219</v>
      </c>
      <c r="S100" t="str" cm="1">
        <f t="array" ref="S100">IF(C100="",IFERROR(INDEX($C$2:$C$1166,MATCH(MAX(COUNTIF($C$2:$C$1166,$C$2:$C$1166)),COUNTIF($C$2:$C$1166,$C$2:$C$1166),0)),"Unknown"),C100)</f>
        <v>Barbara Silva</v>
      </c>
      <c r="T100" s="4" t="str" cm="1">
        <f t="array" ref="T100">IF(D100="",IFERROR(INDEX($D$2:$D$1000,MATCH(MAX(COUNTIF($D$2:$D$1166,$D$2:$D$1166)),COUNTIF($D$2:$D$1166,$D$2:$D$1166),0)),"Unknown"),D100)</f>
        <v>Elizabeth Rostova</v>
      </c>
      <c r="U100" t="str">
        <f t="shared" si="8"/>
        <v>AED</v>
      </c>
      <c r="V100" s="7" t="str">
        <f t="shared" si="8"/>
        <v>GBP</v>
      </c>
      <c r="W100" s="7" t="str">
        <f t="shared" si="9"/>
        <v>France</v>
      </c>
      <c r="X100" s="7" t="str">
        <f t="shared" si="9"/>
        <v>USA</v>
      </c>
      <c r="Y100" s="7" t="str" cm="1">
        <f t="array" ref="Y100">IF(H100="",IFERROR(INDEX($H$2:$H$1166,MATCH(MAX(COUNTIF($H$2:$H$1166,$H$2:$H$1166)),COUNTIF($H$2:$H$1166,$H$2:$H$1166),0)),"Unknown"),H100)</f>
        <v>KYC</v>
      </c>
      <c r="Z100" s="7" t="str">
        <f t="shared" si="10"/>
        <v>Inter-Transaction</v>
      </c>
      <c r="AA100" s="7">
        <f>IF(J100="",AVERAGE($J:$J),J100)</f>
        <v>14144.97</v>
      </c>
      <c r="AB100" s="7">
        <f>IF(N100="",AVERAGE($N:$N),N100)</f>
        <v>20</v>
      </c>
      <c r="AC100" s="7">
        <f t="shared" si="11"/>
        <v>2023</v>
      </c>
      <c r="AD100" s="7">
        <f t="shared" si="12"/>
        <v>9</v>
      </c>
      <c r="AE100" s="7">
        <f>COUNTIF(A:A,A100)</f>
        <v>1</v>
      </c>
      <c r="AF100" s="7" t="str">
        <f t="shared" si="13"/>
        <v>No</v>
      </c>
    </row>
    <row r="101" spans="1:32">
      <c r="A101" t="s">
        <v>447</v>
      </c>
      <c r="B101">
        <v>84386123</v>
      </c>
      <c r="C101" t="s">
        <v>448</v>
      </c>
      <c r="D101" t="s">
        <v>449</v>
      </c>
      <c r="E101" t="s">
        <v>20</v>
      </c>
      <c r="F101" t="s">
        <v>92</v>
      </c>
      <c r="G101" t="s">
        <v>80</v>
      </c>
      <c r="H101" t="s">
        <v>74</v>
      </c>
      <c r="I101" t="s">
        <v>3376</v>
      </c>
      <c r="J101">
        <v>7821.36</v>
      </c>
      <c r="K101" t="s">
        <v>39</v>
      </c>
      <c r="L101" t="s">
        <v>48</v>
      </c>
      <c r="M101" s="1">
        <v>46153.888194444444</v>
      </c>
      <c r="N101">
        <v>18</v>
      </c>
      <c r="O101" t="s">
        <v>68</v>
      </c>
      <c r="P101" t="s">
        <v>55</v>
      </c>
      <c r="Q101" t="s">
        <v>450</v>
      </c>
      <c r="R101">
        <f t="shared" si="7"/>
        <v>84386123</v>
      </c>
      <c r="S101" t="str" cm="1">
        <f t="array" ref="S101">IF(C101="",IFERROR(INDEX($C$2:$C$1166,MATCH(MAX(COUNTIF($C$2:$C$1166,$C$2:$C$1166)),COUNTIF($C$2:$C$1166,$C$2:$C$1166),0)),"Unknown"),C101)</f>
        <v>Robert Martin</v>
      </c>
      <c r="T101" s="4" t="str" cm="1">
        <f t="array" ref="T101">IF(D101="",IFERROR(INDEX($D$2:$D$1000,MATCH(MAX(COUNTIF($D$2:$D$1166,$D$2:$D$1166)),COUNTIF($D$2:$D$1166,$D$2:$D$1166),0)),"Unknown"),D101)</f>
        <v>Nancy Silva</v>
      </c>
      <c r="U101" t="str">
        <f t="shared" si="8"/>
        <v>AUD</v>
      </c>
      <c r="V101" s="7" t="str">
        <f t="shared" si="8"/>
        <v>USD</v>
      </c>
      <c r="W101" s="7" t="str">
        <f t="shared" si="9"/>
        <v>UAE</v>
      </c>
      <c r="X101" s="7" t="str">
        <f t="shared" si="9"/>
        <v>UK</v>
      </c>
      <c r="Y101" s="7" t="str" cm="1">
        <f t="array" ref="Y101">IF(H101="",IFERROR(INDEX($H$2:$H$1166,MATCH(MAX(COUNTIF($H$2:$H$1166,$H$2:$H$1166)),COUNTIF($H$2:$H$1166,$H$2:$H$1166),0)),"Unknown"),H101)</f>
        <v>Non-KYC</v>
      </c>
      <c r="Z101" s="7" t="str">
        <f t="shared" si="10"/>
        <v>Internal</v>
      </c>
      <c r="AA101" s="7">
        <f>IF(J101="",AVERAGE($J:$J),J101)</f>
        <v>7821.36</v>
      </c>
      <c r="AB101" s="7">
        <f>IF(N101="",AVERAGE($N:$N),N101)</f>
        <v>18</v>
      </c>
      <c r="AC101" s="7">
        <f t="shared" si="11"/>
        <v>2026</v>
      </c>
      <c r="AD101" s="7">
        <f t="shared" si="12"/>
        <v>5</v>
      </c>
      <c r="AE101" s="7">
        <f>COUNTIF(A:A,A101)</f>
        <v>1</v>
      </c>
      <c r="AF101" s="7" t="str">
        <f t="shared" si="13"/>
        <v>No</v>
      </c>
    </row>
    <row r="102" spans="1:32">
      <c r="A102" t="s">
        <v>451</v>
      </c>
      <c r="B102">
        <v>58469365</v>
      </c>
      <c r="C102" t="s">
        <v>452</v>
      </c>
      <c r="D102" t="s">
        <v>453</v>
      </c>
      <c r="E102" t="s">
        <v>20</v>
      </c>
      <c r="F102" t="s">
        <v>116</v>
      </c>
      <c r="G102" t="s">
        <v>126</v>
      </c>
      <c r="H102" t="s">
        <v>56</v>
      </c>
      <c r="I102" t="s">
        <v>3378</v>
      </c>
      <c r="J102">
        <v>6608.94</v>
      </c>
      <c r="K102" t="s">
        <v>39</v>
      </c>
      <c r="L102" t="s">
        <v>48</v>
      </c>
      <c r="M102" s="1">
        <v>46089.724999999999</v>
      </c>
      <c r="N102">
        <v>22</v>
      </c>
      <c r="O102" t="s">
        <v>127</v>
      </c>
      <c r="P102" t="s">
        <v>68</v>
      </c>
      <c r="Q102" t="s">
        <v>454</v>
      </c>
      <c r="R102">
        <f t="shared" si="7"/>
        <v>58469365</v>
      </c>
      <c r="S102" t="str" cm="1">
        <f t="array" ref="S102">IF(C102="",IFERROR(INDEX($C$2:$C$1166,MATCH(MAX(COUNTIF($C$2:$C$1166,$C$2:$C$1166)),COUNTIF($C$2:$C$1166,$C$2:$C$1166),0)),"Unknown"),C102)</f>
        <v>David Davis</v>
      </c>
      <c r="T102" s="4" t="str" cm="1">
        <f t="array" ref="T102">IF(D102="",IFERROR(INDEX($D$2:$D$1000,MATCH(MAX(COUNTIF($D$2:$D$1166,$D$2:$D$1166)),COUNTIF($D$2:$D$1166,$D$2:$D$1166),0)),"Unknown"),D102)</f>
        <v>Fatima Nair</v>
      </c>
      <c r="U102" t="str">
        <f t="shared" si="8"/>
        <v>CHF</v>
      </c>
      <c r="V102" s="7" t="str">
        <f t="shared" si="8"/>
        <v>inr</v>
      </c>
      <c r="W102" s="7" t="str">
        <f t="shared" si="9"/>
        <v>Canada</v>
      </c>
      <c r="X102" s="7" t="str">
        <f t="shared" si="9"/>
        <v>UAE</v>
      </c>
      <c r="Y102" s="7" t="str" cm="1">
        <f t="array" ref="Y102">IF(H102="",IFERROR(INDEX($H$2:$H$1166,MATCH(MAX(COUNTIF($H$2:$H$1166,$H$2:$H$1166)),COUNTIF($H$2:$H$1166,$H$2:$H$1166),0)),"Unknown"),H102)</f>
        <v>Unverified</v>
      </c>
      <c r="Z102" s="7" t="str">
        <f t="shared" si="10"/>
        <v>Inter-Transaction</v>
      </c>
      <c r="AA102" s="7">
        <f>IF(J102="",AVERAGE($J:$J),J102)</f>
        <v>6608.94</v>
      </c>
      <c r="AB102" s="7">
        <f>IF(N102="",AVERAGE($N:$N),N102)</f>
        <v>22</v>
      </c>
      <c r="AC102" s="7">
        <f t="shared" si="11"/>
        <v>2026</v>
      </c>
      <c r="AD102" s="7">
        <f t="shared" si="12"/>
        <v>3</v>
      </c>
      <c r="AE102" s="7">
        <f>COUNTIF(A:A,A102)</f>
        <v>1</v>
      </c>
      <c r="AF102" s="7" t="str">
        <f t="shared" si="13"/>
        <v>No</v>
      </c>
    </row>
    <row r="103" spans="1:32">
      <c r="A103" t="s">
        <v>455</v>
      </c>
      <c r="B103">
        <v>94946730</v>
      </c>
      <c r="C103" t="s">
        <v>456</v>
      </c>
      <c r="D103" t="s">
        <v>457</v>
      </c>
      <c r="E103" t="s">
        <v>20</v>
      </c>
      <c r="F103" t="s">
        <v>53</v>
      </c>
      <c r="G103" t="s">
        <v>92</v>
      </c>
      <c r="H103" t="s">
        <v>38</v>
      </c>
      <c r="I103" t="s">
        <v>3377</v>
      </c>
      <c r="J103">
        <v>14295.54</v>
      </c>
      <c r="K103" t="s">
        <v>39</v>
      </c>
      <c r="L103" t="s">
        <v>48</v>
      </c>
      <c r="M103" s="1">
        <v>44334.124305555553</v>
      </c>
      <c r="N103">
        <v>31</v>
      </c>
      <c r="O103" t="s">
        <v>62</v>
      </c>
      <c r="P103" t="s">
        <v>37</v>
      </c>
      <c r="Q103" t="s">
        <v>458</v>
      </c>
      <c r="R103">
        <f t="shared" si="7"/>
        <v>94946730</v>
      </c>
      <c r="S103" t="str" cm="1">
        <f t="array" ref="S103">IF(C103="",IFERROR(INDEX($C$2:$C$1166,MATCH(MAX(COUNTIF($C$2:$C$1166,$C$2:$C$1166)),COUNTIF($C$2:$C$1166,$C$2:$C$1166),0)),"Unknown"),C103)</f>
        <v>Sarah Jackson</v>
      </c>
      <c r="T103" s="4" t="str" cm="1">
        <f t="array" ref="T103">IF(D103="",IFERROR(INDEX($D$2:$D$1000,MATCH(MAX(COUNTIF($D$2:$D$1166,$D$2:$D$1166)),COUNTIF($D$2:$D$1166,$D$2:$D$1166),0)),"Unknown"),D103)</f>
        <v>Lucas Davis</v>
      </c>
      <c r="U103" t="str">
        <f t="shared" si="8"/>
        <v>AED</v>
      </c>
      <c r="V103" s="7" t="str">
        <f t="shared" si="8"/>
        <v>AUD</v>
      </c>
      <c r="W103" s="7" t="str">
        <f t="shared" si="9"/>
        <v>Australia</v>
      </c>
      <c r="X103" s="7" t="str">
        <f t="shared" si="9"/>
        <v>South Africa</v>
      </c>
      <c r="Y103" s="7" t="str" cm="1">
        <f t="array" ref="Y103">IF(H103="",IFERROR(INDEX($H$2:$H$1166,MATCH(MAX(COUNTIF($H$2:$H$1166,$H$2:$H$1166)),COUNTIF($H$2:$H$1166,$H$2:$H$1166),0)),"Unknown"),H103)</f>
        <v>Pending</v>
      </c>
      <c r="Z103" s="7" t="str">
        <f t="shared" si="10"/>
        <v>Inter-Transaction</v>
      </c>
      <c r="AA103" s="7">
        <f>IF(J103="",AVERAGE($J:$J),J103)</f>
        <v>14295.54</v>
      </c>
      <c r="AB103" s="7">
        <f>IF(N103="",AVERAGE($N:$N),N103)</f>
        <v>31</v>
      </c>
      <c r="AC103" s="7">
        <f t="shared" si="11"/>
        <v>2021</v>
      </c>
      <c r="AD103" s="7">
        <f t="shared" si="12"/>
        <v>5</v>
      </c>
      <c r="AE103" s="7">
        <f>COUNTIF(A:A,A103)</f>
        <v>1</v>
      </c>
      <c r="AF103" s="7" t="str">
        <f t="shared" si="13"/>
        <v>No</v>
      </c>
    </row>
    <row r="104" spans="1:32">
      <c r="A104" t="s">
        <v>459</v>
      </c>
      <c r="B104">
        <v>42483531</v>
      </c>
      <c r="C104" t="s">
        <v>219</v>
      </c>
      <c r="D104" t="s">
        <v>460</v>
      </c>
      <c r="E104" t="s">
        <v>20</v>
      </c>
      <c r="F104" t="s">
        <v>92</v>
      </c>
      <c r="G104" t="s">
        <v>35</v>
      </c>
      <c r="I104" t="s">
        <v>3372</v>
      </c>
      <c r="J104">
        <v>8159.24</v>
      </c>
      <c r="K104" t="s">
        <v>57</v>
      </c>
      <c r="L104" t="s">
        <v>28</v>
      </c>
      <c r="M104" s="1">
        <v>44533.947916666664</v>
      </c>
      <c r="N104">
        <v>44</v>
      </c>
      <c r="O104" t="s">
        <v>23</v>
      </c>
      <c r="P104" t="s">
        <v>127</v>
      </c>
      <c r="Q104" t="s">
        <v>461</v>
      </c>
      <c r="R104">
        <f t="shared" si="7"/>
        <v>42483531</v>
      </c>
      <c r="S104" t="str" cm="1">
        <f t="array" ref="S104">IF(C104="",IFERROR(INDEX($C$2:$C$1166,MATCH(MAX(COUNTIF($C$2:$C$1166,$C$2:$C$1166)),COUNTIF($C$2:$C$1166,$C$2:$C$1166),0)),"Unknown"),C104)</f>
        <v>David Velez</v>
      </c>
      <c r="T104" s="4" t="str" cm="1">
        <f t="array" ref="T104">IF(D104="",IFERROR(INDEX($D$2:$D$1000,MATCH(MAX(COUNTIF($D$2:$D$1166,$D$2:$D$1166)),COUNTIF($D$2:$D$1166,$D$2:$D$1166),0)),"Unknown"),D104)</f>
        <v>Michael Rostova</v>
      </c>
      <c r="U104" t="str">
        <f t="shared" si="8"/>
        <v>AUD</v>
      </c>
      <c r="V104" s="7" t="str">
        <f t="shared" si="8"/>
        <v>EUR</v>
      </c>
      <c r="W104" s="7" t="str">
        <f t="shared" si="9"/>
        <v>France</v>
      </c>
      <c r="X104" s="7" t="str">
        <f t="shared" si="9"/>
        <v>Canada</v>
      </c>
      <c r="Y104" s="7" t="str" cm="1">
        <f t="array" ref="Y104">IF(H104="",IFERROR(INDEX($H$2:$H$1166,MATCH(MAX(COUNTIF($H$2:$H$1166,$H$2:$H$1166)),COUNTIF($H$2:$H$1166,$H$2:$H$1166),0)),"Unknown"),H104)</f>
        <v>Pending</v>
      </c>
      <c r="Z104" s="7" t="str">
        <f t="shared" si="10"/>
        <v>Outer-Transaction</v>
      </c>
      <c r="AA104" s="7">
        <f>IF(J104="",AVERAGE($J:$J),J104)</f>
        <v>8159.24</v>
      </c>
      <c r="AB104" s="7">
        <f>IF(N104="",AVERAGE($N:$N),N104)</f>
        <v>44</v>
      </c>
      <c r="AC104" s="7">
        <f t="shared" si="11"/>
        <v>2021</v>
      </c>
      <c r="AD104" s="7">
        <f t="shared" si="12"/>
        <v>12</v>
      </c>
      <c r="AE104" s="7">
        <f>COUNTIF(A:A,A104)</f>
        <v>1</v>
      </c>
      <c r="AF104" s="7" t="str">
        <f t="shared" si="13"/>
        <v>No</v>
      </c>
    </row>
    <row r="105" spans="1:32">
      <c r="A105" t="s">
        <v>462</v>
      </c>
      <c r="B105">
        <v>54506155</v>
      </c>
      <c r="C105" t="s">
        <v>463</v>
      </c>
      <c r="D105" t="s">
        <v>18</v>
      </c>
      <c r="E105" t="s">
        <v>20</v>
      </c>
      <c r="F105" t="s">
        <v>121</v>
      </c>
      <c r="G105" t="s">
        <v>98</v>
      </c>
      <c r="H105" t="s">
        <v>56</v>
      </c>
      <c r="I105" t="s">
        <v>3374</v>
      </c>
      <c r="J105">
        <v>8832.9599999999991</v>
      </c>
      <c r="K105" t="s">
        <v>27</v>
      </c>
      <c r="L105" t="s">
        <v>48</v>
      </c>
      <c r="M105" s="1">
        <v>45920.981249999997</v>
      </c>
      <c r="N105">
        <v>26</v>
      </c>
      <c r="O105" t="s">
        <v>23</v>
      </c>
      <c r="P105" t="s">
        <v>37</v>
      </c>
      <c r="Q105" t="s">
        <v>464</v>
      </c>
      <c r="R105">
        <f t="shared" si="7"/>
        <v>54506155</v>
      </c>
      <c r="S105" t="str" cm="1">
        <f t="array" ref="S105">IF(C105="",IFERROR(INDEX($C$2:$C$1166,MATCH(MAX(COUNTIF($C$2:$C$1166,$C$2:$C$1166)),COUNTIF($C$2:$C$1166,$C$2:$C$1166),0)),"Unknown"),C105)</f>
        <v>Lucas Wilson</v>
      </c>
      <c r="T105" s="4" t="str" cm="1">
        <f t="array" ref="T105">IF(D105="",IFERROR(INDEX($D$2:$D$1000,MATCH(MAX(COUNTIF($D$2:$D$1166,$D$2:$D$1166)),COUNTIF($D$2:$D$1166,$D$2:$D$1166),0)),"Unknown"),D105)</f>
        <v>Patricia Smith</v>
      </c>
      <c r="U105" t="str">
        <f t="shared" si="8"/>
        <v>INR</v>
      </c>
      <c r="V105" s="7" t="str">
        <f t="shared" si="8"/>
        <v>JPY</v>
      </c>
      <c r="W105" s="7" t="str">
        <f t="shared" si="9"/>
        <v>France</v>
      </c>
      <c r="X105" s="7" t="str">
        <f t="shared" si="9"/>
        <v>South Africa</v>
      </c>
      <c r="Y105" s="7" t="str" cm="1">
        <f t="array" ref="Y105">IF(H105="",IFERROR(INDEX($H$2:$H$1166,MATCH(MAX(COUNTIF($H$2:$H$1166,$H$2:$H$1166)),COUNTIF($H$2:$H$1166,$H$2:$H$1166),0)),"Unknown"),H105)</f>
        <v>Unverified</v>
      </c>
      <c r="Z105" s="7" t="str">
        <f t="shared" si="10"/>
        <v>External</v>
      </c>
      <c r="AA105" s="7">
        <f>IF(J105="",AVERAGE($J:$J),J105)</f>
        <v>8832.9599999999991</v>
      </c>
      <c r="AB105" s="7">
        <f>IF(N105="",AVERAGE($N:$N),N105)</f>
        <v>26</v>
      </c>
      <c r="AC105" s="7">
        <f t="shared" si="11"/>
        <v>2025</v>
      </c>
      <c r="AD105" s="7">
        <f t="shared" si="12"/>
        <v>9</v>
      </c>
      <c r="AE105" s="7">
        <f>COUNTIF(A:A,A105)</f>
        <v>1</v>
      </c>
      <c r="AF105" s="7" t="str">
        <f t="shared" si="13"/>
        <v>No</v>
      </c>
    </row>
    <row r="106" spans="1:32">
      <c r="A106" t="s">
        <v>465</v>
      </c>
      <c r="B106">
        <v>51861213</v>
      </c>
      <c r="C106" t="s">
        <v>466</v>
      </c>
      <c r="D106" t="s">
        <v>467</v>
      </c>
      <c r="E106" t="s">
        <v>20</v>
      </c>
      <c r="F106" t="s">
        <v>34</v>
      </c>
      <c r="G106" t="s">
        <v>44</v>
      </c>
      <c r="I106" t="s">
        <v>3377</v>
      </c>
      <c r="J106">
        <v>348.55</v>
      </c>
      <c r="K106" t="s">
        <v>57</v>
      </c>
      <c r="L106" t="s">
        <v>28</v>
      </c>
      <c r="M106" s="1">
        <v>44145.556250000001</v>
      </c>
      <c r="N106">
        <v>32</v>
      </c>
      <c r="O106" t="s">
        <v>36</v>
      </c>
      <c r="P106" t="s">
        <v>93</v>
      </c>
      <c r="Q106" t="s">
        <v>468</v>
      </c>
      <c r="R106">
        <f t="shared" si="7"/>
        <v>51861213</v>
      </c>
      <c r="S106" t="str" cm="1">
        <f t="array" ref="S106">IF(C106="",IFERROR(INDEX($C$2:$C$1166,MATCH(MAX(COUNTIF($C$2:$C$1166,$C$2:$C$1166)),COUNTIF($C$2:$C$1166,$C$2:$C$1166),0)),"Unknown"),C106)</f>
        <v xml:space="preserve">  RICHARD ANDERSON </v>
      </c>
      <c r="T106" s="4" t="str" cm="1">
        <f t="array" ref="T106">IF(D106="",IFERROR(INDEX($D$2:$D$1000,MATCH(MAX(COUNTIF($D$2:$D$1166,$D$2:$D$1166)),COUNTIF($D$2:$D$1166,$D$2:$D$1166),0)),"Unknown"),D106)</f>
        <v xml:space="preserve"> lucas miller   </v>
      </c>
      <c r="U106" t="str">
        <f t="shared" si="8"/>
        <v>CAD</v>
      </c>
      <c r="V106" s="7" t="str">
        <f t="shared" si="8"/>
        <v>SGD</v>
      </c>
      <c r="W106" s="7" t="str">
        <f t="shared" si="9"/>
        <v>Germany</v>
      </c>
      <c r="X106" s="7" t="str">
        <f t="shared" si="9"/>
        <v>USA</v>
      </c>
      <c r="Y106" s="7" t="str" cm="1">
        <f t="array" ref="Y106">IF(H106="",IFERROR(INDEX($H$2:$H$1166,MATCH(MAX(COUNTIF($H$2:$H$1166,$H$2:$H$1166)),COUNTIF($H$2:$H$1166,$H$2:$H$1166),0)),"Unknown"),H106)</f>
        <v>Pending</v>
      </c>
      <c r="Z106" s="7" t="str">
        <f t="shared" si="10"/>
        <v>Inter-Transaction</v>
      </c>
      <c r="AA106" s="7">
        <f>IF(J106="",AVERAGE($J:$J),J106)</f>
        <v>348.55</v>
      </c>
      <c r="AB106" s="7">
        <f>IF(N106="",AVERAGE($N:$N),N106)</f>
        <v>32</v>
      </c>
      <c r="AC106" s="7">
        <f t="shared" si="11"/>
        <v>2020</v>
      </c>
      <c r="AD106" s="7">
        <f t="shared" si="12"/>
        <v>11</v>
      </c>
      <c r="AE106" s="7">
        <f>COUNTIF(A:A,A106)</f>
        <v>1</v>
      </c>
      <c r="AF106" s="7" t="str">
        <f t="shared" si="13"/>
        <v>No</v>
      </c>
    </row>
    <row r="107" spans="1:32">
      <c r="A107" t="s">
        <v>469</v>
      </c>
      <c r="B107">
        <v>94524999</v>
      </c>
      <c r="C107" t="s">
        <v>470</v>
      </c>
      <c r="D107" t="s">
        <v>412</v>
      </c>
      <c r="E107" t="s">
        <v>20</v>
      </c>
      <c r="F107" t="s">
        <v>80</v>
      </c>
      <c r="G107" t="s">
        <v>22</v>
      </c>
      <c r="H107" t="s">
        <v>74</v>
      </c>
      <c r="I107" t="s">
        <v>3378</v>
      </c>
      <c r="J107">
        <v>11287.36</v>
      </c>
      <c r="K107" t="s">
        <v>86</v>
      </c>
      <c r="L107" t="s">
        <v>28</v>
      </c>
      <c r="M107" s="1">
        <v>46207.449305555558</v>
      </c>
      <c r="N107">
        <v>59</v>
      </c>
      <c r="O107" t="s">
        <v>62</v>
      </c>
      <c r="P107" t="s">
        <v>23</v>
      </c>
      <c r="Q107" t="s">
        <v>471</v>
      </c>
      <c r="R107">
        <f t="shared" si="7"/>
        <v>94524999</v>
      </c>
      <c r="S107" t="str" cm="1">
        <f t="array" ref="S107">IF(C107="",IFERROR(INDEX($C$2:$C$1166,MATCH(MAX(COUNTIF($C$2:$C$1166,$C$2:$C$1166)),COUNTIF($C$2:$C$1166,$C$2:$C$1166),0)),"Unknown"),C107)</f>
        <v>Linda Garcia</v>
      </c>
      <c r="T107" s="4" t="str" cm="1">
        <f t="array" ref="T107">IF(D107="",IFERROR(INDEX($D$2:$D$1000,MATCH(MAX(COUNTIF($D$2:$D$1166,$D$2:$D$1166)),COUNTIF($D$2:$D$1166,$D$2:$D$1166),0)),"Unknown"),D107)</f>
        <v>Sanjay Velez</v>
      </c>
      <c r="U107" t="str">
        <f t="shared" si="8"/>
        <v>USD</v>
      </c>
      <c r="V107" s="7" t="str">
        <f t="shared" si="8"/>
        <v>BRL</v>
      </c>
      <c r="W107" s="7" t="str">
        <f t="shared" si="9"/>
        <v>Australia</v>
      </c>
      <c r="X107" s="7" t="str">
        <f t="shared" si="9"/>
        <v>France</v>
      </c>
      <c r="Y107" s="7" t="str" cm="1">
        <f t="array" ref="Y107">IF(H107="",IFERROR(INDEX($H$2:$H$1166,MATCH(MAX(COUNTIF($H$2:$H$1166,$H$2:$H$1166)),COUNTIF($H$2:$H$1166,$H$2:$H$1166),0)),"Unknown"),H107)</f>
        <v>Non-KYC</v>
      </c>
      <c r="Z107" s="7" t="str">
        <f t="shared" si="10"/>
        <v>Inter-Transaction</v>
      </c>
      <c r="AA107" s="7">
        <f>IF(J107="",AVERAGE($J:$J),J107)</f>
        <v>11287.36</v>
      </c>
      <c r="AB107" s="7">
        <f>IF(N107="",AVERAGE($N:$N),N107)</f>
        <v>59</v>
      </c>
      <c r="AC107" s="7">
        <f t="shared" si="11"/>
        <v>2026</v>
      </c>
      <c r="AD107" s="7">
        <f t="shared" si="12"/>
        <v>7</v>
      </c>
      <c r="AE107" s="7">
        <f>COUNTIF(A:A,A107)</f>
        <v>1</v>
      </c>
      <c r="AF107" s="7" t="str">
        <f t="shared" si="13"/>
        <v>No</v>
      </c>
    </row>
    <row r="108" spans="1:32">
      <c r="A108" t="s">
        <v>472</v>
      </c>
      <c r="B108">
        <v>62162278</v>
      </c>
      <c r="C108" t="s">
        <v>473</v>
      </c>
      <c r="D108" t="s">
        <v>474</v>
      </c>
      <c r="E108" t="s">
        <v>20</v>
      </c>
      <c r="F108" t="s">
        <v>44</v>
      </c>
      <c r="G108" t="s">
        <v>116</v>
      </c>
      <c r="I108" t="s">
        <v>3371</v>
      </c>
      <c r="J108">
        <v>4704.6499999999996</v>
      </c>
      <c r="K108" t="s">
        <v>47</v>
      </c>
      <c r="L108" t="s">
        <v>75</v>
      </c>
      <c r="M108" s="1">
        <v>44871.318055555559</v>
      </c>
      <c r="N108">
        <v>68</v>
      </c>
      <c r="O108" t="s">
        <v>55</v>
      </c>
      <c r="P108" t="s">
        <v>24</v>
      </c>
      <c r="Q108" t="s">
        <v>475</v>
      </c>
      <c r="R108">
        <f t="shared" si="7"/>
        <v>62162278</v>
      </c>
      <c r="S108" t="str" cm="1">
        <f t="array" ref="S108">IF(C108="",IFERROR(INDEX($C$2:$C$1166,MATCH(MAX(COUNTIF($C$2:$C$1166,$C$2:$C$1166)),COUNTIF($C$2:$C$1166,$C$2:$C$1166),0)),"Unknown"),C108)</f>
        <v>Nancy Gonzalez</v>
      </c>
      <c r="T108" s="4" t="str" cm="1">
        <f t="array" ref="T108">IF(D108="",IFERROR(INDEX($D$2:$D$1000,MATCH(MAX(COUNTIF($D$2:$D$1166,$D$2:$D$1166)),COUNTIF($D$2:$D$1166,$D$2:$D$1166),0)),"Unknown"),D108)</f>
        <v>Christopher Brown</v>
      </c>
      <c r="U108" t="str">
        <f t="shared" si="8"/>
        <v>SGD</v>
      </c>
      <c r="V108" s="7" t="str">
        <f t="shared" si="8"/>
        <v>CHF</v>
      </c>
      <c r="W108" s="7" t="str">
        <f t="shared" si="9"/>
        <v>UK</v>
      </c>
      <c r="X108" s="7" t="str">
        <f t="shared" si="9"/>
        <v>Brazil</v>
      </c>
      <c r="Y108" s="7" t="str" cm="1">
        <f t="array" ref="Y108">IF(H108="",IFERROR(INDEX($H$2:$H$1166,MATCH(MAX(COUNTIF($H$2:$H$1166,$H$2:$H$1166)),COUNTIF($H$2:$H$1166,$H$2:$H$1166),0)),"Unknown"),H108)</f>
        <v>Pending</v>
      </c>
      <c r="Z108" s="7" t="str">
        <f t="shared" si="10"/>
        <v>Outer-Transaction</v>
      </c>
      <c r="AA108" s="7">
        <f>IF(J108="",AVERAGE($J:$J),J108)</f>
        <v>4704.6499999999996</v>
      </c>
      <c r="AB108" s="7">
        <f>IF(N108="",AVERAGE($N:$N),N108)</f>
        <v>68</v>
      </c>
      <c r="AC108" s="7">
        <f t="shared" si="11"/>
        <v>2022</v>
      </c>
      <c r="AD108" s="7">
        <f t="shared" si="12"/>
        <v>11</v>
      </c>
      <c r="AE108" s="7">
        <f>COUNTIF(A:A,A108)</f>
        <v>1</v>
      </c>
      <c r="AF108" s="7" t="str">
        <f t="shared" si="13"/>
        <v>No</v>
      </c>
    </row>
    <row r="109" spans="1:32">
      <c r="A109" t="s">
        <v>476</v>
      </c>
      <c r="B109">
        <v>95295586</v>
      </c>
      <c r="C109" t="s">
        <v>111</v>
      </c>
      <c r="D109" t="s">
        <v>477</v>
      </c>
      <c r="E109" t="s">
        <v>3373</v>
      </c>
      <c r="F109" t="s">
        <v>21</v>
      </c>
      <c r="G109" t="s">
        <v>98</v>
      </c>
      <c r="H109" t="s">
        <v>103</v>
      </c>
      <c r="I109" t="s">
        <v>3377</v>
      </c>
      <c r="J109">
        <v>7274.29</v>
      </c>
      <c r="K109" t="s">
        <v>47</v>
      </c>
      <c r="L109" t="s">
        <v>81</v>
      </c>
      <c r="M109" s="1">
        <v>44113.44027777778</v>
      </c>
      <c r="N109">
        <v>80</v>
      </c>
      <c r="O109" t="s">
        <v>24</v>
      </c>
      <c r="P109" t="s">
        <v>127</v>
      </c>
      <c r="Q109" t="s">
        <v>478</v>
      </c>
      <c r="R109">
        <f t="shared" si="7"/>
        <v>95295586</v>
      </c>
      <c r="S109" t="str" cm="1">
        <f t="array" ref="S109">IF(C109="",IFERROR(INDEX($C$2:$C$1166,MATCH(MAX(COUNTIF($C$2:$C$1166,$C$2:$C$1166)),COUNTIF($C$2:$C$1166,$C$2:$C$1166),0)),"Unknown"),C109)</f>
        <v>Karen Rostova</v>
      </c>
      <c r="T109" s="4" t="str" cm="1">
        <f t="array" ref="T109">IF(D109="",IFERROR(INDEX($D$2:$D$1000,MATCH(MAX(COUNTIF($D$2:$D$1166,$D$2:$D$1166)),COUNTIF($D$2:$D$1166,$D$2:$D$1166),0)),"Unknown"),D109)</f>
        <v>Priya Nair</v>
      </c>
      <c r="U109" t="str">
        <f t="shared" si="8"/>
        <v>GBP</v>
      </c>
      <c r="V109" s="7" t="str">
        <f t="shared" si="8"/>
        <v>JPY</v>
      </c>
      <c r="W109" s="7" t="str">
        <f t="shared" si="9"/>
        <v>Brazil</v>
      </c>
      <c r="X109" s="7" t="str">
        <f t="shared" si="9"/>
        <v>Canada</v>
      </c>
      <c r="Y109" s="7" t="str" cm="1">
        <f t="array" ref="Y109">IF(H109="",IFERROR(INDEX($H$2:$H$1166,MATCH(MAX(COUNTIF($H$2:$H$1166,$H$2:$H$1166)),COUNTIF($H$2:$H$1166,$H$2:$H$1166),0)),"Unknown"),H109)</f>
        <v>Verified</v>
      </c>
      <c r="Z109" s="7" t="str">
        <f t="shared" si="10"/>
        <v>Inter-Transaction</v>
      </c>
      <c r="AA109" s="7">
        <f>IF(J109="",AVERAGE($J:$J),J109)</f>
        <v>7274.29</v>
      </c>
      <c r="AB109" s="7">
        <f>IF(N109="",AVERAGE($N:$N),N109)</f>
        <v>80</v>
      </c>
      <c r="AC109" s="7">
        <f t="shared" si="11"/>
        <v>2020</v>
      </c>
      <c r="AD109" s="7">
        <f t="shared" si="12"/>
        <v>10</v>
      </c>
      <c r="AE109" s="7">
        <f>COUNTIF(A:A,A109)</f>
        <v>1</v>
      </c>
      <c r="AF109" s="7" t="str">
        <f t="shared" si="13"/>
        <v>Yes</v>
      </c>
    </row>
    <row r="110" spans="1:32">
      <c r="A110" t="s">
        <v>479</v>
      </c>
      <c r="B110">
        <v>39598969</v>
      </c>
      <c r="C110" t="s">
        <v>480</v>
      </c>
      <c r="D110" t="s">
        <v>452</v>
      </c>
      <c r="E110" t="s">
        <v>20</v>
      </c>
      <c r="F110" t="s">
        <v>21</v>
      </c>
      <c r="G110" t="s">
        <v>44</v>
      </c>
      <c r="H110" t="s">
        <v>103</v>
      </c>
      <c r="I110" t="s">
        <v>3376</v>
      </c>
      <c r="J110">
        <v>12351.01</v>
      </c>
      <c r="K110" t="s">
        <v>57</v>
      </c>
      <c r="L110" t="s">
        <v>28</v>
      </c>
      <c r="M110" s="1">
        <v>44088.697916666664</v>
      </c>
      <c r="N110">
        <v>69</v>
      </c>
      <c r="O110" t="s">
        <v>55</v>
      </c>
      <c r="P110" t="s">
        <v>54</v>
      </c>
      <c r="Q110" t="s">
        <v>481</v>
      </c>
      <c r="R110">
        <f t="shared" si="7"/>
        <v>39598969</v>
      </c>
      <c r="S110" t="str" cm="1">
        <f t="array" ref="S110">IF(C110="",IFERROR(INDEX($C$2:$C$1166,MATCH(MAX(COUNTIF($C$2:$C$1166,$C$2:$C$1166)),COUNTIF($C$2:$C$1166,$C$2:$C$1166),0)),"Unknown"),C110)</f>
        <v>Barbara Johnson</v>
      </c>
      <c r="T110" s="4" t="str" cm="1">
        <f t="array" ref="T110">IF(D110="",IFERROR(INDEX($D$2:$D$1000,MATCH(MAX(COUNTIF($D$2:$D$1166,$D$2:$D$1166)),COUNTIF($D$2:$D$1166,$D$2:$D$1166),0)),"Unknown"),D110)</f>
        <v>David Davis</v>
      </c>
      <c r="U110" t="str">
        <f t="shared" si="8"/>
        <v>GBP</v>
      </c>
      <c r="V110" s="7" t="str">
        <f t="shared" si="8"/>
        <v>SGD</v>
      </c>
      <c r="W110" s="7" t="str">
        <f t="shared" si="9"/>
        <v>UK</v>
      </c>
      <c r="X110" s="7" t="str">
        <f t="shared" si="9"/>
        <v>India</v>
      </c>
      <c r="Y110" s="7" t="str" cm="1">
        <f t="array" ref="Y110">IF(H110="",IFERROR(INDEX($H$2:$H$1166,MATCH(MAX(COUNTIF($H$2:$H$1166,$H$2:$H$1166)),COUNTIF($H$2:$H$1166,$H$2:$H$1166),0)),"Unknown"),H110)</f>
        <v>Verified</v>
      </c>
      <c r="Z110" s="7" t="str">
        <f t="shared" si="10"/>
        <v>Internal</v>
      </c>
      <c r="AA110" s="7">
        <f>IF(J110="",AVERAGE($J:$J),J110)</f>
        <v>12351.01</v>
      </c>
      <c r="AB110" s="7">
        <f>IF(N110="",AVERAGE($N:$N),N110)</f>
        <v>69</v>
      </c>
      <c r="AC110" s="7">
        <f t="shared" si="11"/>
        <v>2020</v>
      </c>
      <c r="AD110" s="7">
        <f t="shared" si="12"/>
        <v>9</v>
      </c>
      <c r="AE110" s="7">
        <f>COUNTIF(A:A,A110)</f>
        <v>1</v>
      </c>
      <c r="AF110" s="7" t="str">
        <f t="shared" si="13"/>
        <v>No</v>
      </c>
    </row>
    <row r="111" spans="1:32">
      <c r="A111" t="s">
        <v>482</v>
      </c>
      <c r="B111">
        <v>70362053</v>
      </c>
      <c r="C111" t="s">
        <v>255</v>
      </c>
      <c r="D111" t="s">
        <v>483</v>
      </c>
      <c r="E111" t="s">
        <v>20</v>
      </c>
      <c r="F111" t="s">
        <v>35</v>
      </c>
      <c r="G111" t="s">
        <v>121</v>
      </c>
      <c r="H111" t="s">
        <v>56</v>
      </c>
      <c r="I111" t="s">
        <v>3371</v>
      </c>
      <c r="J111">
        <v>9246.11</v>
      </c>
      <c r="K111" t="s">
        <v>47</v>
      </c>
      <c r="L111" t="s">
        <v>48</v>
      </c>
      <c r="M111" s="1">
        <v>44405.213194444441</v>
      </c>
      <c r="N111">
        <v>21</v>
      </c>
      <c r="O111" t="s">
        <v>62</v>
      </c>
      <c r="P111" t="s">
        <v>62</v>
      </c>
      <c r="Q111" t="s">
        <v>484</v>
      </c>
      <c r="R111">
        <f t="shared" si="7"/>
        <v>70362053</v>
      </c>
      <c r="S111" t="str" cm="1">
        <f t="array" ref="S111">IF(C111="",IFERROR(INDEX($C$2:$C$1166,MATCH(MAX(COUNTIF($C$2:$C$1166,$C$2:$C$1166)),COUNTIF($C$2:$C$1166,$C$2:$C$1166),0)),"Unknown"),C111)</f>
        <v>David Lopez</v>
      </c>
      <c r="T111" s="4" t="str" cm="1">
        <f t="array" ref="T111">IF(D111="",IFERROR(INDEX($D$2:$D$1000,MATCH(MAX(COUNTIF($D$2:$D$1166,$D$2:$D$1166)),COUNTIF($D$2:$D$1166,$D$2:$D$1166),0)),"Unknown"),D111)</f>
        <v>Zayn Khan</v>
      </c>
      <c r="U111" t="str">
        <f t="shared" si="8"/>
        <v>EUR</v>
      </c>
      <c r="V111" s="7" t="str">
        <f t="shared" si="8"/>
        <v>INR</v>
      </c>
      <c r="W111" s="7" t="str">
        <f t="shared" si="9"/>
        <v>Australia</v>
      </c>
      <c r="X111" s="7" t="str">
        <f t="shared" si="9"/>
        <v>Australia</v>
      </c>
      <c r="Y111" s="7" t="str" cm="1">
        <f t="array" ref="Y111">IF(H111="",IFERROR(INDEX($H$2:$H$1166,MATCH(MAX(COUNTIF($H$2:$H$1166,$H$2:$H$1166)),COUNTIF($H$2:$H$1166,$H$2:$H$1166),0)),"Unknown"),H111)</f>
        <v>Unverified</v>
      </c>
      <c r="Z111" s="7" t="str">
        <f t="shared" si="10"/>
        <v>Outer-Transaction</v>
      </c>
      <c r="AA111" s="7">
        <f>IF(J111="",AVERAGE($J:$J),J111)</f>
        <v>9246.11</v>
      </c>
      <c r="AB111" s="7">
        <f>IF(N111="",AVERAGE($N:$N),N111)</f>
        <v>21</v>
      </c>
      <c r="AC111" s="7">
        <f t="shared" si="11"/>
        <v>2021</v>
      </c>
      <c r="AD111" s="7">
        <f t="shared" si="12"/>
        <v>7</v>
      </c>
      <c r="AE111" s="7">
        <f>COUNTIF(A:A,A111)</f>
        <v>1</v>
      </c>
      <c r="AF111" s="7" t="str">
        <f t="shared" si="13"/>
        <v>No</v>
      </c>
    </row>
    <row r="112" spans="1:32">
      <c r="A112" t="s">
        <v>485</v>
      </c>
      <c r="B112">
        <v>79043610</v>
      </c>
      <c r="C112" t="s">
        <v>486</v>
      </c>
      <c r="D112" t="s">
        <v>487</v>
      </c>
      <c r="E112" t="s">
        <v>20</v>
      </c>
      <c r="F112" t="s">
        <v>92</v>
      </c>
      <c r="G112" t="s">
        <v>80</v>
      </c>
      <c r="I112" t="s">
        <v>3378</v>
      </c>
      <c r="J112">
        <v>12428.94</v>
      </c>
      <c r="K112" t="s">
        <v>39</v>
      </c>
      <c r="L112" t="s">
        <v>81</v>
      </c>
      <c r="M112" s="1">
        <v>44404.9</v>
      </c>
      <c r="N112">
        <v>40</v>
      </c>
      <c r="O112" t="s">
        <v>55</v>
      </c>
      <c r="P112" t="s">
        <v>24</v>
      </c>
      <c r="Q112" t="s">
        <v>488</v>
      </c>
      <c r="R112">
        <f t="shared" si="7"/>
        <v>79043610</v>
      </c>
      <c r="S112" t="str" cm="1">
        <f t="array" ref="S112">IF(C112="",IFERROR(INDEX($C$2:$C$1166,MATCH(MAX(COUNTIF($C$2:$C$1166,$C$2:$C$1166)),COUNTIF($C$2:$C$1166,$C$2:$C$1166),0)),"Unknown"),C112)</f>
        <v>Carlos Velez</v>
      </c>
      <c r="T112" s="4" t="str" cm="1">
        <f t="array" ref="T112">IF(D112="",IFERROR(INDEX($D$2:$D$1000,MATCH(MAX(COUNTIF($D$2:$D$1166,$D$2:$D$1166)),COUNTIF($D$2:$D$1166,$D$2:$D$1166),0)),"Unknown"),D112)</f>
        <v>Amir Brown</v>
      </c>
      <c r="U112" t="str">
        <f t="shared" si="8"/>
        <v>AUD</v>
      </c>
      <c r="V112" s="7" t="str">
        <f t="shared" si="8"/>
        <v>USD</v>
      </c>
      <c r="W112" s="7" t="str">
        <f t="shared" si="9"/>
        <v>UK</v>
      </c>
      <c r="X112" s="7" t="str">
        <f t="shared" si="9"/>
        <v>Brazil</v>
      </c>
      <c r="Y112" s="7" t="str" cm="1">
        <f t="array" ref="Y112">IF(H112="",IFERROR(INDEX($H$2:$H$1166,MATCH(MAX(COUNTIF($H$2:$H$1166,$H$2:$H$1166)),COUNTIF($H$2:$H$1166,$H$2:$H$1166),0)),"Unknown"),H112)</f>
        <v>Pending</v>
      </c>
      <c r="Z112" s="7" t="str">
        <f t="shared" si="10"/>
        <v>Inter-Transaction</v>
      </c>
      <c r="AA112" s="7">
        <f>IF(J112="",AVERAGE($J:$J),J112)</f>
        <v>12428.94</v>
      </c>
      <c r="AB112" s="7">
        <f>IF(N112="",AVERAGE($N:$N),N112)</f>
        <v>40</v>
      </c>
      <c r="AC112" s="7">
        <f t="shared" si="11"/>
        <v>2021</v>
      </c>
      <c r="AD112" s="7">
        <f t="shared" si="12"/>
        <v>7</v>
      </c>
      <c r="AE112" s="7">
        <f>COUNTIF(A:A,A112)</f>
        <v>1</v>
      </c>
      <c r="AF112" s="7" t="str">
        <f t="shared" si="13"/>
        <v>No</v>
      </c>
    </row>
    <row r="113" spans="1:32">
      <c r="A113" t="s">
        <v>489</v>
      </c>
      <c r="B113">
        <v>79204468</v>
      </c>
      <c r="C113" t="s">
        <v>490</v>
      </c>
      <c r="D113" t="s">
        <v>491</v>
      </c>
      <c r="E113">
        <v>1</v>
      </c>
      <c r="F113" t="s">
        <v>44</v>
      </c>
      <c r="G113" t="s">
        <v>44</v>
      </c>
      <c r="H113" t="s">
        <v>56</v>
      </c>
      <c r="I113" t="s">
        <v>3374</v>
      </c>
      <c r="J113">
        <v>9965.52</v>
      </c>
      <c r="K113" t="s">
        <v>57</v>
      </c>
      <c r="L113" t="s">
        <v>28</v>
      </c>
      <c r="M113" s="1">
        <v>44873.314583333333</v>
      </c>
      <c r="N113">
        <v>32</v>
      </c>
      <c r="O113" t="s">
        <v>93</v>
      </c>
      <c r="P113" t="s">
        <v>62</v>
      </c>
      <c r="Q113" t="s">
        <v>492</v>
      </c>
      <c r="R113">
        <f t="shared" si="7"/>
        <v>79204468</v>
      </c>
      <c r="S113" t="str" cm="1">
        <f t="array" ref="S113">IF(C113="",IFERROR(INDEX($C$2:$C$1166,MATCH(MAX(COUNTIF($C$2:$C$1166,$C$2:$C$1166)),COUNTIF($C$2:$C$1166,$C$2:$C$1166),0)),"Unknown"),C113)</f>
        <v>Fatima Rodriguez</v>
      </c>
      <c r="T113" s="4" t="str" cm="1">
        <f t="array" ref="T113">IF(D113="",IFERROR(INDEX($D$2:$D$1000,MATCH(MAX(COUNTIF($D$2:$D$1166,$D$2:$D$1166)),COUNTIF($D$2:$D$1166,$D$2:$D$1166),0)),"Unknown"),D113)</f>
        <v>Elena Souza</v>
      </c>
      <c r="U113" t="str">
        <f t="shared" si="8"/>
        <v>SGD</v>
      </c>
      <c r="V113" s="7" t="str">
        <f t="shared" si="8"/>
        <v>SGD</v>
      </c>
      <c r="W113" s="7" t="str">
        <f t="shared" si="9"/>
        <v>USA</v>
      </c>
      <c r="X113" s="7" t="str">
        <f t="shared" si="9"/>
        <v>Australia</v>
      </c>
      <c r="Y113" s="7" t="str" cm="1">
        <f t="array" ref="Y113">IF(H113="",IFERROR(INDEX($H$2:$H$1166,MATCH(MAX(COUNTIF($H$2:$H$1166,$H$2:$H$1166)),COUNTIF($H$2:$H$1166,$H$2:$H$1166),0)),"Unknown"),H113)</f>
        <v>Unverified</v>
      </c>
      <c r="Z113" s="7" t="str">
        <f t="shared" si="10"/>
        <v>External</v>
      </c>
      <c r="AA113" s="7">
        <f>IF(J113="",AVERAGE($J:$J),J113)</f>
        <v>9965.52</v>
      </c>
      <c r="AB113" s="7">
        <f>IF(N113="",AVERAGE($N:$N),N113)</f>
        <v>32</v>
      </c>
      <c r="AC113" s="7">
        <f t="shared" si="11"/>
        <v>2022</v>
      </c>
      <c r="AD113" s="7">
        <f t="shared" si="12"/>
        <v>11</v>
      </c>
      <c r="AE113" s="7">
        <f>COUNTIF(A:A,A113)</f>
        <v>1</v>
      </c>
      <c r="AF113" s="7" t="str">
        <f t="shared" si="13"/>
        <v>Yes</v>
      </c>
    </row>
    <row r="114" spans="1:32">
      <c r="A114" t="s">
        <v>493</v>
      </c>
      <c r="B114">
        <v>75140950</v>
      </c>
      <c r="C114" t="s">
        <v>494</v>
      </c>
      <c r="D114" t="s">
        <v>486</v>
      </c>
      <c r="E114">
        <v>1</v>
      </c>
      <c r="F114" t="s">
        <v>80</v>
      </c>
      <c r="G114" t="s">
        <v>99</v>
      </c>
      <c r="H114" t="s">
        <v>56</v>
      </c>
      <c r="I114" t="s">
        <v>3377</v>
      </c>
      <c r="J114">
        <v>14877.66</v>
      </c>
      <c r="K114" t="s">
        <v>39</v>
      </c>
      <c r="L114" t="s">
        <v>48</v>
      </c>
      <c r="M114" s="1">
        <v>45383.613194444442</v>
      </c>
      <c r="N114">
        <v>60</v>
      </c>
      <c r="O114" t="s">
        <v>68</v>
      </c>
      <c r="P114" t="s">
        <v>68</v>
      </c>
      <c r="Q114" t="s">
        <v>495</v>
      </c>
      <c r="R114">
        <f t="shared" si="7"/>
        <v>75140950</v>
      </c>
      <c r="S114" t="str" cm="1">
        <f t="array" ref="S114">IF(C114="",IFERROR(INDEX($C$2:$C$1166,MATCH(MAX(COUNTIF($C$2:$C$1166,$C$2:$C$1166)),COUNTIF($C$2:$C$1166,$C$2:$C$1166),0)),"Unknown"),C114)</f>
        <v>Lucas Hernandez</v>
      </c>
      <c r="T114" s="4" t="str" cm="1">
        <f t="array" ref="T114">IF(D114="",IFERROR(INDEX($D$2:$D$1000,MATCH(MAX(COUNTIF($D$2:$D$1166,$D$2:$D$1166)),COUNTIF($D$2:$D$1166,$D$2:$D$1166),0)),"Unknown"),D114)</f>
        <v>Carlos Velez</v>
      </c>
      <c r="U114" t="str">
        <f t="shared" si="8"/>
        <v>USD</v>
      </c>
      <c r="V114" s="7" t="str">
        <f t="shared" si="8"/>
        <v>eur</v>
      </c>
      <c r="W114" s="7" t="str">
        <f t="shared" si="9"/>
        <v>UAE</v>
      </c>
      <c r="X114" s="7" t="str">
        <f t="shared" si="9"/>
        <v>UAE</v>
      </c>
      <c r="Y114" s="7" t="str" cm="1">
        <f t="array" ref="Y114">IF(H114="",IFERROR(INDEX($H$2:$H$1166,MATCH(MAX(COUNTIF($H$2:$H$1166,$H$2:$H$1166)),COUNTIF($H$2:$H$1166,$H$2:$H$1166),0)),"Unknown"),H114)</f>
        <v>Unverified</v>
      </c>
      <c r="Z114" s="7" t="str">
        <f t="shared" si="10"/>
        <v>Inter-Transaction</v>
      </c>
      <c r="AA114" s="7">
        <f>IF(J114="",AVERAGE($J:$J),J114)</f>
        <v>14877.66</v>
      </c>
      <c r="AB114" s="7">
        <f>IF(N114="",AVERAGE($N:$N),N114)</f>
        <v>60</v>
      </c>
      <c r="AC114" s="7">
        <f t="shared" si="11"/>
        <v>2024</v>
      </c>
      <c r="AD114" s="7">
        <f t="shared" si="12"/>
        <v>4</v>
      </c>
      <c r="AE114" s="7">
        <f>COUNTIF(A:A,A114)</f>
        <v>1</v>
      </c>
      <c r="AF114" s="7" t="str">
        <f t="shared" si="13"/>
        <v>Yes</v>
      </c>
    </row>
    <row r="115" spans="1:32">
      <c r="A115" t="s">
        <v>496</v>
      </c>
      <c r="B115">
        <v>97095388</v>
      </c>
      <c r="C115" t="s">
        <v>286</v>
      </c>
      <c r="D115" t="s">
        <v>497</v>
      </c>
      <c r="E115" t="s">
        <v>20</v>
      </c>
      <c r="F115" t="s">
        <v>22</v>
      </c>
      <c r="G115" t="s">
        <v>121</v>
      </c>
      <c r="H115" t="s">
        <v>38</v>
      </c>
      <c r="I115" t="s">
        <v>3371</v>
      </c>
      <c r="J115">
        <v>7796.47</v>
      </c>
      <c r="K115" t="s">
        <v>39</v>
      </c>
      <c r="L115" t="s">
        <v>28</v>
      </c>
      <c r="M115" s="1">
        <v>44253.688888888886</v>
      </c>
      <c r="N115">
        <v>46</v>
      </c>
      <c r="O115" t="s">
        <v>93</v>
      </c>
      <c r="P115" t="s">
        <v>55</v>
      </c>
      <c r="Q115" t="s">
        <v>498</v>
      </c>
      <c r="R115">
        <f t="shared" si="7"/>
        <v>97095388</v>
      </c>
      <c r="S115" t="str" cm="1">
        <f t="array" ref="S115">IF(C115="",IFERROR(INDEX($C$2:$C$1166,MATCH(MAX(COUNTIF($C$2:$C$1166,$C$2:$C$1166)),COUNTIF($C$2:$C$1166,$C$2:$C$1166),0)),"Unknown"),C115)</f>
        <v>Linda Johnson</v>
      </c>
      <c r="T115" s="4" t="str" cm="1">
        <f t="array" ref="T115">IF(D115="",IFERROR(INDEX($D$2:$D$1000,MATCH(MAX(COUNTIF($D$2:$D$1166,$D$2:$D$1166)),COUNTIF($D$2:$D$1166,$D$2:$D$1166),0)),"Unknown"),D115)</f>
        <v>Joseph Nair</v>
      </c>
      <c r="U115" t="str">
        <f t="shared" si="8"/>
        <v>BRL</v>
      </c>
      <c r="V115" s="7" t="str">
        <f t="shared" si="8"/>
        <v>INR</v>
      </c>
      <c r="W115" s="7" t="str">
        <f t="shared" si="9"/>
        <v>USA</v>
      </c>
      <c r="X115" s="7" t="str">
        <f t="shared" si="9"/>
        <v>UK</v>
      </c>
      <c r="Y115" s="7" t="str" cm="1">
        <f t="array" ref="Y115">IF(H115="",IFERROR(INDEX($H$2:$H$1166,MATCH(MAX(COUNTIF($H$2:$H$1166,$H$2:$H$1166)),COUNTIF($H$2:$H$1166,$H$2:$H$1166),0)),"Unknown"),H115)</f>
        <v>Pending</v>
      </c>
      <c r="Z115" s="7" t="str">
        <f t="shared" si="10"/>
        <v>Outer-Transaction</v>
      </c>
      <c r="AA115" s="7">
        <f>IF(J115="",AVERAGE($J:$J),J115)</f>
        <v>7796.47</v>
      </c>
      <c r="AB115" s="7">
        <f>IF(N115="",AVERAGE($N:$N),N115)</f>
        <v>46</v>
      </c>
      <c r="AC115" s="7">
        <f t="shared" si="11"/>
        <v>2021</v>
      </c>
      <c r="AD115" s="7">
        <f t="shared" si="12"/>
        <v>2</v>
      </c>
      <c r="AE115" s="7">
        <f>COUNTIF(A:A,A115)</f>
        <v>1</v>
      </c>
      <c r="AF115" s="7" t="str">
        <f t="shared" si="13"/>
        <v>No</v>
      </c>
    </row>
    <row r="116" spans="1:32">
      <c r="A116" t="s">
        <v>499</v>
      </c>
      <c r="B116">
        <v>23747542</v>
      </c>
      <c r="C116" t="s">
        <v>500</v>
      </c>
      <c r="D116" t="s">
        <v>501</v>
      </c>
      <c r="E116" t="s">
        <v>20</v>
      </c>
      <c r="F116" t="s">
        <v>92</v>
      </c>
      <c r="G116" t="s">
        <v>91</v>
      </c>
      <c r="H116" t="s">
        <v>74</v>
      </c>
      <c r="I116" t="s">
        <v>3372</v>
      </c>
      <c r="J116">
        <v>5274.3</v>
      </c>
      <c r="K116" t="s">
        <v>47</v>
      </c>
      <c r="L116" t="s">
        <v>48</v>
      </c>
      <c r="M116" s="1">
        <v>45320.614583333336</v>
      </c>
      <c r="N116">
        <v>53</v>
      </c>
      <c r="O116" t="s">
        <v>37</v>
      </c>
      <c r="P116" t="s">
        <v>127</v>
      </c>
      <c r="Q116" t="s">
        <v>502</v>
      </c>
      <c r="R116">
        <f t="shared" si="7"/>
        <v>23747542</v>
      </c>
      <c r="S116" t="str" cm="1">
        <f t="array" ref="S116">IF(C116="",IFERROR(INDEX($C$2:$C$1166,MATCH(MAX(COUNTIF($C$2:$C$1166,$C$2:$C$1166)),COUNTIF($C$2:$C$1166,$C$2:$C$1166),0)),"Unknown"),C116)</f>
        <v>Patricia Hernandez</v>
      </c>
      <c r="T116" s="4" t="str" cm="1">
        <f t="array" ref="T116">IF(D116="",IFERROR(INDEX($D$2:$D$1000,MATCH(MAX(COUNTIF($D$2:$D$1166,$D$2:$D$1166)),COUNTIF($D$2:$D$1166,$D$2:$D$1166),0)),"Unknown"),D116)</f>
        <v>Susan Volkov</v>
      </c>
      <c r="U116" t="str">
        <f t="shared" si="8"/>
        <v>AUD</v>
      </c>
      <c r="V116" s="7" t="str">
        <f t="shared" si="8"/>
        <v>gbp</v>
      </c>
      <c r="W116" s="7" t="str">
        <f t="shared" si="9"/>
        <v>South Africa</v>
      </c>
      <c r="X116" s="7" t="str">
        <f t="shared" si="9"/>
        <v>Canada</v>
      </c>
      <c r="Y116" s="7" t="str" cm="1">
        <f t="array" ref="Y116">IF(H116="",IFERROR(INDEX($H$2:$H$1166,MATCH(MAX(COUNTIF($H$2:$H$1166,$H$2:$H$1166)),COUNTIF($H$2:$H$1166,$H$2:$H$1166),0)),"Unknown"),H116)</f>
        <v>Non-KYC</v>
      </c>
      <c r="Z116" s="7" t="str">
        <f t="shared" si="10"/>
        <v>Outer-Transaction</v>
      </c>
      <c r="AA116" s="7">
        <f>IF(J116="",AVERAGE($J:$J),J116)</f>
        <v>5274.3</v>
      </c>
      <c r="AB116" s="7">
        <f>IF(N116="",AVERAGE($N:$N),N116)</f>
        <v>53</v>
      </c>
      <c r="AC116" s="7">
        <f t="shared" si="11"/>
        <v>2024</v>
      </c>
      <c r="AD116" s="7">
        <f t="shared" si="12"/>
        <v>1</v>
      </c>
      <c r="AE116" s="7">
        <f>COUNTIF(A:A,A116)</f>
        <v>1</v>
      </c>
      <c r="AF116" s="7" t="str">
        <f t="shared" si="13"/>
        <v>No</v>
      </c>
    </row>
    <row r="117" spans="1:32">
      <c r="A117" t="s">
        <v>503</v>
      </c>
      <c r="B117">
        <v>57182314</v>
      </c>
      <c r="C117" t="s">
        <v>130</v>
      </c>
      <c r="D117" t="s">
        <v>504</v>
      </c>
      <c r="E117" t="s">
        <v>20</v>
      </c>
      <c r="F117" t="s">
        <v>45</v>
      </c>
      <c r="G117" t="s">
        <v>35</v>
      </c>
      <c r="H117" t="s">
        <v>25</v>
      </c>
      <c r="I117" t="s">
        <v>3374</v>
      </c>
      <c r="J117">
        <v>13138.65</v>
      </c>
      <c r="K117" t="s">
        <v>47</v>
      </c>
      <c r="L117" t="s">
        <v>48</v>
      </c>
      <c r="M117" s="1">
        <v>45227.828472222223</v>
      </c>
      <c r="N117">
        <v>30</v>
      </c>
      <c r="O117" t="s">
        <v>55</v>
      </c>
      <c r="P117" t="s">
        <v>36</v>
      </c>
      <c r="Q117" t="s">
        <v>505</v>
      </c>
      <c r="R117">
        <f t="shared" si="7"/>
        <v>57182314</v>
      </c>
      <c r="S117" t="str" cm="1">
        <f t="array" ref="S117">IF(C117="",IFERROR(INDEX($C$2:$C$1166,MATCH(MAX(COUNTIF($C$2:$C$1166,$C$2:$C$1166)),COUNTIF($C$2:$C$1166,$C$2:$C$1166),0)),"Unknown"),C117)</f>
        <v>Jessica Hernandez</v>
      </c>
      <c r="T117" s="4" t="str" cm="1">
        <f t="array" ref="T117">IF(D117="",IFERROR(INDEX($D$2:$D$1000,MATCH(MAX(COUNTIF($D$2:$D$1166,$D$2:$D$1166)),COUNTIF($D$2:$D$1166,$D$2:$D$1166),0)),"Unknown"),D117)</f>
        <v>Lucas Jones</v>
      </c>
      <c r="U117" t="str">
        <f t="shared" si="8"/>
        <v>ZAR</v>
      </c>
      <c r="V117" s="7" t="str">
        <f t="shared" si="8"/>
        <v>EUR</v>
      </c>
      <c r="W117" s="7" t="str">
        <f t="shared" si="9"/>
        <v>UK</v>
      </c>
      <c r="X117" s="7" t="str">
        <f t="shared" si="9"/>
        <v>Germany</v>
      </c>
      <c r="Y117" s="7" t="str" cm="1">
        <f t="array" ref="Y117">IF(H117="",IFERROR(INDEX($H$2:$H$1166,MATCH(MAX(COUNTIF($H$2:$H$1166,$H$2:$H$1166)),COUNTIF($H$2:$H$1166,$H$2:$H$1166),0)),"Unknown"),H117)</f>
        <v>KYC</v>
      </c>
      <c r="Z117" s="7" t="str">
        <f t="shared" si="10"/>
        <v>External</v>
      </c>
      <c r="AA117" s="7">
        <f>IF(J117="",AVERAGE($J:$J),J117)</f>
        <v>13138.65</v>
      </c>
      <c r="AB117" s="7">
        <f>IF(N117="",AVERAGE($N:$N),N117)</f>
        <v>30</v>
      </c>
      <c r="AC117" s="7">
        <f t="shared" si="11"/>
        <v>2023</v>
      </c>
      <c r="AD117" s="7">
        <f t="shared" si="12"/>
        <v>10</v>
      </c>
      <c r="AE117" s="7">
        <f>COUNTIF(A:A,A117)</f>
        <v>1</v>
      </c>
      <c r="AF117" s="7" t="str">
        <f t="shared" si="13"/>
        <v>No</v>
      </c>
    </row>
    <row r="118" spans="1:32">
      <c r="A118" t="s">
        <v>506</v>
      </c>
      <c r="B118">
        <v>89715904</v>
      </c>
      <c r="C118" t="s">
        <v>391</v>
      </c>
      <c r="D118" t="s">
        <v>507</v>
      </c>
      <c r="E118">
        <v>1</v>
      </c>
      <c r="F118" t="s">
        <v>34</v>
      </c>
      <c r="G118" t="s">
        <v>21</v>
      </c>
      <c r="H118" t="s">
        <v>56</v>
      </c>
      <c r="I118" t="s">
        <v>3377</v>
      </c>
      <c r="J118">
        <v>260.17</v>
      </c>
      <c r="K118" t="s">
        <v>86</v>
      </c>
      <c r="L118" t="s">
        <v>28</v>
      </c>
      <c r="M118" s="1">
        <v>44588.644444444442</v>
      </c>
      <c r="N118">
        <v>49</v>
      </c>
      <c r="O118" t="s">
        <v>37</v>
      </c>
      <c r="P118" t="s">
        <v>127</v>
      </c>
      <c r="Q118" t="s">
        <v>508</v>
      </c>
      <c r="R118">
        <f t="shared" si="7"/>
        <v>89715904</v>
      </c>
      <c r="S118" t="str" cm="1">
        <f t="array" ref="S118">IF(C118="",IFERROR(INDEX($C$2:$C$1166,MATCH(MAX(COUNTIF($C$2:$C$1166,$C$2:$C$1166)),COUNTIF($C$2:$C$1166,$C$2:$C$1166),0)),"Unknown"),C118)</f>
        <v>Robert Taylor</v>
      </c>
      <c r="T118" s="4" t="str" cm="1">
        <f t="array" ref="T118">IF(D118="",IFERROR(INDEX($D$2:$D$1000,MATCH(MAX(COUNTIF($D$2:$D$1166,$D$2:$D$1166)),COUNTIF($D$2:$D$1166,$D$2:$D$1166),0)),"Unknown"),D118)</f>
        <v>Carlos Smith</v>
      </c>
      <c r="U118" t="str">
        <f t="shared" si="8"/>
        <v>CAD</v>
      </c>
      <c r="V118" s="7" t="str">
        <f t="shared" si="8"/>
        <v>GBP</v>
      </c>
      <c r="W118" s="7" t="str">
        <f t="shared" si="9"/>
        <v>South Africa</v>
      </c>
      <c r="X118" s="7" t="str">
        <f t="shared" si="9"/>
        <v>Canada</v>
      </c>
      <c r="Y118" s="7" t="str" cm="1">
        <f t="array" ref="Y118">IF(H118="",IFERROR(INDEX($H$2:$H$1166,MATCH(MAX(COUNTIF($H$2:$H$1166,$H$2:$H$1166)),COUNTIF($H$2:$H$1166,$H$2:$H$1166),0)),"Unknown"),H118)</f>
        <v>Unverified</v>
      </c>
      <c r="Z118" s="7" t="str">
        <f t="shared" si="10"/>
        <v>Inter-Transaction</v>
      </c>
      <c r="AA118" s="7">
        <f>IF(J118="",AVERAGE($J:$J),J118)</f>
        <v>260.17</v>
      </c>
      <c r="AB118" s="7">
        <f>IF(N118="",AVERAGE($N:$N),N118)</f>
        <v>49</v>
      </c>
      <c r="AC118" s="7">
        <f t="shared" si="11"/>
        <v>2022</v>
      </c>
      <c r="AD118" s="7">
        <f t="shared" si="12"/>
        <v>1</v>
      </c>
      <c r="AE118" s="7">
        <f>COUNTIF(A:A,A118)</f>
        <v>1</v>
      </c>
      <c r="AF118" s="7" t="str">
        <f t="shared" si="13"/>
        <v>Yes</v>
      </c>
    </row>
    <row r="119" spans="1:32">
      <c r="A119" t="s">
        <v>509</v>
      </c>
      <c r="B119">
        <v>66851305</v>
      </c>
      <c r="C119" t="s">
        <v>510</v>
      </c>
      <c r="D119" t="s">
        <v>511</v>
      </c>
      <c r="E119" t="s">
        <v>20</v>
      </c>
      <c r="F119" t="s">
        <v>116</v>
      </c>
      <c r="G119" t="s">
        <v>21</v>
      </c>
      <c r="H119" t="s">
        <v>38</v>
      </c>
      <c r="I119" t="s">
        <v>3378</v>
      </c>
      <c r="J119">
        <v>5867.07</v>
      </c>
      <c r="K119" t="s">
        <v>86</v>
      </c>
      <c r="L119" t="s">
        <v>75</v>
      </c>
      <c r="M119" s="1">
        <v>44935.355555555558</v>
      </c>
      <c r="N119">
        <v>76</v>
      </c>
      <c r="O119" t="s">
        <v>127</v>
      </c>
      <c r="P119" t="s">
        <v>37</v>
      </c>
      <c r="Q119" t="s">
        <v>512</v>
      </c>
      <c r="R119">
        <f t="shared" si="7"/>
        <v>66851305</v>
      </c>
      <c r="S119" t="str" cm="1">
        <f t="array" ref="S119">IF(C119="",IFERROR(INDEX($C$2:$C$1166,MATCH(MAX(COUNTIF($C$2:$C$1166,$C$2:$C$1166)),COUNTIF($C$2:$C$1166,$C$2:$C$1166),0)),"Unknown"),C119)</f>
        <v>Elena Gonzalez</v>
      </c>
      <c r="T119" s="4" t="str" cm="1">
        <f t="array" ref="T119">IF(D119="",IFERROR(INDEX($D$2:$D$1000,MATCH(MAX(COUNTIF($D$2:$D$1166,$D$2:$D$1166)),COUNTIF($D$2:$D$1166,$D$2:$D$1166),0)),"Unknown"),D119)</f>
        <v>Robert Nair</v>
      </c>
      <c r="U119" t="str">
        <f t="shared" si="8"/>
        <v>CHF</v>
      </c>
      <c r="V119" s="7" t="str">
        <f t="shared" si="8"/>
        <v>GBP</v>
      </c>
      <c r="W119" s="7" t="str">
        <f t="shared" si="9"/>
        <v>Canada</v>
      </c>
      <c r="X119" s="7" t="str">
        <f t="shared" si="9"/>
        <v>South Africa</v>
      </c>
      <c r="Y119" s="7" t="str" cm="1">
        <f t="array" ref="Y119">IF(H119="",IFERROR(INDEX($H$2:$H$1166,MATCH(MAX(COUNTIF($H$2:$H$1166,$H$2:$H$1166)),COUNTIF($H$2:$H$1166,$H$2:$H$1166),0)),"Unknown"),H119)</f>
        <v>Pending</v>
      </c>
      <c r="Z119" s="7" t="str">
        <f t="shared" si="10"/>
        <v>Inter-Transaction</v>
      </c>
      <c r="AA119" s="7">
        <f>IF(J119="",AVERAGE($J:$J),J119)</f>
        <v>5867.07</v>
      </c>
      <c r="AB119" s="7">
        <f>IF(N119="",AVERAGE($N:$N),N119)</f>
        <v>76</v>
      </c>
      <c r="AC119" s="7">
        <f t="shared" si="11"/>
        <v>2023</v>
      </c>
      <c r="AD119" s="7">
        <f t="shared" si="12"/>
        <v>1</v>
      </c>
      <c r="AE119" s="7">
        <f>COUNTIF(A:A,A119)</f>
        <v>1</v>
      </c>
      <c r="AF119" s="7" t="str">
        <f t="shared" si="13"/>
        <v>No</v>
      </c>
    </row>
    <row r="120" spans="1:32">
      <c r="A120" t="s">
        <v>513</v>
      </c>
      <c r="B120">
        <v>99399687</v>
      </c>
      <c r="C120" t="s">
        <v>232</v>
      </c>
      <c r="D120" t="s">
        <v>514</v>
      </c>
      <c r="E120" t="s">
        <v>20</v>
      </c>
      <c r="F120" t="s">
        <v>22</v>
      </c>
      <c r="G120" t="s">
        <v>21</v>
      </c>
      <c r="I120" t="s">
        <v>3378</v>
      </c>
      <c r="J120">
        <v>2512.77</v>
      </c>
      <c r="K120" t="s">
        <v>47</v>
      </c>
      <c r="L120" t="s">
        <v>75</v>
      </c>
      <c r="M120" s="1">
        <v>45405.686111111114</v>
      </c>
      <c r="N120">
        <v>45</v>
      </c>
      <c r="O120" t="s">
        <v>54</v>
      </c>
      <c r="P120" t="s">
        <v>23</v>
      </c>
      <c r="Q120" t="s">
        <v>515</v>
      </c>
      <c r="R120">
        <f t="shared" si="7"/>
        <v>99399687</v>
      </c>
      <c r="S120" t="str" cm="1">
        <f t="array" ref="S120">IF(C120="",IFERROR(INDEX($C$2:$C$1166,MATCH(MAX(COUNTIF($C$2:$C$1166,$C$2:$C$1166)),COUNTIF($C$2:$C$1166,$C$2:$C$1166),0)),"Unknown"),C120)</f>
        <v>Fatima Velez</v>
      </c>
      <c r="T120" s="4" t="str" cm="1">
        <f t="array" ref="T120">IF(D120="",IFERROR(INDEX($D$2:$D$1000,MATCH(MAX(COUNTIF($D$2:$D$1166,$D$2:$D$1166)),COUNTIF($D$2:$D$1166,$D$2:$D$1166),0)),"Unknown"),D120)</f>
        <v>Fatima Garcia</v>
      </c>
      <c r="U120" t="str">
        <f t="shared" si="8"/>
        <v>BRL</v>
      </c>
      <c r="V120" s="7" t="str">
        <f t="shared" si="8"/>
        <v>GBP</v>
      </c>
      <c r="W120" s="7" t="str">
        <f t="shared" si="9"/>
        <v>India</v>
      </c>
      <c r="X120" s="7" t="str">
        <f t="shared" si="9"/>
        <v>France</v>
      </c>
      <c r="Y120" s="7" t="str" cm="1">
        <f t="array" ref="Y120">IF(H120="",IFERROR(INDEX($H$2:$H$1166,MATCH(MAX(COUNTIF($H$2:$H$1166,$H$2:$H$1166)),COUNTIF($H$2:$H$1166,$H$2:$H$1166),0)),"Unknown"),H120)</f>
        <v>Pending</v>
      </c>
      <c r="Z120" s="7" t="str">
        <f t="shared" si="10"/>
        <v>Inter-Transaction</v>
      </c>
      <c r="AA120" s="7">
        <f>IF(J120="",AVERAGE($J:$J),J120)</f>
        <v>2512.77</v>
      </c>
      <c r="AB120" s="7">
        <f>IF(N120="",AVERAGE($N:$N),N120)</f>
        <v>45</v>
      </c>
      <c r="AC120" s="7">
        <f t="shared" si="11"/>
        <v>2024</v>
      </c>
      <c r="AD120" s="7">
        <f t="shared" si="12"/>
        <v>4</v>
      </c>
      <c r="AE120" s="7">
        <f>COUNTIF(A:A,A120)</f>
        <v>2</v>
      </c>
      <c r="AF120" s="7" t="str">
        <f t="shared" si="13"/>
        <v>No</v>
      </c>
    </row>
    <row r="121" spans="1:32">
      <c r="A121" t="s">
        <v>516</v>
      </c>
      <c r="B121">
        <v>71095611</v>
      </c>
      <c r="C121" t="s">
        <v>517</v>
      </c>
      <c r="D121" t="s">
        <v>518</v>
      </c>
      <c r="E121" t="s">
        <v>20</v>
      </c>
      <c r="F121" t="s">
        <v>21</v>
      </c>
      <c r="G121" t="s">
        <v>34</v>
      </c>
      <c r="I121" t="s">
        <v>3376</v>
      </c>
      <c r="J121">
        <v>48.5</v>
      </c>
      <c r="K121" t="s">
        <v>86</v>
      </c>
      <c r="L121" t="s">
        <v>48</v>
      </c>
      <c r="M121" s="1">
        <v>46302.513888888891</v>
      </c>
      <c r="N121">
        <v>83</v>
      </c>
      <c r="O121" t="s">
        <v>127</v>
      </c>
      <c r="P121" t="s">
        <v>37</v>
      </c>
      <c r="Q121" t="s">
        <v>519</v>
      </c>
      <c r="R121">
        <f t="shared" si="7"/>
        <v>71095611</v>
      </c>
      <c r="S121" t="str" cm="1">
        <f t="array" ref="S121">IF(C121="",IFERROR(INDEX($C$2:$C$1166,MATCH(MAX(COUNTIF($C$2:$C$1166,$C$2:$C$1166)),COUNTIF($C$2:$C$1166,$C$2:$C$1166),0)),"Unknown"),C121)</f>
        <v>Charles Lopez</v>
      </c>
      <c r="T121" s="4" t="str" cm="1">
        <f t="array" ref="T121">IF(D121="",IFERROR(INDEX($D$2:$D$1000,MATCH(MAX(COUNTIF($D$2:$D$1166,$D$2:$D$1166)),COUNTIF($D$2:$D$1166,$D$2:$D$1166),0)),"Unknown"),D121)</f>
        <v>Mary Thomas</v>
      </c>
      <c r="U121" t="str">
        <f t="shared" si="8"/>
        <v>GBP</v>
      </c>
      <c r="V121" s="7" t="str">
        <f t="shared" si="8"/>
        <v>CAD</v>
      </c>
      <c r="W121" s="7" t="str">
        <f t="shared" si="9"/>
        <v>Canada</v>
      </c>
      <c r="X121" s="7" t="str">
        <f t="shared" si="9"/>
        <v>South Africa</v>
      </c>
      <c r="Y121" s="7" t="str" cm="1">
        <f t="array" ref="Y121">IF(H121="",IFERROR(INDEX($H$2:$H$1166,MATCH(MAX(COUNTIF($H$2:$H$1166,$H$2:$H$1166)),COUNTIF($H$2:$H$1166,$H$2:$H$1166),0)),"Unknown"),H121)</f>
        <v>Pending</v>
      </c>
      <c r="Z121" s="7" t="str">
        <f t="shared" si="10"/>
        <v>Internal</v>
      </c>
      <c r="AA121" s="7">
        <f>IF(J121="",AVERAGE($J:$J),J121)</f>
        <v>48.5</v>
      </c>
      <c r="AB121" s="7">
        <f>IF(N121="",AVERAGE($N:$N),N121)</f>
        <v>83</v>
      </c>
      <c r="AC121" s="7">
        <f t="shared" si="11"/>
        <v>2026</v>
      </c>
      <c r="AD121" s="7">
        <f t="shared" si="12"/>
        <v>10</v>
      </c>
      <c r="AE121" s="7">
        <f>COUNTIF(A:A,A121)</f>
        <v>1</v>
      </c>
      <c r="AF121" s="7" t="str">
        <f t="shared" si="13"/>
        <v>No</v>
      </c>
    </row>
    <row r="122" spans="1:32">
      <c r="A122" t="s">
        <v>520</v>
      </c>
      <c r="B122">
        <v>98007006</v>
      </c>
      <c r="C122" t="s">
        <v>521</v>
      </c>
      <c r="D122" t="s">
        <v>522</v>
      </c>
      <c r="E122" t="s">
        <v>20</v>
      </c>
      <c r="G122" t="s">
        <v>34</v>
      </c>
      <c r="H122" t="s">
        <v>74</v>
      </c>
      <c r="I122" t="s">
        <v>3371</v>
      </c>
      <c r="J122">
        <v>12067.03</v>
      </c>
      <c r="K122" t="s">
        <v>86</v>
      </c>
      <c r="L122" t="s">
        <v>81</v>
      </c>
      <c r="M122" s="1">
        <v>44259.836111111108</v>
      </c>
      <c r="N122">
        <v>59</v>
      </c>
      <c r="O122" t="s">
        <v>62</v>
      </c>
      <c r="P122" t="s">
        <v>37</v>
      </c>
      <c r="Q122" t="s">
        <v>524</v>
      </c>
      <c r="R122">
        <f t="shared" si="7"/>
        <v>98007006</v>
      </c>
      <c r="S122" t="str" cm="1">
        <f t="array" ref="S122">IF(C122="",IFERROR(INDEX($C$2:$C$1166,MATCH(MAX(COUNTIF($C$2:$C$1166,$C$2:$C$1166)),COUNTIF($C$2:$C$1166,$C$2:$C$1166),0)),"Unknown"),C122)</f>
        <v>Jessica Davis</v>
      </c>
      <c r="T122" s="4" t="str" cm="1">
        <f t="array" ref="T122">IF(D122="",IFERROR(INDEX($D$2:$D$1000,MATCH(MAX(COUNTIF($D$2:$D$1166,$D$2:$D$1166)),COUNTIF($D$2:$D$1166,$D$2:$D$1166),0)),"Unknown"),D122)</f>
        <v>Richard Davis</v>
      </c>
      <c r="U122" t="str">
        <f t="shared" si="8"/>
        <v/>
      </c>
      <c r="V122" s="7" t="str">
        <f t="shared" si="8"/>
        <v>CAD</v>
      </c>
      <c r="W122" s="7" t="str">
        <f t="shared" si="9"/>
        <v>Australia</v>
      </c>
      <c r="X122" s="7" t="str">
        <f t="shared" si="9"/>
        <v>South Africa</v>
      </c>
      <c r="Y122" s="7" t="str" cm="1">
        <f t="array" ref="Y122">IF(H122="",IFERROR(INDEX($H$2:$H$1166,MATCH(MAX(COUNTIF($H$2:$H$1166,$H$2:$H$1166)),COUNTIF($H$2:$H$1166,$H$2:$H$1166),0)),"Unknown"),H122)</f>
        <v>Non-KYC</v>
      </c>
      <c r="Z122" s="7" t="str">
        <f t="shared" si="10"/>
        <v>Outer-Transaction</v>
      </c>
      <c r="AA122" s="7">
        <f>IF(J122="",AVERAGE($J:$J),J122)</f>
        <v>12067.03</v>
      </c>
      <c r="AB122" s="7">
        <f>IF(N122="",AVERAGE($N:$N),N122)</f>
        <v>59</v>
      </c>
      <c r="AC122" s="7">
        <f t="shared" si="11"/>
        <v>2021</v>
      </c>
      <c r="AD122" s="7">
        <f t="shared" si="12"/>
        <v>3</v>
      </c>
      <c r="AE122" s="7">
        <f>COUNTIF(A:A,A122)</f>
        <v>1</v>
      </c>
      <c r="AF122" s="7" t="str">
        <f t="shared" si="13"/>
        <v>No</v>
      </c>
    </row>
    <row r="123" spans="1:32">
      <c r="A123" t="s">
        <v>525</v>
      </c>
      <c r="B123">
        <v>85672859</v>
      </c>
      <c r="C123" t="s">
        <v>526</v>
      </c>
      <c r="E123" t="s">
        <v>3373</v>
      </c>
      <c r="F123" t="s">
        <v>34</v>
      </c>
      <c r="G123" t="s">
        <v>116</v>
      </c>
      <c r="H123" t="s">
        <v>74</v>
      </c>
      <c r="I123" t="s">
        <v>3371</v>
      </c>
      <c r="J123">
        <v>105.6</v>
      </c>
      <c r="K123" t="s">
        <v>39</v>
      </c>
      <c r="L123" t="s">
        <v>28</v>
      </c>
      <c r="M123" s="1">
        <v>45852.378472222219</v>
      </c>
      <c r="N123">
        <v>62</v>
      </c>
      <c r="O123" t="s">
        <v>23</v>
      </c>
      <c r="P123" t="s">
        <v>68</v>
      </c>
      <c r="Q123" t="s">
        <v>527</v>
      </c>
      <c r="R123">
        <f t="shared" si="7"/>
        <v>85672859</v>
      </c>
      <c r="S123" t="str" cm="1">
        <f t="array" ref="S123">IF(C123="",IFERROR(INDEX($C$2:$C$1166,MATCH(MAX(COUNTIF($C$2:$C$1166,$C$2:$C$1166)),COUNTIF($C$2:$C$1166,$C$2:$C$1166),0)),"Unknown"),C123)</f>
        <v>Lucas Martinez</v>
      </c>
      <c r="T123" s="4" t="str" cm="1">
        <f t="array" ref="T123">IF(D123="",IFERROR(INDEX($D$2:$D$1000,MATCH(MAX(COUNTIF($D$2:$D$1166,$D$2:$D$1166)),COUNTIF($D$2:$D$1166,$D$2:$D$1166),0)),"Unknown"),D123)</f>
        <v>Patricia Smith</v>
      </c>
      <c r="U123" t="str">
        <f t="shared" si="8"/>
        <v>CAD</v>
      </c>
      <c r="V123" s="7" t="str">
        <f t="shared" si="8"/>
        <v>CHF</v>
      </c>
      <c r="W123" s="7" t="str">
        <f t="shared" si="9"/>
        <v>France</v>
      </c>
      <c r="X123" s="7" t="str">
        <f t="shared" si="9"/>
        <v>UAE</v>
      </c>
      <c r="Y123" s="7" t="str" cm="1">
        <f t="array" ref="Y123">IF(H123="",IFERROR(INDEX($H$2:$H$1166,MATCH(MAX(COUNTIF($H$2:$H$1166,$H$2:$H$1166)),COUNTIF($H$2:$H$1166,$H$2:$H$1166),0)),"Unknown"),H123)</f>
        <v>Non-KYC</v>
      </c>
      <c r="Z123" s="7" t="str">
        <f t="shared" si="10"/>
        <v>Outer-Transaction</v>
      </c>
      <c r="AA123" s="7">
        <f>IF(J123="",AVERAGE($J:$J),J123)</f>
        <v>105.6</v>
      </c>
      <c r="AB123" s="7">
        <f>IF(N123="",AVERAGE($N:$N),N123)</f>
        <v>62</v>
      </c>
      <c r="AC123" s="7">
        <f t="shared" si="11"/>
        <v>2025</v>
      </c>
      <c r="AD123" s="7">
        <f t="shared" si="12"/>
        <v>7</v>
      </c>
      <c r="AE123" s="7">
        <f>COUNTIF(A:A,A123)</f>
        <v>1</v>
      </c>
      <c r="AF123" s="7" t="str">
        <f t="shared" si="13"/>
        <v>Yes</v>
      </c>
    </row>
    <row r="124" spans="1:32">
      <c r="A124" t="s">
        <v>528</v>
      </c>
      <c r="B124">
        <v>51273379</v>
      </c>
      <c r="C124" t="s">
        <v>529</v>
      </c>
      <c r="D124" t="s">
        <v>530</v>
      </c>
      <c r="E124" t="s">
        <v>20</v>
      </c>
      <c r="F124" t="s">
        <v>80</v>
      </c>
      <c r="G124" t="s">
        <v>21</v>
      </c>
      <c r="I124" t="s">
        <v>3378</v>
      </c>
      <c r="J124">
        <v>6882.29</v>
      </c>
      <c r="K124" t="s">
        <v>86</v>
      </c>
      <c r="L124" t="s">
        <v>28</v>
      </c>
      <c r="M124" s="1">
        <v>44034.993055555555</v>
      </c>
      <c r="N124">
        <v>79</v>
      </c>
      <c r="O124" t="s">
        <v>68</v>
      </c>
      <c r="P124" t="s">
        <v>24</v>
      </c>
      <c r="Q124" t="s">
        <v>531</v>
      </c>
      <c r="R124">
        <f t="shared" si="7"/>
        <v>51273379</v>
      </c>
      <c r="S124" t="str" cm="1">
        <f t="array" ref="S124">IF(C124="",IFERROR(INDEX($C$2:$C$1166,MATCH(MAX(COUNTIF($C$2:$C$1166,$C$2:$C$1166)),COUNTIF($C$2:$C$1166,$C$2:$C$1166),0)),"Unknown"),C124)</f>
        <v>Patricia Miller</v>
      </c>
      <c r="T124" s="4" t="str" cm="1">
        <f t="array" ref="T124">IF(D124="",IFERROR(INDEX($D$2:$D$1000,MATCH(MAX(COUNTIF($D$2:$D$1166,$D$2:$D$1166)),COUNTIF($D$2:$D$1166,$D$2:$D$1166),0)),"Unknown"),D124)</f>
        <v>Charles Davis</v>
      </c>
      <c r="U124" t="str">
        <f t="shared" si="8"/>
        <v>USD</v>
      </c>
      <c r="V124" s="7" t="str">
        <f t="shared" si="8"/>
        <v>GBP</v>
      </c>
      <c r="W124" s="7" t="str">
        <f t="shared" si="9"/>
        <v>UAE</v>
      </c>
      <c r="X124" s="7" t="str">
        <f t="shared" si="9"/>
        <v>Brazil</v>
      </c>
      <c r="Y124" s="7" t="str" cm="1">
        <f t="array" ref="Y124">IF(H124="",IFERROR(INDEX($H$2:$H$1166,MATCH(MAX(COUNTIF($H$2:$H$1166,$H$2:$H$1166)),COUNTIF($H$2:$H$1166,$H$2:$H$1166),0)),"Unknown"),H124)</f>
        <v>Pending</v>
      </c>
      <c r="Z124" s="7" t="str">
        <f t="shared" si="10"/>
        <v>Inter-Transaction</v>
      </c>
      <c r="AA124" s="7">
        <f>IF(J124="",AVERAGE($J:$J),J124)</f>
        <v>6882.29</v>
      </c>
      <c r="AB124" s="7">
        <f>IF(N124="",AVERAGE($N:$N),N124)</f>
        <v>79</v>
      </c>
      <c r="AC124" s="7">
        <f t="shared" si="11"/>
        <v>2020</v>
      </c>
      <c r="AD124" s="7">
        <f t="shared" si="12"/>
        <v>7</v>
      </c>
      <c r="AE124" s="7">
        <f>COUNTIF(A:A,A124)</f>
        <v>1</v>
      </c>
      <c r="AF124" s="7" t="str">
        <f t="shared" si="13"/>
        <v>No</v>
      </c>
    </row>
    <row r="125" spans="1:32">
      <c r="A125" t="s">
        <v>532</v>
      </c>
      <c r="B125">
        <v>45029610</v>
      </c>
      <c r="C125" t="s">
        <v>168</v>
      </c>
      <c r="D125" t="s">
        <v>533</v>
      </c>
      <c r="E125" t="s">
        <v>20</v>
      </c>
      <c r="F125" t="s">
        <v>22</v>
      </c>
      <c r="G125" t="s">
        <v>393</v>
      </c>
      <c r="H125" t="s">
        <v>38</v>
      </c>
      <c r="I125" t="s">
        <v>3377</v>
      </c>
      <c r="J125">
        <v>2339.6</v>
      </c>
      <c r="K125" t="s">
        <v>47</v>
      </c>
      <c r="L125" t="s">
        <v>81</v>
      </c>
      <c r="M125" s="1">
        <v>46074.5</v>
      </c>
      <c r="N125">
        <v>74</v>
      </c>
      <c r="O125" t="s">
        <v>55</v>
      </c>
      <c r="P125" t="s">
        <v>36</v>
      </c>
      <c r="Q125" t="s">
        <v>534</v>
      </c>
      <c r="R125">
        <f t="shared" si="7"/>
        <v>45029610</v>
      </c>
      <c r="S125" t="str" cm="1">
        <f t="array" ref="S125">IF(C125="",IFERROR(INDEX($C$2:$C$1166,MATCH(MAX(COUNTIF($C$2:$C$1166,$C$2:$C$1166)),COUNTIF($C$2:$C$1166,$C$2:$C$1166),0)),"Unknown"),C125)</f>
        <v>Zayn Hernandez</v>
      </c>
      <c r="T125" s="4" t="str" cm="1">
        <f t="array" ref="T125">IF(D125="",IFERROR(INDEX($D$2:$D$1000,MATCH(MAX(COUNTIF($D$2:$D$1166,$D$2:$D$1166)),COUNTIF($D$2:$D$1166,$D$2:$D$1166),0)),"Unknown"),D125)</f>
        <v>Priya Silva</v>
      </c>
      <c r="U125" t="str">
        <f t="shared" si="8"/>
        <v>BRL</v>
      </c>
      <c r="V125" s="7" t="str">
        <f t="shared" si="8"/>
        <v>cad</v>
      </c>
      <c r="W125" s="7" t="str">
        <f t="shared" si="9"/>
        <v>UK</v>
      </c>
      <c r="X125" s="7" t="str">
        <f t="shared" si="9"/>
        <v>Germany</v>
      </c>
      <c r="Y125" s="7" t="str" cm="1">
        <f t="array" ref="Y125">IF(H125="",IFERROR(INDEX($H$2:$H$1166,MATCH(MAX(COUNTIF($H$2:$H$1166,$H$2:$H$1166)),COUNTIF($H$2:$H$1166,$H$2:$H$1166),0)),"Unknown"),H125)</f>
        <v>Pending</v>
      </c>
      <c r="Z125" s="7" t="str">
        <f t="shared" si="10"/>
        <v>Inter-Transaction</v>
      </c>
      <c r="AA125" s="7">
        <f>IF(J125="",AVERAGE($J:$J),J125)</f>
        <v>2339.6</v>
      </c>
      <c r="AB125" s="7">
        <f>IF(N125="",AVERAGE($N:$N),N125)</f>
        <v>74</v>
      </c>
      <c r="AC125" s="7">
        <f t="shared" si="11"/>
        <v>2026</v>
      </c>
      <c r="AD125" s="7">
        <f t="shared" si="12"/>
        <v>2</v>
      </c>
      <c r="AE125" s="7">
        <f>COUNTIF(A:A,A125)</f>
        <v>1</v>
      </c>
      <c r="AF125" s="7" t="str">
        <f t="shared" si="13"/>
        <v>No</v>
      </c>
    </row>
    <row r="126" spans="1:32">
      <c r="A126" t="s">
        <v>535</v>
      </c>
      <c r="B126">
        <v>22136086</v>
      </c>
      <c r="C126" t="s">
        <v>536</v>
      </c>
      <c r="D126" t="s">
        <v>537</v>
      </c>
      <c r="E126" t="s">
        <v>3375</v>
      </c>
      <c r="F126" t="s">
        <v>392</v>
      </c>
      <c r="G126" t="s">
        <v>116</v>
      </c>
      <c r="H126" t="s">
        <v>103</v>
      </c>
      <c r="I126" t="s">
        <v>3372</v>
      </c>
      <c r="J126">
        <v>7706.76</v>
      </c>
      <c r="K126" t="s">
        <v>57</v>
      </c>
      <c r="L126" t="s">
        <v>75</v>
      </c>
      <c r="M126" s="1">
        <v>46163.830555555556</v>
      </c>
      <c r="N126">
        <v>23</v>
      </c>
      <c r="O126" t="s">
        <v>36</v>
      </c>
      <c r="P126" t="s">
        <v>36</v>
      </c>
      <c r="Q126" t="s">
        <v>538</v>
      </c>
      <c r="R126">
        <f t="shared" si="7"/>
        <v>22136086</v>
      </c>
      <c r="S126" t="str" cm="1">
        <f t="array" ref="S126">IF(C126="",IFERROR(INDEX($C$2:$C$1166,MATCH(MAX(COUNTIF($C$2:$C$1166,$C$2:$C$1166)),COUNTIF($C$2:$C$1166,$C$2:$C$1166),0)),"Unknown"),C126)</f>
        <v>Linda Silva</v>
      </c>
      <c r="T126" s="4" t="str" cm="1">
        <f t="array" ref="T126">IF(D126="",IFERROR(INDEX($D$2:$D$1000,MATCH(MAX(COUNTIF($D$2:$D$1166,$D$2:$D$1166)),COUNTIF($D$2:$D$1166,$D$2:$D$1166),0)),"Unknown"),D126)</f>
        <v>Marta Martinez</v>
      </c>
      <c r="U126" t="str">
        <f t="shared" si="8"/>
        <v>brl</v>
      </c>
      <c r="V126" s="7" t="str">
        <f t="shared" si="8"/>
        <v>CHF</v>
      </c>
      <c r="W126" s="7" t="str">
        <f t="shared" si="9"/>
        <v>Germany</v>
      </c>
      <c r="X126" s="7" t="str">
        <f t="shared" si="9"/>
        <v>Germany</v>
      </c>
      <c r="Y126" s="7" t="str" cm="1">
        <f t="array" ref="Y126">IF(H126="",IFERROR(INDEX($H$2:$H$1166,MATCH(MAX(COUNTIF($H$2:$H$1166,$H$2:$H$1166)),COUNTIF($H$2:$H$1166,$H$2:$H$1166),0)),"Unknown"),H126)</f>
        <v>Verified</v>
      </c>
      <c r="Z126" s="7" t="str">
        <f t="shared" si="10"/>
        <v>Outer-Transaction</v>
      </c>
      <c r="AA126" s="7">
        <f>IF(J126="",AVERAGE($J:$J),J126)</f>
        <v>7706.76</v>
      </c>
      <c r="AB126" s="7">
        <f>IF(N126="",AVERAGE($N:$N),N126)</f>
        <v>23</v>
      </c>
      <c r="AC126" s="7">
        <f t="shared" si="11"/>
        <v>2026</v>
      </c>
      <c r="AD126" s="7">
        <f t="shared" si="12"/>
        <v>5</v>
      </c>
      <c r="AE126" s="7">
        <f>COUNTIF(A:A,A126)</f>
        <v>1</v>
      </c>
      <c r="AF126" s="7" t="str">
        <f t="shared" si="13"/>
        <v>No</v>
      </c>
    </row>
    <row r="127" spans="1:32">
      <c r="A127" t="s">
        <v>539</v>
      </c>
      <c r="B127">
        <v>26301180</v>
      </c>
      <c r="C127" t="s">
        <v>540</v>
      </c>
      <c r="D127" t="s">
        <v>196</v>
      </c>
      <c r="E127" t="s">
        <v>3375</v>
      </c>
      <c r="F127" t="s">
        <v>21</v>
      </c>
      <c r="G127" t="s">
        <v>121</v>
      </c>
      <c r="H127" t="s">
        <v>103</v>
      </c>
      <c r="I127" t="s">
        <v>3377</v>
      </c>
      <c r="J127">
        <v>336.78</v>
      </c>
      <c r="K127" t="s">
        <v>86</v>
      </c>
      <c r="L127" t="s">
        <v>48</v>
      </c>
      <c r="M127" s="1">
        <v>45823.614583333336</v>
      </c>
      <c r="N127">
        <v>45</v>
      </c>
      <c r="O127" t="s">
        <v>54</v>
      </c>
      <c r="P127" t="s">
        <v>37</v>
      </c>
      <c r="Q127" t="s">
        <v>541</v>
      </c>
      <c r="R127">
        <f t="shared" si="7"/>
        <v>26301180</v>
      </c>
      <c r="S127" t="str" cm="1">
        <f t="array" ref="S127">IF(C127="",IFERROR(INDEX($C$2:$C$1166,MATCH(MAX(COUNTIF($C$2:$C$1166,$C$2:$C$1166)),COUNTIF($C$2:$C$1166,$C$2:$C$1166),0)),"Unknown"),C127)</f>
        <v>John Johnson</v>
      </c>
      <c r="T127" s="4" t="str" cm="1">
        <f t="array" ref="T127">IF(D127="",IFERROR(INDEX($D$2:$D$1000,MATCH(MAX(COUNTIF($D$2:$D$1166,$D$2:$D$1166)),COUNTIF($D$2:$D$1166,$D$2:$D$1166),0)),"Unknown"),D127)</f>
        <v>Amir Dubois</v>
      </c>
      <c r="U127" t="str">
        <f t="shared" si="8"/>
        <v>GBP</v>
      </c>
      <c r="V127" s="7" t="str">
        <f t="shared" si="8"/>
        <v>INR</v>
      </c>
      <c r="W127" s="7" t="str">
        <f t="shared" si="9"/>
        <v>India</v>
      </c>
      <c r="X127" s="7" t="str">
        <f t="shared" si="9"/>
        <v>South Africa</v>
      </c>
      <c r="Y127" s="7" t="str" cm="1">
        <f t="array" ref="Y127">IF(H127="",IFERROR(INDEX($H$2:$H$1166,MATCH(MAX(COUNTIF($H$2:$H$1166,$H$2:$H$1166)),COUNTIF($H$2:$H$1166,$H$2:$H$1166),0)),"Unknown"),H127)</f>
        <v>Verified</v>
      </c>
      <c r="Z127" s="7" t="str">
        <f t="shared" si="10"/>
        <v>Inter-Transaction</v>
      </c>
      <c r="AA127" s="7">
        <f>IF(J127="",AVERAGE($J:$J),J127)</f>
        <v>336.78</v>
      </c>
      <c r="AB127" s="7">
        <f>IF(N127="",AVERAGE($N:$N),N127)</f>
        <v>45</v>
      </c>
      <c r="AC127" s="7">
        <f t="shared" si="11"/>
        <v>2025</v>
      </c>
      <c r="AD127" s="7">
        <f t="shared" si="12"/>
        <v>6</v>
      </c>
      <c r="AE127" s="7">
        <f>COUNTIF(A:A,A127)</f>
        <v>1</v>
      </c>
      <c r="AF127" s="7" t="str">
        <f t="shared" si="13"/>
        <v>No</v>
      </c>
    </row>
    <row r="128" spans="1:32">
      <c r="A128" t="s">
        <v>542</v>
      </c>
      <c r="B128">
        <v>87025433</v>
      </c>
      <c r="C128" t="s">
        <v>543</v>
      </c>
      <c r="D128" t="s">
        <v>544</v>
      </c>
      <c r="E128" t="s">
        <v>33</v>
      </c>
      <c r="F128" t="s">
        <v>92</v>
      </c>
      <c r="G128" t="s">
        <v>45</v>
      </c>
      <c r="H128" t="s">
        <v>74</v>
      </c>
      <c r="I128" t="s">
        <v>3377</v>
      </c>
      <c r="J128">
        <v>9215.4599999999991</v>
      </c>
      <c r="K128" t="s">
        <v>27</v>
      </c>
      <c r="L128" t="s">
        <v>48</v>
      </c>
      <c r="M128" s="1">
        <v>46074.29791666667</v>
      </c>
      <c r="N128">
        <v>45</v>
      </c>
      <c r="O128" t="s">
        <v>24</v>
      </c>
      <c r="P128" t="s">
        <v>62</v>
      </c>
      <c r="Q128" t="s">
        <v>545</v>
      </c>
      <c r="R128">
        <f t="shared" si="7"/>
        <v>87025433</v>
      </c>
      <c r="S128" t="str" cm="1">
        <f t="array" ref="S128">IF(C128="",IFERROR(INDEX($C$2:$C$1166,MATCH(MAX(COUNTIF($C$2:$C$1166,$C$2:$C$1166)),COUNTIF($C$2:$C$1166,$C$2:$C$1166),0)),"Unknown"),C128)</f>
        <v>Jessica Khan</v>
      </c>
      <c r="T128" s="4" t="str" cm="1">
        <f t="array" ref="T128">IF(D128="",IFERROR(INDEX($D$2:$D$1000,MATCH(MAX(COUNTIF($D$2:$D$1166,$D$2:$D$1166)),COUNTIF($D$2:$D$1166,$D$2:$D$1166),0)),"Unknown"),D128)</f>
        <v>Fatima Gonzalez</v>
      </c>
      <c r="U128" t="str">
        <f t="shared" si="8"/>
        <v>AUD</v>
      </c>
      <c r="V128" s="7" t="str">
        <f t="shared" si="8"/>
        <v>ZAR</v>
      </c>
      <c r="W128" s="7" t="str">
        <f t="shared" si="9"/>
        <v>Brazil</v>
      </c>
      <c r="X128" s="7" t="str">
        <f t="shared" si="9"/>
        <v>Australia</v>
      </c>
      <c r="Y128" s="7" t="str" cm="1">
        <f t="array" ref="Y128">IF(H128="",IFERROR(INDEX($H$2:$H$1166,MATCH(MAX(COUNTIF($H$2:$H$1166,$H$2:$H$1166)),COUNTIF($H$2:$H$1166,$H$2:$H$1166),0)),"Unknown"),H128)</f>
        <v>Non-KYC</v>
      </c>
      <c r="Z128" s="7" t="str">
        <f t="shared" si="10"/>
        <v>Inter-Transaction</v>
      </c>
      <c r="AA128" s="7">
        <f>IF(J128="",AVERAGE($J:$J),J128)</f>
        <v>9215.4599999999991</v>
      </c>
      <c r="AB128" s="7">
        <f>IF(N128="",AVERAGE($N:$N),N128)</f>
        <v>45</v>
      </c>
      <c r="AC128" s="7">
        <f t="shared" si="11"/>
        <v>2026</v>
      </c>
      <c r="AD128" s="7">
        <f t="shared" si="12"/>
        <v>2</v>
      </c>
      <c r="AE128" s="7">
        <f>COUNTIF(A:A,A128)</f>
        <v>1</v>
      </c>
      <c r="AF128" s="7" t="str">
        <f t="shared" si="13"/>
        <v>Yes</v>
      </c>
    </row>
    <row r="129" spans="1:32">
      <c r="A129" t="s">
        <v>546</v>
      </c>
      <c r="B129">
        <v>80573568</v>
      </c>
      <c r="C129" t="s">
        <v>155</v>
      </c>
      <c r="D129" t="s">
        <v>547</v>
      </c>
      <c r="E129">
        <v>1</v>
      </c>
      <c r="F129" t="s">
        <v>92</v>
      </c>
      <c r="G129" t="s">
        <v>22</v>
      </c>
      <c r="H129" t="s">
        <v>56</v>
      </c>
      <c r="I129" t="s">
        <v>3378</v>
      </c>
      <c r="J129">
        <v>2705.44</v>
      </c>
      <c r="K129" t="s">
        <v>57</v>
      </c>
      <c r="L129" t="s">
        <v>48</v>
      </c>
      <c r="M129" s="1">
        <v>44137.366666666669</v>
      </c>
      <c r="N129">
        <v>61</v>
      </c>
      <c r="O129" t="s">
        <v>24</v>
      </c>
      <c r="P129" t="s">
        <v>68</v>
      </c>
      <c r="Q129" t="s">
        <v>548</v>
      </c>
      <c r="R129">
        <f t="shared" si="7"/>
        <v>80573568</v>
      </c>
      <c r="S129" t="str" cm="1">
        <f t="array" ref="S129">IF(C129="",IFERROR(INDEX($C$2:$C$1166,MATCH(MAX(COUNTIF($C$2:$C$1166,$C$2:$C$1166)),COUNTIF($C$2:$C$1166,$C$2:$C$1166),0)),"Unknown"),C129)</f>
        <v>Elizabeth Nair</v>
      </c>
      <c r="T129" s="4" t="str" cm="1">
        <f t="array" ref="T129">IF(D129="",IFERROR(INDEX($D$2:$D$1000,MATCH(MAX(COUNTIF($D$2:$D$1166,$D$2:$D$1166)),COUNTIF($D$2:$D$1166,$D$2:$D$1166),0)),"Unknown"),D129)</f>
        <v>Lucas Moore</v>
      </c>
      <c r="U129" t="str">
        <f t="shared" si="8"/>
        <v>AUD</v>
      </c>
      <c r="V129" s="7" t="str">
        <f t="shared" si="8"/>
        <v>BRL</v>
      </c>
      <c r="W129" s="7" t="str">
        <f t="shared" si="9"/>
        <v>Brazil</v>
      </c>
      <c r="X129" s="7" t="str">
        <f t="shared" si="9"/>
        <v>UAE</v>
      </c>
      <c r="Y129" s="7" t="str" cm="1">
        <f t="array" ref="Y129">IF(H129="",IFERROR(INDEX($H$2:$H$1166,MATCH(MAX(COUNTIF($H$2:$H$1166,$H$2:$H$1166)),COUNTIF($H$2:$H$1166,$H$2:$H$1166),0)),"Unknown"),H129)</f>
        <v>Unverified</v>
      </c>
      <c r="Z129" s="7" t="str">
        <f t="shared" si="10"/>
        <v>Inter-Transaction</v>
      </c>
      <c r="AA129" s="7">
        <f>IF(J129="",AVERAGE($J:$J),J129)</f>
        <v>2705.44</v>
      </c>
      <c r="AB129" s="7">
        <f>IF(N129="",AVERAGE($N:$N),N129)</f>
        <v>61</v>
      </c>
      <c r="AC129" s="7">
        <f t="shared" si="11"/>
        <v>2020</v>
      </c>
      <c r="AD129" s="7">
        <f t="shared" si="12"/>
        <v>11</v>
      </c>
      <c r="AE129" s="7">
        <f>COUNTIF(A:A,A129)</f>
        <v>1</v>
      </c>
      <c r="AF129" s="7" t="str">
        <f t="shared" si="13"/>
        <v>Yes</v>
      </c>
    </row>
    <row r="130" spans="1:32">
      <c r="A130" t="s">
        <v>549</v>
      </c>
      <c r="B130">
        <v>43266810</v>
      </c>
      <c r="C130" t="s">
        <v>550</v>
      </c>
      <c r="D130" t="s">
        <v>551</v>
      </c>
      <c r="E130" t="s">
        <v>20</v>
      </c>
      <c r="F130" t="s">
        <v>22</v>
      </c>
      <c r="G130" t="s">
        <v>80</v>
      </c>
      <c r="H130" t="s">
        <v>74</v>
      </c>
      <c r="I130" t="s">
        <v>3371</v>
      </c>
      <c r="J130">
        <v>3555.9</v>
      </c>
      <c r="K130" t="s">
        <v>57</v>
      </c>
      <c r="L130" t="s">
        <v>75</v>
      </c>
      <c r="M130" s="1">
        <v>45518.334722222222</v>
      </c>
      <c r="N130">
        <v>47</v>
      </c>
      <c r="O130" t="s">
        <v>24</v>
      </c>
      <c r="P130" t="s">
        <v>37</v>
      </c>
      <c r="Q130" t="s">
        <v>552</v>
      </c>
      <c r="R130">
        <f t="shared" ref="R130:R193" si="14">IF(B130="",0,B130)</f>
        <v>43266810</v>
      </c>
      <c r="S130" t="str" cm="1">
        <f t="array" ref="S130">IF(C130="",IFERROR(INDEX($C$2:$C$1166,MATCH(MAX(COUNTIF($C$2:$C$1166,$C$2:$C$1166)),COUNTIF($C$2:$C$1166,$C$2:$C$1166),0)),"Unknown"),C130)</f>
        <v>Marta Davis</v>
      </c>
      <c r="T130" s="4" t="str" cm="1">
        <f t="array" ref="T130">IF(D130="",IFERROR(INDEX($D$2:$D$1000,MATCH(MAX(COUNTIF($D$2:$D$1166,$D$2:$D$1166)),COUNTIF($D$2:$D$1166,$D$2:$D$1166),0)),"Unknown"),D130)</f>
        <v>David Moore</v>
      </c>
      <c r="U130" t="str">
        <f t="shared" ref="U130:V193" si="15">TRIM(F130)</f>
        <v>BRL</v>
      </c>
      <c r="V130" s="7" t="str">
        <f t="shared" si="15"/>
        <v>USD</v>
      </c>
      <c r="W130" s="7" t="str">
        <f t="shared" ref="W130:X193" si="16">TRIM(O130)</f>
        <v>Brazil</v>
      </c>
      <c r="X130" s="7" t="str">
        <f t="shared" si="16"/>
        <v>South Africa</v>
      </c>
      <c r="Y130" s="7" t="str" cm="1">
        <f t="array" ref="Y130">IF(H130="",IFERROR(INDEX($H$2:$H$1166,MATCH(MAX(COUNTIF($H$2:$H$1166,$H$2:$H$1166)),COUNTIF($H$2:$H$1166,$H$2:$H$1166),0)),"Unknown"),H130)</f>
        <v>Non-KYC</v>
      </c>
      <c r="Z130" s="7" t="str">
        <f t="shared" ref="Z130:Z193" si="17">PROPER(I130)</f>
        <v>Outer-Transaction</v>
      </c>
      <c r="AA130" s="7">
        <f>IF(J130="",AVERAGE($J:$J),J130)</f>
        <v>3555.9</v>
      </c>
      <c r="AB130" s="7">
        <f>IF(N130="",AVERAGE($N:$N),N130)</f>
        <v>47</v>
      </c>
      <c r="AC130" s="7">
        <f t="shared" ref="AC130:AC193" si="18">YEAR(M130)</f>
        <v>2024</v>
      </c>
      <c r="AD130" s="7">
        <f t="shared" ref="AD130:AD193" si="19">MONTH(M130)</f>
        <v>8</v>
      </c>
      <c r="AE130" s="7">
        <f>COUNTIF(A:A,A130)</f>
        <v>1</v>
      </c>
      <c r="AF130" s="7" t="str">
        <f t="shared" ref="AF130:AF193" si="20">IF(E130="","",IF(OR(E130="Yes",E130="Y",E130="TRUE",E130=1),"Yes","No"))</f>
        <v>No</v>
      </c>
    </row>
    <row r="131" spans="1:32">
      <c r="A131" t="s">
        <v>553</v>
      </c>
      <c r="B131">
        <v>76065552</v>
      </c>
      <c r="C131" t="s">
        <v>554</v>
      </c>
      <c r="D131" t="s">
        <v>555</v>
      </c>
      <c r="E131" t="s">
        <v>33</v>
      </c>
      <c r="F131" t="s">
        <v>556</v>
      </c>
      <c r="G131" t="s">
        <v>121</v>
      </c>
      <c r="H131" t="s">
        <v>74</v>
      </c>
      <c r="I131" t="s">
        <v>3378</v>
      </c>
      <c r="J131">
        <v>10756.9</v>
      </c>
      <c r="K131" t="s">
        <v>57</v>
      </c>
      <c r="L131" t="s">
        <v>28</v>
      </c>
      <c r="M131" s="1">
        <v>43844.424305555556</v>
      </c>
      <c r="N131">
        <v>79</v>
      </c>
      <c r="O131" t="s">
        <v>55</v>
      </c>
      <c r="P131" t="s">
        <v>55</v>
      </c>
      <c r="Q131" t="s">
        <v>557</v>
      </c>
      <c r="R131">
        <f t="shared" si="14"/>
        <v>76065552</v>
      </c>
      <c r="S131" t="str" cm="1">
        <f t="array" ref="S131">IF(C131="",IFERROR(INDEX($C$2:$C$1166,MATCH(MAX(COUNTIF($C$2:$C$1166,$C$2:$C$1166)),COUNTIF($C$2:$C$1166,$C$2:$C$1166),0)),"Unknown"),C131)</f>
        <v>Karen Martinez</v>
      </c>
      <c r="T131" s="4" t="str" cm="1">
        <f t="array" ref="T131">IF(D131="",IFERROR(INDEX($D$2:$D$1000,MATCH(MAX(COUNTIF($D$2:$D$1166,$D$2:$D$1166)),COUNTIF($D$2:$D$1166,$D$2:$D$1166),0)),"Unknown"),D131)</f>
        <v>Linda Thomas</v>
      </c>
      <c r="U131" t="str">
        <f t="shared" si="15"/>
        <v>$</v>
      </c>
      <c r="V131" s="7" t="str">
        <f t="shared" si="15"/>
        <v>INR</v>
      </c>
      <c r="W131" s="7" t="str">
        <f t="shared" si="16"/>
        <v>UK</v>
      </c>
      <c r="X131" s="7" t="str">
        <f t="shared" si="16"/>
        <v>UK</v>
      </c>
      <c r="Y131" s="7" t="str" cm="1">
        <f t="array" ref="Y131">IF(H131="",IFERROR(INDEX($H$2:$H$1166,MATCH(MAX(COUNTIF($H$2:$H$1166,$H$2:$H$1166)),COUNTIF($H$2:$H$1166,$H$2:$H$1166),0)),"Unknown"),H131)</f>
        <v>Non-KYC</v>
      </c>
      <c r="Z131" s="7" t="str">
        <f t="shared" si="17"/>
        <v>Inter-Transaction</v>
      </c>
      <c r="AA131" s="7">
        <f>IF(J131="",AVERAGE($J:$J),J131)</f>
        <v>10756.9</v>
      </c>
      <c r="AB131" s="7">
        <f>IF(N131="",AVERAGE($N:$N),N131)</f>
        <v>79</v>
      </c>
      <c r="AC131" s="7">
        <f t="shared" si="18"/>
        <v>2020</v>
      </c>
      <c r="AD131" s="7">
        <f t="shared" si="19"/>
        <v>1</v>
      </c>
      <c r="AE131" s="7">
        <f>COUNTIF(A:A,A131)</f>
        <v>1</v>
      </c>
      <c r="AF131" s="7" t="str">
        <f t="shared" si="20"/>
        <v>Yes</v>
      </c>
    </row>
    <row r="132" spans="1:32">
      <c r="A132" t="s">
        <v>558</v>
      </c>
      <c r="B132">
        <v>98870866</v>
      </c>
      <c r="C132" t="s">
        <v>559</v>
      </c>
      <c r="D132" t="s">
        <v>500</v>
      </c>
      <c r="E132" t="s">
        <v>20</v>
      </c>
      <c r="F132" t="s">
        <v>21</v>
      </c>
      <c r="I132" t="s">
        <v>3376</v>
      </c>
      <c r="J132">
        <v>10406.469999999999</v>
      </c>
      <c r="K132" t="s">
        <v>27</v>
      </c>
      <c r="L132" t="s">
        <v>75</v>
      </c>
      <c r="M132" s="1">
        <v>45691.39166666667</v>
      </c>
      <c r="N132">
        <v>79</v>
      </c>
      <c r="O132" t="s">
        <v>24</v>
      </c>
      <c r="P132" t="s">
        <v>23</v>
      </c>
      <c r="Q132" t="s">
        <v>560</v>
      </c>
      <c r="R132">
        <f t="shared" si="14"/>
        <v>98870866</v>
      </c>
      <c r="S132" t="str" cm="1">
        <f t="array" ref="S132">IF(C132="",IFERROR(INDEX($C$2:$C$1166,MATCH(MAX(COUNTIF($C$2:$C$1166,$C$2:$C$1166)),COUNTIF($C$2:$C$1166,$C$2:$C$1166),0)),"Unknown"),C132)</f>
        <v>Joseph Jackson</v>
      </c>
      <c r="T132" s="4" t="str" cm="1">
        <f t="array" ref="T132">IF(D132="",IFERROR(INDEX($D$2:$D$1000,MATCH(MAX(COUNTIF($D$2:$D$1166,$D$2:$D$1166)),COUNTIF($D$2:$D$1166,$D$2:$D$1166),0)),"Unknown"),D132)</f>
        <v>Patricia Hernandez</v>
      </c>
      <c r="U132" t="str">
        <f t="shared" si="15"/>
        <v>GBP</v>
      </c>
      <c r="V132" s="7" t="str">
        <f t="shared" si="15"/>
        <v/>
      </c>
      <c r="W132" s="7" t="str">
        <f t="shared" si="16"/>
        <v>Brazil</v>
      </c>
      <c r="X132" s="7" t="str">
        <f t="shared" si="16"/>
        <v>France</v>
      </c>
      <c r="Y132" s="7" t="str" cm="1">
        <f t="array" ref="Y132">IF(H132="",IFERROR(INDEX($H$2:$H$1166,MATCH(MAX(COUNTIF($H$2:$H$1166,$H$2:$H$1166)),COUNTIF($H$2:$H$1166,$H$2:$H$1166),0)),"Unknown"),H132)</f>
        <v>Pending</v>
      </c>
      <c r="Z132" s="7" t="str">
        <f t="shared" si="17"/>
        <v>Internal</v>
      </c>
      <c r="AA132" s="7">
        <f>IF(J132="",AVERAGE($J:$J),J132)</f>
        <v>10406.469999999999</v>
      </c>
      <c r="AB132" s="7">
        <f>IF(N132="",AVERAGE($N:$N),N132)</f>
        <v>79</v>
      </c>
      <c r="AC132" s="7">
        <f t="shared" si="18"/>
        <v>2025</v>
      </c>
      <c r="AD132" s="7">
        <f t="shared" si="19"/>
        <v>2</v>
      </c>
      <c r="AE132" s="7">
        <f>COUNTIF(A:A,A132)</f>
        <v>1</v>
      </c>
      <c r="AF132" s="7" t="str">
        <f t="shared" si="20"/>
        <v>No</v>
      </c>
    </row>
    <row r="133" spans="1:32">
      <c r="A133" t="s">
        <v>561</v>
      </c>
      <c r="B133">
        <v>86884584</v>
      </c>
      <c r="C133" t="s">
        <v>562</v>
      </c>
      <c r="D133" t="s">
        <v>563</v>
      </c>
      <c r="E133" t="s">
        <v>20</v>
      </c>
      <c r="F133" t="s">
        <v>116</v>
      </c>
      <c r="G133" t="s">
        <v>34</v>
      </c>
      <c r="H133" t="s">
        <v>74</v>
      </c>
      <c r="I133" t="s">
        <v>3378</v>
      </c>
      <c r="J133">
        <v>11182.7</v>
      </c>
      <c r="K133" t="s">
        <v>47</v>
      </c>
      <c r="L133" t="s">
        <v>75</v>
      </c>
      <c r="M133" s="1">
        <v>45792.7</v>
      </c>
      <c r="N133">
        <v>18</v>
      </c>
      <c r="O133" t="s">
        <v>93</v>
      </c>
      <c r="P133" t="s">
        <v>24</v>
      </c>
      <c r="Q133" t="s">
        <v>564</v>
      </c>
      <c r="R133">
        <f t="shared" si="14"/>
        <v>86884584</v>
      </c>
      <c r="S133" t="str" cm="1">
        <f t="array" ref="S133">IF(C133="",IFERROR(INDEX($C$2:$C$1166,MATCH(MAX(COUNTIF($C$2:$C$1166,$C$2:$C$1166)),COUNTIF($C$2:$C$1166,$C$2:$C$1166),0)),"Unknown"),C133)</f>
        <v>Joseph Malik</v>
      </c>
      <c r="T133" s="4" t="str" cm="1">
        <f t="array" ref="T133">IF(D133="",IFERROR(INDEX($D$2:$D$1000,MATCH(MAX(COUNTIF($D$2:$D$1166,$D$2:$D$1166)),COUNTIF($D$2:$D$1166,$D$2:$D$1166),0)),"Unknown"),D133)</f>
        <v>Jean-Pierre Jackson</v>
      </c>
      <c r="U133" t="str">
        <f t="shared" si="15"/>
        <v>CHF</v>
      </c>
      <c r="V133" s="7" t="str">
        <f t="shared" si="15"/>
        <v>CAD</v>
      </c>
      <c r="W133" s="7" t="str">
        <f t="shared" si="16"/>
        <v>USA</v>
      </c>
      <c r="X133" s="7" t="str">
        <f t="shared" si="16"/>
        <v>Brazil</v>
      </c>
      <c r="Y133" s="7" t="str" cm="1">
        <f t="array" ref="Y133">IF(H133="",IFERROR(INDEX($H$2:$H$1166,MATCH(MAX(COUNTIF($H$2:$H$1166,$H$2:$H$1166)),COUNTIF($H$2:$H$1166,$H$2:$H$1166),0)),"Unknown"),H133)</f>
        <v>Non-KYC</v>
      </c>
      <c r="Z133" s="7" t="str">
        <f t="shared" si="17"/>
        <v>Inter-Transaction</v>
      </c>
      <c r="AA133" s="7">
        <f>IF(J133="",AVERAGE($J:$J),J133)</f>
        <v>11182.7</v>
      </c>
      <c r="AB133" s="7">
        <f>IF(N133="",AVERAGE($N:$N),N133)</f>
        <v>18</v>
      </c>
      <c r="AC133" s="7">
        <f t="shared" si="18"/>
        <v>2025</v>
      </c>
      <c r="AD133" s="7">
        <f t="shared" si="19"/>
        <v>5</v>
      </c>
      <c r="AE133" s="7">
        <f>COUNTIF(A:A,A133)</f>
        <v>1</v>
      </c>
      <c r="AF133" s="7" t="str">
        <f t="shared" si="20"/>
        <v>No</v>
      </c>
    </row>
    <row r="134" spans="1:32">
      <c r="A134" t="s">
        <v>565</v>
      </c>
      <c r="B134">
        <v>45596211</v>
      </c>
      <c r="C134" t="s">
        <v>566</v>
      </c>
      <c r="D134" t="s">
        <v>331</v>
      </c>
      <c r="E134" t="s">
        <v>3375</v>
      </c>
      <c r="F134" t="s">
        <v>99</v>
      </c>
      <c r="G134" t="s">
        <v>22</v>
      </c>
      <c r="H134" t="s">
        <v>56</v>
      </c>
      <c r="I134" t="s">
        <v>3372</v>
      </c>
      <c r="J134">
        <v>5274.96</v>
      </c>
      <c r="K134" t="s">
        <v>39</v>
      </c>
      <c r="L134" t="s">
        <v>28</v>
      </c>
      <c r="M134" s="1">
        <v>44911.453472222223</v>
      </c>
      <c r="N134">
        <v>44</v>
      </c>
      <c r="O134" t="s">
        <v>54</v>
      </c>
      <c r="P134" t="s">
        <v>54</v>
      </c>
      <c r="Q134" t="s">
        <v>567</v>
      </c>
      <c r="R134">
        <f t="shared" si="14"/>
        <v>45596211</v>
      </c>
      <c r="S134" t="str" cm="1">
        <f t="array" ref="S134">IF(C134="",IFERROR(INDEX($C$2:$C$1166,MATCH(MAX(COUNTIF($C$2:$C$1166,$C$2:$C$1166)),COUNTIF($C$2:$C$1166,$C$2:$C$1166),0)),"Unknown"),C134)</f>
        <v>William Davis</v>
      </c>
      <c r="T134" s="4" t="str" cm="1">
        <f t="array" ref="T134">IF(D134="",IFERROR(INDEX($D$2:$D$1000,MATCH(MAX(COUNTIF($D$2:$D$1166,$D$2:$D$1166)),COUNTIF($D$2:$D$1166,$D$2:$D$1166),0)),"Unknown"),D134)</f>
        <v>Elena Williams</v>
      </c>
      <c r="U134" t="str">
        <f t="shared" si="15"/>
        <v>eur</v>
      </c>
      <c r="V134" s="7" t="str">
        <f t="shared" si="15"/>
        <v>BRL</v>
      </c>
      <c r="W134" s="7" t="str">
        <f t="shared" si="16"/>
        <v>India</v>
      </c>
      <c r="X134" s="7" t="str">
        <f t="shared" si="16"/>
        <v>India</v>
      </c>
      <c r="Y134" s="7" t="str" cm="1">
        <f t="array" ref="Y134">IF(H134="",IFERROR(INDEX($H$2:$H$1166,MATCH(MAX(COUNTIF($H$2:$H$1166,$H$2:$H$1166)),COUNTIF($H$2:$H$1166,$H$2:$H$1166),0)),"Unknown"),H134)</f>
        <v>Unverified</v>
      </c>
      <c r="Z134" s="7" t="str">
        <f t="shared" si="17"/>
        <v>Outer-Transaction</v>
      </c>
      <c r="AA134" s="7">
        <f>IF(J134="",AVERAGE($J:$J),J134)</f>
        <v>5274.96</v>
      </c>
      <c r="AB134" s="7">
        <f>IF(N134="",AVERAGE($N:$N),N134)</f>
        <v>44</v>
      </c>
      <c r="AC134" s="7">
        <f t="shared" si="18"/>
        <v>2022</v>
      </c>
      <c r="AD134" s="7">
        <f t="shared" si="19"/>
        <v>12</v>
      </c>
      <c r="AE134" s="7">
        <f>COUNTIF(A:A,A134)</f>
        <v>1</v>
      </c>
      <c r="AF134" s="7" t="str">
        <f t="shared" si="20"/>
        <v>No</v>
      </c>
    </row>
    <row r="135" spans="1:32">
      <c r="A135" t="s">
        <v>568</v>
      </c>
      <c r="B135">
        <v>45047967</v>
      </c>
      <c r="C135" t="s">
        <v>569</v>
      </c>
      <c r="D135" t="s">
        <v>570</v>
      </c>
      <c r="E135" t="s">
        <v>20</v>
      </c>
      <c r="F135" t="s">
        <v>91</v>
      </c>
      <c r="G135" t="s">
        <v>22</v>
      </c>
      <c r="H135" t="s">
        <v>56</v>
      </c>
      <c r="I135" t="s">
        <v>3374</v>
      </c>
      <c r="J135">
        <v>474.59</v>
      </c>
      <c r="K135" t="s">
        <v>47</v>
      </c>
      <c r="L135" t="s">
        <v>81</v>
      </c>
      <c r="M135" s="1">
        <v>44553.151388888888</v>
      </c>
      <c r="N135">
        <v>79</v>
      </c>
      <c r="O135" t="s">
        <v>93</v>
      </c>
      <c r="P135" t="s">
        <v>55</v>
      </c>
      <c r="Q135" t="s">
        <v>571</v>
      </c>
      <c r="R135">
        <f t="shared" si="14"/>
        <v>45047967</v>
      </c>
      <c r="S135" t="str" cm="1">
        <f t="array" ref="S135">IF(C135="",IFERROR(INDEX($C$2:$C$1166,MATCH(MAX(COUNTIF($C$2:$C$1166,$C$2:$C$1166)),COUNTIF($C$2:$C$1166,$C$2:$C$1166),0)),"Unknown"),C135)</f>
        <v>Patricia Williams</v>
      </c>
      <c r="T135" s="4" t="str" cm="1">
        <f t="array" ref="T135">IF(D135="",IFERROR(INDEX($D$2:$D$1000,MATCH(MAX(COUNTIF($D$2:$D$1166,$D$2:$D$1166)),COUNTIF($D$2:$D$1166,$D$2:$D$1166),0)),"Unknown"),D135)</f>
        <v>Richard Garcia</v>
      </c>
      <c r="U135" t="str">
        <f t="shared" si="15"/>
        <v>gbp</v>
      </c>
      <c r="V135" s="7" t="str">
        <f t="shared" si="15"/>
        <v>BRL</v>
      </c>
      <c r="W135" s="7" t="str">
        <f t="shared" si="16"/>
        <v>USA</v>
      </c>
      <c r="X135" s="7" t="str">
        <f t="shared" si="16"/>
        <v>UK</v>
      </c>
      <c r="Y135" s="7" t="str" cm="1">
        <f t="array" ref="Y135">IF(H135="",IFERROR(INDEX($H$2:$H$1166,MATCH(MAX(COUNTIF($H$2:$H$1166,$H$2:$H$1166)),COUNTIF($H$2:$H$1166,$H$2:$H$1166),0)),"Unknown"),H135)</f>
        <v>Unverified</v>
      </c>
      <c r="Z135" s="7" t="str">
        <f t="shared" si="17"/>
        <v>External</v>
      </c>
      <c r="AA135" s="7">
        <f>IF(J135="",AVERAGE($J:$J),J135)</f>
        <v>474.59</v>
      </c>
      <c r="AB135" s="7">
        <f>IF(N135="",AVERAGE($N:$N),N135)</f>
        <v>79</v>
      </c>
      <c r="AC135" s="7">
        <f t="shared" si="18"/>
        <v>2021</v>
      </c>
      <c r="AD135" s="7">
        <f t="shared" si="19"/>
        <v>12</v>
      </c>
      <c r="AE135" s="7">
        <f>COUNTIF(A:A,A135)</f>
        <v>1</v>
      </c>
      <c r="AF135" s="7" t="str">
        <f t="shared" si="20"/>
        <v>No</v>
      </c>
    </row>
    <row r="136" spans="1:32">
      <c r="A136" t="s">
        <v>572</v>
      </c>
      <c r="B136">
        <v>98663948</v>
      </c>
      <c r="C136" t="s">
        <v>573</v>
      </c>
      <c r="D136" t="s">
        <v>574</v>
      </c>
      <c r="E136" t="s">
        <v>20</v>
      </c>
      <c r="F136" t="s">
        <v>116</v>
      </c>
      <c r="G136" t="s">
        <v>98</v>
      </c>
      <c r="I136" t="s">
        <v>3374</v>
      </c>
      <c r="J136">
        <v>9007.23</v>
      </c>
      <c r="K136" t="s">
        <v>47</v>
      </c>
      <c r="L136" t="s">
        <v>28</v>
      </c>
      <c r="M136" s="1">
        <v>44610.850694444445</v>
      </c>
      <c r="N136">
        <v>20</v>
      </c>
      <c r="O136" t="s">
        <v>23</v>
      </c>
      <c r="P136" t="s">
        <v>62</v>
      </c>
      <c r="Q136" t="s">
        <v>575</v>
      </c>
      <c r="R136">
        <f t="shared" si="14"/>
        <v>98663948</v>
      </c>
      <c r="S136" t="str" cm="1">
        <f t="array" ref="S136">IF(C136="",IFERROR(INDEX($C$2:$C$1166,MATCH(MAX(COUNTIF($C$2:$C$1166,$C$2:$C$1166)),COUNTIF($C$2:$C$1166,$C$2:$C$1166),0)),"Unknown"),C136)</f>
        <v>Barbara Martinez</v>
      </c>
      <c r="T136" s="4" t="str" cm="1">
        <f t="array" ref="T136">IF(D136="",IFERROR(INDEX($D$2:$D$1000,MATCH(MAX(COUNTIF($D$2:$D$1166,$D$2:$D$1166)),COUNTIF($D$2:$D$1166,$D$2:$D$1166),0)),"Unknown"),D136)</f>
        <v>Elizabeth Brown</v>
      </c>
      <c r="U136" t="str">
        <f t="shared" si="15"/>
        <v>CHF</v>
      </c>
      <c r="V136" s="7" t="str">
        <f t="shared" si="15"/>
        <v>JPY</v>
      </c>
      <c r="W136" s="7" t="str">
        <f t="shared" si="16"/>
        <v>France</v>
      </c>
      <c r="X136" s="7" t="str">
        <f t="shared" si="16"/>
        <v>Australia</v>
      </c>
      <c r="Y136" s="7" t="str" cm="1">
        <f t="array" ref="Y136">IF(H136="",IFERROR(INDEX($H$2:$H$1166,MATCH(MAX(COUNTIF($H$2:$H$1166,$H$2:$H$1166)),COUNTIF($H$2:$H$1166,$H$2:$H$1166),0)),"Unknown"),H136)</f>
        <v>Pending</v>
      </c>
      <c r="Z136" s="7" t="str">
        <f t="shared" si="17"/>
        <v>External</v>
      </c>
      <c r="AA136" s="7">
        <f>IF(J136="",AVERAGE($J:$J),J136)</f>
        <v>9007.23</v>
      </c>
      <c r="AB136" s="7">
        <f>IF(N136="",AVERAGE($N:$N),N136)</f>
        <v>20</v>
      </c>
      <c r="AC136" s="7">
        <f t="shared" si="18"/>
        <v>2022</v>
      </c>
      <c r="AD136" s="7">
        <f t="shared" si="19"/>
        <v>2</v>
      </c>
      <c r="AE136" s="7">
        <f>COUNTIF(A:A,A136)</f>
        <v>1</v>
      </c>
      <c r="AF136" s="7" t="str">
        <f t="shared" si="20"/>
        <v>No</v>
      </c>
    </row>
    <row r="137" spans="1:32">
      <c r="A137" t="s">
        <v>576</v>
      </c>
      <c r="B137">
        <v>98723294</v>
      </c>
      <c r="C137" t="s">
        <v>577</v>
      </c>
      <c r="D137" t="s">
        <v>578</v>
      </c>
      <c r="E137" t="s">
        <v>20</v>
      </c>
      <c r="F137" t="s">
        <v>34</v>
      </c>
      <c r="G137" t="s">
        <v>92</v>
      </c>
      <c r="H137" t="s">
        <v>103</v>
      </c>
      <c r="I137" t="s">
        <v>3376</v>
      </c>
      <c r="J137">
        <v>933.97</v>
      </c>
      <c r="K137" t="s">
        <v>86</v>
      </c>
      <c r="L137" t="s">
        <v>28</v>
      </c>
      <c r="M137" s="1">
        <v>45064.568055555559</v>
      </c>
      <c r="N137">
        <v>44</v>
      </c>
      <c r="O137" t="s">
        <v>54</v>
      </c>
      <c r="P137" t="s">
        <v>127</v>
      </c>
      <c r="Q137" t="s">
        <v>579</v>
      </c>
      <c r="R137">
        <f t="shared" si="14"/>
        <v>98723294</v>
      </c>
      <c r="S137" t="str" cm="1">
        <f t="array" ref="S137">IF(C137="",IFERROR(INDEX($C$2:$C$1166,MATCH(MAX(COUNTIF($C$2:$C$1166,$C$2:$C$1166)),COUNTIF($C$2:$C$1166,$C$2:$C$1166),0)),"Unknown"),C137)</f>
        <v>David Williams</v>
      </c>
      <c r="T137" s="4" t="str" cm="1">
        <f t="array" ref="T137">IF(D137="",IFERROR(INDEX($D$2:$D$1000,MATCH(MAX(COUNTIF($D$2:$D$1166,$D$2:$D$1166)),COUNTIF($D$2:$D$1166,$D$2:$D$1166),0)),"Unknown"),D137)</f>
        <v>Sanjay Moore</v>
      </c>
      <c r="U137" t="str">
        <f t="shared" si="15"/>
        <v>CAD</v>
      </c>
      <c r="V137" s="7" t="str">
        <f t="shared" si="15"/>
        <v>AUD</v>
      </c>
      <c r="W137" s="7" t="str">
        <f t="shared" si="16"/>
        <v>India</v>
      </c>
      <c r="X137" s="7" t="str">
        <f t="shared" si="16"/>
        <v>Canada</v>
      </c>
      <c r="Y137" s="7" t="str" cm="1">
        <f t="array" ref="Y137">IF(H137="",IFERROR(INDEX($H$2:$H$1166,MATCH(MAX(COUNTIF($H$2:$H$1166,$H$2:$H$1166)),COUNTIF($H$2:$H$1166,$H$2:$H$1166),0)),"Unknown"),H137)</f>
        <v>Verified</v>
      </c>
      <c r="Z137" s="7" t="str">
        <f t="shared" si="17"/>
        <v>Internal</v>
      </c>
      <c r="AA137" s="7">
        <f>IF(J137="",AVERAGE($J:$J),J137)</f>
        <v>933.97</v>
      </c>
      <c r="AB137" s="7">
        <f>IF(N137="",AVERAGE($N:$N),N137)</f>
        <v>44</v>
      </c>
      <c r="AC137" s="7">
        <f t="shared" si="18"/>
        <v>2023</v>
      </c>
      <c r="AD137" s="7">
        <f t="shared" si="19"/>
        <v>5</v>
      </c>
      <c r="AE137" s="7">
        <f>COUNTIF(A:A,A137)</f>
        <v>1</v>
      </c>
      <c r="AF137" s="7" t="str">
        <f t="shared" si="20"/>
        <v>No</v>
      </c>
    </row>
    <row r="138" spans="1:32">
      <c r="A138" t="s">
        <v>580</v>
      </c>
      <c r="B138">
        <v>81875527</v>
      </c>
      <c r="C138" t="s">
        <v>581</v>
      </c>
      <c r="D138" t="s">
        <v>582</v>
      </c>
      <c r="E138" t="s">
        <v>20</v>
      </c>
      <c r="F138" t="s">
        <v>121</v>
      </c>
      <c r="G138" t="s">
        <v>44</v>
      </c>
      <c r="H138" t="s">
        <v>38</v>
      </c>
      <c r="I138" t="s">
        <v>3376</v>
      </c>
      <c r="J138">
        <v>10166.25</v>
      </c>
      <c r="K138" t="s">
        <v>27</v>
      </c>
      <c r="L138" t="s">
        <v>48</v>
      </c>
      <c r="M138" s="1">
        <v>44359.98541666667</v>
      </c>
      <c r="N138">
        <v>26</v>
      </c>
      <c r="O138" t="s">
        <v>93</v>
      </c>
      <c r="P138" t="s">
        <v>127</v>
      </c>
      <c r="Q138" t="s">
        <v>583</v>
      </c>
      <c r="R138">
        <f t="shared" si="14"/>
        <v>81875527</v>
      </c>
      <c r="S138" t="str" cm="1">
        <f t="array" ref="S138">IF(C138="",IFERROR(INDEX($C$2:$C$1166,MATCH(MAX(COUNTIF($C$2:$C$1166,$C$2:$C$1166)),COUNTIF($C$2:$C$1166,$C$2:$C$1166),0)),"Unknown"),C138)</f>
        <v xml:space="preserve">  MARTA MALIK </v>
      </c>
      <c r="T138" s="4" t="str" cm="1">
        <f t="array" ref="T138">IF(D138="",IFERROR(INDEX($D$2:$D$1000,MATCH(MAX(COUNTIF($D$2:$D$1166,$D$2:$D$1166)),COUNTIF($D$2:$D$1166,$D$2:$D$1166),0)),"Unknown"),D138)</f>
        <v>Priya Thomas</v>
      </c>
      <c r="U138" t="str">
        <f t="shared" si="15"/>
        <v>INR</v>
      </c>
      <c r="V138" s="7" t="str">
        <f t="shared" si="15"/>
        <v>SGD</v>
      </c>
      <c r="W138" s="7" t="str">
        <f t="shared" si="16"/>
        <v>USA</v>
      </c>
      <c r="X138" s="7" t="str">
        <f t="shared" si="16"/>
        <v>Canada</v>
      </c>
      <c r="Y138" s="7" t="str" cm="1">
        <f t="array" ref="Y138">IF(H138="",IFERROR(INDEX($H$2:$H$1166,MATCH(MAX(COUNTIF($H$2:$H$1166,$H$2:$H$1166)),COUNTIF($H$2:$H$1166,$H$2:$H$1166),0)),"Unknown"),H138)</f>
        <v>Pending</v>
      </c>
      <c r="Z138" s="7" t="str">
        <f t="shared" si="17"/>
        <v>Internal</v>
      </c>
      <c r="AA138" s="7">
        <f>IF(J138="",AVERAGE($J:$J),J138)</f>
        <v>10166.25</v>
      </c>
      <c r="AB138" s="7">
        <f>IF(N138="",AVERAGE($N:$N),N138)</f>
        <v>26</v>
      </c>
      <c r="AC138" s="7">
        <f t="shared" si="18"/>
        <v>2021</v>
      </c>
      <c r="AD138" s="7">
        <f t="shared" si="19"/>
        <v>6</v>
      </c>
      <c r="AE138" s="7">
        <f>COUNTIF(A:A,A138)</f>
        <v>1</v>
      </c>
      <c r="AF138" s="7" t="str">
        <f t="shared" si="20"/>
        <v>No</v>
      </c>
    </row>
    <row r="139" spans="1:32">
      <c r="A139" t="s">
        <v>584</v>
      </c>
      <c r="B139">
        <v>68437492</v>
      </c>
      <c r="C139" t="s">
        <v>585</v>
      </c>
      <c r="D139" t="s">
        <v>188</v>
      </c>
      <c r="E139" t="s">
        <v>20</v>
      </c>
      <c r="F139" t="s">
        <v>53</v>
      </c>
      <c r="G139" t="s">
        <v>393</v>
      </c>
      <c r="H139" t="s">
        <v>103</v>
      </c>
      <c r="I139" t="s">
        <v>3378</v>
      </c>
      <c r="J139">
        <v>7800.13</v>
      </c>
      <c r="K139" t="s">
        <v>86</v>
      </c>
      <c r="L139" t="s">
        <v>81</v>
      </c>
      <c r="M139" s="1">
        <v>44628.038194444445</v>
      </c>
      <c r="N139">
        <v>79</v>
      </c>
      <c r="O139" t="s">
        <v>54</v>
      </c>
      <c r="P139" t="s">
        <v>55</v>
      </c>
      <c r="Q139" t="s">
        <v>586</v>
      </c>
      <c r="R139">
        <f t="shared" si="14"/>
        <v>68437492</v>
      </c>
      <c r="S139" t="str" cm="1">
        <f t="array" ref="S139">IF(C139="",IFERROR(INDEX($C$2:$C$1166,MATCH(MAX(COUNTIF($C$2:$C$1166,$C$2:$C$1166)),COUNTIF($C$2:$C$1166,$C$2:$C$1166),0)),"Unknown"),C139)</f>
        <v>William Khan</v>
      </c>
      <c r="T139" s="4" t="str" cm="1">
        <f t="array" ref="T139">IF(D139="",IFERROR(INDEX($D$2:$D$1000,MATCH(MAX(COUNTIF($D$2:$D$1166,$D$2:$D$1166)),COUNTIF($D$2:$D$1166,$D$2:$D$1166),0)),"Unknown"),D139)</f>
        <v>Sanjay Jones</v>
      </c>
      <c r="U139" t="str">
        <f t="shared" si="15"/>
        <v>AED</v>
      </c>
      <c r="V139" s="7" t="str">
        <f t="shared" si="15"/>
        <v>cad</v>
      </c>
      <c r="W139" s="7" t="str">
        <f t="shared" si="16"/>
        <v>India</v>
      </c>
      <c r="X139" s="7" t="str">
        <f t="shared" si="16"/>
        <v>UK</v>
      </c>
      <c r="Y139" s="7" t="str" cm="1">
        <f t="array" ref="Y139">IF(H139="",IFERROR(INDEX($H$2:$H$1166,MATCH(MAX(COUNTIF($H$2:$H$1166,$H$2:$H$1166)),COUNTIF($H$2:$H$1166,$H$2:$H$1166),0)),"Unknown"),H139)</f>
        <v>Verified</v>
      </c>
      <c r="Z139" s="7" t="str">
        <f t="shared" si="17"/>
        <v>Inter-Transaction</v>
      </c>
      <c r="AA139" s="7">
        <f>IF(J139="",AVERAGE($J:$J),J139)</f>
        <v>7800.13</v>
      </c>
      <c r="AB139" s="7">
        <f>IF(N139="",AVERAGE($N:$N),N139)</f>
        <v>79</v>
      </c>
      <c r="AC139" s="7">
        <f t="shared" si="18"/>
        <v>2022</v>
      </c>
      <c r="AD139" s="7">
        <f t="shared" si="19"/>
        <v>3</v>
      </c>
      <c r="AE139" s="7">
        <f>COUNTIF(A:A,A139)</f>
        <v>1</v>
      </c>
      <c r="AF139" s="7" t="str">
        <f t="shared" si="20"/>
        <v>No</v>
      </c>
    </row>
    <row r="140" spans="1:32">
      <c r="A140" t="s">
        <v>587</v>
      </c>
      <c r="B140">
        <v>23554707</v>
      </c>
      <c r="C140" t="s">
        <v>588</v>
      </c>
      <c r="D140" t="s">
        <v>589</v>
      </c>
      <c r="E140" t="s">
        <v>20</v>
      </c>
      <c r="F140" t="s">
        <v>92</v>
      </c>
      <c r="G140" t="s">
        <v>53</v>
      </c>
      <c r="H140" t="s">
        <v>74</v>
      </c>
      <c r="I140" t="s">
        <v>3376</v>
      </c>
      <c r="J140">
        <v>9133.74</v>
      </c>
      <c r="K140" t="s">
        <v>39</v>
      </c>
      <c r="L140" t="s">
        <v>28</v>
      </c>
      <c r="M140" s="1">
        <v>44174.877083333333</v>
      </c>
      <c r="N140">
        <v>54</v>
      </c>
      <c r="O140" t="s">
        <v>23</v>
      </c>
      <c r="P140" t="s">
        <v>37</v>
      </c>
      <c r="Q140" t="s">
        <v>590</v>
      </c>
      <c r="R140">
        <f t="shared" si="14"/>
        <v>23554707</v>
      </c>
      <c r="S140" t="str" cm="1">
        <f t="array" ref="S140">IF(C140="",IFERROR(INDEX($C$2:$C$1166,MATCH(MAX(COUNTIF($C$2:$C$1166,$C$2:$C$1166)),COUNTIF($C$2:$C$1166,$C$2:$C$1166),0)),"Unknown"),C140)</f>
        <v xml:space="preserve">  LUCAS MARTINEZ </v>
      </c>
      <c r="T140" s="4" t="str" cm="1">
        <f t="array" ref="T140">IF(D140="",IFERROR(INDEX($D$2:$D$1000,MATCH(MAX(COUNTIF($D$2:$D$1166,$D$2:$D$1166)),COUNTIF($D$2:$D$1166,$D$2:$D$1166),0)),"Unknown"),D140)</f>
        <v>Zayn Moore</v>
      </c>
      <c r="U140" t="str">
        <f t="shared" si="15"/>
        <v>AUD</v>
      </c>
      <c r="V140" s="7" t="str">
        <f t="shared" si="15"/>
        <v>AED</v>
      </c>
      <c r="W140" s="7" t="str">
        <f t="shared" si="16"/>
        <v>France</v>
      </c>
      <c r="X140" s="7" t="str">
        <f t="shared" si="16"/>
        <v>South Africa</v>
      </c>
      <c r="Y140" s="7" t="str" cm="1">
        <f t="array" ref="Y140">IF(H140="",IFERROR(INDEX($H$2:$H$1166,MATCH(MAX(COUNTIF($H$2:$H$1166,$H$2:$H$1166)),COUNTIF($H$2:$H$1166,$H$2:$H$1166),0)),"Unknown"),H140)</f>
        <v>Non-KYC</v>
      </c>
      <c r="Z140" s="7" t="str">
        <f t="shared" si="17"/>
        <v>Internal</v>
      </c>
      <c r="AA140" s="7">
        <f>IF(J140="",AVERAGE($J:$J),J140)</f>
        <v>9133.74</v>
      </c>
      <c r="AB140" s="7">
        <f>IF(N140="",AVERAGE($N:$N),N140)</f>
        <v>54</v>
      </c>
      <c r="AC140" s="7">
        <f t="shared" si="18"/>
        <v>2020</v>
      </c>
      <c r="AD140" s="7">
        <f t="shared" si="19"/>
        <v>12</v>
      </c>
      <c r="AE140" s="7">
        <f>COUNTIF(A:A,A140)</f>
        <v>1</v>
      </c>
      <c r="AF140" s="7" t="str">
        <f t="shared" si="20"/>
        <v>No</v>
      </c>
    </row>
    <row r="141" spans="1:32">
      <c r="A141" t="s">
        <v>591</v>
      </c>
      <c r="B141">
        <v>50675347</v>
      </c>
      <c r="C141" t="s">
        <v>592</v>
      </c>
      <c r="D141" t="s">
        <v>593</v>
      </c>
      <c r="E141" t="s">
        <v>20</v>
      </c>
      <c r="F141" t="s">
        <v>45</v>
      </c>
      <c r="G141" t="s">
        <v>35</v>
      </c>
      <c r="H141" t="s">
        <v>103</v>
      </c>
      <c r="I141" t="s">
        <v>3378</v>
      </c>
      <c r="J141">
        <v>10934.7</v>
      </c>
      <c r="K141" t="s">
        <v>27</v>
      </c>
      <c r="L141" t="s">
        <v>28</v>
      </c>
      <c r="M141" s="1">
        <v>45133.496527777781</v>
      </c>
      <c r="N141">
        <v>68</v>
      </c>
      <c r="O141" t="s">
        <v>37</v>
      </c>
      <c r="P141" t="s">
        <v>54</v>
      </c>
      <c r="Q141" t="s">
        <v>594</v>
      </c>
      <c r="R141">
        <f t="shared" si="14"/>
        <v>50675347</v>
      </c>
      <c r="S141" t="str" cm="1">
        <f t="array" ref="S141">IF(C141="",IFERROR(INDEX($C$2:$C$1166,MATCH(MAX(COUNTIF($C$2:$C$1166,$C$2:$C$1166)),COUNTIF($C$2:$C$1166,$C$2:$C$1166),0)),"Unknown"),C141)</f>
        <v>Barbara Rodriguez</v>
      </c>
      <c r="T141" s="4" t="str" cm="1">
        <f t="array" ref="T141">IF(D141="",IFERROR(INDEX($D$2:$D$1000,MATCH(MAX(COUNTIF($D$2:$D$1166,$D$2:$D$1166)),COUNTIF($D$2:$D$1166,$D$2:$D$1166),0)),"Unknown"),D141)</f>
        <v>Amir Thomas</v>
      </c>
      <c r="U141" t="str">
        <f t="shared" si="15"/>
        <v>ZAR</v>
      </c>
      <c r="V141" s="7" t="str">
        <f t="shared" si="15"/>
        <v>EUR</v>
      </c>
      <c r="W141" s="7" t="str">
        <f t="shared" si="16"/>
        <v>South Africa</v>
      </c>
      <c r="X141" s="7" t="str">
        <f t="shared" si="16"/>
        <v>India</v>
      </c>
      <c r="Y141" s="7" t="str" cm="1">
        <f t="array" ref="Y141">IF(H141="",IFERROR(INDEX($H$2:$H$1166,MATCH(MAX(COUNTIF($H$2:$H$1166,$H$2:$H$1166)),COUNTIF($H$2:$H$1166,$H$2:$H$1166),0)),"Unknown"),H141)</f>
        <v>Verified</v>
      </c>
      <c r="Z141" s="7" t="str">
        <f t="shared" si="17"/>
        <v>Inter-Transaction</v>
      </c>
      <c r="AA141" s="7">
        <f>IF(J141="",AVERAGE($J:$J),J141)</f>
        <v>10934.7</v>
      </c>
      <c r="AB141" s="7">
        <f>IF(N141="",AVERAGE($N:$N),N141)</f>
        <v>68</v>
      </c>
      <c r="AC141" s="7">
        <f t="shared" si="18"/>
        <v>2023</v>
      </c>
      <c r="AD141" s="7">
        <f t="shared" si="19"/>
        <v>7</v>
      </c>
      <c r="AE141" s="7">
        <f>COUNTIF(A:A,A141)</f>
        <v>1</v>
      </c>
      <c r="AF141" s="7" t="str">
        <f t="shared" si="20"/>
        <v>No</v>
      </c>
    </row>
    <row r="142" spans="1:32">
      <c r="A142" t="s">
        <v>595</v>
      </c>
      <c r="B142">
        <v>31336920</v>
      </c>
      <c r="C142" t="s">
        <v>596</v>
      </c>
      <c r="D142" t="s">
        <v>597</v>
      </c>
      <c r="E142">
        <v>0</v>
      </c>
      <c r="F142" t="s">
        <v>294</v>
      </c>
      <c r="G142" t="s">
        <v>116</v>
      </c>
      <c r="H142" t="s">
        <v>56</v>
      </c>
      <c r="I142" t="s">
        <v>3377</v>
      </c>
      <c r="J142">
        <v>13771.29</v>
      </c>
      <c r="K142" t="s">
        <v>47</v>
      </c>
      <c r="L142" t="s">
        <v>75</v>
      </c>
      <c r="M142" s="1">
        <v>44039.091666666667</v>
      </c>
      <c r="N142">
        <v>61</v>
      </c>
      <c r="O142" t="s">
        <v>55</v>
      </c>
      <c r="P142" t="s">
        <v>93</v>
      </c>
      <c r="Q142" t="s">
        <v>598</v>
      </c>
      <c r="R142">
        <f t="shared" si="14"/>
        <v>31336920</v>
      </c>
      <c r="S142" t="str" cm="1">
        <f t="array" ref="S142">IF(C142="",IFERROR(INDEX($C$2:$C$1166,MATCH(MAX(COUNTIF($C$2:$C$1166,$C$2:$C$1166)),COUNTIF($C$2:$C$1166,$C$2:$C$1166),0)),"Unknown"),C142)</f>
        <v>Robert Martinez</v>
      </c>
      <c r="T142" s="4" t="str" cm="1">
        <f t="array" ref="T142">IF(D142="",IFERROR(INDEX($D$2:$D$1000,MATCH(MAX(COUNTIF($D$2:$D$1166,$D$2:$D$1166)),COUNTIF($D$2:$D$1166,$D$2:$D$1166),0)),"Unknown"),D142)</f>
        <v>Elena Taylor</v>
      </c>
      <c r="U142" t="str">
        <f t="shared" si="15"/>
        <v>jpy</v>
      </c>
      <c r="V142" s="7" t="str">
        <f t="shared" si="15"/>
        <v>CHF</v>
      </c>
      <c r="W142" s="7" t="str">
        <f t="shared" si="16"/>
        <v>UK</v>
      </c>
      <c r="X142" s="7" t="str">
        <f t="shared" si="16"/>
        <v>USA</v>
      </c>
      <c r="Y142" s="7" t="str" cm="1">
        <f t="array" ref="Y142">IF(H142="",IFERROR(INDEX($H$2:$H$1166,MATCH(MAX(COUNTIF($H$2:$H$1166,$H$2:$H$1166)),COUNTIF($H$2:$H$1166,$H$2:$H$1166),0)),"Unknown"),H142)</f>
        <v>Unverified</v>
      </c>
      <c r="Z142" s="7" t="str">
        <f t="shared" si="17"/>
        <v>Inter-Transaction</v>
      </c>
      <c r="AA142" s="7">
        <f>IF(J142="",AVERAGE($J:$J),J142)</f>
        <v>13771.29</v>
      </c>
      <c r="AB142" s="7">
        <f>IF(N142="",AVERAGE($N:$N),N142)</f>
        <v>61</v>
      </c>
      <c r="AC142" s="7">
        <f t="shared" si="18"/>
        <v>2020</v>
      </c>
      <c r="AD142" s="7">
        <f t="shared" si="19"/>
        <v>7</v>
      </c>
      <c r="AE142" s="7">
        <f>COUNTIF(A:A,A142)</f>
        <v>1</v>
      </c>
      <c r="AF142" s="7" t="str">
        <f t="shared" si="20"/>
        <v>No</v>
      </c>
    </row>
    <row r="143" spans="1:32">
      <c r="A143" t="s">
        <v>599</v>
      </c>
      <c r="B143">
        <v>73697356</v>
      </c>
      <c r="C143" t="s">
        <v>600</v>
      </c>
      <c r="D143" t="s">
        <v>601</v>
      </c>
      <c r="E143" t="s">
        <v>20</v>
      </c>
      <c r="F143" t="s">
        <v>53</v>
      </c>
      <c r="G143" t="s">
        <v>392</v>
      </c>
      <c r="H143" t="s">
        <v>74</v>
      </c>
      <c r="I143" t="s">
        <v>3371</v>
      </c>
      <c r="J143">
        <v>9714.2199999999993</v>
      </c>
      <c r="K143" t="s">
        <v>47</v>
      </c>
      <c r="L143" t="s">
        <v>75</v>
      </c>
      <c r="M143" s="1">
        <v>44471.8125</v>
      </c>
      <c r="N143">
        <v>41</v>
      </c>
      <c r="O143" t="s">
        <v>55</v>
      </c>
      <c r="P143" t="s">
        <v>93</v>
      </c>
      <c r="Q143" t="s">
        <v>602</v>
      </c>
      <c r="R143">
        <f t="shared" si="14"/>
        <v>73697356</v>
      </c>
      <c r="S143" t="str" cm="1">
        <f t="array" ref="S143">IF(C143="",IFERROR(INDEX($C$2:$C$1166,MATCH(MAX(COUNTIF($C$2:$C$1166,$C$2:$C$1166)),COUNTIF($C$2:$C$1166,$C$2:$C$1166),0)),"Unknown"),C143)</f>
        <v xml:space="preserve">  CHRISTOPHER MOORE </v>
      </c>
      <c r="T143" s="4" t="str" cm="1">
        <f t="array" ref="T143">IF(D143="",IFERROR(INDEX($D$2:$D$1000,MATCH(MAX(COUNTIF($D$2:$D$1166,$D$2:$D$1166)),COUNTIF($D$2:$D$1166,$D$2:$D$1166),0)),"Unknown"),D143)</f>
        <v>Susan Lopez</v>
      </c>
      <c r="U143" t="str">
        <f t="shared" si="15"/>
        <v>AED</v>
      </c>
      <c r="V143" s="7" t="str">
        <f t="shared" si="15"/>
        <v>brl</v>
      </c>
      <c r="W143" s="7" t="str">
        <f t="shared" si="16"/>
        <v>UK</v>
      </c>
      <c r="X143" s="7" t="str">
        <f t="shared" si="16"/>
        <v>USA</v>
      </c>
      <c r="Y143" s="7" t="str" cm="1">
        <f t="array" ref="Y143">IF(H143="",IFERROR(INDEX($H$2:$H$1166,MATCH(MAX(COUNTIF($H$2:$H$1166,$H$2:$H$1166)),COUNTIF($H$2:$H$1166,$H$2:$H$1166),0)),"Unknown"),H143)</f>
        <v>Non-KYC</v>
      </c>
      <c r="Z143" s="7" t="str">
        <f t="shared" si="17"/>
        <v>Outer-Transaction</v>
      </c>
      <c r="AA143" s="7">
        <f>IF(J143="",AVERAGE($J:$J),J143)</f>
        <v>9714.2199999999993</v>
      </c>
      <c r="AB143" s="7">
        <f>IF(N143="",AVERAGE($N:$N),N143)</f>
        <v>41</v>
      </c>
      <c r="AC143" s="7">
        <f t="shared" si="18"/>
        <v>2021</v>
      </c>
      <c r="AD143" s="7">
        <f t="shared" si="19"/>
        <v>10</v>
      </c>
      <c r="AE143" s="7">
        <f>COUNTIF(A:A,A143)</f>
        <v>1</v>
      </c>
      <c r="AF143" s="7" t="str">
        <f t="shared" si="20"/>
        <v>No</v>
      </c>
    </row>
    <row r="144" spans="1:32">
      <c r="A144" t="s">
        <v>603</v>
      </c>
      <c r="B144">
        <v>11135982</v>
      </c>
      <c r="C144" t="s">
        <v>604</v>
      </c>
      <c r="D144" t="s">
        <v>449</v>
      </c>
      <c r="E144" t="s">
        <v>20</v>
      </c>
      <c r="F144" t="s">
        <v>22</v>
      </c>
      <c r="G144" t="s">
        <v>22</v>
      </c>
      <c r="H144" t="s">
        <v>56</v>
      </c>
      <c r="I144" t="s">
        <v>3378</v>
      </c>
      <c r="J144">
        <v>10161.17</v>
      </c>
      <c r="K144" t="s">
        <v>27</v>
      </c>
      <c r="L144" t="s">
        <v>81</v>
      </c>
      <c r="M144" s="1">
        <v>45142.237500000003</v>
      </c>
      <c r="N144">
        <v>76</v>
      </c>
      <c r="O144" t="s">
        <v>24</v>
      </c>
      <c r="P144" t="s">
        <v>62</v>
      </c>
      <c r="Q144" t="s">
        <v>605</v>
      </c>
      <c r="R144">
        <f t="shared" si="14"/>
        <v>11135982</v>
      </c>
      <c r="S144" t="str" cm="1">
        <f t="array" ref="S144">IF(C144="",IFERROR(INDEX($C$2:$C$1166,MATCH(MAX(COUNTIF($C$2:$C$1166,$C$2:$C$1166)),COUNTIF($C$2:$C$1166,$C$2:$C$1166),0)),"Unknown"),C144)</f>
        <v>Elizabeth Rodriguez</v>
      </c>
      <c r="T144" s="4" t="str" cm="1">
        <f t="array" ref="T144">IF(D144="",IFERROR(INDEX($D$2:$D$1000,MATCH(MAX(COUNTIF($D$2:$D$1166,$D$2:$D$1166)),COUNTIF($D$2:$D$1166,$D$2:$D$1166),0)),"Unknown"),D144)</f>
        <v>Nancy Silva</v>
      </c>
      <c r="U144" t="str">
        <f t="shared" si="15"/>
        <v>BRL</v>
      </c>
      <c r="V144" s="7" t="str">
        <f t="shared" si="15"/>
        <v>BRL</v>
      </c>
      <c r="W144" s="7" t="str">
        <f t="shared" si="16"/>
        <v>Brazil</v>
      </c>
      <c r="X144" s="7" t="str">
        <f t="shared" si="16"/>
        <v>Australia</v>
      </c>
      <c r="Y144" s="7" t="str" cm="1">
        <f t="array" ref="Y144">IF(H144="",IFERROR(INDEX($H$2:$H$1166,MATCH(MAX(COUNTIF($H$2:$H$1166,$H$2:$H$1166)),COUNTIF($H$2:$H$1166,$H$2:$H$1166),0)),"Unknown"),H144)</f>
        <v>Unverified</v>
      </c>
      <c r="Z144" s="7" t="str">
        <f t="shared" si="17"/>
        <v>Inter-Transaction</v>
      </c>
      <c r="AA144" s="7">
        <f>IF(J144="",AVERAGE($J:$J),J144)</f>
        <v>10161.17</v>
      </c>
      <c r="AB144" s="7">
        <f>IF(N144="",AVERAGE($N:$N),N144)</f>
        <v>76</v>
      </c>
      <c r="AC144" s="7">
        <f t="shared" si="18"/>
        <v>2023</v>
      </c>
      <c r="AD144" s="7">
        <f t="shared" si="19"/>
        <v>8</v>
      </c>
      <c r="AE144" s="7">
        <f>COUNTIF(A:A,A144)</f>
        <v>1</v>
      </c>
      <c r="AF144" s="7" t="str">
        <f t="shared" si="20"/>
        <v>No</v>
      </c>
    </row>
    <row r="145" spans="1:32">
      <c r="A145" t="s">
        <v>606</v>
      </c>
      <c r="B145">
        <v>24509544</v>
      </c>
      <c r="C145" t="s">
        <v>607</v>
      </c>
      <c r="D145" t="s">
        <v>32</v>
      </c>
      <c r="E145" t="s">
        <v>20</v>
      </c>
      <c r="F145" t="s">
        <v>53</v>
      </c>
      <c r="G145" t="s">
        <v>53</v>
      </c>
      <c r="H145" t="s">
        <v>74</v>
      </c>
      <c r="I145" t="s">
        <v>3377</v>
      </c>
      <c r="J145">
        <v>12083.39</v>
      </c>
      <c r="K145" t="s">
        <v>27</v>
      </c>
      <c r="L145" t="s">
        <v>81</v>
      </c>
      <c r="M145" s="1">
        <v>46130.918749999997</v>
      </c>
      <c r="N145">
        <v>49</v>
      </c>
      <c r="O145" t="s">
        <v>127</v>
      </c>
      <c r="P145" t="s">
        <v>37</v>
      </c>
      <c r="Q145" t="s">
        <v>608</v>
      </c>
      <c r="R145">
        <f t="shared" si="14"/>
        <v>24509544</v>
      </c>
      <c r="S145" t="str" cm="1">
        <f t="array" ref="S145">IF(C145="",IFERROR(INDEX($C$2:$C$1166,MATCH(MAX(COUNTIF($C$2:$C$1166,$C$2:$C$1166)),COUNTIF($C$2:$C$1166,$C$2:$C$1166),0)),"Unknown"),C145)</f>
        <v>Sarah Williams</v>
      </c>
      <c r="T145" s="4" t="str" cm="1">
        <f t="array" ref="T145">IF(D145="",IFERROR(INDEX($D$2:$D$1000,MATCH(MAX(COUNTIF($D$2:$D$1166,$D$2:$D$1166)),COUNTIF($D$2:$D$1166,$D$2:$D$1166),0)),"Unknown"),D145)</f>
        <v>Richard Rodriguez</v>
      </c>
      <c r="U145" t="str">
        <f t="shared" si="15"/>
        <v>AED</v>
      </c>
      <c r="V145" s="7" t="str">
        <f t="shared" si="15"/>
        <v>AED</v>
      </c>
      <c r="W145" s="7" t="str">
        <f t="shared" si="16"/>
        <v>Canada</v>
      </c>
      <c r="X145" s="7" t="str">
        <f t="shared" si="16"/>
        <v>South Africa</v>
      </c>
      <c r="Y145" s="7" t="str" cm="1">
        <f t="array" ref="Y145">IF(H145="",IFERROR(INDEX($H$2:$H$1166,MATCH(MAX(COUNTIF($H$2:$H$1166,$H$2:$H$1166)),COUNTIF($H$2:$H$1166,$H$2:$H$1166),0)),"Unknown"),H145)</f>
        <v>Non-KYC</v>
      </c>
      <c r="Z145" s="7" t="str">
        <f t="shared" si="17"/>
        <v>Inter-Transaction</v>
      </c>
      <c r="AA145" s="7">
        <f>IF(J145="",AVERAGE($J:$J),J145)</f>
        <v>12083.39</v>
      </c>
      <c r="AB145" s="7">
        <f>IF(N145="",AVERAGE($N:$N),N145)</f>
        <v>49</v>
      </c>
      <c r="AC145" s="7">
        <f t="shared" si="18"/>
        <v>2026</v>
      </c>
      <c r="AD145" s="7">
        <f t="shared" si="19"/>
        <v>4</v>
      </c>
      <c r="AE145" s="7">
        <f>COUNTIF(A:A,A145)</f>
        <v>1</v>
      </c>
      <c r="AF145" s="7" t="str">
        <f t="shared" si="20"/>
        <v>No</v>
      </c>
    </row>
    <row r="146" spans="1:32">
      <c r="A146" t="s">
        <v>609</v>
      </c>
      <c r="B146">
        <v>14740436</v>
      </c>
      <c r="C146" t="s">
        <v>610</v>
      </c>
      <c r="D146" t="s">
        <v>611</v>
      </c>
      <c r="E146" t="s">
        <v>20</v>
      </c>
      <c r="F146" t="s">
        <v>22</v>
      </c>
      <c r="G146" t="s">
        <v>22</v>
      </c>
      <c r="H146" t="s">
        <v>38</v>
      </c>
      <c r="I146" t="s">
        <v>3378</v>
      </c>
      <c r="J146">
        <v>12682.83</v>
      </c>
      <c r="K146" t="s">
        <v>27</v>
      </c>
      <c r="L146" t="s">
        <v>48</v>
      </c>
      <c r="M146" s="1">
        <v>46149.802083333336</v>
      </c>
      <c r="N146">
        <v>69</v>
      </c>
      <c r="O146" t="s">
        <v>24</v>
      </c>
      <c r="P146" t="s">
        <v>36</v>
      </c>
      <c r="Q146" t="s">
        <v>612</v>
      </c>
      <c r="R146">
        <f t="shared" si="14"/>
        <v>14740436</v>
      </c>
      <c r="S146" t="str" cm="1">
        <f t="array" ref="S146">IF(C146="",IFERROR(INDEX($C$2:$C$1166,MATCH(MAX(COUNTIF($C$2:$C$1166,$C$2:$C$1166)),COUNTIF($C$2:$C$1166,$C$2:$C$1166),0)),"Unknown"),C146)</f>
        <v>Christopher Rostova</v>
      </c>
      <c r="T146" s="4" t="str" cm="1">
        <f t="array" ref="T146">IF(D146="",IFERROR(INDEX($D$2:$D$1000,MATCH(MAX(COUNTIF($D$2:$D$1166,$D$2:$D$1166)),COUNTIF($D$2:$D$1166,$D$2:$D$1166),0)),"Unknown"),D146)</f>
        <v>Christopher Khan</v>
      </c>
      <c r="U146" t="str">
        <f t="shared" si="15"/>
        <v>BRL</v>
      </c>
      <c r="V146" s="7" t="str">
        <f t="shared" si="15"/>
        <v>BRL</v>
      </c>
      <c r="W146" s="7" t="str">
        <f t="shared" si="16"/>
        <v>Brazil</v>
      </c>
      <c r="X146" s="7" t="str">
        <f t="shared" si="16"/>
        <v>Germany</v>
      </c>
      <c r="Y146" s="7" t="str" cm="1">
        <f t="array" ref="Y146">IF(H146="",IFERROR(INDEX($H$2:$H$1166,MATCH(MAX(COUNTIF($H$2:$H$1166,$H$2:$H$1166)),COUNTIF($H$2:$H$1166,$H$2:$H$1166),0)),"Unknown"),H146)</f>
        <v>Pending</v>
      </c>
      <c r="Z146" s="7" t="str">
        <f t="shared" si="17"/>
        <v>Inter-Transaction</v>
      </c>
      <c r="AA146" s="7">
        <f>IF(J146="",AVERAGE($J:$J),J146)</f>
        <v>12682.83</v>
      </c>
      <c r="AB146" s="7">
        <f>IF(N146="",AVERAGE($N:$N),N146)</f>
        <v>69</v>
      </c>
      <c r="AC146" s="7">
        <f t="shared" si="18"/>
        <v>2026</v>
      </c>
      <c r="AD146" s="7">
        <f t="shared" si="19"/>
        <v>5</v>
      </c>
      <c r="AE146" s="7">
        <f>COUNTIF(A:A,A146)</f>
        <v>1</v>
      </c>
      <c r="AF146" s="7" t="str">
        <f t="shared" si="20"/>
        <v>No</v>
      </c>
    </row>
    <row r="147" spans="1:32">
      <c r="A147" t="s">
        <v>613</v>
      </c>
      <c r="B147">
        <v>55047826</v>
      </c>
      <c r="C147" t="s">
        <v>278</v>
      </c>
      <c r="D147" t="s">
        <v>614</v>
      </c>
      <c r="E147" t="s">
        <v>20</v>
      </c>
      <c r="F147" t="s">
        <v>53</v>
      </c>
      <c r="G147" t="s">
        <v>92</v>
      </c>
      <c r="H147" t="s">
        <v>56</v>
      </c>
      <c r="I147" t="s">
        <v>3377</v>
      </c>
      <c r="J147">
        <v>12997.24</v>
      </c>
      <c r="K147" t="s">
        <v>27</v>
      </c>
      <c r="L147" t="s">
        <v>28</v>
      </c>
      <c r="M147" s="1">
        <v>45778.26458333333</v>
      </c>
      <c r="N147">
        <v>79</v>
      </c>
      <c r="O147" t="s">
        <v>62</v>
      </c>
      <c r="P147" t="s">
        <v>36</v>
      </c>
      <c r="Q147" t="s">
        <v>615</v>
      </c>
      <c r="R147">
        <f t="shared" si="14"/>
        <v>55047826</v>
      </c>
      <c r="S147" t="str" cm="1">
        <f t="array" ref="S147">IF(C147="",IFERROR(INDEX($C$2:$C$1166,MATCH(MAX(COUNTIF($C$2:$C$1166,$C$2:$C$1166)),COUNTIF($C$2:$C$1166,$C$2:$C$1166),0)),"Unknown"),C147)</f>
        <v>Sanjay Williams</v>
      </c>
      <c r="T147" s="4" t="str" cm="1">
        <f t="array" ref="T147">IF(D147="",IFERROR(INDEX($D$2:$D$1000,MATCH(MAX(COUNTIF($D$2:$D$1166,$D$2:$D$1166)),COUNTIF($D$2:$D$1166,$D$2:$D$1166),0)),"Unknown"),D147)</f>
        <v>Elizabeth Lopez</v>
      </c>
      <c r="U147" t="str">
        <f t="shared" si="15"/>
        <v>AED</v>
      </c>
      <c r="V147" s="7" t="str">
        <f t="shared" si="15"/>
        <v>AUD</v>
      </c>
      <c r="W147" s="7" t="str">
        <f t="shared" si="16"/>
        <v>Australia</v>
      </c>
      <c r="X147" s="7" t="str">
        <f t="shared" si="16"/>
        <v>Germany</v>
      </c>
      <c r="Y147" s="7" t="str" cm="1">
        <f t="array" ref="Y147">IF(H147="",IFERROR(INDEX($H$2:$H$1166,MATCH(MAX(COUNTIF($H$2:$H$1166,$H$2:$H$1166)),COUNTIF($H$2:$H$1166,$H$2:$H$1166),0)),"Unknown"),H147)</f>
        <v>Unverified</v>
      </c>
      <c r="Z147" s="7" t="str">
        <f t="shared" si="17"/>
        <v>Inter-Transaction</v>
      </c>
      <c r="AA147" s="7">
        <f>IF(J147="",AVERAGE($J:$J),J147)</f>
        <v>12997.24</v>
      </c>
      <c r="AB147" s="7">
        <f>IF(N147="",AVERAGE($N:$N),N147)</f>
        <v>79</v>
      </c>
      <c r="AC147" s="7">
        <f t="shared" si="18"/>
        <v>2025</v>
      </c>
      <c r="AD147" s="7">
        <f t="shared" si="19"/>
        <v>5</v>
      </c>
      <c r="AE147" s="7">
        <f>COUNTIF(A:A,A147)</f>
        <v>1</v>
      </c>
      <c r="AF147" s="7" t="str">
        <f t="shared" si="20"/>
        <v>No</v>
      </c>
    </row>
    <row r="148" spans="1:32">
      <c r="A148" t="s">
        <v>616</v>
      </c>
      <c r="B148">
        <v>36883353</v>
      </c>
      <c r="C148" t="s">
        <v>617</v>
      </c>
      <c r="D148" t="s">
        <v>618</v>
      </c>
      <c r="E148" t="s">
        <v>20</v>
      </c>
      <c r="F148" t="s">
        <v>44</v>
      </c>
      <c r="G148" t="s">
        <v>21</v>
      </c>
      <c r="H148" t="s">
        <v>74</v>
      </c>
      <c r="I148" t="s">
        <v>3378</v>
      </c>
      <c r="J148">
        <v>9521.14</v>
      </c>
      <c r="K148" t="s">
        <v>86</v>
      </c>
      <c r="L148" t="s">
        <v>81</v>
      </c>
      <c r="M148" s="1">
        <v>44750.454861111109</v>
      </c>
      <c r="N148">
        <v>75</v>
      </c>
      <c r="O148" t="s">
        <v>93</v>
      </c>
      <c r="P148" t="s">
        <v>24</v>
      </c>
      <c r="Q148" t="s">
        <v>619</v>
      </c>
      <c r="R148">
        <f t="shared" si="14"/>
        <v>36883353</v>
      </c>
      <c r="S148" t="str" cm="1">
        <f t="array" ref="S148">IF(C148="",IFERROR(INDEX($C$2:$C$1166,MATCH(MAX(COUNTIF($C$2:$C$1166,$C$2:$C$1166)),COUNTIF($C$2:$C$1166,$C$2:$C$1166),0)),"Unknown"),C148)</f>
        <v>Richard Wilson</v>
      </c>
      <c r="T148" s="4" t="str" cm="1">
        <f t="array" ref="T148">IF(D148="",IFERROR(INDEX($D$2:$D$1000,MATCH(MAX(COUNTIF($D$2:$D$1166,$D$2:$D$1166)),COUNTIF($D$2:$D$1166,$D$2:$D$1166),0)),"Unknown"),D148)</f>
        <v>Christopher Volkov</v>
      </c>
      <c r="U148" t="str">
        <f t="shared" si="15"/>
        <v>SGD</v>
      </c>
      <c r="V148" s="7" t="str">
        <f t="shared" si="15"/>
        <v>GBP</v>
      </c>
      <c r="W148" s="7" t="str">
        <f t="shared" si="16"/>
        <v>USA</v>
      </c>
      <c r="X148" s="7" t="str">
        <f t="shared" si="16"/>
        <v>Brazil</v>
      </c>
      <c r="Y148" s="7" t="str" cm="1">
        <f t="array" ref="Y148">IF(H148="",IFERROR(INDEX($H$2:$H$1166,MATCH(MAX(COUNTIF($H$2:$H$1166,$H$2:$H$1166)),COUNTIF($H$2:$H$1166,$H$2:$H$1166),0)),"Unknown"),H148)</f>
        <v>Non-KYC</v>
      </c>
      <c r="Z148" s="7" t="str">
        <f t="shared" si="17"/>
        <v>Inter-Transaction</v>
      </c>
      <c r="AA148" s="7">
        <f>IF(J148="",AVERAGE($J:$J),J148)</f>
        <v>9521.14</v>
      </c>
      <c r="AB148" s="7">
        <f>IF(N148="",AVERAGE($N:$N),N148)</f>
        <v>75</v>
      </c>
      <c r="AC148" s="7">
        <f t="shared" si="18"/>
        <v>2022</v>
      </c>
      <c r="AD148" s="7">
        <f t="shared" si="19"/>
        <v>7</v>
      </c>
      <c r="AE148" s="7">
        <f>COUNTIF(A:A,A148)</f>
        <v>1</v>
      </c>
      <c r="AF148" s="7" t="str">
        <f t="shared" si="20"/>
        <v>No</v>
      </c>
    </row>
    <row r="149" spans="1:32">
      <c r="A149" t="s">
        <v>620</v>
      </c>
      <c r="B149">
        <v>68211760</v>
      </c>
      <c r="C149" t="s">
        <v>621</v>
      </c>
      <c r="D149" t="s">
        <v>622</v>
      </c>
      <c r="E149">
        <v>1</v>
      </c>
      <c r="F149" t="s">
        <v>160</v>
      </c>
      <c r="G149" t="s">
        <v>80</v>
      </c>
      <c r="H149" t="s">
        <v>38</v>
      </c>
      <c r="I149" t="s">
        <v>3371</v>
      </c>
      <c r="J149">
        <v>278.56</v>
      </c>
      <c r="K149" t="s">
        <v>86</v>
      </c>
      <c r="L149" t="s">
        <v>48</v>
      </c>
      <c r="M149" s="1">
        <v>45554.039583333331</v>
      </c>
      <c r="N149">
        <v>69</v>
      </c>
      <c r="O149" t="s">
        <v>54</v>
      </c>
      <c r="P149" t="s">
        <v>54</v>
      </c>
      <c r="Q149" t="s">
        <v>623</v>
      </c>
      <c r="R149">
        <f t="shared" si="14"/>
        <v>68211760</v>
      </c>
      <c r="S149" t="str" cm="1">
        <f t="array" ref="S149">IF(C149="",IFERROR(INDEX($C$2:$C$1166,MATCH(MAX(COUNTIF($C$2:$C$1166,$C$2:$C$1166)),COUNTIF($C$2:$C$1166,$C$2:$C$1166),0)),"Unknown"),C149)</f>
        <v xml:space="preserve">  SANJAY WILSON </v>
      </c>
      <c r="T149" s="4" t="str" cm="1">
        <f t="array" ref="T149">IF(D149="",IFERROR(INDEX($D$2:$D$1000,MATCH(MAX(COUNTIF($D$2:$D$1166,$D$2:$D$1166)),COUNTIF($D$2:$D$1166,$D$2:$D$1166),0)),"Unknown"),D149)</f>
        <v>Joseph Wilson</v>
      </c>
      <c r="U149" t="str">
        <f t="shared" si="15"/>
        <v>aud</v>
      </c>
      <c r="V149" s="7" t="str">
        <f t="shared" si="15"/>
        <v>USD</v>
      </c>
      <c r="W149" s="7" t="str">
        <f t="shared" si="16"/>
        <v>India</v>
      </c>
      <c r="X149" s="7" t="str">
        <f t="shared" si="16"/>
        <v>India</v>
      </c>
      <c r="Y149" s="7" t="str" cm="1">
        <f t="array" ref="Y149">IF(H149="",IFERROR(INDEX($H$2:$H$1166,MATCH(MAX(COUNTIF($H$2:$H$1166,$H$2:$H$1166)),COUNTIF($H$2:$H$1166,$H$2:$H$1166),0)),"Unknown"),H149)</f>
        <v>Pending</v>
      </c>
      <c r="Z149" s="7" t="str">
        <f t="shared" si="17"/>
        <v>Outer-Transaction</v>
      </c>
      <c r="AA149" s="7">
        <f>IF(J149="",AVERAGE($J:$J),J149)</f>
        <v>278.56</v>
      </c>
      <c r="AB149" s="7">
        <f>IF(N149="",AVERAGE($N:$N),N149)</f>
        <v>69</v>
      </c>
      <c r="AC149" s="7">
        <f t="shared" si="18"/>
        <v>2024</v>
      </c>
      <c r="AD149" s="7">
        <f t="shared" si="19"/>
        <v>9</v>
      </c>
      <c r="AE149" s="7">
        <f>COUNTIF(A:A,A149)</f>
        <v>1</v>
      </c>
      <c r="AF149" s="7" t="str">
        <f t="shared" si="20"/>
        <v>Yes</v>
      </c>
    </row>
    <row r="150" spans="1:32">
      <c r="A150" t="s">
        <v>624</v>
      </c>
      <c r="B150">
        <v>50024028</v>
      </c>
      <c r="C150" t="s">
        <v>102</v>
      </c>
      <c r="E150" t="s">
        <v>20</v>
      </c>
      <c r="F150" t="s">
        <v>34</v>
      </c>
      <c r="G150" t="s">
        <v>92</v>
      </c>
      <c r="H150" t="s">
        <v>74</v>
      </c>
      <c r="I150" t="s">
        <v>3371</v>
      </c>
      <c r="J150">
        <v>14221.78</v>
      </c>
      <c r="K150" t="s">
        <v>39</v>
      </c>
      <c r="L150" t="s">
        <v>28</v>
      </c>
      <c r="M150" s="1">
        <v>45875.257638888892</v>
      </c>
      <c r="N150">
        <v>29</v>
      </c>
      <c r="O150" t="s">
        <v>127</v>
      </c>
      <c r="P150" t="s">
        <v>54</v>
      </c>
      <c r="Q150" t="s">
        <v>625</v>
      </c>
      <c r="R150">
        <f t="shared" si="14"/>
        <v>50024028</v>
      </c>
      <c r="S150" t="str" cm="1">
        <f t="array" ref="S150">IF(C150="",IFERROR(INDEX($C$2:$C$1166,MATCH(MAX(COUNTIF($C$2:$C$1166,$C$2:$C$1166)),COUNTIF($C$2:$C$1166,$C$2:$C$1166),0)),"Unknown"),C150)</f>
        <v>Barbara Anderson</v>
      </c>
      <c r="T150" s="4" t="str" cm="1">
        <f t="array" ref="T150">IF(D150="",IFERROR(INDEX($D$2:$D$1000,MATCH(MAX(COUNTIF($D$2:$D$1166,$D$2:$D$1166)),COUNTIF($D$2:$D$1166,$D$2:$D$1166),0)),"Unknown"),D150)</f>
        <v>Patricia Smith</v>
      </c>
      <c r="U150" t="str">
        <f t="shared" si="15"/>
        <v>CAD</v>
      </c>
      <c r="V150" s="7" t="str">
        <f t="shared" si="15"/>
        <v>AUD</v>
      </c>
      <c r="W150" s="7" t="str">
        <f t="shared" si="16"/>
        <v>Canada</v>
      </c>
      <c r="X150" s="7" t="str">
        <f t="shared" si="16"/>
        <v>India</v>
      </c>
      <c r="Y150" s="7" t="str" cm="1">
        <f t="array" ref="Y150">IF(H150="",IFERROR(INDEX($H$2:$H$1166,MATCH(MAX(COUNTIF($H$2:$H$1166,$H$2:$H$1166)),COUNTIF($H$2:$H$1166,$H$2:$H$1166),0)),"Unknown"),H150)</f>
        <v>Non-KYC</v>
      </c>
      <c r="Z150" s="7" t="str">
        <f t="shared" si="17"/>
        <v>Outer-Transaction</v>
      </c>
      <c r="AA150" s="7">
        <f>IF(J150="",AVERAGE($J:$J),J150)</f>
        <v>14221.78</v>
      </c>
      <c r="AB150" s="7">
        <f>IF(N150="",AVERAGE($N:$N),N150)</f>
        <v>29</v>
      </c>
      <c r="AC150" s="7">
        <f t="shared" si="18"/>
        <v>2025</v>
      </c>
      <c r="AD150" s="7">
        <f t="shared" si="19"/>
        <v>8</v>
      </c>
      <c r="AE150" s="7">
        <f>COUNTIF(A:A,A150)</f>
        <v>1</v>
      </c>
      <c r="AF150" s="7" t="str">
        <f t="shared" si="20"/>
        <v>No</v>
      </c>
    </row>
    <row r="151" spans="1:32">
      <c r="A151" t="s">
        <v>626</v>
      </c>
      <c r="B151">
        <v>15014834</v>
      </c>
      <c r="C151" t="s">
        <v>147</v>
      </c>
      <c r="E151" t="s">
        <v>20</v>
      </c>
      <c r="F151" t="s">
        <v>116</v>
      </c>
      <c r="G151" t="s">
        <v>80</v>
      </c>
      <c r="H151" t="s">
        <v>25</v>
      </c>
      <c r="I151" t="s">
        <v>3372</v>
      </c>
      <c r="J151">
        <v>6670.27</v>
      </c>
      <c r="K151" t="s">
        <v>86</v>
      </c>
      <c r="L151" t="s">
        <v>75</v>
      </c>
      <c r="M151" s="1">
        <v>44249.290277777778</v>
      </c>
      <c r="N151">
        <v>56</v>
      </c>
      <c r="O151" t="s">
        <v>23</v>
      </c>
      <c r="P151" t="s">
        <v>127</v>
      </c>
      <c r="Q151" t="s">
        <v>627</v>
      </c>
      <c r="R151">
        <f t="shared" si="14"/>
        <v>15014834</v>
      </c>
      <c r="S151" t="str" cm="1">
        <f t="array" ref="S151">IF(C151="",IFERROR(INDEX($C$2:$C$1166,MATCH(MAX(COUNTIF($C$2:$C$1166,$C$2:$C$1166)),COUNTIF($C$2:$C$1166,$C$2:$C$1166),0)),"Unknown"),C151)</f>
        <v>Joseph Volkov</v>
      </c>
      <c r="T151" s="4" t="str" cm="1">
        <f t="array" ref="T151">IF(D151="",IFERROR(INDEX($D$2:$D$1000,MATCH(MAX(COUNTIF($D$2:$D$1166,$D$2:$D$1166)),COUNTIF($D$2:$D$1166,$D$2:$D$1166),0)),"Unknown"),D151)</f>
        <v>Patricia Smith</v>
      </c>
      <c r="U151" t="str">
        <f t="shared" si="15"/>
        <v>CHF</v>
      </c>
      <c r="V151" s="7" t="str">
        <f t="shared" si="15"/>
        <v>USD</v>
      </c>
      <c r="W151" s="7" t="str">
        <f t="shared" si="16"/>
        <v>France</v>
      </c>
      <c r="X151" s="7" t="str">
        <f t="shared" si="16"/>
        <v>Canada</v>
      </c>
      <c r="Y151" s="7" t="str" cm="1">
        <f t="array" ref="Y151">IF(H151="",IFERROR(INDEX($H$2:$H$1166,MATCH(MAX(COUNTIF($H$2:$H$1166,$H$2:$H$1166)),COUNTIF($H$2:$H$1166,$H$2:$H$1166),0)),"Unknown"),H151)</f>
        <v>KYC</v>
      </c>
      <c r="Z151" s="7" t="str">
        <f t="shared" si="17"/>
        <v>Outer-Transaction</v>
      </c>
      <c r="AA151" s="7">
        <f>IF(J151="",AVERAGE($J:$J),J151)</f>
        <v>6670.27</v>
      </c>
      <c r="AB151" s="7">
        <f>IF(N151="",AVERAGE($N:$N),N151)</f>
        <v>56</v>
      </c>
      <c r="AC151" s="7">
        <f t="shared" si="18"/>
        <v>2021</v>
      </c>
      <c r="AD151" s="7">
        <f t="shared" si="19"/>
        <v>2</v>
      </c>
      <c r="AE151" s="7">
        <f>COUNTIF(A:A,A151)</f>
        <v>1</v>
      </c>
      <c r="AF151" s="7" t="str">
        <f t="shared" si="20"/>
        <v>No</v>
      </c>
    </row>
    <row r="152" spans="1:32">
      <c r="A152" t="s">
        <v>628</v>
      </c>
      <c r="C152" t="s">
        <v>629</v>
      </c>
      <c r="D152" t="s">
        <v>630</v>
      </c>
      <c r="E152" t="s">
        <v>3375</v>
      </c>
      <c r="F152" t="s">
        <v>35</v>
      </c>
      <c r="H152" t="s">
        <v>74</v>
      </c>
      <c r="I152" t="s">
        <v>3378</v>
      </c>
      <c r="J152">
        <v>12474.17</v>
      </c>
      <c r="K152" t="s">
        <v>47</v>
      </c>
      <c r="L152" t="s">
        <v>75</v>
      </c>
      <c r="M152" s="1">
        <v>45580.943055555559</v>
      </c>
      <c r="N152">
        <v>19</v>
      </c>
      <c r="O152" t="s">
        <v>62</v>
      </c>
      <c r="P152" t="s">
        <v>68</v>
      </c>
      <c r="Q152" t="s">
        <v>631</v>
      </c>
      <c r="R152">
        <f t="shared" si="14"/>
        <v>0</v>
      </c>
      <c r="S152" t="str" cm="1">
        <f t="array" ref="S152">IF(C152="",IFERROR(INDEX($C$2:$C$1166,MATCH(MAX(COUNTIF($C$2:$C$1166,$C$2:$C$1166)),COUNTIF($C$2:$C$1166,$C$2:$C$1166),0)),"Unknown"),C152)</f>
        <v>Nancy Rostova</v>
      </c>
      <c r="T152" s="4" t="str" cm="1">
        <f t="array" ref="T152">IF(D152="",IFERROR(INDEX($D$2:$D$1000,MATCH(MAX(COUNTIF($D$2:$D$1166,$D$2:$D$1166)),COUNTIF($D$2:$D$1166,$D$2:$D$1166),0)),"Unknown"),D152)</f>
        <v>Michael Wilson</v>
      </c>
      <c r="U152" t="str">
        <f t="shared" si="15"/>
        <v>EUR</v>
      </c>
      <c r="V152" s="7" t="str">
        <f t="shared" si="15"/>
        <v/>
      </c>
      <c r="W152" s="7" t="str">
        <f t="shared" si="16"/>
        <v>Australia</v>
      </c>
      <c r="X152" s="7" t="str">
        <f t="shared" si="16"/>
        <v>UAE</v>
      </c>
      <c r="Y152" s="7" t="str" cm="1">
        <f t="array" ref="Y152">IF(H152="",IFERROR(INDEX($H$2:$H$1166,MATCH(MAX(COUNTIF($H$2:$H$1166,$H$2:$H$1166)),COUNTIF($H$2:$H$1166,$H$2:$H$1166),0)),"Unknown"),H152)</f>
        <v>Non-KYC</v>
      </c>
      <c r="Z152" s="7" t="str">
        <f t="shared" si="17"/>
        <v>Inter-Transaction</v>
      </c>
      <c r="AA152" s="7">
        <f>IF(J152="",AVERAGE($J:$J),J152)</f>
        <v>12474.17</v>
      </c>
      <c r="AB152" s="7">
        <f>IF(N152="",AVERAGE($N:$N),N152)</f>
        <v>19</v>
      </c>
      <c r="AC152" s="7">
        <f t="shared" si="18"/>
        <v>2024</v>
      </c>
      <c r="AD152" s="7">
        <f t="shared" si="19"/>
        <v>10</v>
      </c>
      <c r="AE152" s="7">
        <f>COUNTIF(A:A,A152)</f>
        <v>1</v>
      </c>
      <c r="AF152" s="7" t="str">
        <f t="shared" si="20"/>
        <v>No</v>
      </c>
    </row>
    <row r="153" spans="1:32">
      <c r="A153" t="s">
        <v>632</v>
      </c>
      <c r="B153">
        <v>21945758</v>
      </c>
      <c r="C153" t="s">
        <v>633</v>
      </c>
      <c r="D153" t="s">
        <v>634</v>
      </c>
      <c r="E153">
        <v>1</v>
      </c>
      <c r="F153" t="s">
        <v>21</v>
      </c>
      <c r="G153" t="s">
        <v>35</v>
      </c>
      <c r="H153" t="s">
        <v>56</v>
      </c>
      <c r="I153" t="s">
        <v>3378</v>
      </c>
      <c r="J153">
        <v>3969.23</v>
      </c>
      <c r="K153" t="s">
        <v>86</v>
      </c>
      <c r="L153" t="s">
        <v>28</v>
      </c>
      <c r="M153" s="1">
        <v>45219.407638888886</v>
      </c>
      <c r="N153">
        <v>20</v>
      </c>
      <c r="O153" t="s">
        <v>23</v>
      </c>
      <c r="P153" t="s">
        <v>62</v>
      </c>
      <c r="Q153" t="s">
        <v>635</v>
      </c>
      <c r="R153">
        <f t="shared" si="14"/>
        <v>21945758</v>
      </c>
      <c r="S153" t="str" cm="1">
        <f t="array" ref="S153">IF(C153="",IFERROR(INDEX($C$2:$C$1166,MATCH(MAX(COUNTIF($C$2:$C$1166,$C$2:$C$1166)),COUNTIF($C$2:$C$1166,$C$2:$C$1166),0)),"Unknown"),C153)</f>
        <v>Priya Brown</v>
      </c>
      <c r="T153" s="4" t="str" cm="1">
        <f t="array" ref="T153">IF(D153="",IFERROR(INDEX($D$2:$D$1000,MATCH(MAX(COUNTIF($D$2:$D$1166,$D$2:$D$1166)),COUNTIF($D$2:$D$1166,$D$2:$D$1166),0)),"Unknown"),D153)</f>
        <v>Amir Jackson</v>
      </c>
      <c r="U153" t="str">
        <f t="shared" si="15"/>
        <v>GBP</v>
      </c>
      <c r="V153" s="7" t="str">
        <f t="shared" si="15"/>
        <v>EUR</v>
      </c>
      <c r="W153" s="7" t="str">
        <f t="shared" si="16"/>
        <v>France</v>
      </c>
      <c r="X153" s="7" t="str">
        <f t="shared" si="16"/>
        <v>Australia</v>
      </c>
      <c r="Y153" s="7" t="str" cm="1">
        <f t="array" ref="Y153">IF(H153="",IFERROR(INDEX($H$2:$H$1166,MATCH(MAX(COUNTIF($H$2:$H$1166,$H$2:$H$1166)),COUNTIF($H$2:$H$1166,$H$2:$H$1166),0)),"Unknown"),H153)</f>
        <v>Unverified</v>
      </c>
      <c r="Z153" s="7" t="str">
        <f t="shared" si="17"/>
        <v>Inter-Transaction</v>
      </c>
      <c r="AA153" s="7">
        <f>IF(J153="",AVERAGE($J:$J),J153)</f>
        <v>3969.23</v>
      </c>
      <c r="AB153" s="7">
        <f>IF(N153="",AVERAGE($N:$N),N153)</f>
        <v>20</v>
      </c>
      <c r="AC153" s="7">
        <f t="shared" si="18"/>
        <v>2023</v>
      </c>
      <c r="AD153" s="7">
        <f t="shared" si="19"/>
        <v>10</v>
      </c>
      <c r="AE153" s="7">
        <f>COUNTIF(A:A,A153)</f>
        <v>1</v>
      </c>
      <c r="AF153" s="7" t="str">
        <f t="shared" si="20"/>
        <v>Yes</v>
      </c>
    </row>
    <row r="154" spans="1:32">
      <c r="A154" t="s">
        <v>636</v>
      </c>
      <c r="B154">
        <v>16159129</v>
      </c>
      <c r="C154" t="s">
        <v>637</v>
      </c>
      <c r="D154" t="s">
        <v>256</v>
      </c>
      <c r="E154" t="s">
        <v>20</v>
      </c>
      <c r="F154" t="s">
        <v>34</v>
      </c>
      <c r="G154" t="s">
        <v>34</v>
      </c>
      <c r="H154" t="s">
        <v>103</v>
      </c>
      <c r="I154" t="s">
        <v>3371</v>
      </c>
      <c r="J154">
        <v>1716.34</v>
      </c>
      <c r="K154" t="s">
        <v>39</v>
      </c>
      <c r="L154" t="s">
        <v>81</v>
      </c>
      <c r="M154" s="1">
        <v>44930.297222222223</v>
      </c>
      <c r="N154">
        <v>73</v>
      </c>
      <c r="O154" t="s">
        <v>55</v>
      </c>
      <c r="P154" t="s">
        <v>93</v>
      </c>
      <c r="Q154" t="s">
        <v>638</v>
      </c>
      <c r="R154">
        <f t="shared" si="14"/>
        <v>16159129</v>
      </c>
      <c r="S154" t="str" cm="1">
        <f t="array" ref="S154">IF(C154="",IFERROR(INDEX($C$2:$C$1166,MATCH(MAX(COUNTIF($C$2:$C$1166,$C$2:$C$1166)),COUNTIF($C$2:$C$1166,$C$2:$C$1166),0)),"Unknown"),C154)</f>
        <v>John Malik</v>
      </c>
      <c r="T154" s="4" t="str" cm="1">
        <f t="array" ref="T154">IF(D154="",IFERROR(INDEX($D$2:$D$1000,MATCH(MAX(COUNTIF($D$2:$D$1166,$D$2:$D$1166)),COUNTIF($D$2:$D$1166,$D$2:$D$1166),0)),"Unknown"),D154)</f>
        <v>Michael Velez</v>
      </c>
      <c r="U154" t="str">
        <f t="shared" si="15"/>
        <v>CAD</v>
      </c>
      <c r="V154" s="7" t="str">
        <f t="shared" si="15"/>
        <v>CAD</v>
      </c>
      <c r="W154" s="7" t="str">
        <f t="shared" si="16"/>
        <v>UK</v>
      </c>
      <c r="X154" s="7" t="str">
        <f t="shared" si="16"/>
        <v>USA</v>
      </c>
      <c r="Y154" s="7" t="str" cm="1">
        <f t="array" ref="Y154">IF(H154="",IFERROR(INDEX($H$2:$H$1166,MATCH(MAX(COUNTIF($H$2:$H$1166,$H$2:$H$1166)),COUNTIF($H$2:$H$1166,$H$2:$H$1166),0)),"Unknown"),H154)</f>
        <v>Verified</v>
      </c>
      <c r="Z154" s="7" t="str">
        <f t="shared" si="17"/>
        <v>Outer-Transaction</v>
      </c>
      <c r="AA154" s="7">
        <f>IF(J154="",AVERAGE($J:$J),J154)</f>
        <v>1716.34</v>
      </c>
      <c r="AB154" s="7">
        <f>IF(N154="",AVERAGE($N:$N),N154)</f>
        <v>73</v>
      </c>
      <c r="AC154" s="7">
        <f t="shared" si="18"/>
        <v>2023</v>
      </c>
      <c r="AD154" s="7">
        <f t="shared" si="19"/>
        <v>1</v>
      </c>
      <c r="AE154" s="7">
        <f>COUNTIF(A:A,A154)</f>
        <v>1</v>
      </c>
      <c r="AF154" s="7" t="str">
        <f t="shared" si="20"/>
        <v>No</v>
      </c>
    </row>
    <row r="155" spans="1:32">
      <c r="A155" t="s">
        <v>639</v>
      </c>
      <c r="B155">
        <v>17871385</v>
      </c>
      <c r="C155" t="s">
        <v>640</v>
      </c>
      <c r="D155" t="s">
        <v>641</v>
      </c>
      <c r="E155" t="b">
        <v>0</v>
      </c>
      <c r="F155" t="s">
        <v>44</v>
      </c>
      <c r="G155" t="s">
        <v>116</v>
      </c>
      <c r="I155" t="s">
        <v>3374</v>
      </c>
      <c r="J155">
        <v>14601.93</v>
      </c>
      <c r="K155" t="s">
        <v>47</v>
      </c>
      <c r="L155" t="s">
        <v>81</v>
      </c>
      <c r="M155" s="1">
        <v>46311.356249999997</v>
      </c>
      <c r="N155">
        <v>76</v>
      </c>
      <c r="O155" t="s">
        <v>55</v>
      </c>
      <c r="P155" t="s">
        <v>62</v>
      </c>
      <c r="Q155" t="s">
        <v>642</v>
      </c>
      <c r="R155">
        <f t="shared" si="14"/>
        <v>17871385</v>
      </c>
      <c r="S155" t="str" cm="1">
        <f t="array" ref="S155">IF(C155="",IFERROR(INDEX($C$2:$C$1166,MATCH(MAX(COUNTIF($C$2:$C$1166,$C$2:$C$1166)),COUNTIF($C$2:$C$1166,$C$2:$C$1166),0)),"Unknown"),C155)</f>
        <v>Zayn Garcia</v>
      </c>
      <c r="T155" s="4" t="str" cm="1">
        <f t="array" ref="T155">IF(D155="",IFERROR(INDEX($D$2:$D$1000,MATCH(MAX(COUNTIF($D$2:$D$1166,$D$2:$D$1166)),COUNTIF($D$2:$D$1166,$D$2:$D$1166),0)),"Unknown"),D155)</f>
        <v xml:space="preserve"> patricia wilson   </v>
      </c>
      <c r="U155" t="str">
        <f t="shared" si="15"/>
        <v>SGD</v>
      </c>
      <c r="V155" s="7" t="str">
        <f t="shared" si="15"/>
        <v>CHF</v>
      </c>
      <c r="W155" s="7" t="str">
        <f t="shared" si="16"/>
        <v>UK</v>
      </c>
      <c r="X155" s="7" t="str">
        <f t="shared" si="16"/>
        <v>Australia</v>
      </c>
      <c r="Y155" s="7" t="str" cm="1">
        <f t="array" ref="Y155">IF(H155="",IFERROR(INDEX($H$2:$H$1166,MATCH(MAX(COUNTIF($H$2:$H$1166,$H$2:$H$1166)),COUNTIF($H$2:$H$1166,$H$2:$H$1166),0)),"Unknown"),H155)</f>
        <v>Pending</v>
      </c>
      <c r="Z155" s="7" t="str">
        <f t="shared" si="17"/>
        <v>External</v>
      </c>
      <c r="AA155" s="7">
        <f>IF(J155="",AVERAGE($J:$J),J155)</f>
        <v>14601.93</v>
      </c>
      <c r="AB155" s="7">
        <f>IF(N155="",AVERAGE($N:$N),N155)</f>
        <v>76</v>
      </c>
      <c r="AC155" s="7">
        <f t="shared" si="18"/>
        <v>2026</v>
      </c>
      <c r="AD155" s="7">
        <f t="shared" si="19"/>
        <v>10</v>
      </c>
      <c r="AE155" s="7">
        <f>COUNTIF(A:A,A155)</f>
        <v>1</v>
      </c>
      <c r="AF155" s="7" t="str">
        <f t="shared" si="20"/>
        <v>No</v>
      </c>
    </row>
    <row r="156" spans="1:32">
      <c r="A156" t="s">
        <v>643</v>
      </c>
      <c r="B156">
        <v>87396519</v>
      </c>
      <c r="C156" t="s">
        <v>644</v>
      </c>
      <c r="D156" t="s">
        <v>191</v>
      </c>
      <c r="E156">
        <v>0</v>
      </c>
      <c r="F156" t="s">
        <v>98</v>
      </c>
      <c r="G156" t="s">
        <v>98</v>
      </c>
      <c r="I156" t="s">
        <v>3374</v>
      </c>
      <c r="J156">
        <v>9624.65</v>
      </c>
      <c r="K156" t="s">
        <v>47</v>
      </c>
      <c r="L156" t="s">
        <v>28</v>
      </c>
      <c r="M156" s="1">
        <v>45987.508333333331</v>
      </c>
      <c r="N156">
        <v>19</v>
      </c>
      <c r="O156" t="s">
        <v>24</v>
      </c>
      <c r="P156" t="s">
        <v>36</v>
      </c>
      <c r="Q156" t="s">
        <v>645</v>
      </c>
      <c r="R156">
        <f t="shared" si="14"/>
        <v>87396519</v>
      </c>
      <c r="S156" t="str" cm="1">
        <f t="array" ref="S156">IF(C156="",IFERROR(INDEX($C$2:$C$1166,MATCH(MAX(COUNTIF($C$2:$C$1166,$C$2:$C$1166)),COUNTIF($C$2:$C$1166,$C$2:$C$1166),0)),"Unknown"),C156)</f>
        <v>Fatima Jackson</v>
      </c>
      <c r="T156" s="4" t="str" cm="1">
        <f t="array" ref="T156">IF(D156="",IFERROR(INDEX($D$2:$D$1000,MATCH(MAX(COUNTIF($D$2:$D$1166,$D$2:$D$1166)),COUNTIF($D$2:$D$1166,$D$2:$D$1166),0)),"Unknown"),D156)</f>
        <v>Elizabeth Velez</v>
      </c>
      <c r="U156" t="str">
        <f t="shared" si="15"/>
        <v>JPY</v>
      </c>
      <c r="V156" s="7" t="str">
        <f t="shared" si="15"/>
        <v>JPY</v>
      </c>
      <c r="W156" s="7" t="str">
        <f t="shared" si="16"/>
        <v>Brazil</v>
      </c>
      <c r="X156" s="7" t="str">
        <f t="shared" si="16"/>
        <v>Germany</v>
      </c>
      <c r="Y156" s="7" t="str" cm="1">
        <f t="array" ref="Y156">IF(H156="",IFERROR(INDEX($H$2:$H$1166,MATCH(MAX(COUNTIF($H$2:$H$1166,$H$2:$H$1166)),COUNTIF($H$2:$H$1166,$H$2:$H$1166),0)),"Unknown"),H156)</f>
        <v>Pending</v>
      </c>
      <c r="Z156" s="7" t="str">
        <f t="shared" si="17"/>
        <v>External</v>
      </c>
      <c r="AA156" s="7">
        <f>IF(J156="",AVERAGE($J:$J),J156)</f>
        <v>9624.65</v>
      </c>
      <c r="AB156" s="7">
        <f>IF(N156="",AVERAGE($N:$N),N156)</f>
        <v>19</v>
      </c>
      <c r="AC156" s="7">
        <f t="shared" si="18"/>
        <v>2025</v>
      </c>
      <c r="AD156" s="7">
        <f t="shared" si="19"/>
        <v>11</v>
      </c>
      <c r="AE156" s="7">
        <f>COUNTIF(A:A,A156)</f>
        <v>1</v>
      </c>
      <c r="AF156" s="7" t="str">
        <f t="shared" si="20"/>
        <v>No</v>
      </c>
    </row>
    <row r="157" spans="1:32">
      <c r="A157" t="s">
        <v>646</v>
      </c>
      <c r="C157" t="s">
        <v>32</v>
      </c>
      <c r="D157" t="s">
        <v>647</v>
      </c>
      <c r="E157" t="s">
        <v>20</v>
      </c>
      <c r="F157" t="s">
        <v>45</v>
      </c>
      <c r="G157" t="s">
        <v>92</v>
      </c>
      <c r="H157" t="s">
        <v>56</v>
      </c>
      <c r="I157" t="s">
        <v>3372</v>
      </c>
      <c r="J157">
        <v>4747.76</v>
      </c>
      <c r="K157" t="s">
        <v>39</v>
      </c>
      <c r="L157" t="s">
        <v>28</v>
      </c>
      <c r="M157" s="1">
        <v>45376.95416666667</v>
      </c>
      <c r="N157">
        <v>19</v>
      </c>
      <c r="O157" t="s">
        <v>93</v>
      </c>
      <c r="P157" t="s">
        <v>36</v>
      </c>
      <c r="Q157" t="s">
        <v>648</v>
      </c>
      <c r="R157">
        <f t="shared" si="14"/>
        <v>0</v>
      </c>
      <c r="S157" t="str" cm="1">
        <f t="array" ref="S157">IF(C157="",IFERROR(INDEX($C$2:$C$1166,MATCH(MAX(COUNTIF($C$2:$C$1166,$C$2:$C$1166)),COUNTIF($C$2:$C$1166,$C$2:$C$1166),0)),"Unknown"),C157)</f>
        <v>Richard Rodriguez</v>
      </c>
      <c r="T157" s="4" t="str" cm="1">
        <f t="array" ref="T157">IF(D157="",IFERROR(INDEX($D$2:$D$1000,MATCH(MAX(COUNTIF($D$2:$D$1166,$D$2:$D$1166)),COUNTIF($D$2:$D$1166,$D$2:$D$1166),0)),"Unknown"),D157)</f>
        <v>Mary Taylor</v>
      </c>
      <c r="U157" t="str">
        <f t="shared" si="15"/>
        <v>ZAR</v>
      </c>
      <c r="V157" s="7" t="str">
        <f t="shared" si="15"/>
        <v>AUD</v>
      </c>
      <c r="W157" s="7" t="str">
        <f t="shared" si="16"/>
        <v>USA</v>
      </c>
      <c r="X157" s="7" t="str">
        <f t="shared" si="16"/>
        <v>Germany</v>
      </c>
      <c r="Y157" s="7" t="str" cm="1">
        <f t="array" ref="Y157">IF(H157="",IFERROR(INDEX($H$2:$H$1166,MATCH(MAX(COUNTIF($H$2:$H$1166,$H$2:$H$1166)),COUNTIF($H$2:$H$1166,$H$2:$H$1166),0)),"Unknown"),H157)</f>
        <v>Unverified</v>
      </c>
      <c r="Z157" s="7" t="str">
        <f t="shared" si="17"/>
        <v>Outer-Transaction</v>
      </c>
      <c r="AA157" s="7">
        <f>IF(J157="",AVERAGE($J:$J),J157)</f>
        <v>4747.76</v>
      </c>
      <c r="AB157" s="7">
        <f>IF(N157="",AVERAGE($N:$N),N157)</f>
        <v>19</v>
      </c>
      <c r="AC157" s="7">
        <f t="shared" si="18"/>
        <v>2024</v>
      </c>
      <c r="AD157" s="7">
        <f t="shared" si="19"/>
        <v>3</v>
      </c>
      <c r="AE157" s="7">
        <f>COUNTIF(A:A,A157)</f>
        <v>1</v>
      </c>
      <c r="AF157" s="7" t="str">
        <f t="shared" si="20"/>
        <v>No</v>
      </c>
    </row>
    <row r="158" spans="1:32">
      <c r="A158" t="s">
        <v>649</v>
      </c>
      <c r="B158">
        <v>78227936</v>
      </c>
      <c r="D158" t="s">
        <v>412</v>
      </c>
      <c r="E158" t="b">
        <v>1</v>
      </c>
      <c r="F158" t="s">
        <v>34</v>
      </c>
      <c r="G158" t="s">
        <v>34</v>
      </c>
      <c r="H158" t="s">
        <v>38</v>
      </c>
      <c r="I158" t="s">
        <v>3372</v>
      </c>
      <c r="J158">
        <v>10752.7</v>
      </c>
      <c r="K158" t="s">
        <v>57</v>
      </c>
      <c r="L158" t="s">
        <v>81</v>
      </c>
      <c r="M158" s="1">
        <v>44901.14166666667</v>
      </c>
      <c r="N158">
        <v>71</v>
      </c>
      <c r="O158" t="s">
        <v>127</v>
      </c>
      <c r="P158" t="s">
        <v>55</v>
      </c>
      <c r="Q158" t="s">
        <v>650</v>
      </c>
      <c r="R158">
        <f t="shared" si="14"/>
        <v>78227936</v>
      </c>
      <c r="S158" t="str" cm="1">
        <f t="array" ref="S158">IF(C158="",IFERROR(INDEX($C$2:$C$1166,MATCH(MAX(COUNTIF($C$2:$C$1166,$C$2:$C$1166)),COUNTIF($C$2:$C$1166,$C$2:$C$1166),0)),"Unknown"),C158)</f>
        <v>Fatima Brown</v>
      </c>
      <c r="T158" s="4" t="str" cm="1">
        <f t="array" ref="T158">IF(D158="",IFERROR(INDEX($D$2:$D$1000,MATCH(MAX(COUNTIF($D$2:$D$1166,$D$2:$D$1166)),COUNTIF($D$2:$D$1166,$D$2:$D$1166),0)),"Unknown"),D158)</f>
        <v>Sanjay Velez</v>
      </c>
      <c r="U158" t="str">
        <f t="shared" si="15"/>
        <v>CAD</v>
      </c>
      <c r="V158" s="7" t="str">
        <f t="shared" si="15"/>
        <v>CAD</v>
      </c>
      <c r="W158" s="7" t="str">
        <f t="shared" si="16"/>
        <v>Canada</v>
      </c>
      <c r="X158" s="7" t="str">
        <f t="shared" si="16"/>
        <v>UK</v>
      </c>
      <c r="Y158" s="7" t="str" cm="1">
        <f t="array" ref="Y158">IF(H158="",IFERROR(INDEX($H$2:$H$1166,MATCH(MAX(COUNTIF($H$2:$H$1166,$H$2:$H$1166)),COUNTIF($H$2:$H$1166,$H$2:$H$1166),0)),"Unknown"),H158)</f>
        <v>Pending</v>
      </c>
      <c r="Z158" s="7" t="str">
        <f t="shared" si="17"/>
        <v>Outer-Transaction</v>
      </c>
      <c r="AA158" s="7">
        <f>IF(J158="",AVERAGE($J:$J),J158)</f>
        <v>10752.7</v>
      </c>
      <c r="AB158" s="7">
        <f>IF(N158="",AVERAGE($N:$N),N158)</f>
        <v>71</v>
      </c>
      <c r="AC158" s="7">
        <f t="shared" si="18"/>
        <v>2022</v>
      </c>
      <c r="AD158" s="7">
        <f t="shared" si="19"/>
        <v>12</v>
      </c>
      <c r="AE158" s="7">
        <f>COUNTIF(A:A,A158)</f>
        <v>1</v>
      </c>
      <c r="AF158" s="7" t="str">
        <f t="shared" si="20"/>
        <v>No</v>
      </c>
    </row>
    <row r="159" spans="1:32">
      <c r="A159" t="s">
        <v>651</v>
      </c>
      <c r="B159">
        <v>60182714</v>
      </c>
      <c r="C159" t="s">
        <v>652</v>
      </c>
      <c r="D159" t="s">
        <v>653</v>
      </c>
      <c r="E159" t="s">
        <v>3375</v>
      </c>
      <c r="F159" t="s">
        <v>21</v>
      </c>
      <c r="G159" t="s">
        <v>22</v>
      </c>
      <c r="H159" t="s">
        <v>56</v>
      </c>
      <c r="I159" t="s">
        <v>3371</v>
      </c>
      <c r="J159">
        <v>6861.12</v>
      </c>
      <c r="K159" t="s">
        <v>47</v>
      </c>
      <c r="L159" t="s">
        <v>75</v>
      </c>
      <c r="M159" s="1">
        <v>46257.988194444442</v>
      </c>
      <c r="N159">
        <v>18</v>
      </c>
      <c r="O159" t="s">
        <v>68</v>
      </c>
      <c r="P159" t="s">
        <v>24</v>
      </c>
      <c r="Q159" t="s">
        <v>654</v>
      </c>
      <c r="R159">
        <f t="shared" si="14"/>
        <v>60182714</v>
      </c>
      <c r="S159" t="str" cm="1">
        <f t="array" ref="S159">IF(C159="",IFERROR(INDEX($C$2:$C$1166,MATCH(MAX(COUNTIF($C$2:$C$1166,$C$2:$C$1166)),COUNTIF($C$2:$C$1166,$C$2:$C$1166),0)),"Unknown"),C159)</f>
        <v>Elena Brown</v>
      </c>
      <c r="T159" s="4" t="str" cm="1">
        <f t="array" ref="T159">IF(D159="",IFERROR(INDEX($D$2:$D$1000,MATCH(MAX(COUNTIF($D$2:$D$1166,$D$2:$D$1166)),COUNTIF($D$2:$D$1166,$D$2:$D$1166),0)),"Unknown"),D159)</f>
        <v>Mary Volkov</v>
      </c>
      <c r="U159" t="str">
        <f t="shared" si="15"/>
        <v>GBP</v>
      </c>
      <c r="V159" s="7" t="str">
        <f t="shared" si="15"/>
        <v>BRL</v>
      </c>
      <c r="W159" s="7" t="str">
        <f t="shared" si="16"/>
        <v>UAE</v>
      </c>
      <c r="X159" s="7" t="str">
        <f t="shared" si="16"/>
        <v>Brazil</v>
      </c>
      <c r="Y159" s="7" t="str" cm="1">
        <f t="array" ref="Y159">IF(H159="",IFERROR(INDEX($H$2:$H$1166,MATCH(MAX(COUNTIF($H$2:$H$1166,$H$2:$H$1166)),COUNTIF($H$2:$H$1166,$H$2:$H$1166),0)),"Unknown"),H159)</f>
        <v>Unverified</v>
      </c>
      <c r="Z159" s="7" t="str">
        <f t="shared" si="17"/>
        <v>Outer-Transaction</v>
      </c>
      <c r="AA159" s="7">
        <f>IF(J159="",AVERAGE($J:$J),J159)</f>
        <v>6861.12</v>
      </c>
      <c r="AB159" s="7">
        <f>IF(N159="",AVERAGE($N:$N),N159)</f>
        <v>18</v>
      </c>
      <c r="AC159" s="7">
        <f t="shared" si="18"/>
        <v>2026</v>
      </c>
      <c r="AD159" s="7">
        <f t="shared" si="19"/>
        <v>8</v>
      </c>
      <c r="AE159" s="7">
        <f>COUNTIF(A:A,A159)</f>
        <v>1</v>
      </c>
      <c r="AF159" s="7" t="str">
        <f t="shared" si="20"/>
        <v>No</v>
      </c>
    </row>
    <row r="160" spans="1:32">
      <c r="A160" t="s">
        <v>655</v>
      </c>
      <c r="B160">
        <v>77672253</v>
      </c>
      <c r="C160" t="s">
        <v>656</v>
      </c>
      <c r="D160" t="s">
        <v>657</v>
      </c>
      <c r="E160" t="s">
        <v>20</v>
      </c>
      <c r="F160" t="s">
        <v>98</v>
      </c>
      <c r="G160" t="s">
        <v>92</v>
      </c>
      <c r="H160" t="s">
        <v>38</v>
      </c>
      <c r="I160" t="s">
        <v>3371</v>
      </c>
      <c r="J160">
        <v>10960.11</v>
      </c>
      <c r="K160" t="s">
        <v>47</v>
      </c>
      <c r="L160" t="s">
        <v>28</v>
      </c>
      <c r="M160" s="1">
        <v>45681.667361111111</v>
      </c>
      <c r="N160">
        <v>36</v>
      </c>
      <c r="O160" t="s">
        <v>62</v>
      </c>
      <c r="P160" t="s">
        <v>54</v>
      </c>
      <c r="Q160" t="s">
        <v>658</v>
      </c>
      <c r="R160">
        <f t="shared" si="14"/>
        <v>77672253</v>
      </c>
      <c r="S160" t="str" cm="1">
        <f t="array" ref="S160">IF(C160="",IFERROR(INDEX($C$2:$C$1166,MATCH(MAX(COUNTIF($C$2:$C$1166,$C$2:$C$1166)),COUNTIF($C$2:$C$1166,$C$2:$C$1166),0)),"Unknown"),C160)</f>
        <v>Michael Thomas</v>
      </c>
      <c r="T160" s="4" t="str" cm="1">
        <f t="array" ref="T160">IF(D160="",IFERROR(INDEX($D$2:$D$1000,MATCH(MAX(COUNTIF($D$2:$D$1166,$D$2:$D$1166)),COUNTIF($D$2:$D$1166,$D$2:$D$1166),0)),"Unknown"),D160)</f>
        <v>John Taylor</v>
      </c>
      <c r="U160" t="str">
        <f t="shared" si="15"/>
        <v>JPY</v>
      </c>
      <c r="V160" s="7" t="str">
        <f t="shared" si="15"/>
        <v>AUD</v>
      </c>
      <c r="W160" s="7" t="str">
        <f t="shared" si="16"/>
        <v>Australia</v>
      </c>
      <c r="X160" s="7" t="str">
        <f t="shared" si="16"/>
        <v>India</v>
      </c>
      <c r="Y160" s="7" t="str" cm="1">
        <f t="array" ref="Y160">IF(H160="",IFERROR(INDEX($H$2:$H$1166,MATCH(MAX(COUNTIF($H$2:$H$1166,$H$2:$H$1166)),COUNTIF($H$2:$H$1166,$H$2:$H$1166),0)),"Unknown"),H160)</f>
        <v>Pending</v>
      </c>
      <c r="Z160" s="7" t="str">
        <f t="shared" si="17"/>
        <v>Outer-Transaction</v>
      </c>
      <c r="AA160" s="7">
        <f>IF(J160="",AVERAGE($J:$J),J160)</f>
        <v>10960.11</v>
      </c>
      <c r="AB160" s="7">
        <f>IF(N160="",AVERAGE($N:$N),N160)</f>
        <v>36</v>
      </c>
      <c r="AC160" s="7">
        <f t="shared" si="18"/>
        <v>2025</v>
      </c>
      <c r="AD160" s="7">
        <f t="shared" si="19"/>
        <v>1</v>
      </c>
      <c r="AE160" s="7">
        <f>COUNTIF(A:A,A160)</f>
        <v>1</v>
      </c>
      <c r="AF160" s="7" t="str">
        <f t="shared" si="20"/>
        <v>No</v>
      </c>
    </row>
    <row r="161" spans="1:32">
      <c r="A161" t="s">
        <v>659</v>
      </c>
      <c r="B161">
        <v>43318046</v>
      </c>
      <c r="C161" t="s">
        <v>660</v>
      </c>
      <c r="D161" t="s">
        <v>661</v>
      </c>
      <c r="E161" t="s">
        <v>20</v>
      </c>
      <c r="F161" t="s">
        <v>21</v>
      </c>
      <c r="G161" t="s">
        <v>21</v>
      </c>
      <c r="H161" t="s">
        <v>103</v>
      </c>
      <c r="I161" t="s">
        <v>3374</v>
      </c>
      <c r="J161">
        <v>11054.91</v>
      </c>
      <c r="K161" t="s">
        <v>27</v>
      </c>
      <c r="L161" t="s">
        <v>48</v>
      </c>
      <c r="M161" s="1">
        <v>44950.520833333336</v>
      </c>
      <c r="N161">
        <v>19</v>
      </c>
      <c r="O161" t="s">
        <v>62</v>
      </c>
      <c r="P161" t="s">
        <v>23</v>
      </c>
      <c r="Q161" t="s">
        <v>662</v>
      </c>
      <c r="R161">
        <f t="shared" si="14"/>
        <v>43318046</v>
      </c>
      <c r="S161" t="str" cm="1">
        <f t="array" ref="S161">IF(C161="",IFERROR(INDEX($C$2:$C$1166,MATCH(MAX(COUNTIF($C$2:$C$1166,$C$2:$C$1166)),COUNTIF($C$2:$C$1166,$C$2:$C$1166),0)),"Unknown"),C161)</f>
        <v>David Gonzalez</v>
      </c>
      <c r="T161" s="4" t="str" cm="1">
        <f t="array" ref="T161">IF(D161="",IFERROR(INDEX($D$2:$D$1000,MATCH(MAX(COUNTIF($D$2:$D$1166,$D$2:$D$1166)),COUNTIF($D$2:$D$1166,$D$2:$D$1166),0)),"Unknown"),D161)</f>
        <v>Richard Martinez</v>
      </c>
      <c r="U161" t="str">
        <f t="shared" si="15"/>
        <v>GBP</v>
      </c>
      <c r="V161" s="7" t="str">
        <f t="shared" si="15"/>
        <v>GBP</v>
      </c>
      <c r="W161" s="7" t="str">
        <f t="shared" si="16"/>
        <v>Australia</v>
      </c>
      <c r="X161" s="7" t="str">
        <f t="shared" si="16"/>
        <v>France</v>
      </c>
      <c r="Y161" s="7" t="str" cm="1">
        <f t="array" ref="Y161">IF(H161="",IFERROR(INDEX($H$2:$H$1166,MATCH(MAX(COUNTIF($H$2:$H$1166,$H$2:$H$1166)),COUNTIF($H$2:$H$1166,$H$2:$H$1166),0)),"Unknown"),H161)</f>
        <v>Verified</v>
      </c>
      <c r="Z161" s="7" t="str">
        <f t="shared" si="17"/>
        <v>External</v>
      </c>
      <c r="AA161" s="7">
        <f>IF(J161="",AVERAGE($J:$J),J161)</f>
        <v>11054.91</v>
      </c>
      <c r="AB161" s="7">
        <f>IF(N161="",AVERAGE($N:$N),N161)</f>
        <v>19</v>
      </c>
      <c r="AC161" s="7">
        <f t="shared" si="18"/>
        <v>2023</v>
      </c>
      <c r="AD161" s="7">
        <f t="shared" si="19"/>
        <v>1</v>
      </c>
      <c r="AE161" s="7">
        <f>COUNTIF(A:A,A161)</f>
        <v>1</v>
      </c>
      <c r="AF161" s="7" t="str">
        <f t="shared" si="20"/>
        <v>No</v>
      </c>
    </row>
    <row r="162" spans="1:32">
      <c r="A162" t="s">
        <v>663</v>
      </c>
      <c r="B162">
        <v>33865616</v>
      </c>
      <c r="C162" t="s">
        <v>270</v>
      </c>
      <c r="D162" t="s">
        <v>664</v>
      </c>
      <c r="E162" t="s">
        <v>20</v>
      </c>
      <c r="F162" t="s">
        <v>35</v>
      </c>
      <c r="G162" t="s">
        <v>34</v>
      </c>
      <c r="H162" t="s">
        <v>38</v>
      </c>
      <c r="I162" t="s">
        <v>3378</v>
      </c>
      <c r="J162">
        <v>13163.38</v>
      </c>
      <c r="K162" t="s">
        <v>39</v>
      </c>
      <c r="L162" t="s">
        <v>28</v>
      </c>
      <c r="M162" s="1">
        <v>44788.727083333331</v>
      </c>
      <c r="N162">
        <v>70</v>
      </c>
      <c r="O162" t="s">
        <v>24</v>
      </c>
      <c r="P162" t="s">
        <v>62</v>
      </c>
      <c r="Q162" t="s">
        <v>665</v>
      </c>
      <c r="R162">
        <f t="shared" si="14"/>
        <v>33865616</v>
      </c>
      <c r="S162" t="str" cm="1">
        <f t="array" ref="S162">IF(C162="",IFERROR(INDEX($C$2:$C$1166,MATCH(MAX(COUNTIF($C$2:$C$1166,$C$2:$C$1166)),COUNTIF($C$2:$C$1166,$C$2:$C$1166),0)),"Unknown"),C162)</f>
        <v>Charles Moore</v>
      </c>
      <c r="T162" s="4" t="str" cm="1">
        <f t="array" ref="T162">IF(D162="",IFERROR(INDEX($D$2:$D$1000,MATCH(MAX(COUNTIF($D$2:$D$1166,$D$2:$D$1166)),COUNTIF($D$2:$D$1166,$D$2:$D$1166),0)),"Unknown"),D162)</f>
        <v>Elena Nair</v>
      </c>
      <c r="U162" t="str">
        <f t="shared" si="15"/>
        <v>EUR</v>
      </c>
      <c r="V162" s="7" t="str">
        <f t="shared" si="15"/>
        <v>CAD</v>
      </c>
      <c r="W162" s="7" t="str">
        <f t="shared" si="16"/>
        <v>Brazil</v>
      </c>
      <c r="X162" s="7" t="str">
        <f t="shared" si="16"/>
        <v>Australia</v>
      </c>
      <c r="Y162" s="7" t="str" cm="1">
        <f t="array" ref="Y162">IF(H162="",IFERROR(INDEX($H$2:$H$1166,MATCH(MAX(COUNTIF($H$2:$H$1166,$H$2:$H$1166)),COUNTIF($H$2:$H$1166,$H$2:$H$1166),0)),"Unknown"),H162)</f>
        <v>Pending</v>
      </c>
      <c r="Z162" s="7" t="str">
        <f t="shared" si="17"/>
        <v>Inter-Transaction</v>
      </c>
      <c r="AA162" s="7">
        <f>IF(J162="",AVERAGE($J:$J),J162)</f>
        <v>13163.38</v>
      </c>
      <c r="AB162" s="7">
        <f>IF(N162="",AVERAGE($N:$N),N162)</f>
        <v>70</v>
      </c>
      <c r="AC162" s="7">
        <f t="shared" si="18"/>
        <v>2022</v>
      </c>
      <c r="AD162" s="7">
        <f t="shared" si="19"/>
        <v>8</v>
      </c>
      <c r="AE162" s="7">
        <f>COUNTIF(A:A,A162)</f>
        <v>1</v>
      </c>
      <c r="AF162" s="7" t="str">
        <f t="shared" si="20"/>
        <v>No</v>
      </c>
    </row>
    <row r="163" spans="1:32">
      <c r="A163" t="s">
        <v>666</v>
      </c>
      <c r="B163">
        <v>43629729</v>
      </c>
      <c r="C163" t="s">
        <v>667</v>
      </c>
      <c r="D163" t="s">
        <v>668</v>
      </c>
      <c r="E163" t="s">
        <v>20</v>
      </c>
      <c r="F163" t="s">
        <v>126</v>
      </c>
      <c r="G163" t="s">
        <v>98</v>
      </c>
      <c r="H163" t="s">
        <v>74</v>
      </c>
      <c r="I163" t="s">
        <v>3374</v>
      </c>
      <c r="J163">
        <v>9710.32</v>
      </c>
      <c r="K163" t="s">
        <v>39</v>
      </c>
      <c r="L163" t="s">
        <v>48</v>
      </c>
      <c r="M163" s="1">
        <v>43933.604166666664</v>
      </c>
      <c r="N163">
        <v>61</v>
      </c>
      <c r="O163" t="s">
        <v>55</v>
      </c>
      <c r="P163" t="s">
        <v>36</v>
      </c>
      <c r="Q163" t="s">
        <v>669</v>
      </c>
      <c r="R163">
        <f t="shared" si="14"/>
        <v>43629729</v>
      </c>
      <c r="S163" t="str" cm="1">
        <f t="array" ref="S163">IF(C163="",IFERROR(INDEX($C$2:$C$1166,MATCH(MAX(COUNTIF($C$2:$C$1166,$C$2:$C$1166)),COUNTIF($C$2:$C$1166,$C$2:$C$1166),0)),"Unknown"),C163)</f>
        <v>Michael Khan</v>
      </c>
      <c r="T163" s="4" t="str" cm="1">
        <f t="array" ref="T163">IF(D163="",IFERROR(INDEX($D$2:$D$1000,MATCH(MAX(COUNTIF($D$2:$D$1166,$D$2:$D$1166)),COUNTIF($D$2:$D$1166,$D$2:$D$1166),0)),"Unknown"),D163)</f>
        <v>Mary Rostova</v>
      </c>
      <c r="U163" t="str">
        <f t="shared" si="15"/>
        <v>inr</v>
      </c>
      <c r="V163" s="7" t="str">
        <f t="shared" si="15"/>
        <v>JPY</v>
      </c>
      <c r="W163" s="7" t="str">
        <f t="shared" si="16"/>
        <v>UK</v>
      </c>
      <c r="X163" s="7" t="str">
        <f t="shared" si="16"/>
        <v>Germany</v>
      </c>
      <c r="Y163" s="7" t="str" cm="1">
        <f t="array" ref="Y163">IF(H163="",IFERROR(INDEX($H$2:$H$1166,MATCH(MAX(COUNTIF($H$2:$H$1166,$H$2:$H$1166)),COUNTIF($H$2:$H$1166,$H$2:$H$1166),0)),"Unknown"),H163)</f>
        <v>Non-KYC</v>
      </c>
      <c r="Z163" s="7" t="str">
        <f t="shared" si="17"/>
        <v>External</v>
      </c>
      <c r="AA163" s="7">
        <f>IF(J163="",AVERAGE($J:$J),J163)</f>
        <v>9710.32</v>
      </c>
      <c r="AB163" s="7">
        <f>IF(N163="",AVERAGE($N:$N),N163)</f>
        <v>61</v>
      </c>
      <c r="AC163" s="7">
        <f t="shared" si="18"/>
        <v>2020</v>
      </c>
      <c r="AD163" s="7">
        <f t="shared" si="19"/>
        <v>4</v>
      </c>
      <c r="AE163" s="7">
        <f>COUNTIF(A:A,A163)</f>
        <v>1</v>
      </c>
      <c r="AF163" s="7" t="str">
        <f t="shared" si="20"/>
        <v>No</v>
      </c>
    </row>
    <row r="164" spans="1:32">
      <c r="A164" t="s">
        <v>670</v>
      </c>
      <c r="B164">
        <v>84104909</v>
      </c>
      <c r="C164" t="s">
        <v>671</v>
      </c>
      <c r="D164" t="s">
        <v>490</v>
      </c>
      <c r="E164" t="s">
        <v>20</v>
      </c>
      <c r="F164" t="s">
        <v>44</v>
      </c>
      <c r="G164" t="s">
        <v>121</v>
      </c>
      <c r="H164" t="s">
        <v>38</v>
      </c>
      <c r="I164" t="s">
        <v>3371</v>
      </c>
      <c r="J164">
        <v>11644.44</v>
      </c>
      <c r="K164" t="s">
        <v>47</v>
      </c>
      <c r="L164" t="s">
        <v>75</v>
      </c>
      <c r="M164" s="1">
        <v>45000.301388888889</v>
      </c>
      <c r="N164">
        <v>49</v>
      </c>
      <c r="O164" t="s">
        <v>24</v>
      </c>
      <c r="P164" t="s">
        <v>68</v>
      </c>
      <c r="Q164" t="s">
        <v>672</v>
      </c>
      <c r="R164">
        <f t="shared" si="14"/>
        <v>84104909</v>
      </c>
      <c r="S164" t="str" cm="1">
        <f t="array" ref="S164">IF(C164="",IFERROR(INDEX($C$2:$C$1166,MATCH(MAX(COUNTIF($C$2:$C$1166,$C$2:$C$1166)),COUNTIF($C$2:$C$1166,$C$2:$C$1166),0)),"Unknown"),C164)</f>
        <v>Mary Smith</v>
      </c>
      <c r="T164" s="4" t="str" cm="1">
        <f t="array" ref="T164">IF(D164="",IFERROR(INDEX($D$2:$D$1000,MATCH(MAX(COUNTIF($D$2:$D$1166,$D$2:$D$1166)),COUNTIF($D$2:$D$1166,$D$2:$D$1166),0)),"Unknown"),D164)</f>
        <v>Fatima Rodriguez</v>
      </c>
      <c r="U164" t="str">
        <f t="shared" si="15"/>
        <v>SGD</v>
      </c>
      <c r="V164" s="7" t="str">
        <f t="shared" si="15"/>
        <v>INR</v>
      </c>
      <c r="W164" s="7" t="str">
        <f t="shared" si="16"/>
        <v>Brazil</v>
      </c>
      <c r="X164" s="7" t="str">
        <f t="shared" si="16"/>
        <v>UAE</v>
      </c>
      <c r="Y164" s="7" t="str" cm="1">
        <f t="array" ref="Y164">IF(H164="",IFERROR(INDEX($H$2:$H$1166,MATCH(MAX(COUNTIF($H$2:$H$1166,$H$2:$H$1166)),COUNTIF($H$2:$H$1166,$H$2:$H$1166),0)),"Unknown"),H164)</f>
        <v>Pending</v>
      </c>
      <c r="Z164" s="7" t="str">
        <f t="shared" si="17"/>
        <v>Outer-Transaction</v>
      </c>
      <c r="AA164" s="7">
        <f>IF(J164="",AVERAGE($J:$J),J164)</f>
        <v>11644.44</v>
      </c>
      <c r="AB164" s="7">
        <f>IF(N164="",AVERAGE($N:$N),N164)</f>
        <v>49</v>
      </c>
      <c r="AC164" s="7">
        <f t="shared" si="18"/>
        <v>2023</v>
      </c>
      <c r="AD164" s="7">
        <f t="shared" si="19"/>
        <v>3</v>
      </c>
      <c r="AE164" s="7">
        <f>COUNTIF(A:A,A164)</f>
        <v>1</v>
      </c>
      <c r="AF164" s="7" t="str">
        <f t="shared" si="20"/>
        <v>No</v>
      </c>
    </row>
    <row r="165" spans="1:32">
      <c r="A165" t="s">
        <v>673</v>
      </c>
      <c r="B165">
        <v>45465638</v>
      </c>
      <c r="C165" t="s">
        <v>674</v>
      </c>
      <c r="D165" t="s">
        <v>675</v>
      </c>
      <c r="E165" t="s">
        <v>20</v>
      </c>
      <c r="F165" t="s">
        <v>34</v>
      </c>
      <c r="G165" t="s">
        <v>44</v>
      </c>
      <c r="I165" t="s">
        <v>3376</v>
      </c>
      <c r="J165">
        <v>12648.67</v>
      </c>
      <c r="K165" t="s">
        <v>57</v>
      </c>
      <c r="L165" t="s">
        <v>81</v>
      </c>
      <c r="M165" s="1">
        <v>45734.013194444444</v>
      </c>
      <c r="N165">
        <v>49</v>
      </c>
      <c r="O165" t="s">
        <v>54</v>
      </c>
      <c r="P165" t="s">
        <v>127</v>
      </c>
      <c r="Q165" t="s">
        <v>676</v>
      </c>
      <c r="R165">
        <f t="shared" si="14"/>
        <v>45465638</v>
      </c>
      <c r="S165" t="str" cm="1">
        <f t="array" ref="S165">IF(C165="",IFERROR(INDEX($C$2:$C$1166,MATCH(MAX(COUNTIF($C$2:$C$1166,$C$2:$C$1166)),COUNTIF($C$2:$C$1166,$C$2:$C$1166),0)),"Unknown"),C165)</f>
        <v>Michael Garcia</v>
      </c>
      <c r="T165" s="4" t="str" cm="1">
        <f t="array" ref="T165">IF(D165="",IFERROR(INDEX($D$2:$D$1000,MATCH(MAX(COUNTIF($D$2:$D$1166,$D$2:$D$1166)),COUNTIF($D$2:$D$1166,$D$2:$D$1166),0)),"Unknown"),D165)</f>
        <v xml:space="preserve"> christopher malik   </v>
      </c>
      <c r="U165" t="str">
        <f t="shared" si="15"/>
        <v>CAD</v>
      </c>
      <c r="V165" s="7" t="str">
        <f t="shared" si="15"/>
        <v>SGD</v>
      </c>
      <c r="W165" s="7" t="str">
        <f t="shared" si="16"/>
        <v>India</v>
      </c>
      <c r="X165" s="7" t="str">
        <f t="shared" si="16"/>
        <v>Canada</v>
      </c>
      <c r="Y165" s="7" t="str" cm="1">
        <f t="array" ref="Y165">IF(H165="",IFERROR(INDEX($H$2:$H$1166,MATCH(MAX(COUNTIF($H$2:$H$1166,$H$2:$H$1166)),COUNTIF($H$2:$H$1166,$H$2:$H$1166),0)),"Unknown"),H165)</f>
        <v>Pending</v>
      </c>
      <c r="Z165" s="7" t="str">
        <f t="shared" si="17"/>
        <v>Internal</v>
      </c>
      <c r="AA165" s="7">
        <f>IF(J165="",AVERAGE($J:$J),J165)</f>
        <v>12648.67</v>
      </c>
      <c r="AB165" s="7">
        <f>IF(N165="",AVERAGE($N:$N),N165)</f>
        <v>49</v>
      </c>
      <c r="AC165" s="7">
        <f t="shared" si="18"/>
        <v>2025</v>
      </c>
      <c r="AD165" s="7">
        <f t="shared" si="19"/>
        <v>3</v>
      </c>
      <c r="AE165" s="7">
        <f>COUNTIF(A:A,A165)</f>
        <v>1</v>
      </c>
      <c r="AF165" s="7" t="str">
        <f t="shared" si="20"/>
        <v>No</v>
      </c>
    </row>
    <row r="166" spans="1:32">
      <c r="A166" t="s">
        <v>677</v>
      </c>
      <c r="B166">
        <v>82890984</v>
      </c>
      <c r="C166" t="s">
        <v>678</v>
      </c>
      <c r="D166" t="s">
        <v>679</v>
      </c>
      <c r="E166" t="s">
        <v>20</v>
      </c>
      <c r="F166" t="s">
        <v>121</v>
      </c>
      <c r="G166" t="s">
        <v>45</v>
      </c>
      <c r="H166" t="s">
        <v>38</v>
      </c>
      <c r="I166" t="s">
        <v>3374</v>
      </c>
      <c r="J166">
        <v>141.97</v>
      </c>
      <c r="K166" t="s">
        <v>57</v>
      </c>
      <c r="L166" t="s">
        <v>81</v>
      </c>
      <c r="M166" s="1">
        <v>45586.382638888892</v>
      </c>
      <c r="N166">
        <v>85</v>
      </c>
      <c r="O166" t="s">
        <v>127</v>
      </c>
      <c r="P166" t="s">
        <v>93</v>
      </c>
      <c r="Q166" t="s">
        <v>680</v>
      </c>
      <c r="R166">
        <f t="shared" si="14"/>
        <v>82890984</v>
      </c>
      <c r="S166" t="str" cm="1">
        <f t="array" ref="S166">IF(C166="",IFERROR(INDEX($C$2:$C$1166,MATCH(MAX(COUNTIF($C$2:$C$1166,$C$2:$C$1166)),COUNTIF($C$2:$C$1166,$C$2:$C$1166),0)),"Unknown"),C166)</f>
        <v>Karen Gonzalez</v>
      </c>
      <c r="T166" s="4" t="str" cm="1">
        <f t="array" ref="T166">IF(D166="",IFERROR(INDEX($D$2:$D$1000,MATCH(MAX(COUNTIF($D$2:$D$1166,$D$2:$D$1166)),COUNTIF($D$2:$D$1166,$D$2:$D$1166),0)),"Unknown"),D166)</f>
        <v>Robert Lopez</v>
      </c>
      <c r="U166" t="str">
        <f t="shared" si="15"/>
        <v>INR</v>
      </c>
      <c r="V166" s="7" t="str">
        <f t="shared" si="15"/>
        <v>ZAR</v>
      </c>
      <c r="W166" s="7" t="str">
        <f t="shared" si="16"/>
        <v>Canada</v>
      </c>
      <c r="X166" s="7" t="str">
        <f t="shared" si="16"/>
        <v>USA</v>
      </c>
      <c r="Y166" s="7" t="str" cm="1">
        <f t="array" ref="Y166">IF(H166="",IFERROR(INDEX($H$2:$H$1166,MATCH(MAX(COUNTIF($H$2:$H$1166,$H$2:$H$1166)),COUNTIF($H$2:$H$1166,$H$2:$H$1166),0)),"Unknown"),H166)</f>
        <v>Pending</v>
      </c>
      <c r="Z166" s="7" t="str">
        <f t="shared" si="17"/>
        <v>External</v>
      </c>
      <c r="AA166" s="7">
        <f>IF(J166="",AVERAGE($J:$J),J166)</f>
        <v>141.97</v>
      </c>
      <c r="AB166" s="7">
        <f>IF(N166="",AVERAGE($N:$N),N166)</f>
        <v>85</v>
      </c>
      <c r="AC166" s="7">
        <f t="shared" si="18"/>
        <v>2024</v>
      </c>
      <c r="AD166" s="7">
        <f t="shared" si="19"/>
        <v>10</v>
      </c>
      <c r="AE166" s="7">
        <f>COUNTIF(A:A,A166)</f>
        <v>1</v>
      </c>
      <c r="AF166" s="7" t="str">
        <f t="shared" si="20"/>
        <v>No</v>
      </c>
    </row>
    <row r="167" spans="1:32">
      <c r="A167" t="s">
        <v>681</v>
      </c>
      <c r="B167">
        <v>25216804</v>
      </c>
      <c r="C167" t="s">
        <v>223</v>
      </c>
      <c r="D167" t="s">
        <v>682</v>
      </c>
      <c r="E167" t="s">
        <v>20</v>
      </c>
      <c r="F167" t="s">
        <v>98</v>
      </c>
      <c r="G167" t="s">
        <v>34</v>
      </c>
      <c r="H167" t="s">
        <v>103</v>
      </c>
      <c r="I167" t="s">
        <v>3376</v>
      </c>
      <c r="J167">
        <v>1244.3599999999999</v>
      </c>
      <c r="K167" t="s">
        <v>86</v>
      </c>
      <c r="L167" t="s">
        <v>48</v>
      </c>
      <c r="M167" s="1">
        <v>44509.172222222223</v>
      </c>
      <c r="N167">
        <v>72</v>
      </c>
      <c r="O167" t="s">
        <v>93</v>
      </c>
      <c r="P167" t="s">
        <v>24</v>
      </c>
      <c r="Q167" t="s">
        <v>683</v>
      </c>
      <c r="R167">
        <f t="shared" si="14"/>
        <v>25216804</v>
      </c>
      <c r="S167" t="str" cm="1">
        <f t="array" ref="S167">IF(C167="",IFERROR(INDEX($C$2:$C$1166,MATCH(MAX(COUNTIF($C$2:$C$1166,$C$2:$C$1166)),COUNTIF($C$2:$C$1166,$C$2:$C$1166),0)),"Unknown"),C167)</f>
        <v>Joseph Rodriguez</v>
      </c>
      <c r="T167" s="4" t="str" cm="1">
        <f t="array" ref="T167">IF(D167="",IFERROR(INDEX($D$2:$D$1000,MATCH(MAX(COUNTIF($D$2:$D$1166,$D$2:$D$1166)),COUNTIF($D$2:$D$1166,$D$2:$D$1166),0)),"Unknown"),D167)</f>
        <v>Karen Al-Sayed</v>
      </c>
      <c r="U167" t="str">
        <f t="shared" si="15"/>
        <v>JPY</v>
      </c>
      <c r="V167" s="7" t="str">
        <f t="shared" si="15"/>
        <v>CAD</v>
      </c>
      <c r="W167" s="7" t="str">
        <f t="shared" si="16"/>
        <v>USA</v>
      </c>
      <c r="X167" s="7" t="str">
        <f t="shared" si="16"/>
        <v>Brazil</v>
      </c>
      <c r="Y167" s="7" t="str" cm="1">
        <f t="array" ref="Y167">IF(H167="",IFERROR(INDEX($H$2:$H$1166,MATCH(MAX(COUNTIF($H$2:$H$1166,$H$2:$H$1166)),COUNTIF($H$2:$H$1166,$H$2:$H$1166),0)),"Unknown"),H167)</f>
        <v>Verified</v>
      </c>
      <c r="Z167" s="7" t="str">
        <f t="shared" si="17"/>
        <v>Internal</v>
      </c>
      <c r="AA167" s="7">
        <f>IF(J167="",AVERAGE($J:$J),J167)</f>
        <v>1244.3599999999999</v>
      </c>
      <c r="AB167" s="7">
        <f>IF(N167="",AVERAGE($N:$N),N167)</f>
        <v>72</v>
      </c>
      <c r="AC167" s="7">
        <f t="shared" si="18"/>
        <v>2021</v>
      </c>
      <c r="AD167" s="7">
        <f t="shared" si="19"/>
        <v>11</v>
      </c>
      <c r="AE167" s="7">
        <f>COUNTIF(A:A,A167)</f>
        <v>1</v>
      </c>
      <c r="AF167" s="7" t="str">
        <f t="shared" si="20"/>
        <v>No</v>
      </c>
    </row>
    <row r="168" spans="1:32">
      <c r="A168" t="s">
        <v>684</v>
      </c>
      <c r="B168">
        <v>68416623</v>
      </c>
      <c r="C168" t="s">
        <v>685</v>
      </c>
      <c r="D168" t="s">
        <v>319</v>
      </c>
      <c r="E168" t="b">
        <v>0</v>
      </c>
      <c r="G168" t="s">
        <v>686</v>
      </c>
      <c r="H168" t="s">
        <v>25</v>
      </c>
      <c r="I168" t="s">
        <v>3376</v>
      </c>
      <c r="J168">
        <v>12326.07</v>
      </c>
      <c r="K168" t="s">
        <v>57</v>
      </c>
      <c r="L168" t="s">
        <v>81</v>
      </c>
      <c r="M168" s="1">
        <v>45799.921527777777</v>
      </c>
      <c r="N168">
        <v>73</v>
      </c>
      <c r="O168" t="s">
        <v>37</v>
      </c>
      <c r="P168" t="s">
        <v>68</v>
      </c>
      <c r="Q168" t="s">
        <v>687</v>
      </c>
      <c r="R168">
        <f t="shared" si="14"/>
        <v>68416623</v>
      </c>
      <c r="S168" t="str" cm="1">
        <f t="array" ref="S168">IF(C168="",IFERROR(INDEX($C$2:$C$1166,MATCH(MAX(COUNTIF($C$2:$C$1166,$C$2:$C$1166)),COUNTIF($C$2:$C$1166,$C$2:$C$1166),0)),"Unknown"),C168)</f>
        <v>Sanjay Khan</v>
      </c>
      <c r="T168" s="4" t="str" cm="1">
        <f t="array" ref="T168">IF(D168="",IFERROR(INDEX($D$2:$D$1000,MATCH(MAX(COUNTIF($D$2:$D$1166,$D$2:$D$1166)),COUNTIF($D$2:$D$1166,$D$2:$D$1166),0)),"Unknown"),D168)</f>
        <v>Robert Al-Sayed</v>
      </c>
      <c r="U168" t="str">
        <f t="shared" si="15"/>
        <v/>
      </c>
      <c r="V168" s="7" t="str">
        <f t="shared" si="15"/>
        <v>sgd</v>
      </c>
      <c r="W168" s="7" t="str">
        <f t="shared" si="16"/>
        <v>South Africa</v>
      </c>
      <c r="X168" s="7" t="str">
        <f t="shared" si="16"/>
        <v>UAE</v>
      </c>
      <c r="Y168" s="7" t="str" cm="1">
        <f t="array" ref="Y168">IF(H168="",IFERROR(INDEX($H$2:$H$1166,MATCH(MAX(COUNTIF($H$2:$H$1166,$H$2:$H$1166)),COUNTIF($H$2:$H$1166,$H$2:$H$1166),0)),"Unknown"),H168)</f>
        <v>KYC</v>
      </c>
      <c r="Z168" s="7" t="str">
        <f t="shared" si="17"/>
        <v>Internal</v>
      </c>
      <c r="AA168" s="7">
        <f>IF(J168="",AVERAGE($J:$J),J168)</f>
        <v>12326.07</v>
      </c>
      <c r="AB168" s="7">
        <f>IF(N168="",AVERAGE($N:$N),N168)</f>
        <v>73</v>
      </c>
      <c r="AC168" s="7">
        <f t="shared" si="18"/>
        <v>2025</v>
      </c>
      <c r="AD168" s="7">
        <f t="shared" si="19"/>
        <v>5</v>
      </c>
      <c r="AE168" s="7">
        <f>COUNTIF(A:A,A168)</f>
        <v>1</v>
      </c>
      <c r="AF168" s="7" t="str">
        <f t="shared" si="20"/>
        <v>No</v>
      </c>
    </row>
    <row r="169" spans="1:32">
      <c r="A169" t="s">
        <v>688</v>
      </c>
      <c r="B169">
        <v>18487605</v>
      </c>
      <c r="C169" t="s">
        <v>689</v>
      </c>
      <c r="D169" t="s">
        <v>690</v>
      </c>
      <c r="E169" t="s">
        <v>20</v>
      </c>
      <c r="F169" t="s">
        <v>35</v>
      </c>
      <c r="G169" t="s">
        <v>34</v>
      </c>
      <c r="H169" t="s">
        <v>56</v>
      </c>
      <c r="I169" t="s">
        <v>3372</v>
      </c>
      <c r="J169">
        <v>5932.75</v>
      </c>
      <c r="K169" t="s">
        <v>86</v>
      </c>
      <c r="L169" t="s">
        <v>81</v>
      </c>
      <c r="M169" s="1">
        <v>44819.634027777778</v>
      </c>
      <c r="N169">
        <v>34</v>
      </c>
      <c r="O169" t="s">
        <v>36</v>
      </c>
      <c r="P169" t="s">
        <v>24</v>
      </c>
      <c r="Q169" t="s">
        <v>691</v>
      </c>
      <c r="R169">
        <f t="shared" si="14"/>
        <v>18487605</v>
      </c>
      <c r="S169" t="str" cm="1">
        <f t="array" ref="S169">IF(C169="",IFERROR(INDEX($C$2:$C$1166,MATCH(MAX(COUNTIF($C$2:$C$1166,$C$2:$C$1166)),COUNTIF($C$2:$C$1166,$C$2:$C$1166),0)),"Unknown"),C169)</f>
        <v>Jean-Pierre Al-Sayed</v>
      </c>
      <c r="T169" s="4" t="str" cm="1">
        <f t="array" ref="T169">IF(D169="",IFERROR(INDEX($D$2:$D$1000,MATCH(MAX(COUNTIF($D$2:$D$1166,$D$2:$D$1166)),COUNTIF($D$2:$D$1166,$D$2:$D$1166),0)),"Unknown"),D169)</f>
        <v>Christopher Johnson</v>
      </c>
      <c r="U169" t="str">
        <f t="shared" si="15"/>
        <v>EUR</v>
      </c>
      <c r="V169" s="7" t="str">
        <f t="shared" si="15"/>
        <v>CAD</v>
      </c>
      <c r="W169" s="7" t="str">
        <f t="shared" si="16"/>
        <v>Germany</v>
      </c>
      <c r="X169" s="7" t="str">
        <f t="shared" si="16"/>
        <v>Brazil</v>
      </c>
      <c r="Y169" s="7" t="str" cm="1">
        <f t="array" ref="Y169">IF(H169="",IFERROR(INDEX($H$2:$H$1166,MATCH(MAX(COUNTIF($H$2:$H$1166,$H$2:$H$1166)),COUNTIF($H$2:$H$1166,$H$2:$H$1166),0)),"Unknown"),H169)</f>
        <v>Unverified</v>
      </c>
      <c r="Z169" s="7" t="str">
        <f t="shared" si="17"/>
        <v>Outer-Transaction</v>
      </c>
      <c r="AA169" s="7">
        <f>IF(J169="",AVERAGE($J:$J),J169)</f>
        <v>5932.75</v>
      </c>
      <c r="AB169" s="7">
        <f>IF(N169="",AVERAGE($N:$N),N169)</f>
        <v>34</v>
      </c>
      <c r="AC169" s="7">
        <f t="shared" si="18"/>
        <v>2022</v>
      </c>
      <c r="AD169" s="7">
        <f t="shared" si="19"/>
        <v>9</v>
      </c>
      <c r="AE169" s="7">
        <f>COUNTIF(A:A,A169)</f>
        <v>1</v>
      </c>
      <c r="AF169" s="7" t="str">
        <f t="shared" si="20"/>
        <v>No</v>
      </c>
    </row>
    <row r="170" spans="1:32">
      <c r="A170" t="s">
        <v>692</v>
      </c>
      <c r="B170">
        <v>96965116</v>
      </c>
      <c r="C170" t="s">
        <v>693</v>
      </c>
      <c r="D170" t="s">
        <v>694</v>
      </c>
      <c r="E170" t="s">
        <v>33</v>
      </c>
      <c r="F170" t="s">
        <v>99</v>
      </c>
      <c r="G170" t="s">
        <v>80</v>
      </c>
      <c r="I170" t="s">
        <v>3374</v>
      </c>
      <c r="J170">
        <v>13554.16</v>
      </c>
      <c r="K170" t="s">
        <v>57</v>
      </c>
      <c r="L170" t="s">
        <v>48</v>
      </c>
      <c r="M170" s="1">
        <v>44936.537499999999</v>
      </c>
      <c r="N170">
        <v>55</v>
      </c>
      <c r="O170" t="s">
        <v>36</v>
      </c>
      <c r="P170" t="s">
        <v>55</v>
      </c>
      <c r="Q170" t="s">
        <v>695</v>
      </c>
      <c r="R170">
        <f t="shared" si="14"/>
        <v>96965116</v>
      </c>
      <c r="S170" t="str" cm="1">
        <f t="array" ref="S170">IF(C170="",IFERROR(INDEX($C$2:$C$1166,MATCH(MAX(COUNTIF($C$2:$C$1166,$C$2:$C$1166)),COUNTIF($C$2:$C$1166,$C$2:$C$1166),0)),"Unknown"),C170)</f>
        <v>Susan Smith</v>
      </c>
      <c r="T170" s="4" t="str" cm="1">
        <f t="array" ref="T170">IF(D170="",IFERROR(INDEX($D$2:$D$1000,MATCH(MAX(COUNTIF($D$2:$D$1166,$D$2:$D$1166)),COUNTIF($D$2:$D$1166,$D$2:$D$1166),0)),"Unknown"),D170)</f>
        <v>Karen Malik</v>
      </c>
      <c r="U170" t="str">
        <f t="shared" si="15"/>
        <v>eur</v>
      </c>
      <c r="V170" s="7" t="str">
        <f t="shared" si="15"/>
        <v>USD</v>
      </c>
      <c r="W170" s="7" t="str">
        <f t="shared" si="16"/>
        <v>Germany</v>
      </c>
      <c r="X170" s="7" t="str">
        <f t="shared" si="16"/>
        <v>UK</v>
      </c>
      <c r="Y170" s="7" t="str" cm="1">
        <f t="array" ref="Y170">IF(H170="",IFERROR(INDEX($H$2:$H$1166,MATCH(MAX(COUNTIF($H$2:$H$1166,$H$2:$H$1166)),COUNTIF($H$2:$H$1166,$H$2:$H$1166),0)),"Unknown"),H170)</f>
        <v>Pending</v>
      </c>
      <c r="Z170" s="7" t="str">
        <f t="shared" si="17"/>
        <v>External</v>
      </c>
      <c r="AA170" s="7">
        <f>IF(J170="",AVERAGE($J:$J),J170)</f>
        <v>13554.16</v>
      </c>
      <c r="AB170" s="7">
        <f>IF(N170="",AVERAGE($N:$N),N170)</f>
        <v>55</v>
      </c>
      <c r="AC170" s="7">
        <f t="shared" si="18"/>
        <v>2023</v>
      </c>
      <c r="AD170" s="7">
        <f t="shared" si="19"/>
        <v>1</v>
      </c>
      <c r="AE170" s="7">
        <f>COUNTIF(A:A,A170)</f>
        <v>1</v>
      </c>
      <c r="AF170" s="7" t="str">
        <f t="shared" si="20"/>
        <v>Yes</v>
      </c>
    </row>
    <row r="171" spans="1:32">
      <c r="A171" t="s">
        <v>696</v>
      </c>
      <c r="B171">
        <v>86140729</v>
      </c>
      <c r="C171" t="s">
        <v>697</v>
      </c>
      <c r="D171" t="s">
        <v>139</v>
      </c>
      <c r="E171" t="s">
        <v>20</v>
      </c>
      <c r="F171" t="s">
        <v>98</v>
      </c>
      <c r="G171" t="s">
        <v>44</v>
      </c>
      <c r="H171" t="s">
        <v>38</v>
      </c>
      <c r="I171" t="s">
        <v>3372</v>
      </c>
      <c r="J171">
        <v>14273.58</v>
      </c>
      <c r="K171" t="s">
        <v>57</v>
      </c>
      <c r="L171" t="s">
        <v>48</v>
      </c>
      <c r="M171" s="1">
        <v>46306.863888888889</v>
      </c>
      <c r="N171">
        <v>41</v>
      </c>
      <c r="O171" t="s">
        <v>24</v>
      </c>
      <c r="P171" t="s">
        <v>23</v>
      </c>
      <c r="Q171" t="s">
        <v>698</v>
      </c>
      <c r="R171">
        <f t="shared" si="14"/>
        <v>86140729</v>
      </c>
      <c r="S171" t="str" cm="1">
        <f t="array" ref="S171">IF(C171="",IFERROR(INDEX($C$2:$C$1166,MATCH(MAX(COUNTIF($C$2:$C$1166,$C$2:$C$1166)),COUNTIF($C$2:$C$1166,$C$2:$C$1166),0)),"Unknown"),C171)</f>
        <v>Zayn Johnson</v>
      </c>
      <c r="T171" s="4" t="str" cm="1">
        <f t="array" ref="T171">IF(D171="",IFERROR(INDEX($D$2:$D$1000,MATCH(MAX(COUNTIF($D$2:$D$1166,$D$2:$D$1166)),COUNTIF($D$2:$D$1166,$D$2:$D$1166),0)),"Unknown"),D171)</f>
        <v>Zayn Dubois</v>
      </c>
      <c r="U171" t="str">
        <f t="shared" si="15"/>
        <v>JPY</v>
      </c>
      <c r="V171" s="7" t="str">
        <f t="shared" si="15"/>
        <v>SGD</v>
      </c>
      <c r="W171" s="7" t="str">
        <f t="shared" si="16"/>
        <v>Brazil</v>
      </c>
      <c r="X171" s="7" t="str">
        <f t="shared" si="16"/>
        <v>France</v>
      </c>
      <c r="Y171" s="7" t="str" cm="1">
        <f t="array" ref="Y171">IF(H171="",IFERROR(INDEX($H$2:$H$1166,MATCH(MAX(COUNTIF($H$2:$H$1166,$H$2:$H$1166)),COUNTIF($H$2:$H$1166,$H$2:$H$1166),0)),"Unknown"),H171)</f>
        <v>Pending</v>
      </c>
      <c r="Z171" s="7" t="str">
        <f t="shared" si="17"/>
        <v>Outer-Transaction</v>
      </c>
      <c r="AA171" s="7">
        <f>IF(J171="",AVERAGE($J:$J),J171)</f>
        <v>14273.58</v>
      </c>
      <c r="AB171" s="7">
        <f>IF(N171="",AVERAGE($N:$N),N171)</f>
        <v>41</v>
      </c>
      <c r="AC171" s="7">
        <f t="shared" si="18"/>
        <v>2026</v>
      </c>
      <c r="AD171" s="7">
        <f t="shared" si="19"/>
        <v>10</v>
      </c>
      <c r="AE171" s="7">
        <f>COUNTIF(A:A,A171)</f>
        <v>1</v>
      </c>
      <c r="AF171" s="7" t="str">
        <f t="shared" si="20"/>
        <v>No</v>
      </c>
    </row>
    <row r="172" spans="1:32">
      <c r="A172" t="s">
        <v>699</v>
      </c>
      <c r="B172">
        <v>88405961</v>
      </c>
      <c r="C172" t="s">
        <v>700</v>
      </c>
      <c r="D172" t="s">
        <v>701</v>
      </c>
      <c r="E172">
        <v>0</v>
      </c>
      <c r="F172" t="s">
        <v>160</v>
      </c>
      <c r="G172" t="s">
        <v>21</v>
      </c>
      <c r="H172" t="s">
        <v>103</v>
      </c>
      <c r="I172" t="s">
        <v>3371</v>
      </c>
      <c r="J172">
        <v>10196.91</v>
      </c>
      <c r="K172" t="s">
        <v>57</v>
      </c>
      <c r="L172" t="s">
        <v>81</v>
      </c>
      <c r="M172" s="1">
        <v>45438.199305555558</v>
      </c>
      <c r="N172">
        <v>28</v>
      </c>
      <c r="O172" t="s">
        <v>54</v>
      </c>
      <c r="P172" t="s">
        <v>36</v>
      </c>
      <c r="Q172" t="s">
        <v>702</v>
      </c>
      <c r="R172">
        <f t="shared" si="14"/>
        <v>88405961</v>
      </c>
      <c r="S172" t="str" cm="1">
        <f t="array" ref="S172">IF(C172="",IFERROR(INDEX($C$2:$C$1166,MATCH(MAX(COUNTIF($C$2:$C$1166,$C$2:$C$1166)),COUNTIF($C$2:$C$1166,$C$2:$C$1166),0)),"Unknown"),C172)</f>
        <v>Michael Jackson</v>
      </c>
      <c r="T172" s="4" t="str" cm="1">
        <f t="array" ref="T172">IF(D172="",IFERROR(INDEX($D$2:$D$1000,MATCH(MAX(COUNTIF($D$2:$D$1166,$D$2:$D$1166)),COUNTIF($D$2:$D$1166,$D$2:$D$1166),0)),"Unknown"),D172)</f>
        <v>Christopher Lopez</v>
      </c>
      <c r="U172" t="str">
        <f t="shared" si="15"/>
        <v>aud</v>
      </c>
      <c r="V172" s="7" t="str">
        <f t="shared" si="15"/>
        <v>GBP</v>
      </c>
      <c r="W172" s="7" t="str">
        <f t="shared" si="16"/>
        <v>India</v>
      </c>
      <c r="X172" s="7" t="str">
        <f t="shared" si="16"/>
        <v>Germany</v>
      </c>
      <c r="Y172" s="7" t="str" cm="1">
        <f t="array" ref="Y172">IF(H172="",IFERROR(INDEX($H$2:$H$1166,MATCH(MAX(COUNTIF($H$2:$H$1166,$H$2:$H$1166)),COUNTIF($H$2:$H$1166,$H$2:$H$1166),0)),"Unknown"),H172)</f>
        <v>Verified</v>
      </c>
      <c r="Z172" s="7" t="str">
        <f t="shared" si="17"/>
        <v>Outer-Transaction</v>
      </c>
      <c r="AA172" s="7">
        <f>IF(J172="",AVERAGE($J:$J),J172)</f>
        <v>10196.91</v>
      </c>
      <c r="AB172" s="7">
        <f>IF(N172="",AVERAGE($N:$N),N172)</f>
        <v>28</v>
      </c>
      <c r="AC172" s="7">
        <f t="shared" si="18"/>
        <v>2024</v>
      </c>
      <c r="AD172" s="7">
        <f t="shared" si="19"/>
        <v>5</v>
      </c>
      <c r="AE172" s="7">
        <f>COUNTIF(A:A,A172)</f>
        <v>1</v>
      </c>
      <c r="AF172" s="7" t="str">
        <f t="shared" si="20"/>
        <v>No</v>
      </c>
    </row>
    <row r="173" spans="1:32">
      <c r="A173" t="s">
        <v>703</v>
      </c>
      <c r="B173">
        <v>28790705</v>
      </c>
      <c r="C173" t="s">
        <v>704</v>
      </c>
      <c r="D173" t="s">
        <v>705</v>
      </c>
      <c r="E173" t="s">
        <v>20</v>
      </c>
      <c r="F173" t="s">
        <v>45</v>
      </c>
      <c r="G173" t="s">
        <v>35</v>
      </c>
      <c r="H173" t="s">
        <v>38</v>
      </c>
      <c r="I173" t="s">
        <v>3372</v>
      </c>
      <c r="J173">
        <v>11540.31</v>
      </c>
      <c r="K173" t="s">
        <v>47</v>
      </c>
      <c r="L173" t="s">
        <v>28</v>
      </c>
      <c r="M173" s="1">
        <v>45333.453472222223</v>
      </c>
      <c r="N173">
        <v>33</v>
      </c>
      <c r="O173" t="s">
        <v>127</v>
      </c>
      <c r="P173" t="s">
        <v>127</v>
      </c>
      <c r="Q173" t="s">
        <v>706</v>
      </c>
      <c r="R173">
        <f t="shared" si="14"/>
        <v>28790705</v>
      </c>
      <c r="S173" t="str" cm="1">
        <f t="array" ref="S173">IF(C173="",IFERROR(INDEX($C$2:$C$1166,MATCH(MAX(COUNTIF($C$2:$C$1166,$C$2:$C$1166)),COUNTIF($C$2:$C$1166,$C$2:$C$1166),0)),"Unknown"),C173)</f>
        <v>Carlos Moore</v>
      </c>
      <c r="T173" s="4" t="str" cm="1">
        <f t="array" ref="T173">IF(D173="",IFERROR(INDEX($D$2:$D$1000,MATCH(MAX(COUNTIF($D$2:$D$1166,$D$2:$D$1166)),COUNTIF($D$2:$D$1166,$D$2:$D$1166),0)),"Unknown"),D173)</f>
        <v>William Rodriguez</v>
      </c>
      <c r="U173" t="str">
        <f t="shared" si="15"/>
        <v>ZAR</v>
      </c>
      <c r="V173" s="7" t="str">
        <f t="shared" si="15"/>
        <v>EUR</v>
      </c>
      <c r="W173" s="7" t="str">
        <f t="shared" si="16"/>
        <v>Canada</v>
      </c>
      <c r="X173" s="7" t="str">
        <f t="shared" si="16"/>
        <v>Canada</v>
      </c>
      <c r="Y173" s="7" t="str" cm="1">
        <f t="array" ref="Y173">IF(H173="",IFERROR(INDEX($H$2:$H$1166,MATCH(MAX(COUNTIF($H$2:$H$1166,$H$2:$H$1166)),COUNTIF($H$2:$H$1166,$H$2:$H$1166),0)),"Unknown"),H173)</f>
        <v>Pending</v>
      </c>
      <c r="Z173" s="7" t="str">
        <f t="shared" si="17"/>
        <v>Outer-Transaction</v>
      </c>
      <c r="AA173" s="7">
        <f>IF(J173="",AVERAGE($J:$J),J173)</f>
        <v>11540.31</v>
      </c>
      <c r="AB173" s="7">
        <f>IF(N173="",AVERAGE($N:$N),N173)</f>
        <v>33</v>
      </c>
      <c r="AC173" s="7">
        <f t="shared" si="18"/>
        <v>2024</v>
      </c>
      <c r="AD173" s="7">
        <f t="shared" si="19"/>
        <v>2</v>
      </c>
      <c r="AE173" s="7">
        <f>COUNTIF(A:A,A173)</f>
        <v>1</v>
      </c>
      <c r="AF173" s="7" t="str">
        <f t="shared" si="20"/>
        <v>No</v>
      </c>
    </row>
    <row r="174" spans="1:32">
      <c r="A174" t="s">
        <v>707</v>
      </c>
      <c r="B174">
        <v>49057246</v>
      </c>
      <c r="C174" t="s">
        <v>708</v>
      </c>
      <c r="D174" t="s">
        <v>709</v>
      </c>
      <c r="E174" t="s">
        <v>20</v>
      </c>
      <c r="F174" t="s">
        <v>393</v>
      </c>
      <c r="G174" t="s">
        <v>98</v>
      </c>
      <c r="H174" t="s">
        <v>38</v>
      </c>
      <c r="I174" t="s">
        <v>3371</v>
      </c>
      <c r="J174">
        <v>6698.84</v>
      </c>
      <c r="K174" t="s">
        <v>47</v>
      </c>
      <c r="L174" t="s">
        <v>48</v>
      </c>
      <c r="M174" s="1">
        <v>45620.175000000003</v>
      </c>
      <c r="N174">
        <v>76</v>
      </c>
      <c r="O174" t="s">
        <v>68</v>
      </c>
      <c r="P174" t="s">
        <v>68</v>
      </c>
      <c r="Q174" t="s">
        <v>710</v>
      </c>
      <c r="R174">
        <f t="shared" si="14"/>
        <v>49057246</v>
      </c>
      <c r="S174" t="str" cm="1">
        <f t="array" ref="S174">IF(C174="",IFERROR(INDEX($C$2:$C$1166,MATCH(MAX(COUNTIF($C$2:$C$1166,$C$2:$C$1166)),COUNTIF($C$2:$C$1166,$C$2:$C$1166),0)),"Unknown"),C174)</f>
        <v>Michael Anderson</v>
      </c>
      <c r="T174" s="4" t="str" cm="1">
        <f t="array" ref="T174">IF(D174="",IFERROR(INDEX($D$2:$D$1000,MATCH(MAX(COUNTIF($D$2:$D$1166,$D$2:$D$1166)),COUNTIF($D$2:$D$1166,$D$2:$D$1166),0)),"Unknown"),D174)</f>
        <v>Charles Taylor</v>
      </c>
      <c r="U174" t="str">
        <f t="shared" si="15"/>
        <v>cad</v>
      </c>
      <c r="V174" s="7" t="str">
        <f t="shared" si="15"/>
        <v>JPY</v>
      </c>
      <c r="W174" s="7" t="str">
        <f t="shared" si="16"/>
        <v>UAE</v>
      </c>
      <c r="X174" s="7" t="str">
        <f t="shared" si="16"/>
        <v>UAE</v>
      </c>
      <c r="Y174" s="7" t="str" cm="1">
        <f t="array" ref="Y174">IF(H174="",IFERROR(INDEX($H$2:$H$1166,MATCH(MAX(COUNTIF($H$2:$H$1166,$H$2:$H$1166)),COUNTIF($H$2:$H$1166,$H$2:$H$1166),0)),"Unknown"),H174)</f>
        <v>Pending</v>
      </c>
      <c r="Z174" s="7" t="str">
        <f t="shared" si="17"/>
        <v>Outer-Transaction</v>
      </c>
      <c r="AA174" s="7">
        <f>IF(J174="",AVERAGE($J:$J),J174)</f>
        <v>6698.84</v>
      </c>
      <c r="AB174" s="7">
        <f>IF(N174="",AVERAGE($N:$N),N174)</f>
        <v>76</v>
      </c>
      <c r="AC174" s="7">
        <f t="shared" si="18"/>
        <v>2024</v>
      </c>
      <c r="AD174" s="7">
        <f t="shared" si="19"/>
        <v>11</v>
      </c>
      <c r="AE174" s="7">
        <f>COUNTIF(A:A,A174)</f>
        <v>1</v>
      </c>
      <c r="AF174" s="7" t="str">
        <f t="shared" si="20"/>
        <v>No</v>
      </c>
    </row>
    <row r="175" spans="1:32">
      <c r="A175" t="s">
        <v>711</v>
      </c>
      <c r="B175">
        <v>58486337</v>
      </c>
      <c r="C175" t="s">
        <v>179</v>
      </c>
      <c r="D175" t="s">
        <v>712</v>
      </c>
      <c r="E175" t="s">
        <v>3375</v>
      </c>
      <c r="F175" t="s">
        <v>80</v>
      </c>
      <c r="G175" t="s">
        <v>45</v>
      </c>
      <c r="H175" t="s">
        <v>103</v>
      </c>
      <c r="I175" t="s">
        <v>3376</v>
      </c>
      <c r="J175">
        <v>8169.81</v>
      </c>
      <c r="K175" t="s">
        <v>47</v>
      </c>
      <c r="L175" t="s">
        <v>81</v>
      </c>
      <c r="M175" s="1">
        <v>45016.433333333334</v>
      </c>
      <c r="N175">
        <v>20</v>
      </c>
      <c r="O175" t="s">
        <v>36</v>
      </c>
      <c r="P175" t="s">
        <v>24</v>
      </c>
      <c r="Q175" t="s">
        <v>713</v>
      </c>
      <c r="R175">
        <f t="shared" si="14"/>
        <v>58486337</v>
      </c>
      <c r="S175" t="str" cm="1">
        <f t="array" ref="S175">IF(C175="",IFERROR(INDEX($C$2:$C$1166,MATCH(MAX(COUNTIF($C$2:$C$1166,$C$2:$C$1166)),COUNTIF($C$2:$C$1166,$C$2:$C$1166),0)),"Unknown"),C175)</f>
        <v>Joseph Thomas</v>
      </c>
      <c r="T175" s="4" t="str" cm="1">
        <f t="array" ref="T175">IF(D175="",IFERROR(INDEX($D$2:$D$1000,MATCH(MAX(COUNTIF($D$2:$D$1166,$D$2:$D$1166)),COUNTIF($D$2:$D$1166,$D$2:$D$1166),0)),"Unknown"),D175)</f>
        <v>Priya Anderson</v>
      </c>
      <c r="U175" t="str">
        <f t="shared" si="15"/>
        <v>USD</v>
      </c>
      <c r="V175" s="7" t="str">
        <f t="shared" si="15"/>
        <v>ZAR</v>
      </c>
      <c r="W175" s="7" t="str">
        <f t="shared" si="16"/>
        <v>Germany</v>
      </c>
      <c r="X175" s="7" t="str">
        <f t="shared" si="16"/>
        <v>Brazil</v>
      </c>
      <c r="Y175" s="7" t="str" cm="1">
        <f t="array" ref="Y175">IF(H175="",IFERROR(INDEX($H$2:$H$1166,MATCH(MAX(COUNTIF($H$2:$H$1166,$H$2:$H$1166)),COUNTIF($H$2:$H$1166,$H$2:$H$1166),0)),"Unknown"),H175)</f>
        <v>Verified</v>
      </c>
      <c r="Z175" s="7" t="str">
        <f t="shared" si="17"/>
        <v>Internal</v>
      </c>
      <c r="AA175" s="7">
        <f>IF(J175="",AVERAGE($J:$J),J175)</f>
        <v>8169.81</v>
      </c>
      <c r="AB175" s="7">
        <f>IF(N175="",AVERAGE($N:$N),N175)</f>
        <v>20</v>
      </c>
      <c r="AC175" s="7">
        <f t="shared" si="18"/>
        <v>2023</v>
      </c>
      <c r="AD175" s="7">
        <f t="shared" si="19"/>
        <v>3</v>
      </c>
      <c r="AE175" s="7">
        <f>COUNTIF(A:A,A175)</f>
        <v>1</v>
      </c>
      <c r="AF175" s="7" t="str">
        <f t="shared" si="20"/>
        <v>No</v>
      </c>
    </row>
    <row r="176" spans="1:32">
      <c r="A176" t="s">
        <v>714</v>
      </c>
      <c r="B176">
        <v>57365168</v>
      </c>
      <c r="C176" t="s">
        <v>192</v>
      </c>
      <c r="D176" t="s">
        <v>715</v>
      </c>
      <c r="E176" t="s">
        <v>20</v>
      </c>
      <c r="F176" t="s">
        <v>116</v>
      </c>
      <c r="G176" t="s">
        <v>80</v>
      </c>
      <c r="H176" t="s">
        <v>74</v>
      </c>
      <c r="I176" t="s">
        <v>3371</v>
      </c>
      <c r="J176">
        <v>2811.72</v>
      </c>
      <c r="K176" t="s">
        <v>57</v>
      </c>
      <c r="L176" t="s">
        <v>28</v>
      </c>
      <c r="M176" s="1">
        <v>44762.773611111108</v>
      </c>
      <c r="N176">
        <v>37</v>
      </c>
      <c r="O176" t="s">
        <v>127</v>
      </c>
      <c r="P176" t="s">
        <v>54</v>
      </c>
      <c r="Q176" t="s">
        <v>716</v>
      </c>
      <c r="R176">
        <f t="shared" si="14"/>
        <v>57365168</v>
      </c>
      <c r="S176" t="str" cm="1">
        <f t="array" ref="S176">IF(C176="",IFERROR(INDEX($C$2:$C$1166,MATCH(MAX(COUNTIF($C$2:$C$1166,$C$2:$C$1166)),COUNTIF($C$2:$C$1166,$C$2:$C$1166),0)),"Unknown"),C176)</f>
        <v>Amir Malik</v>
      </c>
      <c r="T176" s="4" t="str" cm="1">
        <f t="array" ref="T176">IF(D176="",IFERROR(INDEX($D$2:$D$1000,MATCH(MAX(COUNTIF($D$2:$D$1166,$D$2:$D$1166)),COUNTIF($D$2:$D$1166,$D$2:$D$1166),0)),"Unknown"),D176)</f>
        <v>Susan Thomas</v>
      </c>
      <c r="U176" t="str">
        <f t="shared" si="15"/>
        <v>CHF</v>
      </c>
      <c r="V176" s="7" t="str">
        <f t="shared" si="15"/>
        <v>USD</v>
      </c>
      <c r="W176" s="7" t="str">
        <f t="shared" si="16"/>
        <v>Canada</v>
      </c>
      <c r="X176" s="7" t="str">
        <f t="shared" si="16"/>
        <v>India</v>
      </c>
      <c r="Y176" s="7" t="str" cm="1">
        <f t="array" ref="Y176">IF(H176="",IFERROR(INDEX($H$2:$H$1166,MATCH(MAX(COUNTIF($H$2:$H$1166,$H$2:$H$1166)),COUNTIF($H$2:$H$1166,$H$2:$H$1166),0)),"Unknown"),H176)</f>
        <v>Non-KYC</v>
      </c>
      <c r="Z176" s="7" t="str">
        <f t="shared" si="17"/>
        <v>Outer-Transaction</v>
      </c>
      <c r="AA176" s="7">
        <f>IF(J176="",AVERAGE($J:$J),J176)</f>
        <v>2811.72</v>
      </c>
      <c r="AB176" s="7">
        <f>IF(N176="",AVERAGE($N:$N),N176)</f>
        <v>37</v>
      </c>
      <c r="AC176" s="7">
        <f t="shared" si="18"/>
        <v>2022</v>
      </c>
      <c r="AD176" s="7">
        <f t="shared" si="19"/>
        <v>7</v>
      </c>
      <c r="AE176" s="7">
        <f>COUNTIF(A:A,A176)</f>
        <v>2</v>
      </c>
      <c r="AF176" s="7" t="str">
        <f t="shared" si="20"/>
        <v>No</v>
      </c>
    </row>
    <row r="177" spans="1:32">
      <c r="A177" t="s">
        <v>717</v>
      </c>
      <c r="B177">
        <v>65149958</v>
      </c>
      <c r="C177" t="s">
        <v>718</v>
      </c>
      <c r="D177" t="s">
        <v>719</v>
      </c>
      <c r="E177" t="s">
        <v>20</v>
      </c>
      <c r="F177" t="s">
        <v>21</v>
      </c>
      <c r="G177" t="s">
        <v>21</v>
      </c>
      <c r="H177" t="s">
        <v>74</v>
      </c>
      <c r="I177" t="s">
        <v>3376</v>
      </c>
      <c r="J177">
        <v>14373.99</v>
      </c>
      <c r="K177" t="s">
        <v>27</v>
      </c>
      <c r="L177" t="s">
        <v>28</v>
      </c>
      <c r="M177" s="1">
        <v>45256.609722222223</v>
      </c>
      <c r="N177">
        <v>76</v>
      </c>
      <c r="O177" t="s">
        <v>93</v>
      </c>
      <c r="P177" t="s">
        <v>55</v>
      </c>
      <c r="Q177" t="s">
        <v>720</v>
      </c>
      <c r="R177">
        <f t="shared" si="14"/>
        <v>65149958</v>
      </c>
      <c r="S177" t="str" cm="1">
        <f t="array" ref="S177">IF(C177="",IFERROR(INDEX($C$2:$C$1166,MATCH(MAX(COUNTIF($C$2:$C$1166,$C$2:$C$1166)),COUNTIF($C$2:$C$1166,$C$2:$C$1166),0)),"Unknown"),C177)</f>
        <v xml:space="preserve">  JOHN DAVIS </v>
      </c>
      <c r="T177" s="4" t="str" cm="1">
        <f t="array" ref="T177">IF(D177="",IFERROR(INDEX($D$2:$D$1000,MATCH(MAX(COUNTIF($D$2:$D$1166,$D$2:$D$1166)),COUNTIF($D$2:$D$1166,$D$2:$D$1166),0)),"Unknown"),D177)</f>
        <v>Mary Jones</v>
      </c>
      <c r="U177" t="str">
        <f t="shared" si="15"/>
        <v>GBP</v>
      </c>
      <c r="V177" s="7" t="str">
        <f t="shared" si="15"/>
        <v>GBP</v>
      </c>
      <c r="W177" s="7" t="str">
        <f t="shared" si="16"/>
        <v>USA</v>
      </c>
      <c r="X177" s="7" t="str">
        <f t="shared" si="16"/>
        <v>UK</v>
      </c>
      <c r="Y177" s="7" t="str" cm="1">
        <f t="array" ref="Y177">IF(H177="",IFERROR(INDEX($H$2:$H$1166,MATCH(MAX(COUNTIF($H$2:$H$1166,$H$2:$H$1166)),COUNTIF($H$2:$H$1166,$H$2:$H$1166),0)),"Unknown"),H177)</f>
        <v>Non-KYC</v>
      </c>
      <c r="Z177" s="7" t="str">
        <f t="shared" si="17"/>
        <v>Internal</v>
      </c>
      <c r="AA177" s="7">
        <f>IF(J177="",AVERAGE($J:$J),J177)</f>
        <v>14373.99</v>
      </c>
      <c r="AB177" s="7">
        <f>IF(N177="",AVERAGE($N:$N),N177)</f>
        <v>76</v>
      </c>
      <c r="AC177" s="7">
        <f t="shared" si="18"/>
        <v>2023</v>
      </c>
      <c r="AD177" s="7">
        <f t="shared" si="19"/>
        <v>11</v>
      </c>
      <c r="AE177" s="7">
        <f>COUNTIF(A:A,A177)</f>
        <v>1</v>
      </c>
      <c r="AF177" s="7" t="str">
        <f t="shared" si="20"/>
        <v>No</v>
      </c>
    </row>
    <row r="178" spans="1:32">
      <c r="A178" t="s">
        <v>721</v>
      </c>
      <c r="B178">
        <v>88201440</v>
      </c>
      <c r="C178" t="s">
        <v>196</v>
      </c>
      <c r="D178" t="s">
        <v>383</v>
      </c>
      <c r="E178" t="s">
        <v>20</v>
      </c>
      <c r="F178" t="s">
        <v>53</v>
      </c>
      <c r="G178" t="s">
        <v>21</v>
      </c>
      <c r="H178" t="s">
        <v>56</v>
      </c>
      <c r="I178" t="s">
        <v>3371</v>
      </c>
      <c r="J178">
        <v>1637.47</v>
      </c>
      <c r="K178" t="s">
        <v>47</v>
      </c>
      <c r="L178" t="s">
        <v>81</v>
      </c>
      <c r="M178" s="1">
        <v>44892.275694444441</v>
      </c>
      <c r="N178">
        <v>53</v>
      </c>
      <c r="O178" t="s">
        <v>23</v>
      </c>
      <c r="P178" t="s">
        <v>54</v>
      </c>
      <c r="Q178" t="s">
        <v>722</v>
      </c>
      <c r="R178">
        <f t="shared" si="14"/>
        <v>88201440</v>
      </c>
      <c r="S178" t="str" cm="1">
        <f t="array" ref="S178">IF(C178="",IFERROR(INDEX($C$2:$C$1166,MATCH(MAX(COUNTIF($C$2:$C$1166,$C$2:$C$1166)),COUNTIF($C$2:$C$1166,$C$2:$C$1166),0)),"Unknown"),C178)</f>
        <v>Amir Dubois</v>
      </c>
      <c r="T178" s="4" t="str" cm="1">
        <f t="array" ref="T178">IF(D178="",IFERROR(INDEX($D$2:$D$1000,MATCH(MAX(COUNTIF($D$2:$D$1166,$D$2:$D$1166)),COUNTIF($D$2:$D$1166,$D$2:$D$1166),0)),"Unknown"),D178)</f>
        <v>Linda Martin</v>
      </c>
      <c r="U178" t="str">
        <f t="shared" si="15"/>
        <v>AED</v>
      </c>
      <c r="V178" s="7" t="str">
        <f t="shared" si="15"/>
        <v>GBP</v>
      </c>
      <c r="W178" s="7" t="str">
        <f t="shared" si="16"/>
        <v>France</v>
      </c>
      <c r="X178" s="7" t="str">
        <f t="shared" si="16"/>
        <v>India</v>
      </c>
      <c r="Y178" s="7" t="str" cm="1">
        <f t="array" ref="Y178">IF(H178="",IFERROR(INDEX($H$2:$H$1166,MATCH(MAX(COUNTIF($H$2:$H$1166,$H$2:$H$1166)),COUNTIF($H$2:$H$1166,$H$2:$H$1166),0)),"Unknown"),H178)</f>
        <v>Unverified</v>
      </c>
      <c r="Z178" s="7" t="str">
        <f t="shared" si="17"/>
        <v>Outer-Transaction</v>
      </c>
      <c r="AA178" s="7">
        <f>IF(J178="",AVERAGE($J:$J),J178)</f>
        <v>1637.47</v>
      </c>
      <c r="AB178" s="7">
        <f>IF(N178="",AVERAGE($N:$N),N178)</f>
        <v>53</v>
      </c>
      <c r="AC178" s="7">
        <f t="shared" si="18"/>
        <v>2022</v>
      </c>
      <c r="AD178" s="7">
        <f t="shared" si="19"/>
        <v>11</v>
      </c>
      <c r="AE178" s="7">
        <f>COUNTIF(A:A,A178)</f>
        <v>1</v>
      </c>
      <c r="AF178" s="7" t="str">
        <f t="shared" si="20"/>
        <v>No</v>
      </c>
    </row>
    <row r="179" spans="1:32">
      <c r="A179" t="s">
        <v>723</v>
      </c>
      <c r="B179">
        <v>22507745</v>
      </c>
      <c r="C179" t="s">
        <v>724</v>
      </c>
      <c r="D179" t="s">
        <v>725</v>
      </c>
      <c r="E179" t="s">
        <v>20</v>
      </c>
      <c r="F179" t="s">
        <v>80</v>
      </c>
      <c r="G179" t="s">
        <v>45</v>
      </c>
      <c r="H179" t="s">
        <v>74</v>
      </c>
      <c r="I179" t="s">
        <v>3372</v>
      </c>
      <c r="J179">
        <v>11845.44</v>
      </c>
      <c r="K179" t="s">
        <v>39</v>
      </c>
      <c r="L179" t="s">
        <v>75</v>
      </c>
      <c r="M179" s="1">
        <v>45809.113888888889</v>
      </c>
      <c r="N179">
        <v>36</v>
      </c>
      <c r="O179" t="s">
        <v>54</v>
      </c>
      <c r="P179" t="s">
        <v>127</v>
      </c>
      <c r="Q179" t="s">
        <v>726</v>
      </c>
      <c r="R179">
        <f t="shared" si="14"/>
        <v>22507745</v>
      </c>
      <c r="S179" t="str" cm="1">
        <f t="array" ref="S179">IF(C179="",IFERROR(INDEX($C$2:$C$1166,MATCH(MAX(COUNTIF($C$2:$C$1166,$C$2:$C$1166)),COUNTIF($C$2:$C$1166,$C$2:$C$1166),0)),"Unknown"),C179)</f>
        <v xml:space="preserve">  SARAH VELEZ </v>
      </c>
      <c r="T179" s="4" t="str" cm="1">
        <f t="array" ref="T179">IF(D179="",IFERROR(INDEX($D$2:$D$1000,MATCH(MAX(COUNTIF($D$2:$D$1166,$D$2:$D$1166)),COUNTIF($D$2:$D$1166,$D$2:$D$1166),0)),"Unknown"),D179)</f>
        <v>Michael Volkov</v>
      </c>
      <c r="U179" t="str">
        <f t="shared" si="15"/>
        <v>USD</v>
      </c>
      <c r="V179" s="7" t="str">
        <f t="shared" si="15"/>
        <v>ZAR</v>
      </c>
      <c r="W179" s="7" t="str">
        <f t="shared" si="16"/>
        <v>India</v>
      </c>
      <c r="X179" s="7" t="str">
        <f t="shared" si="16"/>
        <v>Canada</v>
      </c>
      <c r="Y179" s="7" t="str" cm="1">
        <f t="array" ref="Y179">IF(H179="",IFERROR(INDEX($H$2:$H$1166,MATCH(MAX(COUNTIF($H$2:$H$1166,$H$2:$H$1166)),COUNTIF($H$2:$H$1166,$H$2:$H$1166),0)),"Unknown"),H179)</f>
        <v>Non-KYC</v>
      </c>
      <c r="Z179" s="7" t="str">
        <f t="shared" si="17"/>
        <v>Outer-Transaction</v>
      </c>
      <c r="AA179" s="7">
        <f>IF(J179="",AVERAGE($J:$J),J179)</f>
        <v>11845.44</v>
      </c>
      <c r="AB179" s="7">
        <f>IF(N179="",AVERAGE($N:$N),N179)</f>
        <v>36</v>
      </c>
      <c r="AC179" s="7">
        <f t="shared" si="18"/>
        <v>2025</v>
      </c>
      <c r="AD179" s="7">
        <f t="shared" si="19"/>
        <v>6</v>
      </c>
      <c r="AE179" s="7">
        <f>COUNTIF(A:A,A179)</f>
        <v>1</v>
      </c>
      <c r="AF179" s="7" t="str">
        <f t="shared" si="20"/>
        <v>No</v>
      </c>
    </row>
    <row r="180" spans="1:32">
      <c r="A180" t="s">
        <v>727</v>
      </c>
      <c r="B180">
        <v>44601998</v>
      </c>
      <c r="C180" t="s">
        <v>728</v>
      </c>
      <c r="D180" t="s">
        <v>335</v>
      </c>
      <c r="E180" t="s">
        <v>20</v>
      </c>
      <c r="F180" t="s">
        <v>116</v>
      </c>
      <c r="G180" t="s">
        <v>98</v>
      </c>
      <c r="H180" t="s">
        <v>103</v>
      </c>
      <c r="I180" t="s">
        <v>3377</v>
      </c>
      <c r="J180">
        <v>2330.13</v>
      </c>
      <c r="K180" t="s">
        <v>27</v>
      </c>
      <c r="L180" t="s">
        <v>75</v>
      </c>
      <c r="M180" s="1">
        <v>46271.275000000001</v>
      </c>
      <c r="N180">
        <v>84</v>
      </c>
      <c r="O180" t="s">
        <v>55</v>
      </c>
      <c r="P180" t="s">
        <v>68</v>
      </c>
      <c r="Q180" t="s">
        <v>729</v>
      </c>
      <c r="R180">
        <f t="shared" si="14"/>
        <v>44601998</v>
      </c>
      <c r="S180" t="str" cm="1">
        <f t="array" ref="S180">IF(C180="",IFERROR(INDEX($C$2:$C$1166,MATCH(MAX(COUNTIF($C$2:$C$1166,$C$2:$C$1166)),COUNTIF($C$2:$C$1166,$C$2:$C$1166),0)),"Unknown"),C180)</f>
        <v>William Smith</v>
      </c>
      <c r="T180" s="4" t="str" cm="1">
        <f t="array" ref="T180">IF(D180="",IFERROR(INDEX($D$2:$D$1000,MATCH(MAX(COUNTIF($D$2:$D$1166,$D$2:$D$1166)),COUNTIF($D$2:$D$1166,$D$2:$D$1166),0)),"Unknown"),D180)</f>
        <v>Elena Al-Sayed</v>
      </c>
      <c r="U180" t="str">
        <f t="shared" si="15"/>
        <v>CHF</v>
      </c>
      <c r="V180" s="7" t="str">
        <f t="shared" si="15"/>
        <v>JPY</v>
      </c>
      <c r="W180" s="7" t="str">
        <f t="shared" si="16"/>
        <v>UK</v>
      </c>
      <c r="X180" s="7" t="str">
        <f t="shared" si="16"/>
        <v>UAE</v>
      </c>
      <c r="Y180" s="7" t="str" cm="1">
        <f t="array" ref="Y180">IF(H180="",IFERROR(INDEX($H$2:$H$1166,MATCH(MAX(COUNTIF($H$2:$H$1166,$H$2:$H$1166)),COUNTIF($H$2:$H$1166,$H$2:$H$1166),0)),"Unknown"),H180)</f>
        <v>Verified</v>
      </c>
      <c r="Z180" s="7" t="str">
        <f t="shared" si="17"/>
        <v>Inter-Transaction</v>
      </c>
      <c r="AA180" s="7">
        <f>IF(J180="",AVERAGE($J:$J),J180)</f>
        <v>2330.13</v>
      </c>
      <c r="AB180" s="7">
        <f>IF(N180="",AVERAGE($N:$N),N180)</f>
        <v>84</v>
      </c>
      <c r="AC180" s="7">
        <f t="shared" si="18"/>
        <v>2026</v>
      </c>
      <c r="AD180" s="7">
        <f t="shared" si="19"/>
        <v>9</v>
      </c>
      <c r="AE180" s="7">
        <f>COUNTIF(A:A,A180)</f>
        <v>1</v>
      </c>
      <c r="AF180" s="7" t="str">
        <f t="shared" si="20"/>
        <v>No</v>
      </c>
    </row>
    <row r="181" spans="1:32">
      <c r="A181" t="s">
        <v>730</v>
      </c>
      <c r="B181">
        <v>84834795</v>
      </c>
      <c r="C181" t="s">
        <v>731</v>
      </c>
      <c r="D181" t="s">
        <v>353</v>
      </c>
      <c r="E181" t="s">
        <v>20</v>
      </c>
      <c r="F181" t="s">
        <v>53</v>
      </c>
      <c r="G181" t="s">
        <v>53</v>
      </c>
      <c r="H181" t="s">
        <v>25</v>
      </c>
      <c r="I181" t="s">
        <v>3374</v>
      </c>
      <c r="J181">
        <v>3454.27</v>
      </c>
      <c r="K181" t="s">
        <v>47</v>
      </c>
      <c r="L181" t="s">
        <v>28</v>
      </c>
      <c r="M181" s="1">
        <v>45873.950694444444</v>
      </c>
      <c r="N181">
        <v>36</v>
      </c>
      <c r="O181" t="s">
        <v>127</v>
      </c>
      <c r="P181" t="s">
        <v>55</v>
      </c>
      <c r="Q181" t="s">
        <v>732</v>
      </c>
      <c r="R181">
        <f t="shared" si="14"/>
        <v>84834795</v>
      </c>
      <c r="S181" t="str" cm="1">
        <f t="array" ref="S181">IF(C181="",IFERROR(INDEX($C$2:$C$1166,MATCH(MAX(COUNTIF($C$2:$C$1166,$C$2:$C$1166)),COUNTIF($C$2:$C$1166,$C$2:$C$1166),0)),"Unknown"),C181)</f>
        <v>Sarah Garcia</v>
      </c>
      <c r="T181" s="4" t="str" cm="1">
        <f t="array" ref="T181">IF(D181="",IFERROR(INDEX($D$2:$D$1000,MATCH(MAX(COUNTIF($D$2:$D$1166,$D$2:$D$1166)),COUNTIF($D$2:$D$1166,$D$2:$D$1166),0)),"Unknown"),D181)</f>
        <v>Susan Moore</v>
      </c>
      <c r="U181" t="str">
        <f t="shared" si="15"/>
        <v>AED</v>
      </c>
      <c r="V181" s="7" t="str">
        <f t="shared" si="15"/>
        <v>AED</v>
      </c>
      <c r="W181" s="7" t="str">
        <f t="shared" si="16"/>
        <v>Canada</v>
      </c>
      <c r="X181" s="7" t="str">
        <f t="shared" si="16"/>
        <v>UK</v>
      </c>
      <c r="Y181" s="7" t="str" cm="1">
        <f t="array" ref="Y181">IF(H181="",IFERROR(INDEX($H$2:$H$1166,MATCH(MAX(COUNTIF($H$2:$H$1166,$H$2:$H$1166)),COUNTIF($H$2:$H$1166,$H$2:$H$1166),0)),"Unknown"),H181)</f>
        <v>KYC</v>
      </c>
      <c r="Z181" s="7" t="str">
        <f t="shared" si="17"/>
        <v>External</v>
      </c>
      <c r="AA181" s="7">
        <f>IF(J181="",AVERAGE($J:$J),J181)</f>
        <v>3454.27</v>
      </c>
      <c r="AB181" s="7">
        <f>IF(N181="",AVERAGE($N:$N),N181)</f>
        <v>36</v>
      </c>
      <c r="AC181" s="7">
        <f t="shared" si="18"/>
        <v>2025</v>
      </c>
      <c r="AD181" s="7">
        <f t="shared" si="19"/>
        <v>8</v>
      </c>
      <c r="AE181" s="7">
        <f>COUNTIF(A:A,A181)</f>
        <v>1</v>
      </c>
      <c r="AF181" s="7" t="str">
        <f t="shared" si="20"/>
        <v>No</v>
      </c>
    </row>
    <row r="182" spans="1:32">
      <c r="A182" t="s">
        <v>733</v>
      </c>
      <c r="B182">
        <v>95345915</v>
      </c>
      <c r="C182" t="s">
        <v>734</v>
      </c>
      <c r="D182" t="s">
        <v>735</v>
      </c>
      <c r="E182" t="s">
        <v>20</v>
      </c>
      <c r="F182" t="s">
        <v>116</v>
      </c>
      <c r="G182" t="s">
        <v>92</v>
      </c>
      <c r="H182" t="s">
        <v>56</v>
      </c>
      <c r="I182" t="s">
        <v>3376</v>
      </c>
      <c r="J182">
        <v>9846.07</v>
      </c>
      <c r="K182" t="s">
        <v>57</v>
      </c>
      <c r="L182" t="s">
        <v>28</v>
      </c>
      <c r="M182" s="1">
        <v>46372.879861111112</v>
      </c>
      <c r="N182">
        <v>37</v>
      </c>
      <c r="O182" t="s">
        <v>93</v>
      </c>
      <c r="P182" t="s">
        <v>68</v>
      </c>
      <c r="Q182" t="s">
        <v>736</v>
      </c>
      <c r="R182">
        <f t="shared" si="14"/>
        <v>95345915</v>
      </c>
      <c r="S182" t="str" cm="1">
        <f t="array" ref="S182">IF(C182="",IFERROR(INDEX($C$2:$C$1166,MATCH(MAX(COUNTIF($C$2:$C$1166,$C$2:$C$1166)),COUNTIF($C$2:$C$1166,$C$2:$C$1166),0)),"Unknown"),C182)</f>
        <v>John Silva</v>
      </c>
      <c r="T182" s="4" t="str" cm="1">
        <f t="array" ref="T182">IF(D182="",IFERROR(INDEX($D$2:$D$1000,MATCH(MAX(COUNTIF($D$2:$D$1166,$D$2:$D$1166)),COUNTIF($D$2:$D$1166,$D$2:$D$1166),0)),"Unknown"),D182)</f>
        <v>Robert Khan</v>
      </c>
      <c r="U182" t="str">
        <f t="shared" si="15"/>
        <v>CHF</v>
      </c>
      <c r="V182" s="7" t="str">
        <f t="shared" si="15"/>
        <v>AUD</v>
      </c>
      <c r="W182" s="7" t="str">
        <f t="shared" si="16"/>
        <v>USA</v>
      </c>
      <c r="X182" s="7" t="str">
        <f t="shared" si="16"/>
        <v>UAE</v>
      </c>
      <c r="Y182" s="7" t="str" cm="1">
        <f t="array" ref="Y182">IF(H182="",IFERROR(INDEX($H$2:$H$1166,MATCH(MAX(COUNTIF($H$2:$H$1166,$H$2:$H$1166)),COUNTIF($H$2:$H$1166,$H$2:$H$1166),0)),"Unknown"),H182)</f>
        <v>Unverified</v>
      </c>
      <c r="Z182" s="7" t="str">
        <f t="shared" si="17"/>
        <v>Internal</v>
      </c>
      <c r="AA182" s="7">
        <f>IF(J182="",AVERAGE($J:$J),J182)</f>
        <v>9846.07</v>
      </c>
      <c r="AB182" s="7">
        <f>IF(N182="",AVERAGE($N:$N),N182)</f>
        <v>37</v>
      </c>
      <c r="AC182" s="7">
        <f t="shared" si="18"/>
        <v>2026</v>
      </c>
      <c r="AD182" s="7">
        <f t="shared" si="19"/>
        <v>12</v>
      </c>
      <c r="AE182" s="7">
        <f>COUNTIF(A:A,A182)</f>
        <v>1</v>
      </c>
      <c r="AF182" s="7" t="str">
        <f t="shared" si="20"/>
        <v>No</v>
      </c>
    </row>
    <row r="183" spans="1:32">
      <c r="A183" t="s">
        <v>737</v>
      </c>
      <c r="B183">
        <v>90465529</v>
      </c>
      <c r="C183" t="s">
        <v>709</v>
      </c>
      <c r="D183" t="s">
        <v>738</v>
      </c>
      <c r="E183" t="s">
        <v>20</v>
      </c>
      <c r="F183" t="s">
        <v>45</v>
      </c>
      <c r="G183" t="s">
        <v>80</v>
      </c>
      <c r="H183" t="s">
        <v>56</v>
      </c>
      <c r="I183" t="s">
        <v>3378</v>
      </c>
      <c r="J183">
        <v>10048.23</v>
      </c>
      <c r="K183" t="s">
        <v>39</v>
      </c>
      <c r="L183" t="s">
        <v>48</v>
      </c>
      <c r="M183" s="1">
        <v>45109.70208333333</v>
      </c>
      <c r="N183">
        <v>69</v>
      </c>
      <c r="O183" t="s">
        <v>68</v>
      </c>
      <c r="P183" t="s">
        <v>36</v>
      </c>
      <c r="Q183" t="s">
        <v>739</v>
      </c>
      <c r="R183">
        <f t="shared" si="14"/>
        <v>90465529</v>
      </c>
      <c r="S183" t="str" cm="1">
        <f t="array" ref="S183">IF(C183="",IFERROR(INDEX($C$2:$C$1166,MATCH(MAX(COUNTIF($C$2:$C$1166,$C$2:$C$1166)),COUNTIF($C$2:$C$1166,$C$2:$C$1166),0)),"Unknown"),C183)</f>
        <v>Charles Taylor</v>
      </c>
      <c r="T183" s="4" t="str" cm="1">
        <f t="array" ref="T183">IF(D183="",IFERROR(INDEX($D$2:$D$1000,MATCH(MAX(COUNTIF($D$2:$D$1166,$D$2:$D$1166)),COUNTIF($D$2:$D$1166,$D$2:$D$1166),0)),"Unknown"),D183)</f>
        <v>Elena Davis</v>
      </c>
      <c r="U183" t="str">
        <f t="shared" si="15"/>
        <v>ZAR</v>
      </c>
      <c r="V183" s="7" t="str">
        <f t="shared" si="15"/>
        <v>USD</v>
      </c>
      <c r="W183" s="7" t="str">
        <f t="shared" si="16"/>
        <v>UAE</v>
      </c>
      <c r="X183" s="7" t="str">
        <f t="shared" si="16"/>
        <v>Germany</v>
      </c>
      <c r="Y183" s="7" t="str" cm="1">
        <f t="array" ref="Y183">IF(H183="",IFERROR(INDEX($H$2:$H$1166,MATCH(MAX(COUNTIF($H$2:$H$1166,$H$2:$H$1166)),COUNTIF($H$2:$H$1166,$H$2:$H$1166),0)),"Unknown"),H183)</f>
        <v>Unverified</v>
      </c>
      <c r="Z183" s="7" t="str">
        <f t="shared" si="17"/>
        <v>Inter-Transaction</v>
      </c>
      <c r="AA183" s="7">
        <f>IF(J183="",AVERAGE($J:$J),J183)</f>
        <v>10048.23</v>
      </c>
      <c r="AB183" s="7">
        <f>IF(N183="",AVERAGE($N:$N),N183)</f>
        <v>69</v>
      </c>
      <c r="AC183" s="7">
        <f t="shared" si="18"/>
        <v>2023</v>
      </c>
      <c r="AD183" s="7">
        <f t="shared" si="19"/>
        <v>7</v>
      </c>
      <c r="AE183" s="7">
        <f>COUNTIF(A:A,A183)</f>
        <v>1</v>
      </c>
      <c r="AF183" s="7" t="str">
        <f t="shared" si="20"/>
        <v>No</v>
      </c>
    </row>
    <row r="184" spans="1:32">
      <c r="A184" t="s">
        <v>740</v>
      </c>
      <c r="B184">
        <v>47112255</v>
      </c>
      <c r="C184" t="s">
        <v>741</v>
      </c>
      <c r="D184" t="s">
        <v>742</v>
      </c>
      <c r="E184" t="s">
        <v>33</v>
      </c>
      <c r="F184" t="s">
        <v>116</v>
      </c>
      <c r="G184" t="s">
        <v>80</v>
      </c>
      <c r="H184" t="s">
        <v>25</v>
      </c>
      <c r="I184" t="s">
        <v>3376</v>
      </c>
      <c r="J184">
        <v>14351.07</v>
      </c>
      <c r="K184" t="s">
        <v>27</v>
      </c>
      <c r="L184" t="s">
        <v>75</v>
      </c>
      <c r="M184" s="1">
        <v>45033.03125</v>
      </c>
      <c r="N184">
        <v>50</v>
      </c>
      <c r="O184" t="s">
        <v>37</v>
      </c>
      <c r="P184" t="s">
        <v>37</v>
      </c>
      <c r="Q184" t="s">
        <v>743</v>
      </c>
      <c r="R184">
        <f t="shared" si="14"/>
        <v>47112255</v>
      </c>
      <c r="S184" t="str" cm="1">
        <f t="array" ref="S184">IF(C184="",IFERROR(INDEX($C$2:$C$1166,MATCH(MAX(COUNTIF($C$2:$C$1166,$C$2:$C$1166)),COUNTIF($C$2:$C$1166,$C$2:$C$1166),0)),"Unknown"),C184)</f>
        <v>Elizabeth Martin</v>
      </c>
      <c r="T184" s="4" t="str" cm="1">
        <f t="array" ref="T184">IF(D184="",IFERROR(INDEX($D$2:$D$1000,MATCH(MAX(COUNTIF($D$2:$D$1166,$D$2:$D$1166)),COUNTIF($D$2:$D$1166,$D$2:$D$1166),0)),"Unknown"),D184)</f>
        <v>William Anderson</v>
      </c>
      <c r="U184" t="str">
        <f t="shared" si="15"/>
        <v>CHF</v>
      </c>
      <c r="V184" s="7" t="str">
        <f t="shared" si="15"/>
        <v>USD</v>
      </c>
      <c r="W184" s="7" t="str">
        <f t="shared" si="16"/>
        <v>South Africa</v>
      </c>
      <c r="X184" s="7" t="str">
        <f t="shared" si="16"/>
        <v>South Africa</v>
      </c>
      <c r="Y184" s="7" t="str" cm="1">
        <f t="array" ref="Y184">IF(H184="",IFERROR(INDEX($H$2:$H$1166,MATCH(MAX(COUNTIF($H$2:$H$1166,$H$2:$H$1166)),COUNTIF($H$2:$H$1166,$H$2:$H$1166),0)),"Unknown"),H184)</f>
        <v>KYC</v>
      </c>
      <c r="Z184" s="7" t="str">
        <f t="shared" si="17"/>
        <v>Internal</v>
      </c>
      <c r="AA184" s="7">
        <f>IF(J184="",AVERAGE($J:$J),J184)</f>
        <v>14351.07</v>
      </c>
      <c r="AB184" s="7">
        <f>IF(N184="",AVERAGE($N:$N),N184)</f>
        <v>50</v>
      </c>
      <c r="AC184" s="7">
        <f t="shared" si="18"/>
        <v>2023</v>
      </c>
      <c r="AD184" s="7">
        <f t="shared" si="19"/>
        <v>4</v>
      </c>
      <c r="AE184" s="7">
        <f>COUNTIF(A:A,A184)</f>
        <v>1</v>
      </c>
      <c r="AF184" s="7" t="str">
        <f t="shared" si="20"/>
        <v>Yes</v>
      </c>
    </row>
    <row r="185" spans="1:32">
      <c r="A185" t="s">
        <v>744</v>
      </c>
      <c r="B185">
        <v>13670948</v>
      </c>
      <c r="C185" t="s">
        <v>745</v>
      </c>
      <c r="D185" t="s">
        <v>577</v>
      </c>
      <c r="E185" t="s">
        <v>20</v>
      </c>
      <c r="F185" t="s">
        <v>121</v>
      </c>
      <c r="G185" t="s">
        <v>45</v>
      </c>
      <c r="I185" t="s">
        <v>3378</v>
      </c>
      <c r="J185">
        <v>3731.38</v>
      </c>
      <c r="K185" t="s">
        <v>86</v>
      </c>
      <c r="L185" t="s">
        <v>81</v>
      </c>
      <c r="M185" s="1">
        <v>44424.695138888892</v>
      </c>
      <c r="N185">
        <v>57</v>
      </c>
      <c r="O185" t="s">
        <v>55</v>
      </c>
      <c r="P185" t="s">
        <v>55</v>
      </c>
      <c r="Q185" t="s">
        <v>746</v>
      </c>
      <c r="R185">
        <f t="shared" si="14"/>
        <v>13670948</v>
      </c>
      <c r="S185" t="str" cm="1">
        <f t="array" ref="S185">IF(C185="",IFERROR(INDEX($C$2:$C$1166,MATCH(MAX(COUNTIF($C$2:$C$1166,$C$2:$C$1166)),COUNTIF($C$2:$C$1166,$C$2:$C$1166),0)),"Unknown"),C185)</f>
        <v>Sarah Brown</v>
      </c>
      <c r="T185" s="4" t="str" cm="1">
        <f t="array" ref="T185">IF(D185="",IFERROR(INDEX($D$2:$D$1000,MATCH(MAX(COUNTIF($D$2:$D$1166,$D$2:$D$1166)),COUNTIF($D$2:$D$1166,$D$2:$D$1166),0)),"Unknown"),D185)</f>
        <v>David Williams</v>
      </c>
      <c r="U185" t="str">
        <f t="shared" si="15"/>
        <v>INR</v>
      </c>
      <c r="V185" s="7" t="str">
        <f t="shared" si="15"/>
        <v>ZAR</v>
      </c>
      <c r="W185" s="7" t="str">
        <f t="shared" si="16"/>
        <v>UK</v>
      </c>
      <c r="X185" s="7" t="str">
        <f t="shared" si="16"/>
        <v>UK</v>
      </c>
      <c r="Y185" s="7" t="str" cm="1">
        <f t="array" ref="Y185">IF(H185="",IFERROR(INDEX($H$2:$H$1166,MATCH(MAX(COUNTIF($H$2:$H$1166,$H$2:$H$1166)),COUNTIF($H$2:$H$1166,$H$2:$H$1166),0)),"Unknown"),H185)</f>
        <v>Pending</v>
      </c>
      <c r="Z185" s="7" t="str">
        <f t="shared" si="17"/>
        <v>Inter-Transaction</v>
      </c>
      <c r="AA185" s="7">
        <f>IF(J185="",AVERAGE($J:$J),J185)</f>
        <v>3731.38</v>
      </c>
      <c r="AB185" s="7">
        <f>IF(N185="",AVERAGE($N:$N),N185)</f>
        <v>57</v>
      </c>
      <c r="AC185" s="7">
        <f t="shared" si="18"/>
        <v>2021</v>
      </c>
      <c r="AD185" s="7">
        <f t="shared" si="19"/>
        <v>8</v>
      </c>
      <c r="AE185" s="7">
        <f>COUNTIF(A:A,A185)</f>
        <v>1</v>
      </c>
      <c r="AF185" s="7" t="str">
        <f t="shared" si="20"/>
        <v>No</v>
      </c>
    </row>
    <row r="186" spans="1:32">
      <c r="A186" t="s">
        <v>747</v>
      </c>
      <c r="B186">
        <v>35523849</v>
      </c>
      <c r="C186" t="s">
        <v>748</v>
      </c>
      <c r="D186" t="s">
        <v>566</v>
      </c>
      <c r="E186" t="s">
        <v>20</v>
      </c>
      <c r="F186" t="s">
        <v>53</v>
      </c>
      <c r="G186" t="s">
        <v>121</v>
      </c>
      <c r="H186" t="s">
        <v>25</v>
      </c>
      <c r="I186" t="s">
        <v>3377</v>
      </c>
      <c r="J186">
        <v>10140.42</v>
      </c>
      <c r="K186" t="s">
        <v>39</v>
      </c>
      <c r="L186" t="s">
        <v>28</v>
      </c>
      <c r="M186" s="1">
        <v>46267.490972222222</v>
      </c>
      <c r="N186">
        <v>56</v>
      </c>
      <c r="O186" t="s">
        <v>37</v>
      </c>
      <c r="P186" t="s">
        <v>54</v>
      </c>
      <c r="Q186" t="s">
        <v>749</v>
      </c>
      <c r="R186">
        <f t="shared" si="14"/>
        <v>35523849</v>
      </c>
      <c r="S186" t="str" cm="1">
        <f t="array" ref="S186">IF(C186="",IFERROR(INDEX($C$2:$C$1166,MATCH(MAX(COUNTIF($C$2:$C$1166,$C$2:$C$1166)),COUNTIF($C$2:$C$1166,$C$2:$C$1166),0)),"Unknown"),C186)</f>
        <v>Sarah Al-Sayed</v>
      </c>
      <c r="T186" s="4" t="str" cm="1">
        <f t="array" ref="T186">IF(D186="",IFERROR(INDEX($D$2:$D$1000,MATCH(MAX(COUNTIF($D$2:$D$1166,$D$2:$D$1166)),COUNTIF($D$2:$D$1166,$D$2:$D$1166),0)),"Unknown"),D186)</f>
        <v>William Davis</v>
      </c>
      <c r="U186" t="str">
        <f t="shared" si="15"/>
        <v>AED</v>
      </c>
      <c r="V186" s="7" t="str">
        <f t="shared" si="15"/>
        <v>INR</v>
      </c>
      <c r="W186" s="7" t="str">
        <f t="shared" si="16"/>
        <v>South Africa</v>
      </c>
      <c r="X186" s="7" t="str">
        <f t="shared" si="16"/>
        <v>India</v>
      </c>
      <c r="Y186" s="7" t="str" cm="1">
        <f t="array" ref="Y186">IF(H186="",IFERROR(INDEX($H$2:$H$1166,MATCH(MAX(COUNTIF($H$2:$H$1166,$H$2:$H$1166)),COUNTIF($H$2:$H$1166,$H$2:$H$1166),0)),"Unknown"),H186)</f>
        <v>KYC</v>
      </c>
      <c r="Z186" s="7" t="str">
        <f t="shared" si="17"/>
        <v>Inter-Transaction</v>
      </c>
      <c r="AA186" s="7">
        <f>IF(J186="",AVERAGE($J:$J),J186)</f>
        <v>10140.42</v>
      </c>
      <c r="AB186" s="7">
        <f>IF(N186="",AVERAGE($N:$N),N186)</f>
        <v>56</v>
      </c>
      <c r="AC186" s="7">
        <f t="shared" si="18"/>
        <v>2026</v>
      </c>
      <c r="AD186" s="7">
        <f t="shared" si="19"/>
        <v>9</v>
      </c>
      <c r="AE186" s="7">
        <f>COUNTIF(A:A,A186)</f>
        <v>1</v>
      </c>
      <c r="AF186" s="7" t="str">
        <f t="shared" si="20"/>
        <v>No</v>
      </c>
    </row>
    <row r="187" spans="1:32">
      <c r="A187" t="s">
        <v>750</v>
      </c>
      <c r="C187" t="s">
        <v>660</v>
      </c>
      <c r="D187" t="s">
        <v>751</v>
      </c>
      <c r="E187">
        <v>1</v>
      </c>
      <c r="F187" t="s">
        <v>80</v>
      </c>
      <c r="G187" t="s">
        <v>98</v>
      </c>
      <c r="I187" t="s">
        <v>3371</v>
      </c>
      <c r="J187">
        <v>6863.37</v>
      </c>
      <c r="K187" t="s">
        <v>86</v>
      </c>
      <c r="L187" t="s">
        <v>81</v>
      </c>
      <c r="M187" s="1">
        <v>45252.55972222222</v>
      </c>
      <c r="N187">
        <v>18</v>
      </c>
      <c r="O187" t="s">
        <v>68</v>
      </c>
      <c r="P187" t="s">
        <v>127</v>
      </c>
      <c r="Q187" t="s">
        <v>752</v>
      </c>
      <c r="R187">
        <f t="shared" si="14"/>
        <v>0</v>
      </c>
      <c r="S187" t="str" cm="1">
        <f t="array" ref="S187">IF(C187="",IFERROR(INDEX($C$2:$C$1166,MATCH(MAX(COUNTIF($C$2:$C$1166,$C$2:$C$1166)),COUNTIF($C$2:$C$1166,$C$2:$C$1166),0)),"Unknown"),C187)</f>
        <v>David Gonzalez</v>
      </c>
      <c r="T187" s="4" t="str" cm="1">
        <f t="array" ref="T187">IF(D187="",IFERROR(INDEX($D$2:$D$1000,MATCH(MAX(COUNTIF($D$2:$D$1166,$D$2:$D$1166)),COUNTIF($D$2:$D$1166,$D$2:$D$1166),0)),"Unknown"),D187)</f>
        <v>Elizabeth Dubois</v>
      </c>
      <c r="U187" t="str">
        <f t="shared" si="15"/>
        <v>USD</v>
      </c>
      <c r="V187" s="7" t="str">
        <f t="shared" si="15"/>
        <v>JPY</v>
      </c>
      <c r="W187" s="7" t="str">
        <f t="shared" si="16"/>
        <v>UAE</v>
      </c>
      <c r="X187" s="7" t="str">
        <f t="shared" si="16"/>
        <v>Canada</v>
      </c>
      <c r="Y187" s="7" t="str" cm="1">
        <f t="array" ref="Y187">IF(H187="",IFERROR(INDEX($H$2:$H$1166,MATCH(MAX(COUNTIF($H$2:$H$1166,$H$2:$H$1166)),COUNTIF($H$2:$H$1166,$H$2:$H$1166),0)),"Unknown"),H187)</f>
        <v>Pending</v>
      </c>
      <c r="Z187" s="7" t="str">
        <f t="shared" si="17"/>
        <v>Outer-Transaction</v>
      </c>
      <c r="AA187" s="7">
        <f>IF(J187="",AVERAGE($J:$J),J187)</f>
        <v>6863.37</v>
      </c>
      <c r="AB187" s="7">
        <f>IF(N187="",AVERAGE($N:$N),N187)</f>
        <v>18</v>
      </c>
      <c r="AC187" s="7">
        <f t="shared" si="18"/>
        <v>2023</v>
      </c>
      <c r="AD187" s="7">
        <f t="shared" si="19"/>
        <v>11</v>
      </c>
      <c r="AE187" s="7">
        <f>COUNTIF(A:A,A187)</f>
        <v>1</v>
      </c>
      <c r="AF187" s="7" t="str">
        <f t="shared" si="20"/>
        <v>Yes</v>
      </c>
    </row>
    <row r="188" spans="1:32">
      <c r="A188" t="s">
        <v>753</v>
      </c>
      <c r="B188">
        <v>83626933</v>
      </c>
      <c r="C188" t="s">
        <v>452</v>
      </c>
      <c r="D188" t="s">
        <v>754</v>
      </c>
      <c r="E188" t="s">
        <v>20</v>
      </c>
      <c r="F188" t="s">
        <v>34</v>
      </c>
      <c r="G188" t="s">
        <v>34</v>
      </c>
      <c r="H188" t="s">
        <v>56</v>
      </c>
      <c r="I188" t="s">
        <v>3378</v>
      </c>
      <c r="J188">
        <v>6766.43</v>
      </c>
      <c r="K188" t="s">
        <v>27</v>
      </c>
      <c r="L188" t="s">
        <v>48</v>
      </c>
      <c r="M188" s="1">
        <v>46036.629861111112</v>
      </c>
      <c r="N188">
        <v>28</v>
      </c>
      <c r="O188" t="s">
        <v>93</v>
      </c>
      <c r="P188" t="s">
        <v>23</v>
      </c>
      <c r="Q188" t="s">
        <v>755</v>
      </c>
      <c r="R188">
        <f t="shared" si="14"/>
        <v>83626933</v>
      </c>
      <c r="S188" t="str" cm="1">
        <f t="array" ref="S188">IF(C188="",IFERROR(INDEX($C$2:$C$1166,MATCH(MAX(COUNTIF($C$2:$C$1166,$C$2:$C$1166)),COUNTIF($C$2:$C$1166,$C$2:$C$1166),0)),"Unknown"),C188)</f>
        <v>David Davis</v>
      </c>
      <c r="T188" s="4" t="str" cm="1">
        <f t="array" ref="T188">IF(D188="",IFERROR(INDEX($D$2:$D$1000,MATCH(MAX(COUNTIF($D$2:$D$1166,$D$2:$D$1166)),COUNTIF($D$2:$D$1166,$D$2:$D$1166),0)),"Unknown"),D188)</f>
        <v>David Thomas</v>
      </c>
      <c r="U188" t="str">
        <f t="shared" si="15"/>
        <v>CAD</v>
      </c>
      <c r="V188" s="7" t="str">
        <f t="shared" si="15"/>
        <v>CAD</v>
      </c>
      <c r="W188" s="7" t="str">
        <f t="shared" si="16"/>
        <v>USA</v>
      </c>
      <c r="X188" s="7" t="str">
        <f t="shared" si="16"/>
        <v>France</v>
      </c>
      <c r="Y188" s="7" t="str" cm="1">
        <f t="array" ref="Y188">IF(H188="",IFERROR(INDEX($H$2:$H$1166,MATCH(MAX(COUNTIF($H$2:$H$1166,$H$2:$H$1166)),COUNTIF($H$2:$H$1166,$H$2:$H$1166),0)),"Unknown"),H188)</f>
        <v>Unverified</v>
      </c>
      <c r="Z188" s="7" t="str">
        <f t="shared" si="17"/>
        <v>Inter-Transaction</v>
      </c>
      <c r="AA188" s="7">
        <f>IF(J188="",AVERAGE($J:$J),J188)</f>
        <v>6766.43</v>
      </c>
      <c r="AB188" s="7">
        <f>IF(N188="",AVERAGE($N:$N),N188)</f>
        <v>28</v>
      </c>
      <c r="AC188" s="7">
        <f t="shared" si="18"/>
        <v>2026</v>
      </c>
      <c r="AD188" s="7">
        <f t="shared" si="19"/>
        <v>1</v>
      </c>
      <c r="AE188" s="7">
        <f>COUNTIF(A:A,A188)</f>
        <v>1</v>
      </c>
      <c r="AF188" s="7" t="str">
        <f t="shared" si="20"/>
        <v>No</v>
      </c>
    </row>
    <row r="189" spans="1:32">
      <c r="A189" t="s">
        <v>756</v>
      </c>
      <c r="B189">
        <v>30072000</v>
      </c>
      <c r="C189" t="s">
        <v>757</v>
      </c>
      <c r="D189" t="s">
        <v>758</v>
      </c>
      <c r="E189" t="b">
        <v>1</v>
      </c>
      <c r="F189" t="s">
        <v>21</v>
      </c>
      <c r="G189" t="s">
        <v>45</v>
      </c>
      <c r="H189" t="s">
        <v>38</v>
      </c>
      <c r="I189" t="s">
        <v>3377</v>
      </c>
      <c r="J189">
        <v>5982.04</v>
      </c>
      <c r="K189" t="s">
        <v>47</v>
      </c>
      <c r="L189" t="s">
        <v>28</v>
      </c>
      <c r="M189" s="1">
        <v>44858.957638888889</v>
      </c>
      <c r="N189">
        <v>74</v>
      </c>
      <c r="O189" t="s">
        <v>36</v>
      </c>
      <c r="P189" t="s">
        <v>36</v>
      </c>
      <c r="Q189" t="s">
        <v>759</v>
      </c>
      <c r="R189">
        <f t="shared" si="14"/>
        <v>30072000</v>
      </c>
      <c r="S189" t="str" cm="1">
        <f t="array" ref="S189">IF(C189="",IFERROR(INDEX($C$2:$C$1166,MATCH(MAX(COUNTIF($C$2:$C$1166,$C$2:$C$1166)),COUNTIF($C$2:$C$1166,$C$2:$C$1166),0)),"Unknown"),C189)</f>
        <v>Sarah Silva</v>
      </c>
      <c r="T189" s="4" t="str" cm="1">
        <f t="array" ref="T189">IF(D189="",IFERROR(INDEX($D$2:$D$1000,MATCH(MAX(COUNTIF($D$2:$D$1166,$D$2:$D$1166)),COUNTIF($D$2:$D$1166,$D$2:$D$1166),0)),"Unknown"),D189)</f>
        <v>John Garcia</v>
      </c>
      <c r="U189" t="str">
        <f t="shared" si="15"/>
        <v>GBP</v>
      </c>
      <c r="V189" s="7" t="str">
        <f t="shared" si="15"/>
        <v>ZAR</v>
      </c>
      <c r="W189" s="7" t="str">
        <f t="shared" si="16"/>
        <v>Germany</v>
      </c>
      <c r="X189" s="7" t="str">
        <f t="shared" si="16"/>
        <v>Germany</v>
      </c>
      <c r="Y189" s="7" t="str" cm="1">
        <f t="array" ref="Y189">IF(H189="",IFERROR(INDEX($H$2:$H$1166,MATCH(MAX(COUNTIF($H$2:$H$1166,$H$2:$H$1166)),COUNTIF($H$2:$H$1166,$H$2:$H$1166),0)),"Unknown"),H189)</f>
        <v>Pending</v>
      </c>
      <c r="Z189" s="7" t="str">
        <f t="shared" si="17"/>
        <v>Inter-Transaction</v>
      </c>
      <c r="AA189" s="7">
        <f>IF(J189="",AVERAGE($J:$J),J189)</f>
        <v>5982.04</v>
      </c>
      <c r="AB189" s="7">
        <f>IF(N189="",AVERAGE($N:$N),N189)</f>
        <v>74</v>
      </c>
      <c r="AC189" s="7">
        <f t="shared" si="18"/>
        <v>2022</v>
      </c>
      <c r="AD189" s="7">
        <f t="shared" si="19"/>
        <v>10</v>
      </c>
      <c r="AE189" s="7">
        <f>COUNTIF(A:A,A189)</f>
        <v>1</v>
      </c>
      <c r="AF189" s="7" t="str">
        <f t="shared" si="20"/>
        <v>No</v>
      </c>
    </row>
    <row r="190" spans="1:32">
      <c r="A190" t="s">
        <v>760</v>
      </c>
      <c r="B190">
        <v>44589898</v>
      </c>
      <c r="C190" t="s">
        <v>693</v>
      </c>
      <c r="D190" t="s">
        <v>761</v>
      </c>
      <c r="E190" t="s">
        <v>20</v>
      </c>
      <c r="F190" t="s">
        <v>45</v>
      </c>
      <c r="G190" t="s">
        <v>116</v>
      </c>
      <c r="H190" t="s">
        <v>103</v>
      </c>
      <c r="I190" t="s">
        <v>3378</v>
      </c>
      <c r="J190">
        <v>10101.16</v>
      </c>
      <c r="K190" t="s">
        <v>39</v>
      </c>
      <c r="L190" t="s">
        <v>81</v>
      </c>
      <c r="M190" s="1">
        <v>46045.408333333333</v>
      </c>
      <c r="N190">
        <v>67</v>
      </c>
      <c r="O190" t="s">
        <v>37</v>
      </c>
      <c r="P190" t="s">
        <v>37</v>
      </c>
      <c r="Q190" t="s">
        <v>762</v>
      </c>
      <c r="R190">
        <f t="shared" si="14"/>
        <v>44589898</v>
      </c>
      <c r="S190" t="str" cm="1">
        <f t="array" ref="S190">IF(C190="",IFERROR(INDEX($C$2:$C$1166,MATCH(MAX(COUNTIF($C$2:$C$1166,$C$2:$C$1166)),COUNTIF($C$2:$C$1166,$C$2:$C$1166),0)),"Unknown"),C190)</f>
        <v>Susan Smith</v>
      </c>
      <c r="T190" s="4" t="str" cm="1">
        <f t="array" ref="T190">IF(D190="",IFERROR(INDEX($D$2:$D$1000,MATCH(MAX(COUNTIF($D$2:$D$1166,$D$2:$D$1166)),COUNTIF($D$2:$D$1166,$D$2:$D$1166),0)),"Unknown"),D190)</f>
        <v>Jessica Brown</v>
      </c>
      <c r="U190" t="str">
        <f t="shared" si="15"/>
        <v>ZAR</v>
      </c>
      <c r="V190" s="7" t="str">
        <f t="shared" si="15"/>
        <v>CHF</v>
      </c>
      <c r="W190" s="7" t="str">
        <f t="shared" si="16"/>
        <v>South Africa</v>
      </c>
      <c r="X190" s="7" t="str">
        <f t="shared" si="16"/>
        <v>South Africa</v>
      </c>
      <c r="Y190" s="7" t="str" cm="1">
        <f t="array" ref="Y190">IF(H190="",IFERROR(INDEX($H$2:$H$1166,MATCH(MAX(COUNTIF($H$2:$H$1166,$H$2:$H$1166)),COUNTIF($H$2:$H$1166,$H$2:$H$1166),0)),"Unknown"),H190)</f>
        <v>Verified</v>
      </c>
      <c r="Z190" s="7" t="str">
        <f t="shared" si="17"/>
        <v>Inter-Transaction</v>
      </c>
      <c r="AA190" s="7">
        <f>IF(J190="",AVERAGE($J:$J),J190)</f>
        <v>10101.16</v>
      </c>
      <c r="AB190" s="7">
        <f>IF(N190="",AVERAGE($N:$N),N190)</f>
        <v>67</v>
      </c>
      <c r="AC190" s="7">
        <f t="shared" si="18"/>
        <v>2026</v>
      </c>
      <c r="AD190" s="7">
        <f t="shared" si="19"/>
        <v>1</v>
      </c>
      <c r="AE190" s="7">
        <f>COUNTIF(A:A,A190)</f>
        <v>1</v>
      </c>
      <c r="AF190" s="7" t="str">
        <f t="shared" si="20"/>
        <v>No</v>
      </c>
    </row>
    <row r="191" spans="1:32">
      <c r="A191" t="s">
        <v>763</v>
      </c>
      <c r="B191">
        <v>94728082</v>
      </c>
      <c r="C191" t="s">
        <v>764</v>
      </c>
      <c r="D191" t="s">
        <v>562</v>
      </c>
      <c r="E191" t="s">
        <v>20</v>
      </c>
      <c r="F191" t="s">
        <v>35</v>
      </c>
      <c r="G191" t="s">
        <v>21</v>
      </c>
      <c r="H191" t="s">
        <v>56</v>
      </c>
      <c r="I191" t="s">
        <v>3378</v>
      </c>
      <c r="J191">
        <v>13316.5</v>
      </c>
      <c r="K191" t="s">
        <v>57</v>
      </c>
      <c r="L191" t="s">
        <v>81</v>
      </c>
      <c r="M191" s="1">
        <v>44790.72152777778</v>
      </c>
      <c r="N191">
        <v>40</v>
      </c>
      <c r="O191" t="s">
        <v>55</v>
      </c>
      <c r="P191" t="s">
        <v>23</v>
      </c>
      <c r="Q191" t="s">
        <v>765</v>
      </c>
      <c r="R191">
        <f t="shared" si="14"/>
        <v>94728082</v>
      </c>
      <c r="S191" t="str" cm="1">
        <f t="array" ref="S191">IF(C191="",IFERROR(INDEX($C$2:$C$1166,MATCH(MAX(COUNTIF($C$2:$C$1166,$C$2:$C$1166)),COUNTIF($C$2:$C$1166,$C$2:$C$1166),0)),"Unknown"),C191)</f>
        <v>Nancy Jackson</v>
      </c>
      <c r="T191" s="4" t="str" cm="1">
        <f t="array" ref="T191">IF(D191="",IFERROR(INDEX($D$2:$D$1000,MATCH(MAX(COUNTIF($D$2:$D$1166,$D$2:$D$1166)),COUNTIF($D$2:$D$1166,$D$2:$D$1166),0)),"Unknown"),D191)</f>
        <v>Joseph Malik</v>
      </c>
      <c r="U191" t="str">
        <f t="shared" si="15"/>
        <v>EUR</v>
      </c>
      <c r="V191" s="7" t="str">
        <f t="shared" si="15"/>
        <v>GBP</v>
      </c>
      <c r="W191" s="7" t="str">
        <f t="shared" si="16"/>
        <v>UK</v>
      </c>
      <c r="X191" s="7" t="str">
        <f t="shared" si="16"/>
        <v>France</v>
      </c>
      <c r="Y191" s="7" t="str" cm="1">
        <f t="array" ref="Y191">IF(H191="",IFERROR(INDEX($H$2:$H$1166,MATCH(MAX(COUNTIF($H$2:$H$1166,$H$2:$H$1166)),COUNTIF($H$2:$H$1166,$H$2:$H$1166),0)),"Unknown"),H191)</f>
        <v>Unverified</v>
      </c>
      <c r="Z191" s="7" t="str">
        <f t="shared" si="17"/>
        <v>Inter-Transaction</v>
      </c>
      <c r="AA191" s="7">
        <f>IF(J191="",AVERAGE($J:$J),J191)</f>
        <v>13316.5</v>
      </c>
      <c r="AB191" s="7">
        <f>IF(N191="",AVERAGE($N:$N),N191)</f>
        <v>40</v>
      </c>
      <c r="AC191" s="7">
        <f t="shared" si="18"/>
        <v>2022</v>
      </c>
      <c r="AD191" s="7">
        <f t="shared" si="19"/>
        <v>8</v>
      </c>
      <c r="AE191" s="7">
        <f>COUNTIF(A:A,A191)</f>
        <v>1</v>
      </c>
      <c r="AF191" s="7" t="str">
        <f t="shared" si="20"/>
        <v>No</v>
      </c>
    </row>
    <row r="192" spans="1:32">
      <c r="A192" t="s">
        <v>766</v>
      </c>
      <c r="B192">
        <v>38262427</v>
      </c>
      <c r="C192" t="s">
        <v>767</v>
      </c>
      <c r="D192" t="s">
        <v>768</v>
      </c>
      <c r="E192" t="s">
        <v>20</v>
      </c>
      <c r="F192" t="s">
        <v>686</v>
      </c>
      <c r="G192" t="s">
        <v>98</v>
      </c>
      <c r="H192" t="s">
        <v>38</v>
      </c>
      <c r="I192" t="s">
        <v>3371</v>
      </c>
      <c r="J192">
        <v>1273.83</v>
      </c>
      <c r="K192" t="s">
        <v>39</v>
      </c>
      <c r="L192" t="s">
        <v>75</v>
      </c>
      <c r="M192" s="1">
        <v>46287.636111111111</v>
      </c>
      <c r="N192">
        <v>48</v>
      </c>
      <c r="O192" t="s">
        <v>24</v>
      </c>
      <c r="P192" t="s">
        <v>93</v>
      </c>
      <c r="Q192" t="s">
        <v>769</v>
      </c>
      <c r="R192">
        <f t="shared" si="14"/>
        <v>38262427</v>
      </c>
      <c r="S192" t="str" cm="1">
        <f t="array" ref="S192">IF(C192="",IFERROR(INDEX($C$2:$C$1166,MATCH(MAX(COUNTIF($C$2:$C$1166,$C$2:$C$1166)),COUNTIF($C$2:$C$1166,$C$2:$C$1166),0)),"Unknown"),C192)</f>
        <v>Linda Gonzalez</v>
      </c>
      <c r="T192" s="4" t="str" cm="1">
        <f t="array" ref="T192">IF(D192="",IFERROR(INDEX($D$2:$D$1000,MATCH(MAX(COUNTIF($D$2:$D$1166,$D$2:$D$1166)),COUNTIF($D$2:$D$1166,$D$2:$D$1166),0)),"Unknown"),D192)</f>
        <v>Patricia Brown</v>
      </c>
      <c r="U192" t="str">
        <f t="shared" si="15"/>
        <v>sgd</v>
      </c>
      <c r="V192" s="7" t="str">
        <f t="shared" si="15"/>
        <v>JPY</v>
      </c>
      <c r="W192" s="7" t="str">
        <f t="shared" si="16"/>
        <v>Brazil</v>
      </c>
      <c r="X192" s="7" t="str">
        <f t="shared" si="16"/>
        <v>USA</v>
      </c>
      <c r="Y192" s="7" t="str" cm="1">
        <f t="array" ref="Y192">IF(H192="",IFERROR(INDEX($H$2:$H$1166,MATCH(MAX(COUNTIF($H$2:$H$1166,$H$2:$H$1166)),COUNTIF($H$2:$H$1166,$H$2:$H$1166),0)),"Unknown"),H192)</f>
        <v>Pending</v>
      </c>
      <c r="Z192" s="7" t="str">
        <f t="shared" si="17"/>
        <v>Outer-Transaction</v>
      </c>
      <c r="AA192" s="7">
        <f>IF(J192="",AVERAGE($J:$J),J192)</f>
        <v>1273.83</v>
      </c>
      <c r="AB192" s="7">
        <f>IF(N192="",AVERAGE($N:$N),N192)</f>
        <v>48</v>
      </c>
      <c r="AC192" s="7">
        <f t="shared" si="18"/>
        <v>2026</v>
      </c>
      <c r="AD192" s="7">
        <f t="shared" si="19"/>
        <v>9</v>
      </c>
      <c r="AE192" s="7">
        <f>COUNTIF(A:A,A192)</f>
        <v>1</v>
      </c>
      <c r="AF192" s="7" t="str">
        <f t="shared" si="20"/>
        <v>No</v>
      </c>
    </row>
    <row r="193" spans="1:32">
      <c r="A193" t="s">
        <v>770</v>
      </c>
      <c r="B193">
        <v>53647781</v>
      </c>
      <c r="C193" t="s">
        <v>771</v>
      </c>
      <c r="D193" t="s">
        <v>401</v>
      </c>
      <c r="E193" t="s">
        <v>20</v>
      </c>
      <c r="F193" t="s">
        <v>53</v>
      </c>
      <c r="G193" t="s">
        <v>98</v>
      </c>
      <c r="I193" t="s">
        <v>3374</v>
      </c>
      <c r="J193">
        <v>9541.41</v>
      </c>
      <c r="K193" t="s">
        <v>27</v>
      </c>
      <c r="L193" t="s">
        <v>81</v>
      </c>
      <c r="M193" s="1">
        <v>46072.637499999997</v>
      </c>
      <c r="N193">
        <v>59</v>
      </c>
      <c r="O193" t="s">
        <v>62</v>
      </c>
      <c r="P193" t="s">
        <v>36</v>
      </c>
      <c r="Q193" t="s">
        <v>772</v>
      </c>
      <c r="R193">
        <f t="shared" si="14"/>
        <v>53647781</v>
      </c>
      <c r="S193" t="str" cm="1">
        <f t="array" ref="S193">IF(C193="",IFERROR(INDEX($C$2:$C$1166,MATCH(MAX(COUNTIF($C$2:$C$1166,$C$2:$C$1166)),COUNTIF($C$2:$C$1166,$C$2:$C$1166),0)),"Unknown"),C193)</f>
        <v>Zayn Thomas</v>
      </c>
      <c r="T193" s="4" t="str" cm="1">
        <f t="array" ref="T193">IF(D193="",IFERROR(INDEX($D$2:$D$1000,MATCH(MAX(COUNTIF($D$2:$D$1166,$D$2:$D$1166)),COUNTIF($D$2:$D$1166,$D$2:$D$1166),0)),"Unknown"),D193)</f>
        <v>Thomas Malik</v>
      </c>
      <c r="U193" t="str">
        <f t="shared" si="15"/>
        <v>AED</v>
      </c>
      <c r="V193" s="7" t="str">
        <f t="shared" si="15"/>
        <v>JPY</v>
      </c>
      <c r="W193" s="7" t="str">
        <f t="shared" si="16"/>
        <v>Australia</v>
      </c>
      <c r="X193" s="7" t="str">
        <f t="shared" si="16"/>
        <v>Germany</v>
      </c>
      <c r="Y193" s="7" t="str" cm="1">
        <f t="array" ref="Y193">IF(H193="",IFERROR(INDEX($H$2:$H$1166,MATCH(MAX(COUNTIF($H$2:$H$1166,$H$2:$H$1166)),COUNTIF($H$2:$H$1166,$H$2:$H$1166),0)),"Unknown"),H193)</f>
        <v>Pending</v>
      </c>
      <c r="Z193" s="7" t="str">
        <f t="shared" si="17"/>
        <v>External</v>
      </c>
      <c r="AA193" s="7">
        <f>IF(J193="",AVERAGE($J:$J),J193)</f>
        <v>9541.41</v>
      </c>
      <c r="AB193" s="7">
        <f>IF(N193="",AVERAGE($N:$N),N193)</f>
        <v>59</v>
      </c>
      <c r="AC193" s="7">
        <f t="shared" si="18"/>
        <v>2026</v>
      </c>
      <c r="AD193" s="7">
        <f t="shared" si="19"/>
        <v>2</v>
      </c>
      <c r="AE193" s="7">
        <f>COUNTIF(A:A,A193)</f>
        <v>1</v>
      </c>
      <c r="AF193" s="7" t="str">
        <f t="shared" si="20"/>
        <v>No</v>
      </c>
    </row>
    <row r="194" spans="1:32">
      <c r="A194" t="s">
        <v>773</v>
      </c>
      <c r="B194">
        <v>10012394</v>
      </c>
      <c r="C194" t="s">
        <v>774</v>
      </c>
      <c r="D194" t="s">
        <v>775</v>
      </c>
      <c r="E194" t="s">
        <v>20</v>
      </c>
      <c r="F194" t="s">
        <v>53</v>
      </c>
      <c r="G194" t="s">
        <v>44</v>
      </c>
      <c r="H194" t="s">
        <v>56</v>
      </c>
      <c r="I194" t="s">
        <v>3378</v>
      </c>
      <c r="J194">
        <v>8959.09</v>
      </c>
      <c r="K194" t="s">
        <v>86</v>
      </c>
      <c r="L194" t="s">
        <v>75</v>
      </c>
      <c r="M194" s="1">
        <v>46113.996527777781</v>
      </c>
      <c r="N194">
        <v>24</v>
      </c>
      <c r="O194" t="s">
        <v>127</v>
      </c>
      <c r="P194" t="s">
        <v>127</v>
      </c>
      <c r="Q194" t="s">
        <v>776</v>
      </c>
      <c r="R194">
        <f t="shared" ref="R194:R257" si="21">IF(B194="",0,B194)</f>
        <v>10012394</v>
      </c>
      <c r="S194" t="str" cm="1">
        <f t="array" ref="S194">IF(C194="",IFERROR(INDEX($C$2:$C$1166,MATCH(MAX(COUNTIF($C$2:$C$1166,$C$2:$C$1166)),COUNTIF($C$2:$C$1166,$C$2:$C$1166),0)),"Unknown"),C194)</f>
        <v>Charles Khan</v>
      </c>
      <c r="T194" s="4" t="str" cm="1">
        <f t="array" ref="T194">IF(D194="",IFERROR(INDEX($D$2:$D$1000,MATCH(MAX(COUNTIF($D$2:$D$1166,$D$2:$D$1166)),COUNTIF($D$2:$D$1166,$D$2:$D$1166),0)),"Unknown"),D194)</f>
        <v>Jean-Pierre Malik</v>
      </c>
      <c r="U194" t="str">
        <f t="shared" ref="U194:V257" si="22">TRIM(F194)</f>
        <v>AED</v>
      </c>
      <c r="V194" s="7" t="str">
        <f t="shared" si="22"/>
        <v>SGD</v>
      </c>
      <c r="W194" s="7" t="str">
        <f t="shared" ref="W194:X257" si="23">TRIM(O194)</f>
        <v>Canada</v>
      </c>
      <c r="X194" s="7" t="str">
        <f t="shared" si="23"/>
        <v>Canada</v>
      </c>
      <c r="Y194" s="7" t="str" cm="1">
        <f t="array" ref="Y194">IF(H194="",IFERROR(INDEX($H$2:$H$1166,MATCH(MAX(COUNTIF($H$2:$H$1166,$H$2:$H$1166)),COUNTIF($H$2:$H$1166,$H$2:$H$1166),0)),"Unknown"),H194)</f>
        <v>Unverified</v>
      </c>
      <c r="Z194" s="7" t="str">
        <f t="shared" ref="Z194:Z257" si="24">PROPER(I194)</f>
        <v>Inter-Transaction</v>
      </c>
      <c r="AA194" s="7">
        <f>IF(J194="",AVERAGE($J:$J),J194)</f>
        <v>8959.09</v>
      </c>
      <c r="AB194" s="7">
        <f>IF(N194="",AVERAGE($N:$N),N194)</f>
        <v>24</v>
      </c>
      <c r="AC194" s="7">
        <f t="shared" ref="AC194:AC257" si="25">YEAR(M194)</f>
        <v>2026</v>
      </c>
      <c r="AD194" s="7">
        <f t="shared" ref="AD194:AD257" si="26">MONTH(M194)</f>
        <v>4</v>
      </c>
      <c r="AE194" s="7">
        <f>COUNTIF(A:A,A194)</f>
        <v>1</v>
      </c>
      <c r="AF194" s="7" t="str">
        <f t="shared" ref="AF194:AF257" si="27">IF(E194="","",IF(OR(E194="Yes",E194="Y",E194="TRUE",E194=1),"Yes","No"))</f>
        <v>No</v>
      </c>
    </row>
    <row r="195" spans="1:32">
      <c r="A195" t="s">
        <v>777</v>
      </c>
      <c r="B195">
        <v>45296615</v>
      </c>
      <c r="C195" t="s">
        <v>778</v>
      </c>
      <c r="E195" t="s">
        <v>3375</v>
      </c>
      <c r="F195" t="s">
        <v>116</v>
      </c>
      <c r="G195" t="s">
        <v>22</v>
      </c>
      <c r="H195" t="s">
        <v>25</v>
      </c>
      <c r="I195" t="s">
        <v>3371</v>
      </c>
      <c r="J195">
        <v>2057.9899999999998</v>
      </c>
      <c r="K195" t="s">
        <v>86</v>
      </c>
      <c r="L195" t="s">
        <v>81</v>
      </c>
      <c r="M195" s="1">
        <v>45004.317361111112</v>
      </c>
      <c r="N195">
        <v>33</v>
      </c>
      <c r="O195" t="s">
        <v>36</v>
      </c>
      <c r="P195" t="s">
        <v>24</v>
      </c>
      <c r="Q195" t="s">
        <v>779</v>
      </c>
      <c r="R195">
        <f t="shared" si="21"/>
        <v>45296615</v>
      </c>
      <c r="S195" t="str" cm="1">
        <f t="array" ref="S195">IF(C195="",IFERROR(INDEX($C$2:$C$1166,MATCH(MAX(COUNTIF($C$2:$C$1166,$C$2:$C$1166)),COUNTIF($C$2:$C$1166,$C$2:$C$1166),0)),"Unknown"),C195)</f>
        <v>Robert Wilson</v>
      </c>
      <c r="T195" s="4" t="str" cm="1">
        <f t="array" ref="T195">IF(D195="",IFERROR(INDEX($D$2:$D$1000,MATCH(MAX(COUNTIF($D$2:$D$1166,$D$2:$D$1166)),COUNTIF($D$2:$D$1166,$D$2:$D$1166),0)),"Unknown"),D195)</f>
        <v>Patricia Smith</v>
      </c>
      <c r="U195" t="str">
        <f t="shared" si="22"/>
        <v>CHF</v>
      </c>
      <c r="V195" s="7" t="str">
        <f t="shared" si="22"/>
        <v>BRL</v>
      </c>
      <c r="W195" s="7" t="str">
        <f t="shared" si="23"/>
        <v>Germany</v>
      </c>
      <c r="X195" s="7" t="str">
        <f t="shared" si="23"/>
        <v>Brazil</v>
      </c>
      <c r="Y195" s="7" t="str" cm="1">
        <f t="array" ref="Y195">IF(H195="",IFERROR(INDEX($H$2:$H$1166,MATCH(MAX(COUNTIF($H$2:$H$1166,$H$2:$H$1166)),COUNTIF($H$2:$H$1166,$H$2:$H$1166),0)),"Unknown"),H195)</f>
        <v>KYC</v>
      </c>
      <c r="Z195" s="7" t="str">
        <f t="shared" si="24"/>
        <v>Outer-Transaction</v>
      </c>
      <c r="AA195" s="7">
        <f>IF(J195="",AVERAGE($J:$J),J195)</f>
        <v>2057.9899999999998</v>
      </c>
      <c r="AB195" s="7">
        <f>IF(N195="",AVERAGE($N:$N),N195)</f>
        <v>33</v>
      </c>
      <c r="AC195" s="7">
        <f t="shared" si="25"/>
        <v>2023</v>
      </c>
      <c r="AD195" s="7">
        <f t="shared" si="26"/>
        <v>3</v>
      </c>
      <c r="AE195" s="7">
        <f>COUNTIF(A:A,A195)</f>
        <v>1</v>
      </c>
      <c r="AF195" s="7" t="str">
        <f t="shared" si="27"/>
        <v>No</v>
      </c>
    </row>
    <row r="196" spans="1:32">
      <c r="A196" t="s">
        <v>780</v>
      </c>
      <c r="B196">
        <v>23726915</v>
      </c>
      <c r="C196" t="s">
        <v>592</v>
      </c>
      <c r="D196" t="s">
        <v>460</v>
      </c>
      <c r="E196" t="s">
        <v>20</v>
      </c>
      <c r="F196" t="s">
        <v>556</v>
      </c>
      <c r="G196" t="s">
        <v>121</v>
      </c>
      <c r="H196" t="s">
        <v>56</v>
      </c>
      <c r="I196" t="s">
        <v>3378</v>
      </c>
      <c r="J196">
        <v>6960.63</v>
      </c>
      <c r="K196" t="s">
        <v>86</v>
      </c>
      <c r="L196" t="s">
        <v>75</v>
      </c>
      <c r="M196" s="1">
        <v>44646.244444444441</v>
      </c>
      <c r="N196">
        <v>77</v>
      </c>
      <c r="O196" t="s">
        <v>37</v>
      </c>
      <c r="P196" t="s">
        <v>55</v>
      </c>
      <c r="Q196" t="s">
        <v>781</v>
      </c>
      <c r="R196">
        <f t="shared" si="21"/>
        <v>23726915</v>
      </c>
      <c r="S196" t="str" cm="1">
        <f t="array" ref="S196">IF(C196="",IFERROR(INDEX($C$2:$C$1166,MATCH(MAX(COUNTIF($C$2:$C$1166,$C$2:$C$1166)),COUNTIF($C$2:$C$1166,$C$2:$C$1166),0)),"Unknown"),C196)</f>
        <v>Barbara Rodriguez</v>
      </c>
      <c r="T196" s="4" t="str" cm="1">
        <f t="array" ref="T196">IF(D196="",IFERROR(INDEX($D$2:$D$1000,MATCH(MAX(COUNTIF($D$2:$D$1166,$D$2:$D$1166)),COUNTIF($D$2:$D$1166,$D$2:$D$1166),0)),"Unknown"),D196)</f>
        <v>Michael Rostova</v>
      </c>
      <c r="U196" t="str">
        <f t="shared" si="22"/>
        <v>$</v>
      </c>
      <c r="V196" s="7" t="str">
        <f t="shared" si="22"/>
        <v>INR</v>
      </c>
      <c r="W196" s="7" t="str">
        <f t="shared" si="23"/>
        <v>South Africa</v>
      </c>
      <c r="X196" s="7" t="str">
        <f t="shared" si="23"/>
        <v>UK</v>
      </c>
      <c r="Y196" s="7" t="str" cm="1">
        <f t="array" ref="Y196">IF(H196="",IFERROR(INDEX($H$2:$H$1166,MATCH(MAX(COUNTIF($H$2:$H$1166,$H$2:$H$1166)),COUNTIF($H$2:$H$1166,$H$2:$H$1166),0)),"Unknown"),H196)</f>
        <v>Unverified</v>
      </c>
      <c r="Z196" s="7" t="str">
        <f t="shared" si="24"/>
        <v>Inter-Transaction</v>
      </c>
      <c r="AA196" s="7">
        <f>IF(J196="",AVERAGE($J:$J),J196)</f>
        <v>6960.63</v>
      </c>
      <c r="AB196" s="7">
        <f>IF(N196="",AVERAGE($N:$N),N196)</f>
        <v>77</v>
      </c>
      <c r="AC196" s="7">
        <f t="shared" si="25"/>
        <v>2022</v>
      </c>
      <c r="AD196" s="7">
        <f t="shared" si="26"/>
        <v>3</v>
      </c>
      <c r="AE196" s="7">
        <f>COUNTIF(A:A,A196)</f>
        <v>1</v>
      </c>
      <c r="AF196" s="7" t="str">
        <f t="shared" si="27"/>
        <v>No</v>
      </c>
    </row>
    <row r="197" spans="1:32">
      <c r="A197" t="s">
        <v>782</v>
      </c>
      <c r="B197">
        <v>61214452</v>
      </c>
      <c r="C197" t="s">
        <v>783</v>
      </c>
      <c r="D197" t="s">
        <v>784</v>
      </c>
      <c r="E197">
        <v>1</v>
      </c>
      <c r="F197" t="s">
        <v>92</v>
      </c>
      <c r="G197" t="s">
        <v>44</v>
      </c>
      <c r="I197" t="s">
        <v>3371</v>
      </c>
      <c r="J197">
        <v>7097.65</v>
      </c>
      <c r="K197" t="s">
        <v>57</v>
      </c>
      <c r="L197" t="s">
        <v>75</v>
      </c>
      <c r="M197" s="1">
        <v>44234.357638888891</v>
      </c>
      <c r="N197">
        <v>19</v>
      </c>
      <c r="O197" t="s">
        <v>23</v>
      </c>
      <c r="P197" t="s">
        <v>68</v>
      </c>
      <c r="Q197" t="s">
        <v>785</v>
      </c>
      <c r="R197">
        <f t="shared" si="21"/>
        <v>61214452</v>
      </c>
      <c r="S197" t="str" cm="1">
        <f t="array" ref="S197">IF(C197="",IFERROR(INDEX($C$2:$C$1166,MATCH(MAX(COUNTIF($C$2:$C$1166,$C$2:$C$1166)),COUNTIF($C$2:$C$1166,$C$2:$C$1166),0)),"Unknown"),C197)</f>
        <v>Amir Smith</v>
      </c>
      <c r="T197" s="4" t="str" cm="1">
        <f t="array" ref="T197">IF(D197="",IFERROR(INDEX($D$2:$D$1000,MATCH(MAX(COUNTIF($D$2:$D$1166,$D$2:$D$1166)),COUNTIF($D$2:$D$1166,$D$2:$D$1166),0)),"Unknown"),D197)</f>
        <v>Patricia Dubois</v>
      </c>
      <c r="U197" t="str">
        <f t="shared" si="22"/>
        <v>AUD</v>
      </c>
      <c r="V197" s="7" t="str">
        <f t="shared" si="22"/>
        <v>SGD</v>
      </c>
      <c r="W197" s="7" t="str">
        <f t="shared" si="23"/>
        <v>France</v>
      </c>
      <c r="X197" s="7" t="str">
        <f t="shared" si="23"/>
        <v>UAE</v>
      </c>
      <c r="Y197" s="7" t="str" cm="1">
        <f t="array" ref="Y197">IF(H197="",IFERROR(INDEX($H$2:$H$1166,MATCH(MAX(COUNTIF($H$2:$H$1166,$H$2:$H$1166)),COUNTIF($H$2:$H$1166,$H$2:$H$1166),0)),"Unknown"),H197)</f>
        <v>Pending</v>
      </c>
      <c r="Z197" s="7" t="str">
        <f t="shared" si="24"/>
        <v>Outer-Transaction</v>
      </c>
      <c r="AA197" s="7">
        <f>IF(J197="",AVERAGE($J:$J),J197)</f>
        <v>7097.65</v>
      </c>
      <c r="AB197" s="7">
        <f>IF(N197="",AVERAGE($N:$N),N197)</f>
        <v>19</v>
      </c>
      <c r="AC197" s="7">
        <f t="shared" si="25"/>
        <v>2021</v>
      </c>
      <c r="AD197" s="7">
        <f t="shared" si="26"/>
        <v>2</v>
      </c>
      <c r="AE197" s="7">
        <f>COUNTIF(A:A,A197)</f>
        <v>1</v>
      </c>
      <c r="AF197" s="7" t="str">
        <f t="shared" si="27"/>
        <v>Yes</v>
      </c>
    </row>
    <row r="198" spans="1:32">
      <c r="A198" t="s">
        <v>786</v>
      </c>
      <c r="B198">
        <v>16991067</v>
      </c>
      <c r="C198" t="s">
        <v>231</v>
      </c>
      <c r="D198" t="s">
        <v>787</v>
      </c>
      <c r="E198" t="s">
        <v>20</v>
      </c>
      <c r="F198" t="s">
        <v>160</v>
      </c>
      <c r="G198" t="s">
        <v>34</v>
      </c>
      <c r="H198" t="s">
        <v>25</v>
      </c>
      <c r="I198" t="s">
        <v>3376</v>
      </c>
      <c r="J198">
        <v>11754.29</v>
      </c>
      <c r="K198" t="s">
        <v>39</v>
      </c>
      <c r="L198" t="s">
        <v>48</v>
      </c>
      <c r="M198" s="1">
        <v>44723.499305555553</v>
      </c>
      <c r="N198">
        <v>18</v>
      </c>
      <c r="O198" t="s">
        <v>127</v>
      </c>
      <c r="P198" t="s">
        <v>127</v>
      </c>
      <c r="Q198" t="s">
        <v>788</v>
      </c>
      <c r="R198">
        <f t="shared" si="21"/>
        <v>16991067</v>
      </c>
      <c r="S198" t="str" cm="1">
        <f t="array" ref="S198">IF(C198="",IFERROR(INDEX($C$2:$C$1166,MATCH(MAX(COUNTIF($C$2:$C$1166,$C$2:$C$1166)),COUNTIF($C$2:$C$1166,$C$2:$C$1166),0)),"Unknown"),C198)</f>
        <v>Zayn Velez</v>
      </c>
      <c r="T198" s="4" t="str" cm="1">
        <f t="array" ref="T198">IF(D198="",IFERROR(INDEX($D$2:$D$1000,MATCH(MAX(COUNTIF($D$2:$D$1166,$D$2:$D$1166)),COUNTIF($D$2:$D$1166,$D$2:$D$1166),0)),"Unknown"),D198)</f>
        <v>William Brown</v>
      </c>
      <c r="U198" t="str">
        <f t="shared" si="22"/>
        <v>aud</v>
      </c>
      <c r="V198" s="7" t="str">
        <f t="shared" si="22"/>
        <v>CAD</v>
      </c>
      <c r="W198" s="7" t="str">
        <f t="shared" si="23"/>
        <v>Canada</v>
      </c>
      <c r="X198" s="7" t="str">
        <f t="shared" si="23"/>
        <v>Canada</v>
      </c>
      <c r="Y198" s="7" t="str" cm="1">
        <f t="array" ref="Y198">IF(H198="",IFERROR(INDEX($H$2:$H$1166,MATCH(MAX(COUNTIF($H$2:$H$1166,$H$2:$H$1166)),COUNTIF($H$2:$H$1166,$H$2:$H$1166),0)),"Unknown"),H198)</f>
        <v>KYC</v>
      </c>
      <c r="Z198" s="7" t="str">
        <f t="shared" si="24"/>
        <v>Internal</v>
      </c>
      <c r="AA198" s="7">
        <f>IF(J198="",AVERAGE($J:$J),J198)</f>
        <v>11754.29</v>
      </c>
      <c r="AB198" s="7">
        <f>IF(N198="",AVERAGE($N:$N),N198)</f>
        <v>18</v>
      </c>
      <c r="AC198" s="7">
        <f t="shared" si="25"/>
        <v>2022</v>
      </c>
      <c r="AD198" s="7">
        <f t="shared" si="26"/>
        <v>6</v>
      </c>
      <c r="AE198" s="7">
        <f>COUNTIF(A:A,A198)</f>
        <v>1</v>
      </c>
      <c r="AF198" s="7" t="str">
        <f t="shared" si="27"/>
        <v>No</v>
      </c>
    </row>
    <row r="199" spans="1:32">
      <c r="A199" t="s">
        <v>789</v>
      </c>
      <c r="C199" t="s">
        <v>790</v>
      </c>
      <c r="D199" t="s">
        <v>460</v>
      </c>
      <c r="E199" t="s">
        <v>20</v>
      </c>
      <c r="F199" t="s">
        <v>35</v>
      </c>
      <c r="G199" t="s">
        <v>21</v>
      </c>
      <c r="H199" t="s">
        <v>56</v>
      </c>
      <c r="I199" t="s">
        <v>3374</v>
      </c>
      <c r="J199">
        <v>2902.55</v>
      </c>
      <c r="K199" t="s">
        <v>39</v>
      </c>
      <c r="L199" t="s">
        <v>75</v>
      </c>
      <c r="M199" s="1">
        <v>43898.495833333334</v>
      </c>
      <c r="N199">
        <v>65</v>
      </c>
      <c r="O199" t="s">
        <v>24</v>
      </c>
      <c r="P199" t="s">
        <v>55</v>
      </c>
      <c r="Q199" t="s">
        <v>791</v>
      </c>
      <c r="R199">
        <f t="shared" si="21"/>
        <v>0</v>
      </c>
      <c r="S199" t="str" cm="1">
        <f t="array" ref="S199">IF(C199="",IFERROR(INDEX($C$2:$C$1166,MATCH(MAX(COUNTIF($C$2:$C$1166,$C$2:$C$1166)),COUNTIF($C$2:$C$1166,$C$2:$C$1166),0)),"Unknown"),C199)</f>
        <v>Susan Nair</v>
      </c>
      <c r="T199" s="4" t="str" cm="1">
        <f t="array" ref="T199">IF(D199="",IFERROR(INDEX($D$2:$D$1000,MATCH(MAX(COUNTIF($D$2:$D$1166,$D$2:$D$1166)),COUNTIF($D$2:$D$1166,$D$2:$D$1166),0)),"Unknown"),D199)</f>
        <v>Michael Rostova</v>
      </c>
      <c r="U199" t="str">
        <f t="shared" si="22"/>
        <v>EUR</v>
      </c>
      <c r="V199" s="7" t="str">
        <f t="shared" si="22"/>
        <v>GBP</v>
      </c>
      <c r="W199" s="7" t="str">
        <f t="shared" si="23"/>
        <v>Brazil</v>
      </c>
      <c r="X199" s="7" t="str">
        <f t="shared" si="23"/>
        <v>UK</v>
      </c>
      <c r="Y199" s="7" t="str" cm="1">
        <f t="array" ref="Y199">IF(H199="",IFERROR(INDEX($H$2:$H$1166,MATCH(MAX(COUNTIF($H$2:$H$1166,$H$2:$H$1166)),COUNTIF($H$2:$H$1166,$H$2:$H$1166),0)),"Unknown"),H199)</f>
        <v>Unverified</v>
      </c>
      <c r="Z199" s="7" t="str">
        <f t="shared" si="24"/>
        <v>External</v>
      </c>
      <c r="AA199" s="7">
        <f>IF(J199="",AVERAGE($J:$J),J199)</f>
        <v>2902.55</v>
      </c>
      <c r="AB199" s="7">
        <f>IF(N199="",AVERAGE($N:$N),N199)</f>
        <v>65</v>
      </c>
      <c r="AC199" s="7">
        <f t="shared" si="25"/>
        <v>2020</v>
      </c>
      <c r="AD199" s="7">
        <f t="shared" si="26"/>
        <v>3</v>
      </c>
      <c r="AE199" s="7">
        <f>COUNTIF(A:A,A199)</f>
        <v>1</v>
      </c>
      <c r="AF199" s="7" t="str">
        <f t="shared" si="27"/>
        <v>No</v>
      </c>
    </row>
    <row r="200" spans="1:32">
      <c r="A200" t="s">
        <v>792</v>
      </c>
      <c r="B200">
        <v>82963514</v>
      </c>
      <c r="C200" t="s">
        <v>793</v>
      </c>
      <c r="D200" t="s">
        <v>110</v>
      </c>
      <c r="E200" t="s">
        <v>20</v>
      </c>
      <c r="F200" t="s">
        <v>116</v>
      </c>
      <c r="G200" t="s">
        <v>98</v>
      </c>
      <c r="H200" t="s">
        <v>56</v>
      </c>
      <c r="I200" t="s">
        <v>3377</v>
      </c>
      <c r="J200">
        <v>11641.01</v>
      </c>
      <c r="K200" t="s">
        <v>27</v>
      </c>
      <c r="L200" t="s">
        <v>81</v>
      </c>
      <c r="M200" s="1">
        <v>43918.676388888889</v>
      </c>
      <c r="N200">
        <v>29</v>
      </c>
      <c r="O200" t="s">
        <v>68</v>
      </c>
      <c r="P200" t="s">
        <v>23</v>
      </c>
      <c r="Q200" t="s">
        <v>794</v>
      </c>
      <c r="R200">
        <f t="shared" si="21"/>
        <v>82963514</v>
      </c>
      <c r="S200" t="str" cm="1">
        <f t="array" ref="S200">IF(C200="",IFERROR(INDEX($C$2:$C$1166,MATCH(MAX(COUNTIF($C$2:$C$1166,$C$2:$C$1166)),COUNTIF($C$2:$C$1166,$C$2:$C$1166),0)),"Unknown"),C200)</f>
        <v>Susan Hernandez</v>
      </c>
      <c r="T200" s="4" t="str" cm="1">
        <f t="array" ref="T200">IF(D200="",IFERROR(INDEX($D$2:$D$1000,MATCH(MAX(COUNTIF($D$2:$D$1166,$D$2:$D$1166)),COUNTIF($D$2:$D$1166,$D$2:$D$1166),0)),"Unknown"),D200)</f>
        <v>Fatima Anderson</v>
      </c>
      <c r="U200" t="str">
        <f t="shared" si="22"/>
        <v>CHF</v>
      </c>
      <c r="V200" s="7" t="str">
        <f t="shared" si="22"/>
        <v>JPY</v>
      </c>
      <c r="W200" s="7" t="str">
        <f t="shared" si="23"/>
        <v>UAE</v>
      </c>
      <c r="X200" s="7" t="str">
        <f t="shared" si="23"/>
        <v>France</v>
      </c>
      <c r="Y200" s="7" t="str" cm="1">
        <f t="array" ref="Y200">IF(H200="",IFERROR(INDEX($H$2:$H$1166,MATCH(MAX(COUNTIF($H$2:$H$1166,$H$2:$H$1166)),COUNTIF($H$2:$H$1166,$H$2:$H$1166),0)),"Unknown"),H200)</f>
        <v>Unverified</v>
      </c>
      <c r="Z200" s="7" t="str">
        <f t="shared" si="24"/>
        <v>Inter-Transaction</v>
      </c>
      <c r="AA200" s="7">
        <f>IF(J200="",AVERAGE($J:$J),J200)</f>
        <v>11641.01</v>
      </c>
      <c r="AB200" s="7">
        <f>IF(N200="",AVERAGE($N:$N),N200)</f>
        <v>29</v>
      </c>
      <c r="AC200" s="7">
        <f t="shared" si="25"/>
        <v>2020</v>
      </c>
      <c r="AD200" s="7">
        <f t="shared" si="26"/>
        <v>3</v>
      </c>
      <c r="AE200" s="7">
        <f>COUNTIF(A:A,A200)</f>
        <v>1</v>
      </c>
      <c r="AF200" s="7" t="str">
        <f t="shared" si="27"/>
        <v>No</v>
      </c>
    </row>
    <row r="201" spans="1:32">
      <c r="A201" t="s">
        <v>795</v>
      </c>
      <c r="B201">
        <v>62008140</v>
      </c>
      <c r="C201" t="s">
        <v>796</v>
      </c>
      <c r="D201" t="s">
        <v>797</v>
      </c>
      <c r="E201" t="s">
        <v>20</v>
      </c>
      <c r="F201" t="s">
        <v>21</v>
      </c>
      <c r="G201" t="s">
        <v>116</v>
      </c>
      <c r="H201" t="s">
        <v>25</v>
      </c>
      <c r="I201" t="s">
        <v>3371</v>
      </c>
      <c r="J201">
        <v>2687.8</v>
      </c>
      <c r="K201" t="s">
        <v>86</v>
      </c>
      <c r="L201" t="s">
        <v>48</v>
      </c>
      <c r="M201" s="1">
        <v>46095.359722222223</v>
      </c>
      <c r="N201">
        <v>54</v>
      </c>
      <c r="O201" t="s">
        <v>62</v>
      </c>
      <c r="P201" t="s">
        <v>68</v>
      </c>
      <c r="Q201" t="s">
        <v>798</v>
      </c>
      <c r="R201">
        <f t="shared" si="21"/>
        <v>62008140</v>
      </c>
      <c r="S201" t="str" cm="1">
        <f t="array" ref="S201">IF(C201="",IFERROR(INDEX($C$2:$C$1166,MATCH(MAX(COUNTIF($C$2:$C$1166,$C$2:$C$1166)),COUNTIF($C$2:$C$1166,$C$2:$C$1166),0)),"Unknown"),C201)</f>
        <v>William Taylor</v>
      </c>
      <c r="T201" s="4" t="str" cm="1">
        <f t="array" ref="T201">IF(D201="",IFERROR(INDEX($D$2:$D$1000,MATCH(MAX(COUNTIF($D$2:$D$1166,$D$2:$D$1166)),COUNTIF($D$2:$D$1166,$D$2:$D$1166),0)),"Unknown"),D201)</f>
        <v>Marta Thomas</v>
      </c>
      <c r="U201" t="str">
        <f t="shared" si="22"/>
        <v>GBP</v>
      </c>
      <c r="V201" s="7" t="str">
        <f t="shared" si="22"/>
        <v>CHF</v>
      </c>
      <c r="W201" s="7" t="str">
        <f t="shared" si="23"/>
        <v>Australia</v>
      </c>
      <c r="X201" s="7" t="str">
        <f t="shared" si="23"/>
        <v>UAE</v>
      </c>
      <c r="Y201" s="7" t="str" cm="1">
        <f t="array" ref="Y201">IF(H201="",IFERROR(INDEX($H$2:$H$1166,MATCH(MAX(COUNTIF($H$2:$H$1166,$H$2:$H$1166)),COUNTIF($H$2:$H$1166,$H$2:$H$1166),0)),"Unknown"),H201)</f>
        <v>KYC</v>
      </c>
      <c r="Z201" s="7" t="str">
        <f t="shared" si="24"/>
        <v>Outer-Transaction</v>
      </c>
      <c r="AA201" s="7">
        <f>IF(J201="",AVERAGE($J:$J),J201)</f>
        <v>2687.8</v>
      </c>
      <c r="AB201" s="7">
        <f>IF(N201="",AVERAGE($N:$N),N201)</f>
        <v>54</v>
      </c>
      <c r="AC201" s="7">
        <f t="shared" si="25"/>
        <v>2026</v>
      </c>
      <c r="AD201" s="7">
        <f t="shared" si="26"/>
        <v>3</v>
      </c>
      <c r="AE201" s="7">
        <f>COUNTIF(A:A,A201)</f>
        <v>1</v>
      </c>
      <c r="AF201" s="7" t="str">
        <f t="shared" si="27"/>
        <v>No</v>
      </c>
    </row>
    <row r="202" spans="1:32">
      <c r="A202" t="s">
        <v>799</v>
      </c>
      <c r="B202">
        <v>44351488</v>
      </c>
      <c r="C202" t="s">
        <v>282</v>
      </c>
      <c r="D202" t="s">
        <v>741</v>
      </c>
      <c r="E202" t="s">
        <v>3373</v>
      </c>
      <c r="F202" t="s">
        <v>80</v>
      </c>
      <c r="G202" t="s">
        <v>121</v>
      </c>
      <c r="H202" t="s">
        <v>103</v>
      </c>
      <c r="I202" t="s">
        <v>3376</v>
      </c>
      <c r="J202">
        <v>11154.73</v>
      </c>
      <c r="K202" t="s">
        <v>39</v>
      </c>
      <c r="L202" t="s">
        <v>75</v>
      </c>
      <c r="M202" s="1">
        <v>45879.407638888886</v>
      </c>
      <c r="N202">
        <v>49</v>
      </c>
      <c r="O202" t="s">
        <v>93</v>
      </c>
      <c r="P202" t="s">
        <v>62</v>
      </c>
      <c r="Q202" t="s">
        <v>800</v>
      </c>
      <c r="R202">
        <f t="shared" si="21"/>
        <v>44351488</v>
      </c>
      <c r="S202" t="str" cm="1">
        <f t="array" ref="S202">IF(C202="",IFERROR(INDEX($C$2:$C$1166,MATCH(MAX(COUNTIF($C$2:$C$1166,$C$2:$C$1166)),COUNTIF($C$2:$C$1166,$C$2:$C$1166),0)),"Unknown"),C202)</f>
        <v>Mary Lopez</v>
      </c>
      <c r="T202" s="4" t="str" cm="1">
        <f t="array" ref="T202">IF(D202="",IFERROR(INDEX($D$2:$D$1000,MATCH(MAX(COUNTIF($D$2:$D$1166,$D$2:$D$1166)),COUNTIF($D$2:$D$1166,$D$2:$D$1166),0)),"Unknown"),D202)</f>
        <v>Elizabeth Martin</v>
      </c>
      <c r="U202" t="str">
        <f t="shared" si="22"/>
        <v>USD</v>
      </c>
      <c r="V202" s="7" t="str">
        <f t="shared" si="22"/>
        <v>INR</v>
      </c>
      <c r="W202" s="7" t="str">
        <f t="shared" si="23"/>
        <v>USA</v>
      </c>
      <c r="X202" s="7" t="str">
        <f t="shared" si="23"/>
        <v>Australia</v>
      </c>
      <c r="Y202" s="7" t="str" cm="1">
        <f t="array" ref="Y202">IF(H202="",IFERROR(INDEX($H$2:$H$1166,MATCH(MAX(COUNTIF($H$2:$H$1166,$H$2:$H$1166)),COUNTIF($H$2:$H$1166,$H$2:$H$1166),0)),"Unknown"),H202)</f>
        <v>Verified</v>
      </c>
      <c r="Z202" s="7" t="str">
        <f t="shared" si="24"/>
        <v>Internal</v>
      </c>
      <c r="AA202" s="7">
        <f>IF(J202="",AVERAGE($J:$J),J202)</f>
        <v>11154.73</v>
      </c>
      <c r="AB202" s="7">
        <f>IF(N202="",AVERAGE($N:$N),N202)</f>
        <v>49</v>
      </c>
      <c r="AC202" s="7">
        <f t="shared" si="25"/>
        <v>2025</v>
      </c>
      <c r="AD202" s="7">
        <f t="shared" si="26"/>
        <v>8</v>
      </c>
      <c r="AE202" s="7">
        <f>COUNTIF(A:A,A202)</f>
        <v>1</v>
      </c>
      <c r="AF202" s="7" t="str">
        <f t="shared" si="27"/>
        <v>Yes</v>
      </c>
    </row>
    <row r="203" spans="1:32">
      <c r="A203" t="s">
        <v>801</v>
      </c>
      <c r="B203">
        <v>23586205</v>
      </c>
      <c r="C203" t="s">
        <v>802</v>
      </c>
      <c r="D203" t="s">
        <v>678</v>
      </c>
      <c r="E203">
        <v>0</v>
      </c>
      <c r="F203" t="s">
        <v>98</v>
      </c>
      <c r="G203" t="s">
        <v>45</v>
      </c>
      <c r="H203" t="s">
        <v>25</v>
      </c>
      <c r="I203" t="s">
        <v>3374</v>
      </c>
      <c r="J203">
        <v>8652.69</v>
      </c>
      <c r="K203" t="s">
        <v>39</v>
      </c>
      <c r="L203" t="s">
        <v>81</v>
      </c>
      <c r="M203" s="1">
        <v>44989.479861111111</v>
      </c>
      <c r="N203">
        <v>26</v>
      </c>
      <c r="O203" t="s">
        <v>24</v>
      </c>
      <c r="P203" t="s">
        <v>54</v>
      </c>
      <c r="Q203" t="s">
        <v>803</v>
      </c>
      <c r="R203">
        <f t="shared" si="21"/>
        <v>23586205</v>
      </c>
      <c r="S203" t="str" cm="1">
        <f t="array" ref="S203">IF(C203="",IFERROR(INDEX($C$2:$C$1166,MATCH(MAX(COUNTIF($C$2:$C$1166,$C$2:$C$1166)),COUNTIF($C$2:$C$1166,$C$2:$C$1166),0)),"Unknown"),C203)</f>
        <v>Fatima Davis</v>
      </c>
      <c r="T203" s="4" t="str" cm="1">
        <f t="array" ref="T203">IF(D203="",IFERROR(INDEX($D$2:$D$1000,MATCH(MAX(COUNTIF($D$2:$D$1166,$D$2:$D$1166)),COUNTIF($D$2:$D$1166,$D$2:$D$1166),0)),"Unknown"),D203)</f>
        <v>Karen Gonzalez</v>
      </c>
      <c r="U203" t="str">
        <f t="shared" si="22"/>
        <v>JPY</v>
      </c>
      <c r="V203" s="7" t="str">
        <f t="shared" si="22"/>
        <v>ZAR</v>
      </c>
      <c r="W203" s="7" t="str">
        <f t="shared" si="23"/>
        <v>Brazil</v>
      </c>
      <c r="X203" s="7" t="str">
        <f t="shared" si="23"/>
        <v>India</v>
      </c>
      <c r="Y203" s="7" t="str" cm="1">
        <f t="array" ref="Y203">IF(H203="",IFERROR(INDEX($H$2:$H$1166,MATCH(MAX(COUNTIF($H$2:$H$1166,$H$2:$H$1166)),COUNTIF($H$2:$H$1166,$H$2:$H$1166),0)),"Unknown"),H203)</f>
        <v>KYC</v>
      </c>
      <c r="Z203" s="7" t="str">
        <f t="shared" si="24"/>
        <v>External</v>
      </c>
      <c r="AA203" s="7">
        <f>IF(J203="",AVERAGE($J:$J),J203)</f>
        <v>8652.69</v>
      </c>
      <c r="AB203" s="7">
        <f>IF(N203="",AVERAGE($N:$N),N203)</f>
        <v>26</v>
      </c>
      <c r="AC203" s="7">
        <f t="shared" si="25"/>
        <v>2023</v>
      </c>
      <c r="AD203" s="7">
        <f t="shared" si="26"/>
        <v>3</v>
      </c>
      <c r="AE203" s="7">
        <f>COUNTIF(A:A,A203)</f>
        <v>1</v>
      </c>
      <c r="AF203" s="7" t="str">
        <f t="shared" si="27"/>
        <v>No</v>
      </c>
    </row>
    <row r="204" spans="1:32">
      <c r="A204" t="s">
        <v>804</v>
      </c>
      <c r="C204" t="s">
        <v>805</v>
      </c>
      <c r="E204" t="s">
        <v>20</v>
      </c>
      <c r="F204" t="s">
        <v>92</v>
      </c>
      <c r="H204" t="s">
        <v>38</v>
      </c>
      <c r="I204" t="s">
        <v>3374</v>
      </c>
      <c r="J204">
        <v>3818.8</v>
      </c>
      <c r="K204" t="s">
        <v>39</v>
      </c>
      <c r="L204" t="s">
        <v>81</v>
      </c>
      <c r="M204" s="1">
        <v>45551.261805555558</v>
      </c>
      <c r="N204">
        <v>36</v>
      </c>
      <c r="O204" t="s">
        <v>24</v>
      </c>
      <c r="P204" t="s">
        <v>93</v>
      </c>
      <c r="Q204" t="s">
        <v>806</v>
      </c>
      <c r="R204">
        <f t="shared" si="21"/>
        <v>0</v>
      </c>
      <c r="S204" t="str" cm="1">
        <f t="array" ref="S204">IF(C204="",IFERROR(INDEX($C$2:$C$1166,MATCH(MAX(COUNTIF($C$2:$C$1166,$C$2:$C$1166)),COUNTIF($C$2:$C$1166,$C$2:$C$1166),0)),"Unknown"),C204)</f>
        <v>Carlos Hernandez</v>
      </c>
      <c r="T204" s="4" t="str" cm="1">
        <f t="array" ref="T204">IF(D204="",IFERROR(INDEX($D$2:$D$1000,MATCH(MAX(COUNTIF($D$2:$D$1166,$D$2:$D$1166)),COUNTIF($D$2:$D$1166,$D$2:$D$1166),0)),"Unknown"),D204)</f>
        <v>Patricia Smith</v>
      </c>
      <c r="U204" t="str">
        <f t="shared" si="22"/>
        <v>AUD</v>
      </c>
      <c r="V204" s="7" t="str">
        <f t="shared" si="22"/>
        <v/>
      </c>
      <c r="W204" s="7" t="str">
        <f t="shared" si="23"/>
        <v>Brazil</v>
      </c>
      <c r="X204" s="7" t="str">
        <f t="shared" si="23"/>
        <v>USA</v>
      </c>
      <c r="Y204" s="7" t="str" cm="1">
        <f t="array" ref="Y204">IF(H204="",IFERROR(INDEX($H$2:$H$1166,MATCH(MAX(COUNTIF($H$2:$H$1166,$H$2:$H$1166)),COUNTIF($H$2:$H$1166,$H$2:$H$1166),0)),"Unknown"),H204)</f>
        <v>Pending</v>
      </c>
      <c r="Z204" s="7" t="str">
        <f t="shared" si="24"/>
        <v>External</v>
      </c>
      <c r="AA204" s="7">
        <f>IF(J204="",AVERAGE($J:$J),J204)</f>
        <v>3818.8</v>
      </c>
      <c r="AB204" s="7">
        <f>IF(N204="",AVERAGE($N:$N),N204)</f>
        <v>36</v>
      </c>
      <c r="AC204" s="7">
        <f t="shared" si="25"/>
        <v>2024</v>
      </c>
      <c r="AD204" s="7">
        <f t="shared" si="26"/>
        <v>9</v>
      </c>
      <c r="AE204" s="7">
        <f>COUNTIF(A:A,A204)</f>
        <v>1</v>
      </c>
      <c r="AF204" s="7" t="str">
        <f t="shared" si="27"/>
        <v>No</v>
      </c>
    </row>
    <row r="205" spans="1:32">
      <c r="A205" t="s">
        <v>807</v>
      </c>
      <c r="B205">
        <v>39781129</v>
      </c>
      <c r="C205" t="s">
        <v>808</v>
      </c>
      <c r="D205" t="s">
        <v>809</v>
      </c>
      <c r="E205" t="s">
        <v>20</v>
      </c>
      <c r="F205" t="s">
        <v>22</v>
      </c>
      <c r="G205" t="s">
        <v>53</v>
      </c>
      <c r="H205" t="s">
        <v>56</v>
      </c>
      <c r="I205" t="s">
        <v>3378</v>
      </c>
      <c r="J205">
        <v>2350.0500000000002</v>
      </c>
      <c r="K205" t="s">
        <v>57</v>
      </c>
      <c r="L205" t="s">
        <v>75</v>
      </c>
      <c r="M205" s="1">
        <v>45205.604861111111</v>
      </c>
      <c r="N205">
        <v>65</v>
      </c>
      <c r="O205" t="s">
        <v>68</v>
      </c>
      <c r="P205" t="s">
        <v>36</v>
      </c>
      <c r="Q205" t="s">
        <v>810</v>
      </c>
      <c r="R205">
        <f t="shared" si="21"/>
        <v>39781129</v>
      </c>
      <c r="S205" t="str" cm="1">
        <f t="array" ref="S205">IF(C205="",IFERROR(INDEX($C$2:$C$1166,MATCH(MAX(COUNTIF($C$2:$C$1166,$C$2:$C$1166)),COUNTIF($C$2:$C$1166,$C$2:$C$1166),0)),"Unknown"),C205)</f>
        <v>William Malik</v>
      </c>
      <c r="T205" s="4" t="str" cm="1">
        <f t="array" ref="T205">IF(D205="",IFERROR(INDEX($D$2:$D$1000,MATCH(MAX(COUNTIF($D$2:$D$1166,$D$2:$D$1166)),COUNTIF($D$2:$D$1166,$D$2:$D$1166),0)),"Unknown"),D205)</f>
        <v>Richard Smith</v>
      </c>
      <c r="U205" t="str">
        <f t="shared" si="22"/>
        <v>BRL</v>
      </c>
      <c r="V205" s="7" t="str">
        <f t="shared" si="22"/>
        <v>AED</v>
      </c>
      <c r="W205" s="7" t="str">
        <f t="shared" si="23"/>
        <v>UAE</v>
      </c>
      <c r="X205" s="7" t="str">
        <f t="shared" si="23"/>
        <v>Germany</v>
      </c>
      <c r="Y205" s="7" t="str" cm="1">
        <f t="array" ref="Y205">IF(H205="",IFERROR(INDEX($H$2:$H$1166,MATCH(MAX(COUNTIF($H$2:$H$1166,$H$2:$H$1166)),COUNTIF($H$2:$H$1166,$H$2:$H$1166),0)),"Unknown"),H205)</f>
        <v>Unverified</v>
      </c>
      <c r="Z205" s="7" t="str">
        <f t="shared" si="24"/>
        <v>Inter-Transaction</v>
      </c>
      <c r="AA205" s="7">
        <f>IF(J205="",AVERAGE($J:$J),J205)</f>
        <v>2350.0500000000002</v>
      </c>
      <c r="AB205" s="7">
        <f>IF(N205="",AVERAGE($N:$N),N205)</f>
        <v>65</v>
      </c>
      <c r="AC205" s="7">
        <f t="shared" si="25"/>
        <v>2023</v>
      </c>
      <c r="AD205" s="7">
        <f t="shared" si="26"/>
        <v>10</v>
      </c>
      <c r="AE205" s="7">
        <f>COUNTIF(A:A,A205)</f>
        <v>1</v>
      </c>
      <c r="AF205" s="7" t="str">
        <f t="shared" si="27"/>
        <v>No</v>
      </c>
    </row>
    <row r="206" spans="1:32">
      <c r="A206" t="s">
        <v>811</v>
      </c>
      <c r="B206">
        <v>74764506</v>
      </c>
      <c r="C206" t="s">
        <v>555</v>
      </c>
      <c r="E206" t="s">
        <v>20</v>
      </c>
      <c r="F206" t="s">
        <v>116</v>
      </c>
      <c r="G206" t="s">
        <v>35</v>
      </c>
      <c r="H206" t="s">
        <v>25</v>
      </c>
      <c r="I206" t="s">
        <v>3378</v>
      </c>
      <c r="J206">
        <v>5225.47</v>
      </c>
      <c r="K206" t="s">
        <v>39</v>
      </c>
      <c r="L206" t="s">
        <v>81</v>
      </c>
      <c r="M206" s="1">
        <v>46018.247916666667</v>
      </c>
      <c r="N206">
        <v>20</v>
      </c>
      <c r="O206" t="s">
        <v>54</v>
      </c>
      <c r="P206" t="s">
        <v>127</v>
      </c>
      <c r="Q206" t="s">
        <v>812</v>
      </c>
      <c r="R206">
        <f t="shared" si="21"/>
        <v>74764506</v>
      </c>
      <c r="S206" t="str" cm="1">
        <f t="array" ref="S206">IF(C206="",IFERROR(INDEX($C$2:$C$1166,MATCH(MAX(COUNTIF($C$2:$C$1166,$C$2:$C$1166)),COUNTIF($C$2:$C$1166,$C$2:$C$1166),0)),"Unknown"),C206)</f>
        <v>Linda Thomas</v>
      </c>
      <c r="T206" s="4" t="str" cm="1">
        <f t="array" ref="T206">IF(D206="",IFERROR(INDEX($D$2:$D$1000,MATCH(MAX(COUNTIF($D$2:$D$1166,$D$2:$D$1166)),COUNTIF($D$2:$D$1166,$D$2:$D$1166),0)),"Unknown"),D206)</f>
        <v>Patricia Smith</v>
      </c>
      <c r="U206" t="str">
        <f t="shared" si="22"/>
        <v>CHF</v>
      </c>
      <c r="V206" s="7" t="str">
        <f t="shared" si="22"/>
        <v>EUR</v>
      </c>
      <c r="W206" s="7" t="str">
        <f t="shared" si="23"/>
        <v>India</v>
      </c>
      <c r="X206" s="7" t="str">
        <f t="shared" si="23"/>
        <v>Canada</v>
      </c>
      <c r="Y206" s="7" t="str" cm="1">
        <f t="array" ref="Y206">IF(H206="",IFERROR(INDEX($H$2:$H$1166,MATCH(MAX(COUNTIF($H$2:$H$1166,$H$2:$H$1166)),COUNTIF($H$2:$H$1166,$H$2:$H$1166),0)),"Unknown"),H206)</f>
        <v>KYC</v>
      </c>
      <c r="Z206" s="7" t="str">
        <f t="shared" si="24"/>
        <v>Inter-Transaction</v>
      </c>
      <c r="AA206" s="7">
        <f>IF(J206="",AVERAGE($J:$J),J206)</f>
        <v>5225.47</v>
      </c>
      <c r="AB206" s="7">
        <f>IF(N206="",AVERAGE($N:$N),N206)</f>
        <v>20</v>
      </c>
      <c r="AC206" s="7">
        <f t="shared" si="25"/>
        <v>2025</v>
      </c>
      <c r="AD206" s="7">
        <f t="shared" si="26"/>
        <v>12</v>
      </c>
      <c r="AE206" s="7">
        <f>COUNTIF(A:A,A206)</f>
        <v>1</v>
      </c>
      <c r="AF206" s="7" t="str">
        <f t="shared" si="27"/>
        <v>No</v>
      </c>
    </row>
    <row r="207" spans="1:32">
      <c r="A207" t="s">
        <v>813</v>
      </c>
      <c r="B207">
        <v>15527388</v>
      </c>
      <c r="C207" t="s">
        <v>814</v>
      </c>
      <c r="D207" t="s">
        <v>815</v>
      </c>
      <c r="E207" t="s">
        <v>20</v>
      </c>
      <c r="F207" t="s">
        <v>22</v>
      </c>
      <c r="G207" t="s">
        <v>121</v>
      </c>
      <c r="H207" t="s">
        <v>38</v>
      </c>
      <c r="I207" t="s">
        <v>3376</v>
      </c>
      <c r="J207">
        <v>1360.34</v>
      </c>
      <c r="K207" t="s">
        <v>39</v>
      </c>
      <c r="L207" t="s">
        <v>75</v>
      </c>
      <c r="M207" s="1">
        <v>46011.487500000003</v>
      </c>
      <c r="N207">
        <v>37</v>
      </c>
      <c r="O207" t="s">
        <v>68</v>
      </c>
      <c r="P207" t="s">
        <v>93</v>
      </c>
      <c r="Q207" t="s">
        <v>816</v>
      </c>
      <c r="R207">
        <f t="shared" si="21"/>
        <v>15527388</v>
      </c>
      <c r="S207" t="str" cm="1">
        <f t="array" ref="S207">IF(C207="",IFERROR(INDEX($C$2:$C$1166,MATCH(MAX(COUNTIF($C$2:$C$1166,$C$2:$C$1166)),COUNTIF($C$2:$C$1166,$C$2:$C$1166),0)),"Unknown"),C207)</f>
        <v>Richard Moore</v>
      </c>
      <c r="T207" s="4" t="str" cm="1">
        <f t="array" ref="T207">IF(D207="",IFERROR(INDEX($D$2:$D$1000,MATCH(MAX(COUNTIF($D$2:$D$1166,$D$2:$D$1166)),COUNTIF($D$2:$D$1166,$D$2:$D$1166),0)),"Unknown"),D207)</f>
        <v>Christopher Jones</v>
      </c>
      <c r="U207" t="str">
        <f t="shared" si="22"/>
        <v>BRL</v>
      </c>
      <c r="V207" s="7" t="str">
        <f t="shared" si="22"/>
        <v>INR</v>
      </c>
      <c r="W207" s="7" t="str">
        <f t="shared" si="23"/>
        <v>UAE</v>
      </c>
      <c r="X207" s="7" t="str">
        <f t="shared" si="23"/>
        <v>USA</v>
      </c>
      <c r="Y207" s="7" t="str" cm="1">
        <f t="array" ref="Y207">IF(H207="",IFERROR(INDEX($H$2:$H$1166,MATCH(MAX(COUNTIF($H$2:$H$1166,$H$2:$H$1166)),COUNTIF($H$2:$H$1166,$H$2:$H$1166),0)),"Unknown"),H207)</f>
        <v>Pending</v>
      </c>
      <c r="Z207" s="7" t="str">
        <f t="shared" si="24"/>
        <v>Internal</v>
      </c>
      <c r="AA207" s="7">
        <f>IF(J207="",AVERAGE($J:$J),J207)</f>
        <v>1360.34</v>
      </c>
      <c r="AB207" s="7">
        <f>IF(N207="",AVERAGE($N:$N),N207)</f>
        <v>37</v>
      </c>
      <c r="AC207" s="7">
        <f t="shared" si="25"/>
        <v>2025</v>
      </c>
      <c r="AD207" s="7">
        <f t="shared" si="26"/>
        <v>12</v>
      </c>
      <c r="AE207" s="7">
        <f>COUNTIF(A:A,A207)</f>
        <v>2</v>
      </c>
      <c r="AF207" s="7" t="str">
        <f t="shared" si="27"/>
        <v>No</v>
      </c>
    </row>
    <row r="208" spans="1:32">
      <c r="A208" t="s">
        <v>817</v>
      </c>
      <c r="B208">
        <v>68316409</v>
      </c>
      <c r="C208" t="s">
        <v>818</v>
      </c>
      <c r="D208" t="s">
        <v>819</v>
      </c>
      <c r="E208" t="s">
        <v>3375</v>
      </c>
      <c r="F208" t="s">
        <v>98</v>
      </c>
      <c r="G208" t="s">
        <v>121</v>
      </c>
      <c r="H208" t="s">
        <v>74</v>
      </c>
      <c r="I208" t="s">
        <v>3371</v>
      </c>
      <c r="J208">
        <v>1083.94</v>
      </c>
      <c r="K208" t="s">
        <v>39</v>
      </c>
      <c r="L208" t="s">
        <v>75</v>
      </c>
      <c r="M208" s="1">
        <v>45474.81527777778</v>
      </c>
      <c r="N208">
        <v>41</v>
      </c>
      <c r="O208" t="s">
        <v>54</v>
      </c>
      <c r="P208" t="s">
        <v>24</v>
      </c>
      <c r="Q208" t="s">
        <v>820</v>
      </c>
      <c r="R208">
        <f t="shared" si="21"/>
        <v>68316409</v>
      </c>
      <c r="S208" t="str" cm="1">
        <f t="array" ref="S208">IF(C208="",IFERROR(INDEX($C$2:$C$1166,MATCH(MAX(COUNTIF($C$2:$C$1166,$C$2:$C$1166)),COUNTIF($C$2:$C$1166,$C$2:$C$1166),0)),"Unknown"),C208)</f>
        <v>Jean-Pierre Rostova</v>
      </c>
      <c r="T208" s="4" t="str" cm="1">
        <f t="array" ref="T208">IF(D208="",IFERROR(INDEX($D$2:$D$1000,MATCH(MAX(COUNTIF($D$2:$D$1166,$D$2:$D$1166)),COUNTIF($D$2:$D$1166,$D$2:$D$1166),0)),"Unknown"),D208)</f>
        <v>Michael Dubois</v>
      </c>
      <c r="U208" t="str">
        <f t="shared" si="22"/>
        <v>JPY</v>
      </c>
      <c r="V208" s="7" t="str">
        <f t="shared" si="22"/>
        <v>INR</v>
      </c>
      <c r="W208" s="7" t="str">
        <f t="shared" si="23"/>
        <v>India</v>
      </c>
      <c r="X208" s="7" t="str">
        <f t="shared" si="23"/>
        <v>Brazil</v>
      </c>
      <c r="Y208" s="7" t="str" cm="1">
        <f t="array" ref="Y208">IF(H208="",IFERROR(INDEX($H$2:$H$1166,MATCH(MAX(COUNTIF($H$2:$H$1166,$H$2:$H$1166)),COUNTIF($H$2:$H$1166,$H$2:$H$1166),0)),"Unknown"),H208)</f>
        <v>Non-KYC</v>
      </c>
      <c r="Z208" s="7" t="str">
        <f t="shared" si="24"/>
        <v>Outer-Transaction</v>
      </c>
      <c r="AA208" s="7">
        <f>IF(J208="",AVERAGE($J:$J),J208)</f>
        <v>1083.94</v>
      </c>
      <c r="AB208" s="7">
        <f>IF(N208="",AVERAGE($N:$N),N208)</f>
        <v>41</v>
      </c>
      <c r="AC208" s="7">
        <f t="shared" si="25"/>
        <v>2024</v>
      </c>
      <c r="AD208" s="7">
        <f t="shared" si="26"/>
        <v>7</v>
      </c>
      <c r="AE208" s="7">
        <f>COUNTIF(A:A,A208)</f>
        <v>1</v>
      </c>
      <c r="AF208" s="7" t="str">
        <f t="shared" si="27"/>
        <v>No</v>
      </c>
    </row>
    <row r="209" spans="1:32">
      <c r="A209" t="s">
        <v>821</v>
      </c>
      <c r="B209">
        <v>32717056</v>
      </c>
      <c r="C209" t="s">
        <v>822</v>
      </c>
      <c r="D209" t="s">
        <v>120</v>
      </c>
      <c r="E209" t="s">
        <v>20</v>
      </c>
      <c r="F209" t="s">
        <v>91</v>
      </c>
      <c r="G209" t="s">
        <v>44</v>
      </c>
      <c r="I209" t="s">
        <v>3377</v>
      </c>
      <c r="J209">
        <v>11096.33</v>
      </c>
      <c r="K209" t="s">
        <v>47</v>
      </c>
      <c r="L209" t="s">
        <v>48</v>
      </c>
      <c r="M209" s="1">
        <v>44008.067361111112</v>
      </c>
      <c r="N209">
        <v>71</v>
      </c>
      <c r="O209" t="s">
        <v>54</v>
      </c>
      <c r="P209" t="s">
        <v>55</v>
      </c>
      <c r="Q209" t="s">
        <v>823</v>
      </c>
      <c r="R209">
        <f t="shared" si="21"/>
        <v>32717056</v>
      </c>
      <c r="S209" t="str" cm="1">
        <f t="array" ref="S209">IF(C209="",IFERROR(INDEX($C$2:$C$1166,MATCH(MAX(COUNTIF($C$2:$C$1166,$C$2:$C$1166)),COUNTIF($C$2:$C$1166,$C$2:$C$1166),0)),"Unknown"),C209)</f>
        <v>Susan Martin</v>
      </c>
      <c r="T209" s="4" t="str" cm="1">
        <f t="array" ref="T209">IF(D209="",IFERROR(INDEX($D$2:$D$1000,MATCH(MAX(COUNTIF($D$2:$D$1166,$D$2:$D$1166)),COUNTIF($D$2:$D$1166,$D$2:$D$1166),0)),"Unknown"),D209)</f>
        <v>Amir Silva</v>
      </c>
      <c r="U209" t="str">
        <f t="shared" si="22"/>
        <v>gbp</v>
      </c>
      <c r="V209" s="7" t="str">
        <f t="shared" si="22"/>
        <v>SGD</v>
      </c>
      <c r="W209" s="7" t="str">
        <f t="shared" si="23"/>
        <v>India</v>
      </c>
      <c r="X209" s="7" t="str">
        <f t="shared" si="23"/>
        <v>UK</v>
      </c>
      <c r="Y209" s="7" t="str" cm="1">
        <f t="array" ref="Y209">IF(H209="",IFERROR(INDEX($H$2:$H$1166,MATCH(MAX(COUNTIF($H$2:$H$1166,$H$2:$H$1166)),COUNTIF($H$2:$H$1166,$H$2:$H$1166),0)),"Unknown"),H209)</f>
        <v>Pending</v>
      </c>
      <c r="Z209" s="7" t="str">
        <f t="shared" si="24"/>
        <v>Inter-Transaction</v>
      </c>
      <c r="AA209" s="7">
        <f>IF(J209="",AVERAGE($J:$J),J209)</f>
        <v>11096.33</v>
      </c>
      <c r="AB209" s="7">
        <f>IF(N209="",AVERAGE($N:$N),N209)</f>
        <v>71</v>
      </c>
      <c r="AC209" s="7">
        <f t="shared" si="25"/>
        <v>2020</v>
      </c>
      <c r="AD209" s="7">
        <f t="shared" si="26"/>
        <v>6</v>
      </c>
      <c r="AE209" s="7">
        <f>COUNTIF(A:A,A209)</f>
        <v>1</v>
      </c>
      <c r="AF209" s="7" t="str">
        <f t="shared" si="27"/>
        <v>No</v>
      </c>
    </row>
    <row r="210" spans="1:32">
      <c r="A210" t="s">
        <v>824</v>
      </c>
      <c r="B210">
        <v>37353754</v>
      </c>
      <c r="C210" t="s">
        <v>825</v>
      </c>
      <c r="D210" t="s">
        <v>826</v>
      </c>
      <c r="E210" t="s">
        <v>20</v>
      </c>
      <c r="F210" t="s">
        <v>116</v>
      </c>
      <c r="G210" t="s">
        <v>22</v>
      </c>
      <c r="H210" t="s">
        <v>38</v>
      </c>
      <c r="I210" t="s">
        <v>3377</v>
      </c>
      <c r="J210">
        <v>3839.29</v>
      </c>
      <c r="K210" t="s">
        <v>86</v>
      </c>
      <c r="L210" t="s">
        <v>75</v>
      </c>
      <c r="M210" s="1">
        <v>45212.995138888888</v>
      </c>
      <c r="N210">
        <v>50</v>
      </c>
      <c r="O210" t="s">
        <v>36</v>
      </c>
      <c r="P210" t="s">
        <v>55</v>
      </c>
      <c r="Q210" t="s">
        <v>827</v>
      </c>
      <c r="R210">
        <f t="shared" si="21"/>
        <v>37353754</v>
      </c>
      <c r="S210" t="str" cm="1">
        <f t="array" ref="S210">IF(C210="",IFERROR(INDEX($C$2:$C$1166,MATCH(MAX(COUNTIF($C$2:$C$1166,$C$2:$C$1166)),COUNTIF($C$2:$C$1166,$C$2:$C$1166),0)),"Unknown"),C210)</f>
        <v>Karen Taylor</v>
      </c>
      <c r="T210" s="4" t="str" cm="1">
        <f t="array" ref="T210">IF(D210="",IFERROR(INDEX($D$2:$D$1000,MATCH(MAX(COUNTIF($D$2:$D$1166,$D$2:$D$1166)),COUNTIF($D$2:$D$1166,$D$2:$D$1166),0)),"Unknown"),D210)</f>
        <v>Jean-Pierre Rodriguez</v>
      </c>
      <c r="U210" t="str">
        <f t="shared" si="22"/>
        <v>CHF</v>
      </c>
      <c r="V210" s="7" t="str">
        <f t="shared" si="22"/>
        <v>BRL</v>
      </c>
      <c r="W210" s="7" t="str">
        <f t="shared" si="23"/>
        <v>Germany</v>
      </c>
      <c r="X210" s="7" t="str">
        <f t="shared" si="23"/>
        <v>UK</v>
      </c>
      <c r="Y210" s="7" t="str" cm="1">
        <f t="array" ref="Y210">IF(H210="",IFERROR(INDEX($H$2:$H$1166,MATCH(MAX(COUNTIF($H$2:$H$1166,$H$2:$H$1166)),COUNTIF($H$2:$H$1166,$H$2:$H$1166),0)),"Unknown"),H210)</f>
        <v>Pending</v>
      </c>
      <c r="Z210" s="7" t="str">
        <f t="shared" si="24"/>
        <v>Inter-Transaction</v>
      </c>
      <c r="AA210" s="7">
        <f>IF(J210="",AVERAGE($J:$J),J210)</f>
        <v>3839.29</v>
      </c>
      <c r="AB210" s="7">
        <f>IF(N210="",AVERAGE($N:$N),N210)</f>
        <v>50</v>
      </c>
      <c r="AC210" s="7">
        <f t="shared" si="25"/>
        <v>2023</v>
      </c>
      <c r="AD210" s="7">
        <f t="shared" si="26"/>
        <v>10</v>
      </c>
      <c r="AE210" s="7">
        <f>COUNTIF(A:A,A210)</f>
        <v>1</v>
      </c>
      <c r="AF210" s="7" t="str">
        <f t="shared" si="27"/>
        <v>No</v>
      </c>
    </row>
    <row r="211" spans="1:32">
      <c r="A211" t="s">
        <v>828</v>
      </c>
      <c r="B211">
        <v>98597172</v>
      </c>
      <c r="C211" t="s">
        <v>829</v>
      </c>
      <c r="D211" t="s">
        <v>18</v>
      </c>
      <c r="E211" t="s">
        <v>3375</v>
      </c>
      <c r="G211" t="s">
        <v>92</v>
      </c>
      <c r="H211" t="s">
        <v>38</v>
      </c>
      <c r="I211" t="s">
        <v>3376</v>
      </c>
      <c r="J211">
        <v>1329.43</v>
      </c>
      <c r="K211" t="s">
        <v>47</v>
      </c>
      <c r="L211" t="s">
        <v>81</v>
      </c>
      <c r="M211" s="1">
        <v>46258.178472222222</v>
      </c>
      <c r="N211">
        <v>41</v>
      </c>
      <c r="O211" t="s">
        <v>36</v>
      </c>
      <c r="P211" t="s">
        <v>127</v>
      </c>
      <c r="Q211" t="s">
        <v>830</v>
      </c>
      <c r="R211">
        <f t="shared" si="21"/>
        <v>98597172</v>
      </c>
      <c r="S211" t="str" cm="1">
        <f t="array" ref="S211">IF(C211="",IFERROR(INDEX($C$2:$C$1166,MATCH(MAX(COUNTIF($C$2:$C$1166,$C$2:$C$1166)),COUNTIF($C$2:$C$1166,$C$2:$C$1166),0)),"Unknown"),C211)</f>
        <v>Susan Malik</v>
      </c>
      <c r="T211" s="4" t="str" cm="1">
        <f t="array" ref="T211">IF(D211="",IFERROR(INDEX($D$2:$D$1000,MATCH(MAX(COUNTIF($D$2:$D$1166,$D$2:$D$1166)),COUNTIF($D$2:$D$1166,$D$2:$D$1166),0)),"Unknown"),D211)</f>
        <v>Patricia Smith</v>
      </c>
      <c r="U211" t="str">
        <f t="shared" si="22"/>
        <v/>
      </c>
      <c r="V211" s="7" t="str">
        <f t="shared" si="22"/>
        <v>AUD</v>
      </c>
      <c r="W211" s="7" t="str">
        <f t="shared" si="23"/>
        <v>Germany</v>
      </c>
      <c r="X211" s="7" t="str">
        <f t="shared" si="23"/>
        <v>Canada</v>
      </c>
      <c r="Y211" s="7" t="str" cm="1">
        <f t="array" ref="Y211">IF(H211="",IFERROR(INDEX($H$2:$H$1166,MATCH(MAX(COUNTIF($H$2:$H$1166,$H$2:$H$1166)),COUNTIF($H$2:$H$1166,$H$2:$H$1166),0)),"Unknown"),H211)</f>
        <v>Pending</v>
      </c>
      <c r="Z211" s="7" t="str">
        <f t="shared" si="24"/>
        <v>Internal</v>
      </c>
      <c r="AA211" s="7">
        <f>IF(J211="",AVERAGE($J:$J),J211)</f>
        <v>1329.43</v>
      </c>
      <c r="AB211" s="7">
        <f>IF(N211="",AVERAGE($N:$N),N211)</f>
        <v>41</v>
      </c>
      <c r="AC211" s="7">
        <f t="shared" si="25"/>
        <v>2026</v>
      </c>
      <c r="AD211" s="7">
        <f t="shared" si="26"/>
        <v>8</v>
      </c>
      <c r="AE211" s="7">
        <f>COUNTIF(A:A,A211)</f>
        <v>1</v>
      </c>
      <c r="AF211" s="7" t="str">
        <f t="shared" si="27"/>
        <v>No</v>
      </c>
    </row>
    <row r="212" spans="1:32">
      <c r="A212" t="s">
        <v>831</v>
      </c>
      <c r="B212">
        <v>57698045</v>
      </c>
      <c r="C212" t="s">
        <v>832</v>
      </c>
      <c r="D212" t="s">
        <v>833</v>
      </c>
      <c r="E212" t="s">
        <v>20</v>
      </c>
      <c r="F212" t="s">
        <v>80</v>
      </c>
      <c r="G212" t="s">
        <v>45</v>
      </c>
      <c r="H212" t="s">
        <v>103</v>
      </c>
      <c r="I212" t="s">
        <v>3371</v>
      </c>
      <c r="J212">
        <v>2284.11</v>
      </c>
      <c r="K212" t="s">
        <v>39</v>
      </c>
      <c r="L212" t="s">
        <v>48</v>
      </c>
      <c r="M212" s="1">
        <v>44738.629861111112</v>
      </c>
      <c r="N212">
        <v>53</v>
      </c>
      <c r="O212" t="s">
        <v>55</v>
      </c>
      <c r="P212" t="s">
        <v>37</v>
      </c>
      <c r="Q212" t="s">
        <v>834</v>
      </c>
      <c r="R212">
        <f t="shared" si="21"/>
        <v>57698045</v>
      </c>
      <c r="S212" t="str" cm="1">
        <f t="array" ref="S212">IF(C212="",IFERROR(INDEX($C$2:$C$1166,MATCH(MAX(COUNTIF($C$2:$C$1166,$C$2:$C$1166)),COUNTIF($C$2:$C$1166,$C$2:$C$1166),0)),"Unknown"),C212)</f>
        <v>Sanjay Martinez</v>
      </c>
      <c r="T212" s="4" t="str" cm="1">
        <f t="array" ref="T212">IF(D212="",IFERROR(INDEX($D$2:$D$1000,MATCH(MAX(COUNTIF($D$2:$D$1166,$D$2:$D$1166)),COUNTIF($D$2:$D$1166,$D$2:$D$1166),0)),"Unknown"),D212)</f>
        <v>Elizabeth Taylor</v>
      </c>
      <c r="U212" t="str">
        <f t="shared" si="22"/>
        <v>USD</v>
      </c>
      <c r="V212" s="7" t="str">
        <f t="shared" si="22"/>
        <v>ZAR</v>
      </c>
      <c r="W212" s="7" t="str">
        <f t="shared" si="23"/>
        <v>UK</v>
      </c>
      <c r="X212" s="7" t="str">
        <f t="shared" si="23"/>
        <v>South Africa</v>
      </c>
      <c r="Y212" s="7" t="str" cm="1">
        <f t="array" ref="Y212">IF(H212="",IFERROR(INDEX($H$2:$H$1166,MATCH(MAX(COUNTIF($H$2:$H$1166,$H$2:$H$1166)),COUNTIF($H$2:$H$1166,$H$2:$H$1166),0)),"Unknown"),H212)</f>
        <v>Verified</v>
      </c>
      <c r="Z212" s="7" t="str">
        <f t="shared" si="24"/>
        <v>Outer-Transaction</v>
      </c>
      <c r="AA212" s="7">
        <f>IF(J212="",AVERAGE($J:$J),J212)</f>
        <v>2284.11</v>
      </c>
      <c r="AB212" s="7">
        <f>IF(N212="",AVERAGE($N:$N),N212)</f>
        <v>53</v>
      </c>
      <c r="AC212" s="7">
        <f t="shared" si="25"/>
        <v>2022</v>
      </c>
      <c r="AD212" s="7">
        <f t="shared" si="26"/>
        <v>6</v>
      </c>
      <c r="AE212" s="7">
        <f>COUNTIF(A:A,A212)</f>
        <v>1</v>
      </c>
      <c r="AF212" s="7" t="str">
        <f t="shared" si="27"/>
        <v>No</v>
      </c>
    </row>
    <row r="213" spans="1:32">
      <c r="A213" t="s">
        <v>835</v>
      </c>
      <c r="B213">
        <v>67239162</v>
      </c>
      <c r="C213" t="s">
        <v>107</v>
      </c>
      <c r="D213" t="s">
        <v>836</v>
      </c>
      <c r="E213" t="s">
        <v>3375</v>
      </c>
      <c r="F213" t="s">
        <v>21</v>
      </c>
      <c r="G213" t="s">
        <v>121</v>
      </c>
      <c r="I213" t="s">
        <v>3374</v>
      </c>
      <c r="J213">
        <v>13480.66</v>
      </c>
      <c r="K213" t="s">
        <v>47</v>
      </c>
      <c r="L213" t="s">
        <v>81</v>
      </c>
      <c r="M213" s="1">
        <v>46328.806250000001</v>
      </c>
      <c r="N213">
        <v>55</v>
      </c>
      <c r="O213" t="s">
        <v>37</v>
      </c>
      <c r="P213" t="s">
        <v>37</v>
      </c>
      <c r="Q213" t="s">
        <v>837</v>
      </c>
      <c r="R213">
        <f t="shared" si="21"/>
        <v>67239162</v>
      </c>
      <c r="S213" t="str" cm="1">
        <f t="array" ref="S213">IF(C213="",IFERROR(INDEX($C$2:$C$1166,MATCH(MAX(COUNTIF($C$2:$C$1166,$C$2:$C$1166)),COUNTIF($C$2:$C$1166,$C$2:$C$1166),0)),"Unknown"),C213)</f>
        <v>Barbara Souza</v>
      </c>
      <c r="T213" s="4" t="str" cm="1">
        <f t="array" ref="T213">IF(D213="",IFERROR(INDEX($D$2:$D$1000,MATCH(MAX(COUNTIF($D$2:$D$1166,$D$2:$D$1166)),COUNTIF($D$2:$D$1166,$D$2:$D$1166),0)),"Unknown"),D213)</f>
        <v>Nancy Hernandez</v>
      </c>
      <c r="U213" t="str">
        <f t="shared" si="22"/>
        <v>GBP</v>
      </c>
      <c r="V213" s="7" t="str">
        <f t="shared" si="22"/>
        <v>INR</v>
      </c>
      <c r="W213" s="7" t="str">
        <f t="shared" si="23"/>
        <v>South Africa</v>
      </c>
      <c r="X213" s="7" t="str">
        <f t="shared" si="23"/>
        <v>South Africa</v>
      </c>
      <c r="Y213" s="7" t="str" cm="1">
        <f t="array" ref="Y213">IF(H213="",IFERROR(INDEX($H$2:$H$1166,MATCH(MAX(COUNTIF($H$2:$H$1166,$H$2:$H$1166)),COUNTIF($H$2:$H$1166,$H$2:$H$1166),0)),"Unknown"),H213)</f>
        <v>Pending</v>
      </c>
      <c r="Z213" s="7" t="str">
        <f t="shared" si="24"/>
        <v>External</v>
      </c>
      <c r="AA213" s="7">
        <f>IF(J213="",AVERAGE($J:$J),J213)</f>
        <v>13480.66</v>
      </c>
      <c r="AB213" s="7">
        <f>IF(N213="",AVERAGE($N:$N),N213)</f>
        <v>55</v>
      </c>
      <c r="AC213" s="7">
        <f t="shared" si="25"/>
        <v>2026</v>
      </c>
      <c r="AD213" s="7">
        <f t="shared" si="26"/>
        <v>11</v>
      </c>
      <c r="AE213" s="7">
        <f>COUNTIF(A:A,A213)</f>
        <v>1</v>
      </c>
      <c r="AF213" s="7" t="str">
        <f t="shared" si="27"/>
        <v>No</v>
      </c>
    </row>
    <row r="214" spans="1:32">
      <c r="A214" t="s">
        <v>838</v>
      </c>
      <c r="B214">
        <v>29531743</v>
      </c>
      <c r="C214" t="s">
        <v>839</v>
      </c>
      <c r="D214" t="s">
        <v>840</v>
      </c>
      <c r="E214">
        <v>0</v>
      </c>
      <c r="F214" t="s">
        <v>92</v>
      </c>
      <c r="G214" t="s">
        <v>92</v>
      </c>
      <c r="I214" t="s">
        <v>3371</v>
      </c>
      <c r="J214">
        <v>1610.5</v>
      </c>
      <c r="K214" t="s">
        <v>47</v>
      </c>
      <c r="L214" t="s">
        <v>28</v>
      </c>
      <c r="M214" s="1">
        <v>44416.42291666667</v>
      </c>
      <c r="N214">
        <v>42</v>
      </c>
      <c r="O214" t="s">
        <v>37</v>
      </c>
      <c r="P214" t="s">
        <v>62</v>
      </c>
      <c r="Q214" t="s">
        <v>841</v>
      </c>
      <c r="R214">
        <f t="shared" si="21"/>
        <v>29531743</v>
      </c>
      <c r="S214" t="str" cm="1">
        <f t="array" ref="S214">IF(C214="",IFERROR(INDEX($C$2:$C$1166,MATCH(MAX(COUNTIF($C$2:$C$1166,$C$2:$C$1166)),COUNTIF($C$2:$C$1166,$C$2:$C$1166),0)),"Unknown"),C214)</f>
        <v>Fatima Smith</v>
      </c>
      <c r="T214" s="4" t="str" cm="1">
        <f t="array" ref="T214">IF(D214="",IFERROR(INDEX($D$2:$D$1000,MATCH(MAX(COUNTIF($D$2:$D$1166,$D$2:$D$1166)),COUNTIF($D$2:$D$1166,$D$2:$D$1166),0)),"Unknown"),D214)</f>
        <v>Jean-Pierre Hernandez</v>
      </c>
      <c r="U214" t="str">
        <f t="shared" si="22"/>
        <v>AUD</v>
      </c>
      <c r="V214" s="7" t="str">
        <f t="shared" si="22"/>
        <v>AUD</v>
      </c>
      <c r="W214" s="7" t="str">
        <f t="shared" si="23"/>
        <v>South Africa</v>
      </c>
      <c r="X214" s="7" t="str">
        <f t="shared" si="23"/>
        <v>Australia</v>
      </c>
      <c r="Y214" s="7" t="str" cm="1">
        <f t="array" ref="Y214">IF(H214="",IFERROR(INDEX($H$2:$H$1166,MATCH(MAX(COUNTIF($H$2:$H$1166,$H$2:$H$1166)),COUNTIF($H$2:$H$1166,$H$2:$H$1166),0)),"Unknown"),H214)</f>
        <v>Pending</v>
      </c>
      <c r="Z214" s="7" t="str">
        <f t="shared" si="24"/>
        <v>Outer-Transaction</v>
      </c>
      <c r="AA214" s="7">
        <f>IF(J214="",AVERAGE($J:$J),J214)</f>
        <v>1610.5</v>
      </c>
      <c r="AB214" s="7">
        <f>IF(N214="",AVERAGE($N:$N),N214)</f>
        <v>42</v>
      </c>
      <c r="AC214" s="7">
        <f t="shared" si="25"/>
        <v>2021</v>
      </c>
      <c r="AD214" s="7">
        <f t="shared" si="26"/>
        <v>8</v>
      </c>
      <c r="AE214" s="7">
        <f>COUNTIF(A:A,A214)</f>
        <v>1</v>
      </c>
      <c r="AF214" s="7" t="str">
        <f t="shared" si="27"/>
        <v>No</v>
      </c>
    </row>
    <row r="215" spans="1:32">
      <c r="A215" t="s">
        <v>842</v>
      </c>
      <c r="B215">
        <v>27996802</v>
      </c>
      <c r="C215" t="s">
        <v>843</v>
      </c>
      <c r="D215" t="s">
        <v>844</v>
      </c>
      <c r="E215" t="s">
        <v>20</v>
      </c>
      <c r="F215" t="s">
        <v>34</v>
      </c>
      <c r="G215" t="s">
        <v>21</v>
      </c>
      <c r="H215" t="s">
        <v>25</v>
      </c>
      <c r="I215" t="s">
        <v>3378</v>
      </c>
      <c r="J215">
        <v>14253.47</v>
      </c>
      <c r="K215" t="s">
        <v>47</v>
      </c>
      <c r="L215" t="s">
        <v>48</v>
      </c>
      <c r="M215" s="1">
        <v>46341.99722222222</v>
      </c>
      <c r="N215">
        <v>35</v>
      </c>
      <c r="O215" t="s">
        <v>93</v>
      </c>
      <c r="P215" t="s">
        <v>54</v>
      </c>
      <c r="Q215" t="s">
        <v>845</v>
      </c>
      <c r="R215">
        <f t="shared" si="21"/>
        <v>27996802</v>
      </c>
      <c r="S215" t="str" cm="1">
        <f t="array" ref="S215">IF(C215="",IFERROR(INDEX($C$2:$C$1166,MATCH(MAX(COUNTIF($C$2:$C$1166,$C$2:$C$1166)),COUNTIF($C$2:$C$1166,$C$2:$C$1166),0)),"Unknown"),C215)</f>
        <v>Charles Malik</v>
      </c>
      <c r="T215" s="4" t="str" cm="1">
        <f t="array" ref="T215">IF(D215="",IFERROR(INDEX($D$2:$D$1000,MATCH(MAX(COUNTIF($D$2:$D$1166,$D$2:$D$1166)),COUNTIF($D$2:$D$1166,$D$2:$D$1166),0)),"Unknown"),D215)</f>
        <v xml:space="preserve"> nancy thomas   </v>
      </c>
      <c r="U215" t="str">
        <f t="shared" si="22"/>
        <v>CAD</v>
      </c>
      <c r="V215" s="7" t="str">
        <f t="shared" si="22"/>
        <v>GBP</v>
      </c>
      <c r="W215" s="7" t="str">
        <f t="shared" si="23"/>
        <v>USA</v>
      </c>
      <c r="X215" s="7" t="str">
        <f t="shared" si="23"/>
        <v>India</v>
      </c>
      <c r="Y215" s="7" t="str" cm="1">
        <f t="array" ref="Y215">IF(H215="",IFERROR(INDEX($H$2:$H$1166,MATCH(MAX(COUNTIF($H$2:$H$1166,$H$2:$H$1166)),COUNTIF($H$2:$H$1166,$H$2:$H$1166),0)),"Unknown"),H215)</f>
        <v>KYC</v>
      </c>
      <c r="Z215" s="7" t="str">
        <f t="shared" si="24"/>
        <v>Inter-Transaction</v>
      </c>
      <c r="AA215" s="7">
        <f>IF(J215="",AVERAGE($J:$J),J215)</f>
        <v>14253.47</v>
      </c>
      <c r="AB215" s="7">
        <f>IF(N215="",AVERAGE($N:$N),N215)</f>
        <v>35</v>
      </c>
      <c r="AC215" s="7">
        <f t="shared" si="25"/>
        <v>2026</v>
      </c>
      <c r="AD215" s="7">
        <f t="shared" si="26"/>
        <v>11</v>
      </c>
      <c r="AE215" s="7">
        <f>COUNTIF(A:A,A215)</f>
        <v>1</v>
      </c>
      <c r="AF215" s="7" t="str">
        <f t="shared" si="27"/>
        <v>No</v>
      </c>
    </row>
    <row r="216" spans="1:32">
      <c r="A216" t="s">
        <v>846</v>
      </c>
      <c r="B216">
        <v>43122766</v>
      </c>
      <c r="C216" t="s">
        <v>847</v>
      </c>
      <c r="D216" t="s">
        <v>848</v>
      </c>
      <c r="E216" t="s">
        <v>3375</v>
      </c>
      <c r="F216" t="s">
        <v>92</v>
      </c>
      <c r="G216" t="s">
        <v>22</v>
      </c>
      <c r="I216" t="s">
        <v>3377</v>
      </c>
      <c r="J216">
        <v>7814.53</v>
      </c>
      <c r="K216" t="s">
        <v>39</v>
      </c>
      <c r="L216" t="s">
        <v>81</v>
      </c>
      <c r="M216" s="1">
        <v>44820.494444444441</v>
      </c>
      <c r="N216">
        <v>83</v>
      </c>
      <c r="O216" t="s">
        <v>37</v>
      </c>
      <c r="P216" t="s">
        <v>68</v>
      </c>
      <c r="Q216" t="s">
        <v>849</v>
      </c>
      <c r="R216">
        <f t="shared" si="21"/>
        <v>43122766</v>
      </c>
      <c r="S216" t="str" cm="1">
        <f t="array" ref="S216">IF(C216="",IFERROR(INDEX($C$2:$C$1166,MATCH(MAX(COUNTIF($C$2:$C$1166,$C$2:$C$1166)),COUNTIF($C$2:$C$1166,$C$2:$C$1166),0)),"Unknown"),C216)</f>
        <v>Jessica Gonzalez</v>
      </c>
      <c r="T216" s="4" t="str" cm="1">
        <f t="array" ref="T216">IF(D216="",IFERROR(INDEX($D$2:$D$1000,MATCH(MAX(COUNTIF($D$2:$D$1166,$D$2:$D$1166)),COUNTIF($D$2:$D$1166,$D$2:$D$1166),0)),"Unknown"),D216)</f>
        <v>Jean-Pierre Johnson</v>
      </c>
      <c r="U216" t="str">
        <f t="shared" si="22"/>
        <v>AUD</v>
      </c>
      <c r="V216" s="7" t="str">
        <f t="shared" si="22"/>
        <v>BRL</v>
      </c>
      <c r="W216" s="7" t="str">
        <f t="shared" si="23"/>
        <v>South Africa</v>
      </c>
      <c r="X216" s="7" t="str">
        <f t="shared" si="23"/>
        <v>UAE</v>
      </c>
      <c r="Y216" s="7" t="str" cm="1">
        <f t="array" ref="Y216">IF(H216="",IFERROR(INDEX($H$2:$H$1166,MATCH(MAX(COUNTIF($H$2:$H$1166,$H$2:$H$1166)),COUNTIF($H$2:$H$1166,$H$2:$H$1166),0)),"Unknown"),H216)</f>
        <v>Pending</v>
      </c>
      <c r="Z216" s="7" t="str">
        <f t="shared" si="24"/>
        <v>Inter-Transaction</v>
      </c>
      <c r="AA216" s="7">
        <f>IF(J216="",AVERAGE($J:$J),J216)</f>
        <v>7814.53</v>
      </c>
      <c r="AB216" s="7">
        <f>IF(N216="",AVERAGE($N:$N),N216)</f>
        <v>83</v>
      </c>
      <c r="AC216" s="7">
        <f t="shared" si="25"/>
        <v>2022</v>
      </c>
      <c r="AD216" s="7">
        <f t="shared" si="26"/>
        <v>9</v>
      </c>
      <c r="AE216" s="7">
        <f>COUNTIF(A:A,A216)</f>
        <v>1</v>
      </c>
      <c r="AF216" s="7" t="str">
        <f t="shared" si="27"/>
        <v>No</v>
      </c>
    </row>
    <row r="217" spans="1:32">
      <c r="A217" t="s">
        <v>850</v>
      </c>
      <c r="B217">
        <v>35481281</v>
      </c>
      <c r="C217" t="s">
        <v>102</v>
      </c>
      <c r="D217" t="s">
        <v>147</v>
      </c>
      <c r="E217" t="s">
        <v>20</v>
      </c>
      <c r="F217" t="s">
        <v>53</v>
      </c>
      <c r="G217" t="s">
        <v>44</v>
      </c>
      <c r="H217" t="s">
        <v>56</v>
      </c>
      <c r="I217" t="s">
        <v>3374</v>
      </c>
      <c r="J217">
        <v>6780.95</v>
      </c>
      <c r="K217" t="s">
        <v>27</v>
      </c>
      <c r="L217" t="s">
        <v>28</v>
      </c>
      <c r="M217" s="1">
        <v>44962.248611111114</v>
      </c>
      <c r="N217">
        <v>71</v>
      </c>
      <c r="O217" t="s">
        <v>36</v>
      </c>
      <c r="P217" t="s">
        <v>24</v>
      </c>
      <c r="Q217" t="s">
        <v>851</v>
      </c>
      <c r="R217">
        <f t="shared" si="21"/>
        <v>35481281</v>
      </c>
      <c r="S217" t="str" cm="1">
        <f t="array" ref="S217">IF(C217="",IFERROR(INDEX($C$2:$C$1166,MATCH(MAX(COUNTIF($C$2:$C$1166,$C$2:$C$1166)),COUNTIF($C$2:$C$1166,$C$2:$C$1166),0)),"Unknown"),C217)</f>
        <v>Barbara Anderson</v>
      </c>
      <c r="T217" s="4" t="str" cm="1">
        <f t="array" ref="T217">IF(D217="",IFERROR(INDEX($D$2:$D$1000,MATCH(MAX(COUNTIF($D$2:$D$1166,$D$2:$D$1166)),COUNTIF($D$2:$D$1166,$D$2:$D$1166),0)),"Unknown"),D217)</f>
        <v>Joseph Volkov</v>
      </c>
      <c r="U217" t="str">
        <f t="shared" si="22"/>
        <v>AED</v>
      </c>
      <c r="V217" s="7" t="str">
        <f t="shared" si="22"/>
        <v>SGD</v>
      </c>
      <c r="W217" s="7" t="str">
        <f t="shared" si="23"/>
        <v>Germany</v>
      </c>
      <c r="X217" s="7" t="str">
        <f t="shared" si="23"/>
        <v>Brazil</v>
      </c>
      <c r="Y217" s="7" t="str" cm="1">
        <f t="array" ref="Y217">IF(H217="",IFERROR(INDEX($H$2:$H$1166,MATCH(MAX(COUNTIF($H$2:$H$1166,$H$2:$H$1166)),COUNTIF($H$2:$H$1166,$H$2:$H$1166),0)),"Unknown"),H217)</f>
        <v>Unverified</v>
      </c>
      <c r="Z217" s="7" t="str">
        <f t="shared" si="24"/>
        <v>External</v>
      </c>
      <c r="AA217" s="7">
        <f>IF(J217="",AVERAGE($J:$J),J217)</f>
        <v>6780.95</v>
      </c>
      <c r="AB217" s="7">
        <f>IF(N217="",AVERAGE($N:$N),N217)</f>
        <v>71</v>
      </c>
      <c r="AC217" s="7">
        <f t="shared" si="25"/>
        <v>2023</v>
      </c>
      <c r="AD217" s="7">
        <f t="shared" si="26"/>
        <v>2</v>
      </c>
      <c r="AE217" s="7">
        <f>COUNTIF(A:A,A217)</f>
        <v>1</v>
      </c>
      <c r="AF217" s="7" t="str">
        <f t="shared" si="27"/>
        <v>No</v>
      </c>
    </row>
    <row r="218" spans="1:32">
      <c r="A218" t="s">
        <v>852</v>
      </c>
      <c r="B218">
        <v>37102854</v>
      </c>
      <c r="C218" t="s">
        <v>853</v>
      </c>
      <c r="D218" t="s">
        <v>854</v>
      </c>
      <c r="E218" t="s">
        <v>20</v>
      </c>
      <c r="F218" t="s">
        <v>45</v>
      </c>
      <c r="G218" t="s">
        <v>22</v>
      </c>
      <c r="H218" t="s">
        <v>103</v>
      </c>
      <c r="I218" t="s">
        <v>3377</v>
      </c>
      <c r="J218">
        <v>7862.02</v>
      </c>
      <c r="K218" t="s">
        <v>39</v>
      </c>
      <c r="L218" t="s">
        <v>48</v>
      </c>
      <c r="M218" s="1">
        <v>46000.794444444444</v>
      </c>
      <c r="N218">
        <v>52</v>
      </c>
      <c r="O218" t="s">
        <v>55</v>
      </c>
      <c r="P218" t="s">
        <v>93</v>
      </c>
      <c r="Q218" t="s">
        <v>855</v>
      </c>
      <c r="R218">
        <f t="shared" si="21"/>
        <v>37102854</v>
      </c>
      <c r="S218" t="str" cm="1">
        <f t="array" ref="S218">IF(C218="",IFERROR(INDEX($C$2:$C$1166,MATCH(MAX(COUNTIF($C$2:$C$1166,$C$2:$C$1166)),COUNTIF($C$2:$C$1166,$C$2:$C$1166),0)),"Unknown"),C218)</f>
        <v>Carlos Anderson</v>
      </c>
      <c r="T218" s="4" t="str" cm="1">
        <f t="array" ref="T218">IF(D218="",IFERROR(INDEX($D$2:$D$1000,MATCH(MAX(COUNTIF($D$2:$D$1166,$D$2:$D$1166)),COUNTIF($D$2:$D$1166,$D$2:$D$1166),0)),"Unknown"),D218)</f>
        <v>Robert Rodriguez</v>
      </c>
      <c r="U218" t="str">
        <f t="shared" si="22"/>
        <v>ZAR</v>
      </c>
      <c r="V218" s="7" t="str">
        <f t="shared" si="22"/>
        <v>BRL</v>
      </c>
      <c r="W218" s="7" t="str">
        <f t="shared" si="23"/>
        <v>UK</v>
      </c>
      <c r="X218" s="7" t="str">
        <f t="shared" si="23"/>
        <v>USA</v>
      </c>
      <c r="Y218" s="7" t="str" cm="1">
        <f t="array" ref="Y218">IF(H218="",IFERROR(INDEX($H$2:$H$1166,MATCH(MAX(COUNTIF($H$2:$H$1166,$H$2:$H$1166)),COUNTIF($H$2:$H$1166,$H$2:$H$1166),0)),"Unknown"),H218)</f>
        <v>Verified</v>
      </c>
      <c r="Z218" s="7" t="str">
        <f t="shared" si="24"/>
        <v>Inter-Transaction</v>
      </c>
      <c r="AA218" s="7">
        <f>IF(J218="",AVERAGE($J:$J),J218)</f>
        <v>7862.02</v>
      </c>
      <c r="AB218" s="7">
        <f>IF(N218="",AVERAGE($N:$N),N218)</f>
        <v>52</v>
      </c>
      <c r="AC218" s="7">
        <f t="shared" si="25"/>
        <v>2025</v>
      </c>
      <c r="AD218" s="7">
        <f t="shared" si="26"/>
        <v>12</v>
      </c>
      <c r="AE218" s="7">
        <f>COUNTIF(A:A,A218)</f>
        <v>1</v>
      </c>
      <c r="AF218" s="7" t="str">
        <f t="shared" si="27"/>
        <v>No</v>
      </c>
    </row>
    <row r="219" spans="1:32">
      <c r="A219" t="s">
        <v>856</v>
      </c>
      <c r="B219">
        <v>29408873</v>
      </c>
      <c r="C219" t="s">
        <v>857</v>
      </c>
      <c r="D219" t="s">
        <v>858</v>
      </c>
      <c r="E219" t="s">
        <v>20</v>
      </c>
      <c r="F219" t="s">
        <v>53</v>
      </c>
      <c r="G219" t="s">
        <v>22</v>
      </c>
      <c r="H219" t="s">
        <v>74</v>
      </c>
      <c r="I219" t="s">
        <v>3377</v>
      </c>
      <c r="J219">
        <v>9342.18</v>
      </c>
      <c r="K219" t="s">
        <v>57</v>
      </c>
      <c r="L219" t="s">
        <v>28</v>
      </c>
      <c r="M219" s="1">
        <v>45895.922222222223</v>
      </c>
      <c r="N219">
        <v>78</v>
      </c>
      <c r="O219" t="s">
        <v>55</v>
      </c>
      <c r="P219" t="s">
        <v>37</v>
      </c>
      <c r="Q219" t="s">
        <v>859</v>
      </c>
      <c r="R219">
        <f t="shared" si="21"/>
        <v>29408873</v>
      </c>
      <c r="S219" t="str" cm="1">
        <f t="array" ref="S219">IF(C219="",IFERROR(INDEX($C$2:$C$1166,MATCH(MAX(COUNTIF($C$2:$C$1166,$C$2:$C$1166)),COUNTIF($C$2:$C$1166,$C$2:$C$1166),0)),"Unknown"),C219)</f>
        <v>Linda Dubois</v>
      </c>
      <c r="T219" s="4" t="str" cm="1">
        <f t="array" ref="T219">IF(D219="",IFERROR(INDEX($D$2:$D$1000,MATCH(MAX(COUNTIF($D$2:$D$1166,$D$2:$D$1166)),COUNTIF($D$2:$D$1166,$D$2:$D$1166),0)),"Unknown"),D219)</f>
        <v>Elena Johnson</v>
      </c>
      <c r="U219" t="str">
        <f t="shared" si="22"/>
        <v>AED</v>
      </c>
      <c r="V219" s="7" t="str">
        <f t="shared" si="22"/>
        <v>BRL</v>
      </c>
      <c r="W219" s="7" t="str">
        <f t="shared" si="23"/>
        <v>UK</v>
      </c>
      <c r="X219" s="7" t="str">
        <f t="shared" si="23"/>
        <v>South Africa</v>
      </c>
      <c r="Y219" s="7" t="str" cm="1">
        <f t="array" ref="Y219">IF(H219="",IFERROR(INDEX($H$2:$H$1166,MATCH(MAX(COUNTIF($H$2:$H$1166,$H$2:$H$1166)),COUNTIF($H$2:$H$1166,$H$2:$H$1166),0)),"Unknown"),H219)</f>
        <v>Non-KYC</v>
      </c>
      <c r="Z219" s="7" t="str">
        <f t="shared" si="24"/>
        <v>Inter-Transaction</v>
      </c>
      <c r="AA219" s="7">
        <f>IF(J219="",AVERAGE($J:$J),J219)</f>
        <v>9342.18</v>
      </c>
      <c r="AB219" s="7">
        <f>IF(N219="",AVERAGE($N:$N),N219)</f>
        <v>78</v>
      </c>
      <c r="AC219" s="7">
        <f t="shared" si="25"/>
        <v>2025</v>
      </c>
      <c r="AD219" s="7">
        <f t="shared" si="26"/>
        <v>8</v>
      </c>
      <c r="AE219" s="7">
        <f>COUNTIF(A:A,A219)</f>
        <v>1</v>
      </c>
      <c r="AF219" s="7" t="str">
        <f t="shared" si="27"/>
        <v>No</v>
      </c>
    </row>
    <row r="220" spans="1:32">
      <c r="A220" t="s">
        <v>860</v>
      </c>
      <c r="B220">
        <v>70899748</v>
      </c>
      <c r="C220" t="s">
        <v>861</v>
      </c>
      <c r="D220" t="s">
        <v>448</v>
      </c>
      <c r="E220" t="s">
        <v>33</v>
      </c>
      <c r="F220" t="s">
        <v>121</v>
      </c>
      <c r="G220" t="s">
        <v>98</v>
      </c>
      <c r="H220" t="s">
        <v>25</v>
      </c>
      <c r="I220" t="s">
        <v>3374</v>
      </c>
      <c r="J220">
        <v>5241.8100000000004</v>
      </c>
      <c r="K220" t="s">
        <v>47</v>
      </c>
      <c r="L220" t="s">
        <v>28</v>
      </c>
      <c r="M220" s="1">
        <v>45050.661805555559</v>
      </c>
      <c r="N220">
        <v>58</v>
      </c>
      <c r="O220" t="s">
        <v>54</v>
      </c>
      <c r="P220" t="s">
        <v>62</v>
      </c>
      <c r="Q220" t="s">
        <v>862</v>
      </c>
      <c r="R220">
        <f t="shared" si="21"/>
        <v>70899748</v>
      </c>
      <c r="S220" t="str" cm="1">
        <f t="array" ref="S220">IF(C220="",IFERROR(INDEX($C$2:$C$1166,MATCH(MAX(COUNTIF($C$2:$C$1166,$C$2:$C$1166)),COUNTIF($C$2:$C$1166,$C$2:$C$1166),0)),"Unknown"),C220)</f>
        <v>Jessica Anderson</v>
      </c>
      <c r="T220" s="4" t="str" cm="1">
        <f t="array" ref="T220">IF(D220="",IFERROR(INDEX($D$2:$D$1000,MATCH(MAX(COUNTIF($D$2:$D$1166,$D$2:$D$1166)),COUNTIF($D$2:$D$1166,$D$2:$D$1166),0)),"Unknown"),D220)</f>
        <v>Robert Martin</v>
      </c>
      <c r="U220" t="str">
        <f t="shared" si="22"/>
        <v>INR</v>
      </c>
      <c r="V220" s="7" t="str">
        <f t="shared" si="22"/>
        <v>JPY</v>
      </c>
      <c r="W220" s="7" t="str">
        <f t="shared" si="23"/>
        <v>India</v>
      </c>
      <c r="X220" s="7" t="str">
        <f t="shared" si="23"/>
        <v>Australia</v>
      </c>
      <c r="Y220" s="7" t="str" cm="1">
        <f t="array" ref="Y220">IF(H220="",IFERROR(INDEX($H$2:$H$1166,MATCH(MAX(COUNTIF($H$2:$H$1166,$H$2:$H$1166)),COUNTIF($H$2:$H$1166,$H$2:$H$1166),0)),"Unknown"),H220)</f>
        <v>KYC</v>
      </c>
      <c r="Z220" s="7" t="str">
        <f t="shared" si="24"/>
        <v>External</v>
      </c>
      <c r="AA220" s="7">
        <f>IF(J220="",AVERAGE($J:$J),J220)</f>
        <v>5241.8100000000004</v>
      </c>
      <c r="AB220" s="7">
        <f>IF(N220="",AVERAGE($N:$N),N220)</f>
        <v>58</v>
      </c>
      <c r="AC220" s="7">
        <f t="shared" si="25"/>
        <v>2023</v>
      </c>
      <c r="AD220" s="7">
        <f t="shared" si="26"/>
        <v>5</v>
      </c>
      <c r="AE220" s="7">
        <f>COUNTIF(A:A,A220)</f>
        <v>1</v>
      </c>
      <c r="AF220" s="7" t="str">
        <f t="shared" si="27"/>
        <v>Yes</v>
      </c>
    </row>
    <row r="221" spans="1:32">
      <c r="A221" t="s">
        <v>863</v>
      </c>
      <c r="B221">
        <v>89855385</v>
      </c>
      <c r="C221" t="s">
        <v>864</v>
      </c>
      <c r="D221" t="s">
        <v>865</v>
      </c>
      <c r="E221" t="s">
        <v>20</v>
      </c>
      <c r="F221" t="s">
        <v>22</v>
      </c>
      <c r="G221" t="s">
        <v>116</v>
      </c>
      <c r="H221" t="s">
        <v>25</v>
      </c>
      <c r="I221" t="s">
        <v>3372</v>
      </c>
      <c r="J221">
        <v>12651.21</v>
      </c>
      <c r="K221" t="s">
        <v>86</v>
      </c>
      <c r="L221" t="s">
        <v>75</v>
      </c>
      <c r="M221" s="1">
        <v>46205.556250000001</v>
      </c>
      <c r="N221">
        <v>50</v>
      </c>
      <c r="O221" t="s">
        <v>68</v>
      </c>
      <c r="P221" t="s">
        <v>62</v>
      </c>
      <c r="Q221" t="s">
        <v>866</v>
      </c>
      <c r="R221">
        <f t="shared" si="21"/>
        <v>89855385</v>
      </c>
      <c r="S221" t="str" cm="1">
        <f t="array" ref="S221">IF(C221="",IFERROR(INDEX($C$2:$C$1166,MATCH(MAX(COUNTIF($C$2:$C$1166,$C$2:$C$1166)),COUNTIF($C$2:$C$1166,$C$2:$C$1166),0)),"Unknown"),C221)</f>
        <v>Christopher Silva</v>
      </c>
      <c r="T221" s="4" t="str" cm="1">
        <f t="array" ref="T221">IF(D221="",IFERROR(INDEX($D$2:$D$1000,MATCH(MAX(COUNTIF($D$2:$D$1166,$D$2:$D$1166)),COUNTIF($D$2:$D$1166,$D$2:$D$1166),0)),"Unknown"),D221)</f>
        <v>Karen Garcia</v>
      </c>
      <c r="U221" t="str">
        <f t="shared" si="22"/>
        <v>BRL</v>
      </c>
      <c r="V221" s="7" t="str">
        <f t="shared" si="22"/>
        <v>CHF</v>
      </c>
      <c r="W221" s="7" t="str">
        <f t="shared" si="23"/>
        <v>UAE</v>
      </c>
      <c r="X221" s="7" t="str">
        <f t="shared" si="23"/>
        <v>Australia</v>
      </c>
      <c r="Y221" s="7" t="str" cm="1">
        <f t="array" ref="Y221">IF(H221="",IFERROR(INDEX($H$2:$H$1166,MATCH(MAX(COUNTIF($H$2:$H$1166,$H$2:$H$1166)),COUNTIF($H$2:$H$1166,$H$2:$H$1166),0)),"Unknown"),H221)</f>
        <v>KYC</v>
      </c>
      <c r="Z221" s="7" t="str">
        <f t="shared" si="24"/>
        <v>Outer-Transaction</v>
      </c>
      <c r="AA221" s="7">
        <f>IF(J221="",AVERAGE($J:$J),J221)</f>
        <v>12651.21</v>
      </c>
      <c r="AB221" s="7">
        <f>IF(N221="",AVERAGE($N:$N),N221)</f>
        <v>50</v>
      </c>
      <c r="AC221" s="7">
        <f t="shared" si="25"/>
        <v>2026</v>
      </c>
      <c r="AD221" s="7">
        <f t="shared" si="26"/>
        <v>7</v>
      </c>
      <c r="AE221" s="7">
        <f>COUNTIF(A:A,A221)</f>
        <v>1</v>
      </c>
      <c r="AF221" s="7" t="str">
        <f t="shared" si="27"/>
        <v>No</v>
      </c>
    </row>
    <row r="222" spans="1:32">
      <c r="A222" t="s">
        <v>867</v>
      </c>
      <c r="B222">
        <v>24670297</v>
      </c>
      <c r="C222" t="s">
        <v>868</v>
      </c>
      <c r="D222" t="s">
        <v>869</v>
      </c>
      <c r="E222">
        <v>1</v>
      </c>
      <c r="F222" t="s">
        <v>44</v>
      </c>
      <c r="G222" t="s">
        <v>22</v>
      </c>
      <c r="H222" t="s">
        <v>103</v>
      </c>
      <c r="I222" t="s">
        <v>3378</v>
      </c>
      <c r="J222">
        <v>7885.61</v>
      </c>
      <c r="K222" t="s">
        <v>27</v>
      </c>
      <c r="L222" t="s">
        <v>75</v>
      </c>
      <c r="M222" s="1">
        <v>44148.331944444442</v>
      </c>
      <c r="N222">
        <v>85</v>
      </c>
      <c r="O222" t="s">
        <v>93</v>
      </c>
      <c r="P222" t="s">
        <v>127</v>
      </c>
      <c r="Q222" t="s">
        <v>870</v>
      </c>
      <c r="R222">
        <f t="shared" si="21"/>
        <v>24670297</v>
      </c>
      <c r="S222" t="str" cm="1">
        <f t="array" ref="S222">IF(C222="",IFERROR(INDEX($C$2:$C$1166,MATCH(MAX(COUNTIF($C$2:$C$1166,$C$2:$C$1166)),COUNTIF($C$2:$C$1166,$C$2:$C$1166),0)),"Unknown"),C222)</f>
        <v>Christopher Al-Sayed</v>
      </c>
      <c r="T222" s="4" t="str" cm="1">
        <f t="array" ref="T222">IF(D222="",IFERROR(INDEX($D$2:$D$1000,MATCH(MAX(COUNTIF($D$2:$D$1166,$D$2:$D$1166)),COUNTIF($D$2:$D$1166,$D$2:$D$1166),0)),"Unknown"),D222)</f>
        <v>Sanjay Taylor</v>
      </c>
      <c r="U222" t="str">
        <f t="shared" si="22"/>
        <v>SGD</v>
      </c>
      <c r="V222" s="7" t="str">
        <f t="shared" si="22"/>
        <v>BRL</v>
      </c>
      <c r="W222" s="7" t="str">
        <f t="shared" si="23"/>
        <v>USA</v>
      </c>
      <c r="X222" s="7" t="str">
        <f t="shared" si="23"/>
        <v>Canada</v>
      </c>
      <c r="Y222" s="7" t="str" cm="1">
        <f t="array" ref="Y222">IF(H222="",IFERROR(INDEX($H$2:$H$1166,MATCH(MAX(COUNTIF($H$2:$H$1166,$H$2:$H$1166)),COUNTIF($H$2:$H$1166,$H$2:$H$1166),0)),"Unknown"),H222)</f>
        <v>Verified</v>
      </c>
      <c r="Z222" s="7" t="str">
        <f t="shared" si="24"/>
        <v>Inter-Transaction</v>
      </c>
      <c r="AA222" s="7">
        <f>IF(J222="",AVERAGE($J:$J),J222)</f>
        <v>7885.61</v>
      </c>
      <c r="AB222" s="7">
        <f>IF(N222="",AVERAGE($N:$N),N222)</f>
        <v>85</v>
      </c>
      <c r="AC222" s="7">
        <f t="shared" si="25"/>
        <v>2020</v>
      </c>
      <c r="AD222" s="7">
        <f t="shared" si="26"/>
        <v>11</v>
      </c>
      <c r="AE222" s="7">
        <f>COUNTIF(A:A,A222)</f>
        <v>1</v>
      </c>
      <c r="AF222" s="7" t="str">
        <f t="shared" si="27"/>
        <v>Yes</v>
      </c>
    </row>
    <row r="223" spans="1:32">
      <c r="A223" t="s">
        <v>871</v>
      </c>
      <c r="B223">
        <v>48988647</v>
      </c>
      <c r="C223" t="s">
        <v>728</v>
      </c>
      <c r="D223" t="s">
        <v>18</v>
      </c>
      <c r="E223" t="s">
        <v>20</v>
      </c>
      <c r="F223" t="s">
        <v>35</v>
      </c>
      <c r="G223" t="s">
        <v>22</v>
      </c>
      <c r="H223" t="s">
        <v>38</v>
      </c>
      <c r="I223" t="s">
        <v>3374</v>
      </c>
      <c r="J223">
        <v>3192.95</v>
      </c>
      <c r="K223" t="s">
        <v>47</v>
      </c>
      <c r="L223" t="s">
        <v>75</v>
      </c>
      <c r="M223" s="1">
        <v>45333.826388888891</v>
      </c>
      <c r="N223">
        <v>50</v>
      </c>
      <c r="O223" t="s">
        <v>54</v>
      </c>
      <c r="P223" t="s">
        <v>24</v>
      </c>
      <c r="Q223" t="s">
        <v>872</v>
      </c>
      <c r="R223">
        <f t="shared" si="21"/>
        <v>48988647</v>
      </c>
      <c r="S223" t="str" cm="1">
        <f t="array" ref="S223">IF(C223="",IFERROR(INDEX($C$2:$C$1166,MATCH(MAX(COUNTIF($C$2:$C$1166,$C$2:$C$1166)),COUNTIF($C$2:$C$1166,$C$2:$C$1166),0)),"Unknown"),C223)</f>
        <v>William Smith</v>
      </c>
      <c r="T223" s="4" t="str" cm="1">
        <f t="array" ref="T223">IF(D223="",IFERROR(INDEX($D$2:$D$1000,MATCH(MAX(COUNTIF($D$2:$D$1166,$D$2:$D$1166)),COUNTIF($D$2:$D$1166,$D$2:$D$1166),0)),"Unknown"),D223)</f>
        <v>Patricia Smith</v>
      </c>
      <c r="U223" t="str">
        <f t="shared" si="22"/>
        <v>EUR</v>
      </c>
      <c r="V223" s="7" t="str">
        <f t="shared" si="22"/>
        <v>BRL</v>
      </c>
      <c r="W223" s="7" t="str">
        <f t="shared" si="23"/>
        <v>India</v>
      </c>
      <c r="X223" s="7" t="str">
        <f t="shared" si="23"/>
        <v>Brazil</v>
      </c>
      <c r="Y223" s="7" t="str" cm="1">
        <f t="array" ref="Y223">IF(H223="",IFERROR(INDEX($H$2:$H$1166,MATCH(MAX(COUNTIF($H$2:$H$1166,$H$2:$H$1166)),COUNTIF($H$2:$H$1166,$H$2:$H$1166),0)),"Unknown"),H223)</f>
        <v>Pending</v>
      </c>
      <c r="Z223" s="7" t="str">
        <f t="shared" si="24"/>
        <v>External</v>
      </c>
      <c r="AA223" s="7">
        <f>IF(J223="",AVERAGE($J:$J),J223)</f>
        <v>3192.95</v>
      </c>
      <c r="AB223" s="7">
        <f>IF(N223="",AVERAGE($N:$N),N223)</f>
        <v>50</v>
      </c>
      <c r="AC223" s="7">
        <f t="shared" si="25"/>
        <v>2024</v>
      </c>
      <c r="AD223" s="7">
        <f t="shared" si="26"/>
        <v>2</v>
      </c>
      <c r="AE223" s="7">
        <f>COUNTIF(A:A,A223)</f>
        <v>1</v>
      </c>
      <c r="AF223" s="7" t="str">
        <f t="shared" si="27"/>
        <v>No</v>
      </c>
    </row>
    <row r="224" spans="1:32">
      <c r="A224" t="s">
        <v>873</v>
      </c>
      <c r="B224">
        <v>86359356</v>
      </c>
      <c r="C224" t="s">
        <v>874</v>
      </c>
      <c r="D224" t="s">
        <v>875</v>
      </c>
      <c r="E224" t="s">
        <v>3373</v>
      </c>
      <c r="F224" t="s">
        <v>34</v>
      </c>
      <c r="G224" t="s">
        <v>180</v>
      </c>
      <c r="I224" t="s">
        <v>3376</v>
      </c>
      <c r="J224">
        <v>13439.97</v>
      </c>
      <c r="K224" t="s">
        <v>39</v>
      </c>
      <c r="L224" t="s">
        <v>81</v>
      </c>
      <c r="M224" s="1">
        <v>45865.568055555559</v>
      </c>
      <c r="N224">
        <v>31</v>
      </c>
      <c r="O224" t="s">
        <v>68</v>
      </c>
      <c r="P224" t="s">
        <v>23</v>
      </c>
      <c r="Q224" t="s">
        <v>876</v>
      </c>
      <c r="R224">
        <f t="shared" si="21"/>
        <v>86359356</v>
      </c>
      <c r="S224" t="str" cm="1">
        <f t="array" ref="S224">IF(C224="",IFERROR(INDEX($C$2:$C$1166,MATCH(MAX(COUNTIF($C$2:$C$1166,$C$2:$C$1166)),COUNTIF($C$2:$C$1166,$C$2:$C$1166),0)),"Unknown"),C224)</f>
        <v>Nancy Smith</v>
      </c>
      <c r="T224" s="4" t="str" cm="1">
        <f t="array" ref="T224">IF(D224="",IFERROR(INDEX($D$2:$D$1000,MATCH(MAX(COUNTIF($D$2:$D$1166,$D$2:$D$1166)),COUNTIF($D$2:$D$1166,$D$2:$D$1166),0)),"Unknown"),D224)</f>
        <v>Amir Garcia</v>
      </c>
      <c r="U224" t="str">
        <f t="shared" si="22"/>
        <v>CAD</v>
      </c>
      <c r="V224" s="7" t="str">
        <f t="shared" si="22"/>
        <v>zar</v>
      </c>
      <c r="W224" s="7" t="str">
        <f t="shared" si="23"/>
        <v>UAE</v>
      </c>
      <c r="X224" s="7" t="str">
        <f t="shared" si="23"/>
        <v>France</v>
      </c>
      <c r="Y224" s="7" t="str" cm="1">
        <f t="array" ref="Y224">IF(H224="",IFERROR(INDEX($H$2:$H$1166,MATCH(MAX(COUNTIF($H$2:$H$1166,$H$2:$H$1166)),COUNTIF($H$2:$H$1166,$H$2:$H$1166),0)),"Unknown"),H224)</f>
        <v>Pending</v>
      </c>
      <c r="Z224" s="7" t="str">
        <f t="shared" si="24"/>
        <v>Internal</v>
      </c>
      <c r="AA224" s="7">
        <f>IF(J224="",AVERAGE($J:$J),J224)</f>
        <v>13439.97</v>
      </c>
      <c r="AB224" s="7">
        <f>IF(N224="",AVERAGE($N:$N),N224)</f>
        <v>31</v>
      </c>
      <c r="AC224" s="7">
        <f t="shared" si="25"/>
        <v>2025</v>
      </c>
      <c r="AD224" s="7">
        <f t="shared" si="26"/>
        <v>7</v>
      </c>
      <c r="AE224" s="7">
        <f>COUNTIF(A:A,A224)</f>
        <v>1</v>
      </c>
      <c r="AF224" s="7" t="str">
        <f t="shared" si="27"/>
        <v>Yes</v>
      </c>
    </row>
    <row r="225" spans="1:32">
      <c r="A225" t="s">
        <v>877</v>
      </c>
      <c r="B225">
        <v>57458790</v>
      </c>
      <c r="C225" t="s">
        <v>878</v>
      </c>
      <c r="D225" t="s">
        <v>879</v>
      </c>
      <c r="E225">
        <v>0</v>
      </c>
      <c r="F225" t="s">
        <v>92</v>
      </c>
      <c r="G225" t="s">
        <v>45</v>
      </c>
      <c r="H225" t="s">
        <v>103</v>
      </c>
      <c r="I225" t="s">
        <v>3374</v>
      </c>
      <c r="J225">
        <v>12868.71</v>
      </c>
      <c r="K225" t="s">
        <v>86</v>
      </c>
      <c r="L225" t="s">
        <v>75</v>
      </c>
      <c r="M225" s="1">
        <v>45873.200694444444</v>
      </c>
      <c r="N225">
        <v>38</v>
      </c>
      <c r="O225" t="s">
        <v>37</v>
      </c>
      <c r="P225" t="s">
        <v>68</v>
      </c>
      <c r="Q225" t="s">
        <v>880</v>
      </c>
      <c r="R225">
        <f t="shared" si="21"/>
        <v>57458790</v>
      </c>
      <c r="S225" t="str" cm="1">
        <f t="array" ref="S225">IF(C225="",IFERROR(INDEX($C$2:$C$1166,MATCH(MAX(COUNTIF($C$2:$C$1166,$C$2:$C$1166)),COUNTIF($C$2:$C$1166,$C$2:$C$1166),0)),"Unknown"),C225)</f>
        <v>Robert Jones</v>
      </c>
      <c r="T225" s="4" t="str" cm="1">
        <f t="array" ref="T225">IF(D225="",IFERROR(INDEX($D$2:$D$1000,MATCH(MAX(COUNTIF($D$2:$D$1166,$D$2:$D$1166)),COUNTIF($D$2:$D$1166,$D$2:$D$1166),0)),"Unknown"),D225)</f>
        <v>David Khan</v>
      </c>
      <c r="U225" t="str">
        <f t="shared" si="22"/>
        <v>AUD</v>
      </c>
      <c r="V225" s="7" t="str">
        <f t="shared" si="22"/>
        <v>ZAR</v>
      </c>
      <c r="W225" s="7" t="str">
        <f t="shared" si="23"/>
        <v>South Africa</v>
      </c>
      <c r="X225" s="7" t="str">
        <f t="shared" si="23"/>
        <v>UAE</v>
      </c>
      <c r="Y225" s="7" t="str" cm="1">
        <f t="array" ref="Y225">IF(H225="",IFERROR(INDEX($H$2:$H$1166,MATCH(MAX(COUNTIF($H$2:$H$1166,$H$2:$H$1166)),COUNTIF($H$2:$H$1166,$H$2:$H$1166),0)),"Unknown"),H225)</f>
        <v>Verified</v>
      </c>
      <c r="Z225" s="7" t="str">
        <f t="shared" si="24"/>
        <v>External</v>
      </c>
      <c r="AA225" s="7">
        <f>IF(J225="",AVERAGE($J:$J),J225)</f>
        <v>12868.71</v>
      </c>
      <c r="AB225" s="7">
        <f>IF(N225="",AVERAGE($N:$N),N225)</f>
        <v>38</v>
      </c>
      <c r="AC225" s="7">
        <f t="shared" si="25"/>
        <v>2025</v>
      </c>
      <c r="AD225" s="7">
        <f t="shared" si="26"/>
        <v>8</v>
      </c>
      <c r="AE225" s="7">
        <f>COUNTIF(A:A,A225)</f>
        <v>1</v>
      </c>
      <c r="AF225" s="7" t="str">
        <f t="shared" si="27"/>
        <v>No</v>
      </c>
    </row>
    <row r="226" spans="1:32">
      <c r="A226" t="s">
        <v>881</v>
      </c>
      <c r="B226">
        <v>60226379</v>
      </c>
      <c r="C226" t="s">
        <v>882</v>
      </c>
      <c r="D226" t="s">
        <v>183</v>
      </c>
      <c r="E226" t="s">
        <v>3373</v>
      </c>
      <c r="F226" t="s">
        <v>686</v>
      </c>
      <c r="G226" t="s">
        <v>98</v>
      </c>
      <c r="I226" t="s">
        <v>3376</v>
      </c>
      <c r="J226">
        <v>4662.28</v>
      </c>
      <c r="K226" t="s">
        <v>57</v>
      </c>
      <c r="L226" t="s">
        <v>48</v>
      </c>
      <c r="M226" s="1">
        <v>44333.048611111109</v>
      </c>
      <c r="N226">
        <v>65</v>
      </c>
      <c r="O226" t="s">
        <v>54</v>
      </c>
      <c r="P226" t="s">
        <v>54</v>
      </c>
      <c r="Q226" t="s">
        <v>883</v>
      </c>
      <c r="R226">
        <f t="shared" si="21"/>
        <v>60226379</v>
      </c>
      <c r="S226" t="str" cm="1">
        <f t="array" ref="S226">IF(C226="",IFERROR(INDEX($C$2:$C$1166,MATCH(MAX(COUNTIF($C$2:$C$1166,$C$2:$C$1166)),COUNTIF($C$2:$C$1166,$C$2:$C$1166),0)),"Unknown"),C226)</f>
        <v>Lucas Johnson</v>
      </c>
      <c r="T226" s="4" t="str" cm="1">
        <f t="array" ref="T226">IF(D226="",IFERROR(INDEX($D$2:$D$1000,MATCH(MAX(COUNTIF($D$2:$D$1166,$D$2:$D$1166)),COUNTIF($D$2:$D$1166,$D$2:$D$1166),0)),"Unknown"),D226)</f>
        <v>Jean-Pierre Miller</v>
      </c>
      <c r="U226" t="str">
        <f t="shared" si="22"/>
        <v>sgd</v>
      </c>
      <c r="V226" s="7" t="str">
        <f t="shared" si="22"/>
        <v>JPY</v>
      </c>
      <c r="W226" s="7" t="str">
        <f t="shared" si="23"/>
        <v>India</v>
      </c>
      <c r="X226" s="7" t="str">
        <f t="shared" si="23"/>
        <v>India</v>
      </c>
      <c r="Y226" s="7" t="str" cm="1">
        <f t="array" ref="Y226">IF(H226="",IFERROR(INDEX($H$2:$H$1166,MATCH(MAX(COUNTIF($H$2:$H$1166,$H$2:$H$1166)),COUNTIF($H$2:$H$1166,$H$2:$H$1166),0)),"Unknown"),H226)</f>
        <v>Pending</v>
      </c>
      <c r="Z226" s="7" t="str">
        <f t="shared" si="24"/>
        <v>Internal</v>
      </c>
      <c r="AA226" s="7">
        <f>IF(J226="",AVERAGE($J:$J),J226)</f>
        <v>4662.28</v>
      </c>
      <c r="AB226" s="7">
        <f>IF(N226="",AVERAGE($N:$N),N226)</f>
        <v>65</v>
      </c>
      <c r="AC226" s="7">
        <f t="shared" si="25"/>
        <v>2021</v>
      </c>
      <c r="AD226" s="7">
        <f t="shared" si="26"/>
        <v>5</v>
      </c>
      <c r="AE226" s="7">
        <f>COUNTIF(A:A,A226)</f>
        <v>1</v>
      </c>
      <c r="AF226" s="7" t="str">
        <f t="shared" si="27"/>
        <v>Yes</v>
      </c>
    </row>
    <row r="227" spans="1:32">
      <c r="A227" t="s">
        <v>884</v>
      </c>
      <c r="B227">
        <v>51739205</v>
      </c>
      <c r="C227" t="s">
        <v>885</v>
      </c>
      <c r="D227" t="s">
        <v>886</v>
      </c>
      <c r="E227" t="s">
        <v>20</v>
      </c>
      <c r="F227" t="s">
        <v>35</v>
      </c>
      <c r="G227" t="s">
        <v>34</v>
      </c>
      <c r="H227" t="s">
        <v>38</v>
      </c>
      <c r="I227" t="s">
        <v>3378</v>
      </c>
      <c r="J227">
        <v>9586.3700000000008</v>
      </c>
      <c r="K227" t="s">
        <v>47</v>
      </c>
      <c r="L227" t="s">
        <v>75</v>
      </c>
      <c r="M227" s="1">
        <v>45853.902083333334</v>
      </c>
      <c r="N227">
        <v>37</v>
      </c>
      <c r="O227" t="s">
        <v>127</v>
      </c>
      <c r="P227" t="s">
        <v>36</v>
      </c>
      <c r="Q227" t="s">
        <v>887</v>
      </c>
      <c r="R227">
        <f t="shared" si="21"/>
        <v>51739205</v>
      </c>
      <c r="S227" t="str" cm="1">
        <f t="array" ref="S227">IF(C227="",IFERROR(INDEX($C$2:$C$1166,MATCH(MAX(COUNTIF($C$2:$C$1166,$C$2:$C$1166)),COUNTIF($C$2:$C$1166,$C$2:$C$1166),0)),"Unknown"),C227)</f>
        <v>Priya Johnson</v>
      </c>
      <c r="T227" s="4" t="str" cm="1">
        <f t="array" ref="T227">IF(D227="",IFERROR(INDEX($D$2:$D$1000,MATCH(MAX(COUNTIF($D$2:$D$1166,$D$2:$D$1166)),COUNTIF($D$2:$D$1166,$D$2:$D$1166),0)),"Unknown"),D227)</f>
        <v>Marta Malik</v>
      </c>
      <c r="U227" t="str">
        <f t="shared" si="22"/>
        <v>EUR</v>
      </c>
      <c r="V227" s="7" t="str">
        <f t="shared" si="22"/>
        <v>CAD</v>
      </c>
      <c r="W227" s="7" t="str">
        <f t="shared" si="23"/>
        <v>Canada</v>
      </c>
      <c r="X227" s="7" t="str">
        <f t="shared" si="23"/>
        <v>Germany</v>
      </c>
      <c r="Y227" s="7" t="str" cm="1">
        <f t="array" ref="Y227">IF(H227="",IFERROR(INDEX($H$2:$H$1166,MATCH(MAX(COUNTIF($H$2:$H$1166,$H$2:$H$1166)),COUNTIF($H$2:$H$1166,$H$2:$H$1166),0)),"Unknown"),H227)</f>
        <v>Pending</v>
      </c>
      <c r="Z227" s="7" t="str">
        <f t="shared" si="24"/>
        <v>Inter-Transaction</v>
      </c>
      <c r="AA227" s="7">
        <f>IF(J227="",AVERAGE($J:$J),J227)</f>
        <v>9586.3700000000008</v>
      </c>
      <c r="AB227" s="7">
        <f>IF(N227="",AVERAGE($N:$N),N227)</f>
        <v>37</v>
      </c>
      <c r="AC227" s="7">
        <f t="shared" si="25"/>
        <v>2025</v>
      </c>
      <c r="AD227" s="7">
        <f t="shared" si="26"/>
        <v>7</v>
      </c>
      <c r="AE227" s="7">
        <f>COUNTIF(A:A,A227)</f>
        <v>1</v>
      </c>
      <c r="AF227" s="7" t="str">
        <f t="shared" si="27"/>
        <v>No</v>
      </c>
    </row>
    <row r="228" spans="1:32">
      <c r="A228" t="s">
        <v>888</v>
      </c>
      <c r="B228">
        <v>12047721</v>
      </c>
      <c r="C228" t="s">
        <v>151</v>
      </c>
      <c r="D228" t="s">
        <v>125</v>
      </c>
      <c r="E228" t="s">
        <v>20</v>
      </c>
      <c r="F228" t="s">
        <v>34</v>
      </c>
      <c r="G228" t="s">
        <v>98</v>
      </c>
      <c r="H228" t="s">
        <v>25</v>
      </c>
      <c r="I228" t="s">
        <v>3378</v>
      </c>
      <c r="J228">
        <v>9202.81</v>
      </c>
      <c r="K228" t="s">
        <v>57</v>
      </c>
      <c r="L228" t="s">
        <v>81</v>
      </c>
      <c r="M228" s="1">
        <v>43949.020833333336</v>
      </c>
      <c r="N228">
        <v>25</v>
      </c>
      <c r="O228" t="s">
        <v>37</v>
      </c>
      <c r="P228" t="s">
        <v>127</v>
      </c>
      <c r="Q228" t="s">
        <v>889</v>
      </c>
      <c r="R228">
        <f t="shared" si="21"/>
        <v>12047721</v>
      </c>
      <c r="S228" t="str" cm="1">
        <f t="array" ref="S228">IF(C228="",IFERROR(INDEX($C$2:$C$1166,MATCH(MAX(COUNTIF($C$2:$C$1166,$C$2:$C$1166)),COUNTIF($C$2:$C$1166,$C$2:$C$1166),0)),"Unknown"),C228)</f>
        <v>Nancy Moore</v>
      </c>
      <c r="T228" s="4" t="str" cm="1">
        <f t="array" ref="T228">IF(D228="",IFERROR(INDEX($D$2:$D$1000,MATCH(MAX(COUNTIF($D$2:$D$1166,$D$2:$D$1166)),COUNTIF($D$2:$D$1166,$D$2:$D$1166),0)),"Unknown"),D228)</f>
        <v>Charles Brown</v>
      </c>
      <c r="U228" t="str">
        <f t="shared" si="22"/>
        <v>CAD</v>
      </c>
      <c r="V228" s="7" t="str">
        <f t="shared" si="22"/>
        <v>JPY</v>
      </c>
      <c r="W228" s="7" t="str">
        <f t="shared" si="23"/>
        <v>South Africa</v>
      </c>
      <c r="X228" s="7" t="str">
        <f t="shared" si="23"/>
        <v>Canada</v>
      </c>
      <c r="Y228" s="7" t="str" cm="1">
        <f t="array" ref="Y228">IF(H228="",IFERROR(INDEX($H$2:$H$1166,MATCH(MAX(COUNTIF($H$2:$H$1166,$H$2:$H$1166)),COUNTIF($H$2:$H$1166,$H$2:$H$1166),0)),"Unknown"),H228)</f>
        <v>KYC</v>
      </c>
      <c r="Z228" s="7" t="str">
        <f t="shared" si="24"/>
        <v>Inter-Transaction</v>
      </c>
      <c r="AA228" s="7">
        <f>IF(J228="",AVERAGE($J:$J),J228)</f>
        <v>9202.81</v>
      </c>
      <c r="AB228" s="7">
        <f>IF(N228="",AVERAGE($N:$N),N228)</f>
        <v>25</v>
      </c>
      <c r="AC228" s="7">
        <f t="shared" si="25"/>
        <v>2020</v>
      </c>
      <c r="AD228" s="7">
        <f t="shared" si="26"/>
        <v>4</v>
      </c>
      <c r="AE228" s="7">
        <f>COUNTIF(A:A,A228)</f>
        <v>1</v>
      </c>
      <c r="AF228" s="7" t="str">
        <f t="shared" si="27"/>
        <v>No</v>
      </c>
    </row>
    <row r="229" spans="1:32">
      <c r="A229" t="s">
        <v>890</v>
      </c>
      <c r="B229">
        <v>90010054</v>
      </c>
      <c r="C229" t="s">
        <v>891</v>
      </c>
      <c r="D229" t="s">
        <v>685</v>
      </c>
      <c r="E229" t="s">
        <v>20</v>
      </c>
      <c r="F229" t="s">
        <v>44</v>
      </c>
      <c r="G229" t="s">
        <v>116</v>
      </c>
      <c r="H229" t="s">
        <v>25</v>
      </c>
      <c r="I229" t="s">
        <v>3372</v>
      </c>
      <c r="J229">
        <v>8521.16</v>
      </c>
      <c r="K229" t="s">
        <v>86</v>
      </c>
      <c r="L229" t="s">
        <v>81</v>
      </c>
      <c r="M229" s="1">
        <v>44540.904861111114</v>
      </c>
      <c r="N229">
        <v>24</v>
      </c>
      <c r="O229" t="s">
        <v>68</v>
      </c>
      <c r="P229" t="s">
        <v>68</v>
      </c>
      <c r="Q229" t="s">
        <v>892</v>
      </c>
      <c r="R229">
        <f t="shared" si="21"/>
        <v>90010054</v>
      </c>
      <c r="S229" t="str" cm="1">
        <f t="array" ref="S229">IF(C229="",IFERROR(INDEX($C$2:$C$1166,MATCH(MAX(COUNTIF($C$2:$C$1166,$C$2:$C$1166)),COUNTIF($C$2:$C$1166,$C$2:$C$1166),0)),"Unknown"),C229)</f>
        <v>Carlos Jackson</v>
      </c>
      <c r="T229" s="4" t="str" cm="1">
        <f t="array" ref="T229">IF(D229="",IFERROR(INDEX($D$2:$D$1000,MATCH(MAX(COUNTIF($D$2:$D$1166,$D$2:$D$1166)),COUNTIF($D$2:$D$1166,$D$2:$D$1166),0)),"Unknown"),D229)</f>
        <v>Sanjay Khan</v>
      </c>
      <c r="U229" t="str">
        <f t="shared" si="22"/>
        <v>SGD</v>
      </c>
      <c r="V229" s="7" t="str">
        <f t="shared" si="22"/>
        <v>CHF</v>
      </c>
      <c r="W229" s="7" t="str">
        <f t="shared" si="23"/>
        <v>UAE</v>
      </c>
      <c r="X229" s="7" t="str">
        <f t="shared" si="23"/>
        <v>UAE</v>
      </c>
      <c r="Y229" s="7" t="str" cm="1">
        <f t="array" ref="Y229">IF(H229="",IFERROR(INDEX($H$2:$H$1166,MATCH(MAX(COUNTIF($H$2:$H$1166,$H$2:$H$1166)),COUNTIF($H$2:$H$1166,$H$2:$H$1166),0)),"Unknown"),H229)</f>
        <v>KYC</v>
      </c>
      <c r="Z229" s="7" t="str">
        <f t="shared" si="24"/>
        <v>Outer-Transaction</v>
      </c>
      <c r="AA229" s="7">
        <f>IF(J229="",AVERAGE($J:$J),J229)</f>
        <v>8521.16</v>
      </c>
      <c r="AB229" s="7">
        <f>IF(N229="",AVERAGE($N:$N),N229)</f>
        <v>24</v>
      </c>
      <c r="AC229" s="7">
        <f t="shared" si="25"/>
        <v>2021</v>
      </c>
      <c r="AD229" s="7">
        <f t="shared" si="26"/>
        <v>12</v>
      </c>
      <c r="AE229" s="7">
        <f>COUNTIF(A:A,A229)</f>
        <v>1</v>
      </c>
      <c r="AF229" s="7" t="str">
        <f t="shared" si="27"/>
        <v>No</v>
      </c>
    </row>
    <row r="230" spans="1:32">
      <c r="A230" t="s">
        <v>893</v>
      </c>
      <c r="B230">
        <v>92804565</v>
      </c>
      <c r="C230" t="s">
        <v>894</v>
      </c>
      <c r="D230" t="s">
        <v>326</v>
      </c>
      <c r="E230" t="s">
        <v>20</v>
      </c>
      <c r="F230" t="s">
        <v>45</v>
      </c>
      <c r="G230" t="s">
        <v>34</v>
      </c>
      <c r="H230" t="s">
        <v>103</v>
      </c>
      <c r="I230" t="s">
        <v>3372</v>
      </c>
      <c r="J230">
        <v>6924.01</v>
      </c>
      <c r="K230" t="s">
        <v>47</v>
      </c>
      <c r="L230" t="s">
        <v>75</v>
      </c>
      <c r="M230" s="1">
        <v>43875.075694444444</v>
      </c>
      <c r="N230">
        <v>84</v>
      </c>
      <c r="O230" t="s">
        <v>93</v>
      </c>
      <c r="P230" t="s">
        <v>36</v>
      </c>
      <c r="Q230" t="s">
        <v>895</v>
      </c>
      <c r="R230">
        <f t="shared" si="21"/>
        <v>92804565</v>
      </c>
      <c r="S230" t="str" cm="1">
        <f t="array" ref="S230">IF(C230="",IFERROR(INDEX($C$2:$C$1166,MATCH(MAX(COUNTIF($C$2:$C$1166,$C$2:$C$1166)),COUNTIF($C$2:$C$1166,$C$2:$C$1166),0)),"Unknown"),C230)</f>
        <v xml:space="preserve">  DAVID SOUZA </v>
      </c>
      <c r="T230" s="4" t="str" cm="1">
        <f t="array" ref="T230">IF(D230="",IFERROR(INDEX($D$2:$D$1000,MATCH(MAX(COUNTIF($D$2:$D$1166,$D$2:$D$1166)),COUNTIF($D$2:$D$1166,$D$2:$D$1166),0)),"Unknown"),D230)</f>
        <v>Susan Gonzalez</v>
      </c>
      <c r="U230" t="str">
        <f t="shared" si="22"/>
        <v>ZAR</v>
      </c>
      <c r="V230" s="7" t="str">
        <f t="shared" si="22"/>
        <v>CAD</v>
      </c>
      <c r="W230" s="7" t="str">
        <f t="shared" si="23"/>
        <v>USA</v>
      </c>
      <c r="X230" s="7" t="str">
        <f t="shared" si="23"/>
        <v>Germany</v>
      </c>
      <c r="Y230" s="7" t="str" cm="1">
        <f t="array" ref="Y230">IF(H230="",IFERROR(INDEX($H$2:$H$1166,MATCH(MAX(COUNTIF($H$2:$H$1166,$H$2:$H$1166)),COUNTIF($H$2:$H$1166,$H$2:$H$1166),0)),"Unknown"),H230)</f>
        <v>Verified</v>
      </c>
      <c r="Z230" s="7" t="str">
        <f t="shared" si="24"/>
        <v>Outer-Transaction</v>
      </c>
      <c r="AA230" s="7">
        <f>IF(J230="",AVERAGE($J:$J),J230)</f>
        <v>6924.01</v>
      </c>
      <c r="AB230" s="7">
        <f>IF(N230="",AVERAGE($N:$N),N230)</f>
        <v>84</v>
      </c>
      <c r="AC230" s="7">
        <f t="shared" si="25"/>
        <v>2020</v>
      </c>
      <c r="AD230" s="7">
        <f t="shared" si="26"/>
        <v>2</v>
      </c>
      <c r="AE230" s="7">
        <f>COUNTIF(A:A,A230)</f>
        <v>1</v>
      </c>
      <c r="AF230" s="7" t="str">
        <f t="shared" si="27"/>
        <v>No</v>
      </c>
    </row>
    <row r="231" spans="1:32">
      <c r="A231" t="s">
        <v>896</v>
      </c>
      <c r="B231">
        <v>50549608</v>
      </c>
      <c r="C231" t="s">
        <v>897</v>
      </c>
      <c r="D231" t="s">
        <v>559</v>
      </c>
      <c r="E231" t="s">
        <v>33</v>
      </c>
      <c r="F231" t="s">
        <v>116</v>
      </c>
      <c r="G231" t="s">
        <v>121</v>
      </c>
      <c r="H231" t="s">
        <v>38</v>
      </c>
      <c r="I231" t="s">
        <v>3372</v>
      </c>
      <c r="J231">
        <v>11766.87</v>
      </c>
      <c r="K231" t="s">
        <v>39</v>
      </c>
      <c r="L231" t="s">
        <v>75</v>
      </c>
      <c r="M231" s="1">
        <v>44144.289583333331</v>
      </c>
      <c r="N231">
        <v>34</v>
      </c>
      <c r="O231" t="s">
        <v>68</v>
      </c>
      <c r="P231" t="s">
        <v>36</v>
      </c>
      <c r="Q231" t="s">
        <v>898</v>
      </c>
      <c r="R231">
        <f t="shared" si="21"/>
        <v>50549608</v>
      </c>
      <c r="S231" t="str" cm="1">
        <f t="array" ref="S231">IF(C231="",IFERROR(INDEX($C$2:$C$1166,MATCH(MAX(COUNTIF($C$2:$C$1166,$C$2:$C$1166)),COUNTIF($C$2:$C$1166,$C$2:$C$1166),0)),"Unknown"),C231)</f>
        <v>Karen Anderson</v>
      </c>
      <c r="T231" s="4" t="str" cm="1">
        <f t="array" ref="T231">IF(D231="",IFERROR(INDEX($D$2:$D$1000,MATCH(MAX(COUNTIF($D$2:$D$1166,$D$2:$D$1166)),COUNTIF($D$2:$D$1166,$D$2:$D$1166),0)),"Unknown"),D231)</f>
        <v>Joseph Jackson</v>
      </c>
      <c r="U231" t="str">
        <f t="shared" si="22"/>
        <v>CHF</v>
      </c>
      <c r="V231" s="7" t="str">
        <f t="shared" si="22"/>
        <v>INR</v>
      </c>
      <c r="W231" s="7" t="str">
        <f t="shared" si="23"/>
        <v>UAE</v>
      </c>
      <c r="X231" s="7" t="str">
        <f t="shared" si="23"/>
        <v>Germany</v>
      </c>
      <c r="Y231" s="7" t="str" cm="1">
        <f t="array" ref="Y231">IF(H231="",IFERROR(INDEX($H$2:$H$1166,MATCH(MAX(COUNTIF($H$2:$H$1166,$H$2:$H$1166)),COUNTIF($H$2:$H$1166,$H$2:$H$1166),0)),"Unknown"),H231)</f>
        <v>Pending</v>
      </c>
      <c r="Z231" s="7" t="str">
        <f t="shared" si="24"/>
        <v>Outer-Transaction</v>
      </c>
      <c r="AA231" s="7">
        <f>IF(J231="",AVERAGE($J:$J),J231)</f>
        <v>11766.87</v>
      </c>
      <c r="AB231" s="7">
        <f>IF(N231="",AVERAGE($N:$N),N231)</f>
        <v>34</v>
      </c>
      <c r="AC231" s="7">
        <f t="shared" si="25"/>
        <v>2020</v>
      </c>
      <c r="AD231" s="7">
        <f t="shared" si="26"/>
        <v>11</v>
      </c>
      <c r="AE231" s="7">
        <f>COUNTIF(A:A,A231)</f>
        <v>1</v>
      </c>
      <c r="AF231" s="7" t="str">
        <f t="shared" si="27"/>
        <v>Yes</v>
      </c>
    </row>
    <row r="232" spans="1:32">
      <c r="A232" t="s">
        <v>899</v>
      </c>
      <c r="B232">
        <v>53671508</v>
      </c>
      <c r="C232" t="s">
        <v>900</v>
      </c>
      <c r="D232" t="s">
        <v>235</v>
      </c>
      <c r="E232" t="s">
        <v>20</v>
      </c>
      <c r="F232" t="s">
        <v>92</v>
      </c>
      <c r="G232" t="s">
        <v>35</v>
      </c>
      <c r="I232" t="s">
        <v>3374</v>
      </c>
      <c r="J232">
        <v>931.62</v>
      </c>
      <c r="K232" t="s">
        <v>47</v>
      </c>
      <c r="L232" t="s">
        <v>48</v>
      </c>
      <c r="M232" s="1">
        <v>44248.703472222223</v>
      </c>
      <c r="N232">
        <v>50</v>
      </c>
      <c r="O232" t="s">
        <v>54</v>
      </c>
      <c r="P232" t="s">
        <v>24</v>
      </c>
      <c r="Q232" t="s">
        <v>901</v>
      </c>
      <c r="R232">
        <f t="shared" si="21"/>
        <v>53671508</v>
      </c>
      <c r="S232" t="str" cm="1">
        <f t="array" ref="S232">IF(C232="",IFERROR(INDEX($C$2:$C$1166,MATCH(MAX(COUNTIF($C$2:$C$1166,$C$2:$C$1166)),COUNTIF($C$2:$C$1166,$C$2:$C$1166),0)),"Unknown"),C232)</f>
        <v>Karen Brown</v>
      </c>
      <c r="T232" s="4" t="str" cm="1">
        <f t="array" ref="T232">IF(D232="",IFERROR(INDEX($D$2:$D$1000,MATCH(MAX(COUNTIF($D$2:$D$1166,$D$2:$D$1166)),COUNTIF($D$2:$D$1166,$D$2:$D$1166),0)),"Unknown"),D232)</f>
        <v>Amir Anderson</v>
      </c>
      <c r="U232" t="str">
        <f t="shared" si="22"/>
        <v>AUD</v>
      </c>
      <c r="V232" s="7" t="str">
        <f t="shared" si="22"/>
        <v>EUR</v>
      </c>
      <c r="W232" s="7" t="str">
        <f t="shared" si="23"/>
        <v>India</v>
      </c>
      <c r="X232" s="7" t="str">
        <f t="shared" si="23"/>
        <v>Brazil</v>
      </c>
      <c r="Y232" s="7" t="str" cm="1">
        <f t="array" ref="Y232">IF(H232="",IFERROR(INDEX($H$2:$H$1166,MATCH(MAX(COUNTIF($H$2:$H$1166,$H$2:$H$1166)),COUNTIF($H$2:$H$1166,$H$2:$H$1166),0)),"Unknown"),H232)</f>
        <v>Pending</v>
      </c>
      <c r="Z232" s="7" t="str">
        <f t="shared" si="24"/>
        <v>External</v>
      </c>
      <c r="AA232" s="7">
        <f>IF(J232="",AVERAGE($J:$J),J232)</f>
        <v>931.62</v>
      </c>
      <c r="AB232" s="7">
        <f>IF(N232="",AVERAGE($N:$N),N232)</f>
        <v>50</v>
      </c>
      <c r="AC232" s="7">
        <f t="shared" si="25"/>
        <v>2021</v>
      </c>
      <c r="AD232" s="7">
        <f t="shared" si="26"/>
        <v>2</v>
      </c>
      <c r="AE232" s="7">
        <f>COUNTIF(A:A,A232)</f>
        <v>1</v>
      </c>
      <c r="AF232" s="7" t="str">
        <f t="shared" si="27"/>
        <v>No</v>
      </c>
    </row>
    <row r="233" spans="1:32">
      <c r="A233" t="s">
        <v>902</v>
      </c>
      <c r="B233">
        <v>52493026</v>
      </c>
      <c r="C233" t="s">
        <v>903</v>
      </c>
      <c r="D233" t="s">
        <v>904</v>
      </c>
      <c r="E233" t="s">
        <v>20</v>
      </c>
      <c r="F233" t="s">
        <v>92</v>
      </c>
      <c r="G233" t="s">
        <v>22</v>
      </c>
      <c r="H233" t="s">
        <v>56</v>
      </c>
      <c r="I233" t="s">
        <v>3371</v>
      </c>
      <c r="J233">
        <v>12789.05</v>
      </c>
      <c r="K233" t="s">
        <v>86</v>
      </c>
      <c r="L233" t="s">
        <v>75</v>
      </c>
      <c r="M233" s="1">
        <v>44932.947916666664</v>
      </c>
      <c r="N233">
        <v>65</v>
      </c>
      <c r="O233" t="s">
        <v>54</v>
      </c>
      <c r="P233" t="s">
        <v>24</v>
      </c>
      <c r="Q233" t="s">
        <v>905</v>
      </c>
      <c r="R233">
        <f t="shared" si="21"/>
        <v>52493026</v>
      </c>
      <c r="S233" t="str" cm="1">
        <f t="array" ref="S233">IF(C233="",IFERROR(INDEX($C$2:$C$1166,MATCH(MAX(COUNTIF($C$2:$C$1166,$C$2:$C$1166)),COUNTIF($C$2:$C$1166,$C$2:$C$1166),0)),"Unknown"),C233)</f>
        <v xml:space="preserve">  BARBARA JACKSON </v>
      </c>
      <c r="T233" s="4" t="str" cm="1">
        <f t="array" ref="T233">IF(D233="",IFERROR(INDEX($D$2:$D$1000,MATCH(MAX(COUNTIF($D$2:$D$1166,$D$2:$D$1166)),COUNTIF($D$2:$D$1166,$D$2:$D$1166),0)),"Unknown"),D233)</f>
        <v>Lucas Souza</v>
      </c>
      <c r="U233" t="str">
        <f t="shared" si="22"/>
        <v>AUD</v>
      </c>
      <c r="V233" s="7" t="str">
        <f t="shared" si="22"/>
        <v>BRL</v>
      </c>
      <c r="W233" s="7" t="str">
        <f t="shared" si="23"/>
        <v>India</v>
      </c>
      <c r="X233" s="7" t="str">
        <f t="shared" si="23"/>
        <v>Brazil</v>
      </c>
      <c r="Y233" s="7" t="str" cm="1">
        <f t="array" ref="Y233">IF(H233="",IFERROR(INDEX($H$2:$H$1166,MATCH(MAX(COUNTIF($H$2:$H$1166,$H$2:$H$1166)),COUNTIF($H$2:$H$1166,$H$2:$H$1166),0)),"Unknown"),H233)</f>
        <v>Unverified</v>
      </c>
      <c r="Z233" s="7" t="str">
        <f t="shared" si="24"/>
        <v>Outer-Transaction</v>
      </c>
      <c r="AA233" s="7">
        <f>IF(J233="",AVERAGE($J:$J),J233)</f>
        <v>12789.05</v>
      </c>
      <c r="AB233" s="7">
        <f>IF(N233="",AVERAGE($N:$N),N233)</f>
        <v>65</v>
      </c>
      <c r="AC233" s="7">
        <f t="shared" si="25"/>
        <v>2023</v>
      </c>
      <c r="AD233" s="7">
        <f t="shared" si="26"/>
        <v>1</v>
      </c>
      <c r="AE233" s="7">
        <f>COUNTIF(A:A,A233)</f>
        <v>1</v>
      </c>
      <c r="AF233" s="7" t="str">
        <f t="shared" si="27"/>
        <v>No</v>
      </c>
    </row>
    <row r="234" spans="1:32">
      <c r="A234" t="s">
        <v>906</v>
      </c>
      <c r="C234" t="s">
        <v>497</v>
      </c>
      <c r="D234" t="s">
        <v>907</v>
      </c>
      <c r="E234" t="s">
        <v>20</v>
      </c>
      <c r="F234" t="s">
        <v>92</v>
      </c>
      <c r="G234" t="s">
        <v>92</v>
      </c>
      <c r="H234" t="s">
        <v>103</v>
      </c>
      <c r="I234" t="s">
        <v>3372</v>
      </c>
      <c r="J234">
        <v>2322.4699999999998</v>
      </c>
      <c r="K234" t="s">
        <v>47</v>
      </c>
      <c r="L234" t="s">
        <v>48</v>
      </c>
      <c r="M234" s="1">
        <v>44156.962500000001</v>
      </c>
      <c r="N234">
        <v>76</v>
      </c>
      <c r="O234" t="s">
        <v>24</v>
      </c>
      <c r="P234" t="s">
        <v>93</v>
      </c>
      <c r="Q234" t="s">
        <v>908</v>
      </c>
      <c r="R234">
        <f t="shared" si="21"/>
        <v>0</v>
      </c>
      <c r="S234" t="str" cm="1">
        <f t="array" ref="S234">IF(C234="",IFERROR(INDEX($C$2:$C$1166,MATCH(MAX(COUNTIF($C$2:$C$1166,$C$2:$C$1166)),COUNTIF($C$2:$C$1166,$C$2:$C$1166),0)),"Unknown"),C234)</f>
        <v>Joseph Nair</v>
      </c>
      <c r="T234" s="4" t="str" cm="1">
        <f t="array" ref="T234">IF(D234="",IFERROR(INDEX($D$2:$D$1000,MATCH(MAX(COUNTIF($D$2:$D$1166,$D$2:$D$1166)),COUNTIF($D$2:$D$1166,$D$2:$D$1166),0)),"Unknown"),D234)</f>
        <v>Richard Rostova</v>
      </c>
      <c r="U234" t="str">
        <f t="shared" si="22"/>
        <v>AUD</v>
      </c>
      <c r="V234" s="7" t="str">
        <f t="shared" si="22"/>
        <v>AUD</v>
      </c>
      <c r="W234" s="7" t="str">
        <f t="shared" si="23"/>
        <v>Brazil</v>
      </c>
      <c r="X234" s="7" t="str">
        <f t="shared" si="23"/>
        <v>USA</v>
      </c>
      <c r="Y234" s="7" t="str" cm="1">
        <f t="array" ref="Y234">IF(H234="",IFERROR(INDEX($H$2:$H$1166,MATCH(MAX(COUNTIF($H$2:$H$1166,$H$2:$H$1166)),COUNTIF($H$2:$H$1166,$H$2:$H$1166),0)),"Unknown"),H234)</f>
        <v>Verified</v>
      </c>
      <c r="Z234" s="7" t="str">
        <f t="shared" si="24"/>
        <v>Outer-Transaction</v>
      </c>
      <c r="AA234" s="7">
        <f>IF(J234="",AVERAGE($J:$J),J234)</f>
        <v>2322.4699999999998</v>
      </c>
      <c r="AB234" s="7">
        <f>IF(N234="",AVERAGE($N:$N),N234)</f>
        <v>76</v>
      </c>
      <c r="AC234" s="7">
        <f t="shared" si="25"/>
        <v>2020</v>
      </c>
      <c r="AD234" s="7">
        <f t="shared" si="26"/>
        <v>11</v>
      </c>
      <c r="AE234" s="7">
        <f>COUNTIF(A:A,A234)</f>
        <v>1</v>
      </c>
      <c r="AF234" s="7" t="str">
        <f t="shared" si="27"/>
        <v>No</v>
      </c>
    </row>
    <row r="235" spans="1:32">
      <c r="A235" t="s">
        <v>909</v>
      </c>
      <c r="B235">
        <v>96200382</v>
      </c>
      <c r="C235" t="s">
        <v>463</v>
      </c>
      <c r="D235" t="s">
        <v>910</v>
      </c>
      <c r="E235" t="s">
        <v>20</v>
      </c>
      <c r="F235" t="s">
        <v>22</v>
      </c>
      <c r="G235" t="s">
        <v>116</v>
      </c>
      <c r="H235" t="s">
        <v>56</v>
      </c>
      <c r="I235" t="s">
        <v>3378</v>
      </c>
      <c r="J235">
        <v>3393.86</v>
      </c>
      <c r="K235" t="s">
        <v>39</v>
      </c>
      <c r="L235" t="s">
        <v>28</v>
      </c>
      <c r="M235" s="1">
        <v>45270.89166666667</v>
      </c>
      <c r="N235">
        <v>39</v>
      </c>
      <c r="O235" t="s">
        <v>93</v>
      </c>
      <c r="P235" t="s">
        <v>62</v>
      </c>
      <c r="Q235" t="s">
        <v>911</v>
      </c>
      <c r="R235">
        <f t="shared" si="21"/>
        <v>96200382</v>
      </c>
      <c r="S235" t="str" cm="1">
        <f t="array" ref="S235">IF(C235="",IFERROR(INDEX($C$2:$C$1166,MATCH(MAX(COUNTIF($C$2:$C$1166,$C$2:$C$1166)),COUNTIF($C$2:$C$1166,$C$2:$C$1166),0)),"Unknown"),C235)</f>
        <v>Lucas Wilson</v>
      </c>
      <c r="T235" s="4" t="str" cm="1">
        <f t="array" ref="T235">IF(D235="",IFERROR(INDEX($D$2:$D$1000,MATCH(MAX(COUNTIF($D$2:$D$1166,$D$2:$D$1166)),COUNTIF($D$2:$D$1166,$D$2:$D$1166),0)),"Unknown"),D235)</f>
        <v>Zayn Anderson</v>
      </c>
      <c r="U235" t="str">
        <f t="shared" si="22"/>
        <v>BRL</v>
      </c>
      <c r="V235" s="7" t="str">
        <f t="shared" si="22"/>
        <v>CHF</v>
      </c>
      <c r="W235" s="7" t="str">
        <f t="shared" si="23"/>
        <v>USA</v>
      </c>
      <c r="X235" s="7" t="str">
        <f t="shared" si="23"/>
        <v>Australia</v>
      </c>
      <c r="Y235" s="7" t="str" cm="1">
        <f t="array" ref="Y235">IF(H235="",IFERROR(INDEX($H$2:$H$1166,MATCH(MAX(COUNTIF($H$2:$H$1166,$H$2:$H$1166)),COUNTIF($H$2:$H$1166,$H$2:$H$1166),0)),"Unknown"),H235)</f>
        <v>Unverified</v>
      </c>
      <c r="Z235" s="7" t="str">
        <f t="shared" si="24"/>
        <v>Inter-Transaction</v>
      </c>
      <c r="AA235" s="7">
        <f>IF(J235="",AVERAGE($J:$J),J235)</f>
        <v>3393.86</v>
      </c>
      <c r="AB235" s="7">
        <f>IF(N235="",AVERAGE($N:$N),N235)</f>
        <v>39</v>
      </c>
      <c r="AC235" s="7">
        <f t="shared" si="25"/>
        <v>2023</v>
      </c>
      <c r="AD235" s="7">
        <f t="shared" si="26"/>
        <v>12</v>
      </c>
      <c r="AE235" s="7">
        <f>COUNTIF(A:A,A235)</f>
        <v>1</v>
      </c>
      <c r="AF235" s="7" t="str">
        <f t="shared" si="27"/>
        <v>No</v>
      </c>
    </row>
    <row r="236" spans="1:32">
      <c r="A236" t="s">
        <v>912</v>
      </c>
      <c r="B236">
        <v>74863150</v>
      </c>
      <c r="C236" t="s">
        <v>913</v>
      </c>
      <c r="D236" t="s">
        <v>158</v>
      </c>
      <c r="E236" t="s">
        <v>20</v>
      </c>
      <c r="F236" t="s">
        <v>22</v>
      </c>
      <c r="G236" t="s">
        <v>35</v>
      </c>
      <c r="H236" t="s">
        <v>56</v>
      </c>
      <c r="I236" t="s">
        <v>3376</v>
      </c>
      <c r="J236">
        <v>1182.74</v>
      </c>
      <c r="K236" t="s">
        <v>27</v>
      </c>
      <c r="L236" t="s">
        <v>28</v>
      </c>
      <c r="M236" s="1">
        <v>45817.123611111114</v>
      </c>
      <c r="N236">
        <v>47</v>
      </c>
      <c r="O236" t="s">
        <v>23</v>
      </c>
      <c r="P236" t="s">
        <v>68</v>
      </c>
      <c r="Q236" t="s">
        <v>914</v>
      </c>
      <c r="R236">
        <f t="shared" si="21"/>
        <v>74863150</v>
      </c>
      <c r="S236" t="str" cm="1">
        <f t="array" ref="S236">IF(C236="",IFERROR(INDEX($C$2:$C$1166,MATCH(MAX(COUNTIF($C$2:$C$1166,$C$2:$C$1166)),COUNTIF($C$2:$C$1166,$C$2:$C$1166),0)),"Unknown"),C236)</f>
        <v>Elena Lopez</v>
      </c>
      <c r="T236" s="4" t="str" cm="1">
        <f t="array" ref="T236">IF(D236="",IFERROR(INDEX($D$2:$D$1000,MATCH(MAX(COUNTIF($D$2:$D$1166,$D$2:$D$1166)),COUNTIF($D$2:$D$1166,$D$2:$D$1166),0)),"Unknown"),D236)</f>
        <v>Patricia Jackson</v>
      </c>
      <c r="U236" t="str">
        <f t="shared" si="22"/>
        <v>BRL</v>
      </c>
      <c r="V236" s="7" t="str">
        <f t="shared" si="22"/>
        <v>EUR</v>
      </c>
      <c r="W236" s="7" t="str">
        <f t="shared" si="23"/>
        <v>France</v>
      </c>
      <c r="X236" s="7" t="str">
        <f t="shared" si="23"/>
        <v>UAE</v>
      </c>
      <c r="Y236" s="7" t="str" cm="1">
        <f t="array" ref="Y236">IF(H236="",IFERROR(INDEX($H$2:$H$1166,MATCH(MAX(COUNTIF($H$2:$H$1166,$H$2:$H$1166)),COUNTIF($H$2:$H$1166,$H$2:$H$1166),0)),"Unknown"),H236)</f>
        <v>Unverified</v>
      </c>
      <c r="Z236" s="7" t="str">
        <f t="shared" si="24"/>
        <v>Internal</v>
      </c>
      <c r="AA236" s="7">
        <f>IF(J236="",AVERAGE($J:$J),J236)</f>
        <v>1182.74</v>
      </c>
      <c r="AB236" s="7">
        <f>IF(N236="",AVERAGE($N:$N),N236)</f>
        <v>47</v>
      </c>
      <c r="AC236" s="7">
        <f t="shared" si="25"/>
        <v>2025</v>
      </c>
      <c r="AD236" s="7">
        <f t="shared" si="26"/>
        <v>6</v>
      </c>
      <c r="AE236" s="7">
        <f>COUNTIF(A:A,A236)</f>
        <v>1</v>
      </c>
      <c r="AF236" s="7" t="str">
        <f t="shared" si="27"/>
        <v>No</v>
      </c>
    </row>
    <row r="237" spans="1:32">
      <c r="A237" t="s">
        <v>915</v>
      </c>
      <c r="B237">
        <v>17083242</v>
      </c>
      <c r="C237" t="s">
        <v>805</v>
      </c>
      <c r="D237" t="s">
        <v>916</v>
      </c>
      <c r="E237" t="s">
        <v>3375</v>
      </c>
      <c r="F237" t="s">
        <v>44</v>
      </c>
      <c r="G237" t="s">
        <v>98</v>
      </c>
      <c r="H237" t="s">
        <v>103</v>
      </c>
      <c r="I237" t="s">
        <v>3378</v>
      </c>
      <c r="J237">
        <v>2520.9499999999998</v>
      </c>
      <c r="K237" t="s">
        <v>27</v>
      </c>
      <c r="L237" t="s">
        <v>75</v>
      </c>
      <c r="M237" s="1">
        <v>46092.22152777778</v>
      </c>
      <c r="N237">
        <v>55</v>
      </c>
      <c r="O237" t="s">
        <v>37</v>
      </c>
      <c r="P237" t="s">
        <v>127</v>
      </c>
      <c r="Q237" t="s">
        <v>917</v>
      </c>
      <c r="R237">
        <f t="shared" si="21"/>
        <v>17083242</v>
      </c>
      <c r="S237" t="str" cm="1">
        <f t="array" ref="S237">IF(C237="",IFERROR(INDEX($C$2:$C$1166,MATCH(MAX(COUNTIF($C$2:$C$1166,$C$2:$C$1166)),COUNTIF($C$2:$C$1166,$C$2:$C$1166),0)),"Unknown"),C237)</f>
        <v>Carlos Hernandez</v>
      </c>
      <c r="T237" s="4" t="str" cm="1">
        <f t="array" ref="T237">IF(D237="",IFERROR(INDEX($D$2:$D$1000,MATCH(MAX(COUNTIF($D$2:$D$1166,$D$2:$D$1166)),COUNTIF($D$2:$D$1166,$D$2:$D$1166),0)),"Unknown"),D237)</f>
        <v>Karen Dubois</v>
      </c>
      <c r="U237" t="str">
        <f t="shared" si="22"/>
        <v>SGD</v>
      </c>
      <c r="V237" s="7" t="str">
        <f t="shared" si="22"/>
        <v>JPY</v>
      </c>
      <c r="W237" s="7" t="str">
        <f t="shared" si="23"/>
        <v>South Africa</v>
      </c>
      <c r="X237" s="7" t="str">
        <f t="shared" si="23"/>
        <v>Canada</v>
      </c>
      <c r="Y237" s="7" t="str" cm="1">
        <f t="array" ref="Y237">IF(H237="",IFERROR(INDEX($H$2:$H$1166,MATCH(MAX(COUNTIF($H$2:$H$1166,$H$2:$H$1166)),COUNTIF($H$2:$H$1166,$H$2:$H$1166),0)),"Unknown"),H237)</f>
        <v>Verified</v>
      </c>
      <c r="Z237" s="7" t="str">
        <f t="shared" si="24"/>
        <v>Inter-Transaction</v>
      </c>
      <c r="AA237" s="7">
        <f>IF(J237="",AVERAGE($J:$J),J237)</f>
        <v>2520.9499999999998</v>
      </c>
      <c r="AB237" s="7">
        <f>IF(N237="",AVERAGE($N:$N),N237)</f>
        <v>55</v>
      </c>
      <c r="AC237" s="7">
        <f t="shared" si="25"/>
        <v>2026</v>
      </c>
      <c r="AD237" s="7">
        <f t="shared" si="26"/>
        <v>3</v>
      </c>
      <c r="AE237" s="7">
        <f>COUNTIF(A:A,A237)</f>
        <v>1</v>
      </c>
      <c r="AF237" s="7" t="str">
        <f t="shared" si="27"/>
        <v>No</v>
      </c>
    </row>
    <row r="238" spans="1:32">
      <c r="A238" t="s">
        <v>918</v>
      </c>
      <c r="B238">
        <v>48495745</v>
      </c>
      <c r="C238" t="s">
        <v>919</v>
      </c>
      <c r="D238" t="s">
        <v>408</v>
      </c>
      <c r="E238" t="s">
        <v>20</v>
      </c>
      <c r="F238" t="s">
        <v>53</v>
      </c>
      <c r="G238" t="s">
        <v>53</v>
      </c>
      <c r="H238" t="s">
        <v>74</v>
      </c>
      <c r="I238" t="s">
        <v>3376</v>
      </c>
      <c r="J238">
        <v>11087.12</v>
      </c>
      <c r="K238" t="s">
        <v>39</v>
      </c>
      <c r="L238" t="s">
        <v>75</v>
      </c>
      <c r="M238" s="1">
        <v>43904.074999999997</v>
      </c>
      <c r="N238">
        <v>68</v>
      </c>
      <c r="O238" t="s">
        <v>55</v>
      </c>
      <c r="P238" t="s">
        <v>55</v>
      </c>
      <c r="Q238" t="s">
        <v>920</v>
      </c>
      <c r="R238">
        <f t="shared" si="21"/>
        <v>48495745</v>
      </c>
      <c r="S238" t="str" cm="1">
        <f t="array" ref="S238">IF(C238="",IFERROR(INDEX($C$2:$C$1166,MATCH(MAX(COUNTIF($C$2:$C$1166,$C$2:$C$1166)),COUNTIF($C$2:$C$1166,$C$2:$C$1166),0)),"Unknown"),C238)</f>
        <v xml:space="preserve">  SARAH WILLIAMS </v>
      </c>
      <c r="T238" s="4" t="str" cm="1">
        <f t="array" ref="T238">IF(D238="",IFERROR(INDEX($D$2:$D$1000,MATCH(MAX(COUNTIF($D$2:$D$1166,$D$2:$D$1166)),COUNTIF($D$2:$D$1166,$D$2:$D$1166),0)),"Unknown"),D238)</f>
        <v>Michael Taylor</v>
      </c>
      <c r="U238" t="str">
        <f t="shared" si="22"/>
        <v>AED</v>
      </c>
      <c r="V238" s="7" t="str">
        <f t="shared" si="22"/>
        <v>AED</v>
      </c>
      <c r="W238" s="7" t="str">
        <f t="shared" si="23"/>
        <v>UK</v>
      </c>
      <c r="X238" s="7" t="str">
        <f t="shared" si="23"/>
        <v>UK</v>
      </c>
      <c r="Y238" s="7" t="str" cm="1">
        <f t="array" ref="Y238">IF(H238="",IFERROR(INDEX($H$2:$H$1166,MATCH(MAX(COUNTIF($H$2:$H$1166,$H$2:$H$1166)),COUNTIF($H$2:$H$1166,$H$2:$H$1166),0)),"Unknown"),H238)</f>
        <v>Non-KYC</v>
      </c>
      <c r="Z238" s="7" t="str">
        <f t="shared" si="24"/>
        <v>Internal</v>
      </c>
      <c r="AA238" s="7">
        <f>IF(J238="",AVERAGE($J:$J),J238)</f>
        <v>11087.12</v>
      </c>
      <c r="AB238" s="7">
        <f>IF(N238="",AVERAGE($N:$N),N238)</f>
        <v>68</v>
      </c>
      <c r="AC238" s="7">
        <f t="shared" si="25"/>
        <v>2020</v>
      </c>
      <c r="AD238" s="7">
        <f t="shared" si="26"/>
        <v>3</v>
      </c>
      <c r="AE238" s="7">
        <f>COUNTIF(A:A,A238)</f>
        <v>1</v>
      </c>
      <c r="AF238" s="7" t="str">
        <f t="shared" si="27"/>
        <v>No</v>
      </c>
    </row>
    <row r="239" spans="1:32">
      <c r="A239" t="s">
        <v>921</v>
      </c>
      <c r="B239">
        <v>29470999</v>
      </c>
      <c r="C239" t="s">
        <v>922</v>
      </c>
      <c r="D239" t="s">
        <v>923</v>
      </c>
      <c r="E239" t="s">
        <v>20</v>
      </c>
      <c r="F239" t="s">
        <v>92</v>
      </c>
      <c r="G239" t="s">
        <v>92</v>
      </c>
      <c r="H239" t="s">
        <v>103</v>
      </c>
      <c r="I239" t="s">
        <v>3377</v>
      </c>
      <c r="J239">
        <v>9637.49</v>
      </c>
      <c r="K239" t="s">
        <v>86</v>
      </c>
      <c r="L239" t="s">
        <v>28</v>
      </c>
      <c r="M239" s="1">
        <v>45433.488194444442</v>
      </c>
      <c r="N239">
        <v>71</v>
      </c>
      <c r="O239" t="s">
        <v>93</v>
      </c>
      <c r="P239" t="s">
        <v>127</v>
      </c>
      <c r="Q239" t="s">
        <v>924</v>
      </c>
      <c r="R239">
        <f t="shared" si="21"/>
        <v>29470999</v>
      </c>
      <c r="S239" t="str" cm="1">
        <f t="array" ref="S239">IF(C239="",IFERROR(INDEX($C$2:$C$1166,MATCH(MAX(COUNTIF($C$2:$C$1166,$C$2:$C$1166)),COUNTIF($C$2:$C$1166,$C$2:$C$1166),0)),"Unknown"),C239)</f>
        <v>Nancy Souza</v>
      </c>
      <c r="T239" s="4" t="str" cm="1">
        <f t="array" ref="T239">IF(D239="",IFERROR(INDEX($D$2:$D$1000,MATCH(MAX(COUNTIF($D$2:$D$1166,$D$2:$D$1166)),COUNTIF($D$2:$D$1166,$D$2:$D$1166),0)),"Unknown"),D239)</f>
        <v>Amir Jones</v>
      </c>
      <c r="U239" t="str">
        <f t="shared" si="22"/>
        <v>AUD</v>
      </c>
      <c r="V239" s="7" t="str">
        <f t="shared" si="22"/>
        <v>AUD</v>
      </c>
      <c r="W239" s="7" t="str">
        <f t="shared" si="23"/>
        <v>USA</v>
      </c>
      <c r="X239" s="7" t="str">
        <f t="shared" si="23"/>
        <v>Canada</v>
      </c>
      <c r="Y239" s="7" t="str" cm="1">
        <f t="array" ref="Y239">IF(H239="",IFERROR(INDEX($H$2:$H$1166,MATCH(MAX(COUNTIF($H$2:$H$1166,$H$2:$H$1166)),COUNTIF($H$2:$H$1166,$H$2:$H$1166),0)),"Unknown"),H239)</f>
        <v>Verified</v>
      </c>
      <c r="Z239" s="7" t="str">
        <f t="shared" si="24"/>
        <v>Inter-Transaction</v>
      </c>
      <c r="AA239" s="7">
        <f>IF(J239="",AVERAGE($J:$J),J239)</f>
        <v>9637.49</v>
      </c>
      <c r="AB239" s="7">
        <f>IF(N239="",AVERAGE($N:$N),N239)</f>
        <v>71</v>
      </c>
      <c r="AC239" s="7">
        <f t="shared" si="25"/>
        <v>2024</v>
      </c>
      <c r="AD239" s="7">
        <f t="shared" si="26"/>
        <v>5</v>
      </c>
      <c r="AE239" s="7">
        <f>COUNTIF(A:A,A239)</f>
        <v>1</v>
      </c>
      <c r="AF239" s="7" t="str">
        <f t="shared" si="27"/>
        <v>No</v>
      </c>
    </row>
    <row r="240" spans="1:32">
      <c r="A240" t="s">
        <v>925</v>
      </c>
      <c r="B240">
        <v>62354374</v>
      </c>
      <c r="C240" t="s">
        <v>362</v>
      </c>
      <c r="D240" t="s">
        <v>408</v>
      </c>
      <c r="E240" t="s">
        <v>20</v>
      </c>
      <c r="F240" t="s">
        <v>80</v>
      </c>
      <c r="G240" t="s">
        <v>53</v>
      </c>
      <c r="H240" t="s">
        <v>25</v>
      </c>
      <c r="I240" t="s">
        <v>3377</v>
      </c>
      <c r="J240">
        <v>13766.5</v>
      </c>
      <c r="K240" t="s">
        <v>57</v>
      </c>
      <c r="L240" t="s">
        <v>81</v>
      </c>
      <c r="M240" s="1">
        <v>44339.706944444442</v>
      </c>
      <c r="N240">
        <v>25</v>
      </c>
      <c r="O240" t="s">
        <v>55</v>
      </c>
      <c r="P240" t="s">
        <v>93</v>
      </c>
      <c r="Q240" t="s">
        <v>926</v>
      </c>
      <c r="R240">
        <f t="shared" si="21"/>
        <v>62354374</v>
      </c>
      <c r="S240" t="str" cm="1">
        <f t="array" ref="S240">IF(C240="",IFERROR(INDEX($C$2:$C$1166,MATCH(MAX(COUNTIF($C$2:$C$1166,$C$2:$C$1166)),COUNTIF($C$2:$C$1166,$C$2:$C$1166),0)),"Unknown"),C240)</f>
        <v>Sarah Rodriguez</v>
      </c>
      <c r="T240" s="4" t="str" cm="1">
        <f t="array" ref="T240">IF(D240="",IFERROR(INDEX($D$2:$D$1000,MATCH(MAX(COUNTIF($D$2:$D$1166,$D$2:$D$1166)),COUNTIF($D$2:$D$1166,$D$2:$D$1166),0)),"Unknown"),D240)</f>
        <v>Michael Taylor</v>
      </c>
      <c r="U240" t="str">
        <f t="shared" si="22"/>
        <v>USD</v>
      </c>
      <c r="V240" s="7" t="str">
        <f t="shared" si="22"/>
        <v>AED</v>
      </c>
      <c r="W240" s="7" t="str">
        <f t="shared" si="23"/>
        <v>UK</v>
      </c>
      <c r="X240" s="7" t="str">
        <f t="shared" si="23"/>
        <v>USA</v>
      </c>
      <c r="Y240" s="7" t="str" cm="1">
        <f t="array" ref="Y240">IF(H240="",IFERROR(INDEX($H$2:$H$1166,MATCH(MAX(COUNTIF($H$2:$H$1166,$H$2:$H$1166)),COUNTIF($H$2:$H$1166,$H$2:$H$1166),0)),"Unknown"),H240)</f>
        <v>KYC</v>
      </c>
      <c r="Z240" s="7" t="str">
        <f t="shared" si="24"/>
        <v>Inter-Transaction</v>
      </c>
      <c r="AA240" s="7">
        <f>IF(J240="",AVERAGE($J:$J),J240)</f>
        <v>13766.5</v>
      </c>
      <c r="AB240" s="7">
        <f>IF(N240="",AVERAGE($N:$N),N240)</f>
        <v>25</v>
      </c>
      <c r="AC240" s="7">
        <f t="shared" si="25"/>
        <v>2021</v>
      </c>
      <c r="AD240" s="7">
        <f t="shared" si="26"/>
        <v>5</v>
      </c>
      <c r="AE240" s="7">
        <f>COUNTIF(A:A,A240)</f>
        <v>1</v>
      </c>
      <c r="AF240" s="7" t="str">
        <f t="shared" si="27"/>
        <v>No</v>
      </c>
    </row>
    <row r="241" spans="1:32">
      <c r="A241" t="s">
        <v>927</v>
      </c>
      <c r="C241" t="s">
        <v>928</v>
      </c>
      <c r="D241" t="s">
        <v>929</v>
      </c>
      <c r="E241" t="s">
        <v>3373</v>
      </c>
      <c r="F241" t="s">
        <v>21</v>
      </c>
      <c r="G241" t="s">
        <v>34</v>
      </c>
      <c r="H241" t="s">
        <v>25</v>
      </c>
      <c r="I241" t="s">
        <v>3374</v>
      </c>
      <c r="J241">
        <v>6694.67</v>
      </c>
      <c r="K241" t="s">
        <v>47</v>
      </c>
      <c r="L241" t="s">
        <v>75</v>
      </c>
      <c r="M241" s="1">
        <v>46210.398611111108</v>
      </c>
      <c r="N241">
        <v>44</v>
      </c>
      <c r="O241" t="s">
        <v>93</v>
      </c>
      <c r="P241" t="s">
        <v>54</v>
      </c>
      <c r="Q241" t="s">
        <v>930</v>
      </c>
      <c r="R241">
        <f t="shared" si="21"/>
        <v>0</v>
      </c>
      <c r="S241" t="str" cm="1">
        <f t="array" ref="S241">IF(C241="",IFERROR(INDEX($C$2:$C$1166,MATCH(MAX(COUNTIF($C$2:$C$1166,$C$2:$C$1166)),COUNTIF($C$2:$C$1166,$C$2:$C$1166),0)),"Unknown"),C241)</f>
        <v xml:space="preserve">  JEAN-PIERRE MILLER </v>
      </c>
      <c r="T241" s="4" t="str" cm="1">
        <f t="array" ref="T241">IF(D241="",IFERROR(INDEX($D$2:$D$1000,MATCH(MAX(COUNTIF($D$2:$D$1166,$D$2:$D$1166)),COUNTIF($D$2:$D$1166,$D$2:$D$1166),0)),"Unknown"),D241)</f>
        <v>Charles Hernandez</v>
      </c>
      <c r="U241" t="str">
        <f t="shared" si="22"/>
        <v>GBP</v>
      </c>
      <c r="V241" s="7" t="str">
        <f t="shared" si="22"/>
        <v>CAD</v>
      </c>
      <c r="W241" s="7" t="str">
        <f t="shared" si="23"/>
        <v>USA</v>
      </c>
      <c r="X241" s="7" t="str">
        <f t="shared" si="23"/>
        <v>India</v>
      </c>
      <c r="Y241" s="7" t="str" cm="1">
        <f t="array" ref="Y241">IF(H241="",IFERROR(INDEX($H$2:$H$1166,MATCH(MAX(COUNTIF($H$2:$H$1166,$H$2:$H$1166)),COUNTIF($H$2:$H$1166,$H$2:$H$1166),0)),"Unknown"),H241)</f>
        <v>KYC</v>
      </c>
      <c r="Z241" s="7" t="str">
        <f t="shared" si="24"/>
        <v>External</v>
      </c>
      <c r="AA241" s="7">
        <f>IF(J241="",AVERAGE($J:$J),J241)</f>
        <v>6694.67</v>
      </c>
      <c r="AB241" s="7">
        <f>IF(N241="",AVERAGE($N:$N),N241)</f>
        <v>44</v>
      </c>
      <c r="AC241" s="7">
        <f t="shared" si="25"/>
        <v>2026</v>
      </c>
      <c r="AD241" s="7">
        <f t="shared" si="26"/>
        <v>7</v>
      </c>
      <c r="AE241" s="7">
        <f>COUNTIF(A:A,A241)</f>
        <v>1</v>
      </c>
      <c r="AF241" s="7" t="str">
        <f t="shared" si="27"/>
        <v>Yes</v>
      </c>
    </row>
    <row r="242" spans="1:32">
      <c r="A242" t="s">
        <v>931</v>
      </c>
      <c r="B242">
        <v>95642035</v>
      </c>
      <c r="C242" t="s">
        <v>932</v>
      </c>
      <c r="D242" t="s">
        <v>569</v>
      </c>
      <c r="E242" t="s">
        <v>3375</v>
      </c>
      <c r="F242" t="s">
        <v>21</v>
      </c>
      <c r="G242" t="s">
        <v>92</v>
      </c>
      <c r="I242" t="s">
        <v>3371</v>
      </c>
      <c r="J242">
        <v>3807.5</v>
      </c>
      <c r="K242" t="s">
        <v>39</v>
      </c>
      <c r="L242" t="s">
        <v>28</v>
      </c>
      <c r="M242" s="1">
        <v>44518.803472222222</v>
      </c>
      <c r="N242">
        <v>44</v>
      </c>
      <c r="O242" t="s">
        <v>93</v>
      </c>
      <c r="P242" t="s">
        <v>62</v>
      </c>
      <c r="Q242" t="s">
        <v>933</v>
      </c>
      <c r="R242">
        <f t="shared" si="21"/>
        <v>95642035</v>
      </c>
      <c r="S242" t="str" cm="1">
        <f t="array" ref="S242">IF(C242="",IFERROR(INDEX($C$2:$C$1166,MATCH(MAX(COUNTIF($C$2:$C$1166,$C$2:$C$1166)),COUNTIF($C$2:$C$1166,$C$2:$C$1166),0)),"Unknown"),C242)</f>
        <v>Patricia Rostova</v>
      </c>
      <c r="T242" s="4" t="str" cm="1">
        <f t="array" ref="T242">IF(D242="",IFERROR(INDEX($D$2:$D$1000,MATCH(MAX(COUNTIF($D$2:$D$1166,$D$2:$D$1166)),COUNTIF($D$2:$D$1166,$D$2:$D$1166),0)),"Unknown"),D242)</f>
        <v>Patricia Williams</v>
      </c>
      <c r="U242" t="str">
        <f t="shared" si="22"/>
        <v>GBP</v>
      </c>
      <c r="V242" s="7" t="str">
        <f t="shared" si="22"/>
        <v>AUD</v>
      </c>
      <c r="W242" s="7" t="str">
        <f t="shared" si="23"/>
        <v>USA</v>
      </c>
      <c r="X242" s="7" t="str">
        <f t="shared" si="23"/>
        <v>Australia</v>
      </c>
      <c r="Y242" s="7" t="str" cm="1">
        <f t="array" ref="Y242">IF(H242="",IFERROR(INDEX($H$2:$H$1166,MATCH(MAX(COUNTIF($H$2:$H$1166,$H$2:$H$1166)),COUNTIF($H$2:$H$1166,$H$2:$H$1166),0)),"Unknown"),H242)</f>
        <v>Pending</v>
      </c>
      <c r="Z242" s="7" t="str">
        <f t="shared" si="24"/>
        <v>Outer-Transaction</v>
      </c>
      <c r="AA242" s="7">
        <f>IF(J242="",AVERAGE($J:$J),J242)</f>
        <v>3807.5</v>
      </c>
      <c r="AB242" s="7">
        <f>IF(N242="",AVERAGE($N:$N),N242)</f>
        <v>44</v>
      </c>
      <c r="AC242" s="7">
        <f t="shared" si="25"/>
        <v>2021</v>
      </c>
      <c r="AD242" s="7">
        <f t="shared" si="26"/>
        <v>11</v>
      </c>
      <c r="AE242" s="7">
        <f>COUNTIF(A:A,A242)</f>
        <v>1</v>
      </c>
      <c r="AF242" s="7" t="str">
        <f t="shared" si="27"/>
        <v>No</v>
      </c>
    </row>
    <row r="243" spans="1:32">
      <c r="A243" t="s">
        <v>934</v>
      </c>
      <c r="B243">
        <v>18373492</v>
      </c>
      <c r="C243" t="s">
        <v>935</v>
      </c>
      <c r="D243" t="s">
        <v>936</v>
      </c>
      <c r="E243" t="s">
        <v>20</v>
      </c>
      <c r="F243" t="s">
        <v>53</v>
      </c>
      <c r="H243" t="s">
        <v>56</v>
      </c>
      <c r="I243" t="s">
        <v>3377</v>
      </c>
      <c r="J243">
        <v>2166.65</v>
      </c>
      <c r="K243" t="s">
        <v>39</v>
      </c>
      <c r="L243" t="s">
        <v>48</v>
      </c>
      <c r="M243" s="1">
        <v>44487.529861111114</v>
      </c>
      <c r="N243">
        <v>38</v>
      </c>
      <c r="O243" t="s">
        <v>68</v>
      </c>
      <c r="P243" t="s">
        <v>55</v>
      </c>
      <c r="Q243" t="s">
        <v>937</v>
      </c>
      <c r="R243">
        <f t="shared" si="21"/>
        <v>18373492</v>
      </c>
      <c r="S243" t="str" cm="1">
        <f t="array" ref="S243">IF(C243="",IFERROR(INDEX($C$2:$C$1166,MATCH(MAX(COUNTIF($C$2:$C$1166,$C$2:$C$1166)),COUNTIF($C$2:$C$1166,$C$2:$C$1166),0)),"Unknown"),C243)</f>
        <v>Joseph Gonzalez</v>
      </c>
      <c r="T243" s="4" t="str" cm="1">
        <f t="array" ref="T243">IF(D243="",IFERROR(INDEX($D$2:$D$1000,MATCH(MAX(COUNTIF($D$2:$D$1166,$D$2:$D$1166)),COUNTIF($D$2:$D$1166,$D$2:$D$1166),0)),"Unknown"),D243)</f>
        <v>Richard Johnson</v>
      </c>
      <c r="U243" t="str">
        <f t="shared" si="22"/>
        <v>AED</v>
      </c>
      <c r="V243" s="7" t="str">
        <f t="shared" si="22"/>
        <v/>
      </c>
      <c r="W243" s="7" t="str">
        <f t="shared" si="23"/>
        <v>UAE</v>
      </c>
      <c r="X243" s="7" t="str">
        <f t="shared" si="23"/>
        <v>UK</v>
      </c>
      <c r="Y243" s="7" t="str" cm="1">
        <f t="array" ref="Y243">IF(H243="",IFERROR(INDEX($H$2:$H$1166,MATCH(MAX(COUNTIF($H$2:$H$1166,$H$2:$H$1166)),COUNTIF($H$2:$H$1166,$H$2:$H$1166),0)),"Unknown"),H243)</f>
        <v>Unverified</v>
      </c>
      <c r="Z243" s="7" t="str">
        <f t="shared" si="24"/>
        <v>Inter-Transaction</v>
      </c>
      <c r="AA243" s="7">
        <f>IF(J243="",AVERAGE($J:$J),J243)</f>
        <v>2166.65</v>
      </c>
      <c r="AB243" s="7">
        <f>IF(N243="",AVERAGE($N:$N),N243)</f>
        <v>38</v>
      </c>
      <c r="AC243" s="7">
        <f t="shared" si="25"/>
        <v>2021</v>
      </c>
      <c r="AD243" s="7">
        <f t="shared" si="26"/>
        <v>10</v>
      </c>
      <c r="AE243" s="7">
        <f>COUNTIF(A:A,A243)</f>
        <v>1</v>
      </c>
      <c r="AF243" s="7" t="str">
        <f t="shared" si="27"/>
        <v>No</v>
      </c>
    </row>
    <row r="244" spans="1:32">
      <c r="A244" t="s">
        <v>938</v>
      </c>
      <c r="B244">
        <v>76800348</v>
      </c>
      <c r="C244" t="s">
        <v>939</v>
      </c>
      <c r="D244" t="s">
        <v>940</v>
      </c>
      <c r="E244" t="s">
        <v>20</v>
      </c>
      <c r="F244" t="s">
        <v>45</v>
      </c>
      <c r="G244" t="s">
        <v>92</v>
      </c>
      <c r="H244" t="s">
        <v>56</v>
      </c>
      <c r="I244" t="s">
        <v>3372</v>
      </c>
      <c r="J244">
        <v>6546.5</v>
      </c>
      <c r="K244" t="s">
        <v>86</v>
      </c>
      <c r="L244" t="s">
        <v>48</v>
      </c>
      <c r="M244" s="1">
        <v>45373.690972222219</v>
      </c>
      <c r="N244">
        <v>47</v>
      </c>
      <c r="O244" t="s">
        <v>93</v>
      </c>
      <c r="P244" t="s">
        <v>37</v>
      </c>
      <c r="Q244" t="s">
        <v>941</v>
      </c>
      <c r="R244">
        <f t="shared" si="21"/>
        <v>76800348</v>
      </c>
      <c r="S244" t="str" cm="1">
        <f t="array" ref="S244">IF(C244="",IFERROR(INDEX($C$2:$C$1166,MATCH(MAX(COUNTIF($C$2:$C$1166,$C$2:$C$1166)),COUNTIF($C$2:$C$1166,$C$2:$C$1166),0)),"Unknown"),C244)</f>
        <v>Michael Nair</v>
      </c>
      <c r="T244" s="4" t="str" cm="1">
        <f t="array" ref="T244">IF(D244="",IFERROR(INDEX($D$2:$D$1000,MATCH(MAX(COUNTIF($D$2:$D$1166,$D$2:$D$1166)),COUNTIF($D$2:$D$1166,$D$2:$D$1166),0)),"Unknown"),D244)</f>
        <v>Sanjay Smith</v>
      </c>
      <c r="U244" t="str">
        <f t="shared" si="22"/>
        <v>ZAR</v>
      </c>
      <c r="V244" s="7" t="str">
        <f t="shared" si="22"/>
        <v>AUD</v>
      </c>
      <c r="W244" s="7" t="str">
        <f t="shared" si="23"/>
        <v>USA</v>
      </c>
      <c r="X244" s="7" t="str">
        <f t="shared" si="23"/>
        <v>South Africa</v>
      </c>
      <c r="Y244" s="7" t="str" cm="1">
        <f t="array" ref="Y244">IF(H244="",IFERROR(INDEX($H$2:$H$1166,MATCH(MAX(COUNTIF($H$2:$H$1166,$H$2:$H$1166)),COUNTIF($H$2:$H$1166,$H$2:$H$1166),0)),"Unknown"),H244)</f>
        <v>Unverified</v>
      </c>
      <c r="Z244" s="7" t="str">
        <f t="shared" si="24"/>
        <v>Outer-Transaction</v>
      </c>
      <c r="AA244" s="7">
        <f>IF(J244="",AVERAGE($J:$J),J244)</f>
        <v>6546.5</v>
      </c>
      <c r="AB244" s="7">
        <f>IF(N244="",AVERAGE($N:$N),N244)</f>
        <v>47</v>
      </c>
      <c r="AC244" s="7">
        <f t="shared" si="25"/>
        <v>2024</v>
      </c>
      <c r="AD244" s="7">
        <f t="shared" si="26"/>
        <v>3</v>
      </c>
      <c r="AE244" s="7">
        <f>COUNTIF(A:A,A244)</f>
        <v>1</v>
      </c>
      <c r="AF244" s="7" t="str">
        <f t="shared" si="27"/>
        <v>No</v>
      </c>
    </row>
    <row r="245" spans="1:32">
      <c r="A245" t="s">
        <v>942</v>
      </c>
      <c r="B245">
        <v>63769608</v>
      </c>
      <c r="C245" t="s">
        <v>943</v>
      </c>
      <c r="D245" t="s">
        <v>278</v>
      </c>
      <c r="E245" t="s">
        <v>20</v>
      </c>
      <c r="F245" t="s">
        <v>34</v>
      </c>
      <c r="G245" t="s">
        <v>35</v>
      </c>
      <c r="I245" t="s">
        <v>3374</v>
      </c>
      <c r="J245">
        <v>2873.14</v>
      </c>
      <c r="K245" t="s">
        <v>39</v>
      </c>
      <c r="L245" t="s">
        <v>28</v>
      </c>
      <c r="M245" s="1">
        <v>45123.938194444447</v>
      </c>
      <c r="N245">
        <v>45</v>
      </c>
      <c r="O245" t="s">
        <v>24</v>
      </c>
      <c r="P245" t="s">
        <v>54</v>
      </c>
      <c r="Q245" t="s">
        <v>944</v>
      </c>
      <c r="R245">
        <f t="shared" si="21"/>
        <v>63769608</v>
      </c>
      <c r="S245" t="str" cm="1">
        <f t="array" ref="S245">IF(C245="",IFERROR(INDEX($C$2:$C$1166,MATCH(MAX(COUNTIF($C$2:$C$1166,$C$2:$C$1166)),COUNTIF($C$2:$C$1166,$C$2:$C$1166),0)),"Unknown"),C245)</f>
        <v>Mary Nair</v>
      </c>
      <c r="T245" s="4" t="str" cm="1">
        <f t="array" ref="T245">IF(D245="",IFERROR(INDEX($D$2:$D$1000,MATCH(MAX(COUNTIF($D$2:$D$1166,$D$2:$D$1166)),COUNTIF($D$2:$D$1166,$D$2:$D$1166),0)),"Unknown"),D245)</f>
        <v>Sanjay Williams</v>
      </c>
      <c r="U245" t="str">
        <f t="shared" si="22"/>
        <v>CAD</v>
      </c>
      <c r="V245" s="7" t="str">
        <f t="shared" si="22"/>
        <v>EUR</v>
      </c>
      <c r="W245" s="7" t="str">
        <f t="shared" si="23"/>
        <v>Brazil</v>
      </c>
      <c r="X245" s="7" t="str">
        <f t="shared" si="23"/>
        <v>India</v>
      </c>
      <c r="Y245" s="7" t="str" cm="1">
        <f t="array" ref="Y245">IF(H245="",IFERROR(INDEX($H$2:$H$1166,MATCH(MAX(COUNTIF($H$2:$H$1166,$H$2:$H$1166)),COUNTIF($H$2:$H$1166,$H$2:$H$1166),0)),"Unknown"),H245)</f>
        <v>Pending</v>
      </c>
      <c r="Z245" s="7" t="str">
        <f t="shared" si="24"/>
        <v>External</v>
      </c>
      <c r="AA245" s="7">
        <f>IF(J245="",AVERAGE($J:$J),J245)</f>
        <v>2873.14</v>
      </c>
      <c r="AB245" s="7">
        <f>IF(N245="",AVERAGE($N:$N),N245)</f>
        <v>45</v>
      </c>
      <c r="AC245" s="7">
        <f t="shared" si="25"/>
        <v>2023</v>
      </c>
      <c r="AD245" s="7">
        <f t="shared" si="26"/>
        <v>7</v>
      </c>
      <c r="AE245" s="7">
        <f>COUNTIF(A:A,A245)</f>
        <v>1</v>
      </c>
      <c r="AF245" s="7" t="str">
        <f t="shared" si="27"/>
        <v>No</v>
      </c>
    </row>
    <row r="246" spans="1:32">
      <c r="A246" t="s">
        <v>945</v>
      </c>
      <c r="B246">
        <v>42008932</v>
      </c>
      <c r="C246" t="s">
        <v>946</v>
      </c>
      <c r="D246" t="s">
        <v>947</v>
      </c>
      <c r="E246" t="s">
        <v>20</v>
      </c>
      <c r="F246" t="s">
        <v>53</v>
      </c>
      <c r="G246" t="s">
        <v>44</v>
      </c>
      <c r="H246" t="s">
        <v>25</v>
      </c>
      <c r="I246" t="s">
        <v>3378</v>
      </c>
      <c r="J246">
        <v>11818.8</v>
      </c>
      <c r="K246" t="s">
        <v>86</v>
      </c>
      <c r="L246" t="s">
        <v>81</v>
      </c>
      <c r="M246" s="1">
        <v>45230.381944444445</v>
      </c>
      <c r="N246">
        <v>81</v>
      </c>
      <c r="O246" t="s">
        <v>23</v>
      </c>
      <c r="P246" t="s">
        <v>24</v>
      </c>
      <c r="Q246" t="s">
        <v>948</v>
      </c>
      <c r="R246">
        <f t="shared" si="21"/>
        <v>42008932</v>
      </c>
      <c r="S246" t="str" cm="1">
        <f t="array" ref="S246">IF(C246="",IFERROR(INDEX($C$2:$C$1166,MATCH(MAX(COUNTIF($C$2:$C$1166,$C$2:$C$1166)),COUNTIF($C$2:$C$1166,$C$2:$C$1166),0)),"Unknown"),C246)</f>
        <v>Sarah Gonzalez</v>
      </c>
      <c r="T246" s="4" t="str" cm="1">
        <f t="array" ref="T246">IF(D246="",IFERROR(INDEX($D$2:$D$1000,MATCH(MAX(COUNTIF($D$2:$D$1166,$D$2:$D$1166)),COUNTIF($D$2:$D$1166,$D$2:$D$1166),0)),"Unknown"),D246)</f>
        <v xml:space="preserve"> robert silva   </v>
      </c>
      <c r="U246" t="str">
        <f t="shared" si="22"/>
        <v>AED</v>
      </c>
      <c r="V246" s="7" t="str">
        <f t="shared" si="22"/>
        <v>SGD</v>
      </c>
      <c r="W246" s="7" t="str">
        <f t="shared" si="23"/>
        <v>France</v>
      </c>
      <c r="X246" s="7" t="str">
        <f t="shared" si="23"/>
        <v>Brazil</v>
      </c>
      <c r="Y246" s="7" t="str" cm="1">
        <f t="array" ref="Y246">IF(H246="",IFERROR(INDEX($H$2:$H$1166,MATCH(MAX(COUNTIF($H$2:$H$1166,$H$2:$H$1166)),COUNTIF($H$2:$H$1166,$H$2:$H$1166),0)),"Unknown"),H246)</f>
        <v>KYC</v>
      </c>
      <c r="Z246" s="7" t="str">
        <f t="shared" si="24"/>
        <v>Inter-Transaction</v>
      </c>
      <c r="AA246" s="7">
        <f>IF(J246="",AVERAGE($J:$J),J246)</f>
        <v>11818.8</v>
      </c>
      <c r="AB246" s="7">
        <f>IF(N246="",AVERAGE($N:$N),N246)</f>
        <v>81</v>
      </c>
      <c r="AC246" s="7">
        <f t="shared" si="25"/>
        <v>2023</v>
      </c>
      <c r="AD246" s="7">
        <f t="shared" si="26"/>
        <v>10</v>
      </c>
      <c r="AE246" s="7">
        <f>COUNTIF(A:A,A246)</f>
        <v>1</v>
      </c>
      <c r="AF246" s="7" t="str">
        <f t="shared" si="27"/>
        <v>No</v>
      </c>
    </row>
    <row r="247" spans="1:32">
      <c r="A247" t="s">
        <v>949</v>
      </c>
      <c r="B247">
        <v>41270805</v>
      </c>
      <c r="C247" t="s">
        <v>950</v>
      </c>
      <c r="D247" t="s">
        <v>951</v>
      </c>
      <c r="E247" t="s">
        <v>20</v>
      </c>
      <c r="F247" t="s">
        <v>45</v>
      </c>
      <c r="G247" t="s">
        <v>112</v>
      </c>
      <c r="H247" t="s">
        <v>74</v>
      </c>
      <c r="I247" t="s">
        <v>3374</v>
      </c>
      <c r="J247">
        <v>758.87</v>
      </c>
      <c r="K247" t="s">
        <v>57</v>
      </c>
      <c r="L247" t="s">
        <v>28</v>
      </c>
      <c r="M247" s="1">
        <v>45383.211805555555</v>
      </c>
      <c r="N247">
        <v>78</v>
      </c>
      <c r="O247" t="s">
        <v>54</v>
      </c>
      <c r="P247" t="s">
        <v>36</v>
      </c>
      <c r="Q247" t="s">
        <v>952</v>
      </c>
      <c r="R247">
        <f t="shared" si="21"/>
        <v>41270805</v>
      </c>
      <c r="S247" t="str" cm="1">
        <f t="array" ref="S247">IF(C247="",IFERROR(INDEX($C$2:$C$1166,MATCH(MAX(COUNTIF($C$2:$C$1166,$C$2:$C$1166)),COUNTIF($C$2:$C$1166,$C$2:$C$1166),0)),"Unknown"),C247)</f>
        <v>Priya Williams</v>
      </c>
      <c r="T247" s="4" t="str" cm="1">
        <f t="array" ref="T247">IF(D247="",IFERROR(INDEX($D$2:$D$1000,MATCH(MAX(COUNTIF($D$2:$D$1166,$D$2:$D$1166)),COUNTIF($D$2:$D$1166,$D$2:$D$1166),0)),"Unknown"),D247)</f>
        <v>Mary Al-Sayed</v>
      </c>
      <c r="U247" t="str">
        <f t="shared" si="22"/>
        <v>ZAR</v>
      </c>
      <c r="V247" s="7" t="str">
        <f t="shared" si="22"/>
        <v>usd</v>
      </c>
      <c r="W247" s="7" t="str">
        <f t="shared" si="23"/>
        <v>India</v>
      </c>
      <c r="X247" s="7" t="str">
        <f t="shared" si="23"/>
        <v>Germany</v>
      </c>
      <c r="Y247" s="7" t="str" cm="1">
        <f t="array" ref="Y247">IF(H247="",IFERROR(INDEX($H$2:$H$1166,MATCH(MAX(COUNTIF($H$2:$H$1166,$H$2:$H$1166)),COUNTIF($H$2:$H$1166,$H$2:$H$1166),0)),"Unknown"),H247)</f>
        <v>Non-KYC</v>
      </c>
      <c r="Z247" s="7" t="str">
        <f t="shared" si="24"/>
        <v>External</v>
      </c>
      <c r="AA247" s="7">
        <f>IF(J247="",AVERAGE($J:$J),J247)</f>
        <v>758.87</v>
      </c>
      <c r="AB247" s="7">
        <f>IF(N247="",AVERAGE($N:$N),N247)</f>
        <v>78</v>
      </c>
      <c r="AC247" s="7">
        <f t="shared" si="25"/>
        <v>2024</v>
      </c>
      <c r="AD247" s="7">
        <f t="shared" si="26"/>
        <v>4</v>
      </c>
      <c r="AE247" s="7">
        <f>COUNTIF(A:A,A247)</f>
        <v>1</v>
      </c>
      <c r="AF247" s="7" t="str">
        <f t="shared" si="27"/>
        <v>No</v>
      </c>
    </row>
    <row r="248" spans="1:32">
      <c r="A248" t="s">
        <v>953</v>
      </c>
      <c r="B248">
        <v>18470495</v>
      </c>
      <c r="C248" t="s">
        <v>954</v>
      </c>
      <c r="D248" t="s">
        <v>130</v>
      </c>
      <c r="E248" t="s">
        <v>3373</v>
      </c>
      <c r="F248" t="s">
        <v>22</v>
      </c>
      <c r="G248" t="s">
        <v>45</v>
      </c>
      <c r="H248" t="s">
        <v>74</v>
      </c>
      <c r="I248" t="s">
        <v>3377</v>
      </c>
      <c r="J248">
        <v>8900.35</v>
      </c>
      <c r="K248" t="s">
        <v>57</v>
      </c>
      <c r="L248" t="s">
        <v>28</v>
      </c>
      <c r="M248" s="1">
        <v>44906.365277777775</v>
      </c>
      <c r="N248">
        <v>65</v>
      </c>
      <c r="O248" t="s">
        <v>62</v>
      </c>
      <c r="P248" t="s">
        <v>37</v>
      </c>
      <c r="Q248" t="s">
        <v>955</v>
      </c>
      <c r="R248">
        <f t="shared" si="21"/>
        <v>18470495</v>
      </c>
      <c r="S248" t="str" cm="1">
        <f t="array" ref="S248">IF(C248="",IFERROR(INDEX($C$2:$C$1166,MATCH(MAX(COUNTIF($C$2:$C$1166,$C$2:$C$1166)),COUNTIF($C$2:$C$1166,$C$2:$C$1166),0)),"Unknown"),C248)</f>
        <v>Lucas Miller</v>
      </c>
      <c r="T248" s="4" t="str" cm="1">
        <f t="array" ref="T248">IF(D248="",IFERROR(INDEX($D$2:$D$1000,MATCH(MAX(COUNTIF($D$2:$D$1166,$D$2:$D$1166)),COUNTIF($D$2:$D$1166,$D$2:$D$1166),0)),"Unknown"),D248)</f>
        <v>Jessica Hernandez</v>
      </c>
      <c r="U248" t="str">
        <f t="shared" si="22"/>
        <v>BRL</v>
      </c>
      <c r="V248" s="7" t="str">
        <f t="shared" si="22"/>
        <v>ZAR</v>
      </c>
      <c r="W248" s="7" t="str">
        <f t="shared" si="23"/>
        <v>Australia</v>
      </c>
      <c r="X248" s="7" t="str">
        <f t="shared" si="23"/>
        <v>South Africa</v>
      </c>
      <c r="Y248" s="7" t="str" cm="1">
        <f t="array" ref="Y248">IF(H248="",IFERROR(INDEX($H$2:$H$1166,MATCH(MAX(COUNTIF($H$2:$H$1166,$H$2:$H$1166)),COUNTIF($H$2:$H$1166,$H$2:$H$1166),0)),"Unknown"),H248)</f>
        <v>Non-KYC</v>
      </c>
      <c r="Z248" s="7" t="str">
        <f t="shared" si="24"/>
        <v>Inter-Transaction</v>
      </c>
      <c r="AA248" s="7">
        <f>IF(J248="",AVERAGE($J:$J),J248)</f>
        <v>8900.35</v>
      </c>
      <c r="AB248" s="7">
        <f>IF(N248="",AVERAGE($N:$N),N248)</f>
        <v>65</v>
      </c>
      <c r="AC248" s="7">
        <f t="shared" si="25"/>
        <v>2022</v>
      </c>
      <c r="AD248" s="7">
        <f t="shared" si="26"/>
        <v>12</v>
      </c>
      <c r="AE248" s="7">
        <f>COUNTIF(A:A,A248)</f>
        <v>1</v>
      </c>
      <c r="AF248" s="7" t="str">
        <f t="shared" si="27"/>
        <v>Yes</v>
      </c>
    </row>
    <row r="249" spans="1:32">
      <c r="A249" t="s">
        <v>956</v>
      </c>
      <c r="B249">
        <v>27900736</v>
      </c>
      <c r="C249" t="s">
        <v>957</v>
      </c>
      <c r="D249" t="s">
        <v>211</v>
      </c>
      <c r="E249" t="s">
        <v>20</v>
      </c>
      <c r="F249" t="s">
        <v>21</v>
      </c>
      <c r="G249" t="s">
        <v>112</v>
      </c>
      <c r="H249" t="s">
        <v>38</v>
      </c>
      <c r="I249" t="s">
        <v>3378</v>
      </c>
      <c r="J249">
        <v>6249.17</v>
      </c>
      <c r="K249" t="s">
        <v>39</v>
      </c>
      <c r="L249" t="s">
        <v>48</v>
      </c>
      <c r="M249" s="1">
        <v>44155.065972222219</v>
      </c>
      <c r="N249">
        <v>36</v>
      </c>
      <c r="O249" t="s">
        <v>55</v>
      </c>
      <c r="P249" t="s">
        <v>127</v>
      </c>
      <c r="Q249" t="s">
        <v>958</v>
      </c>
      <c r="R249">
        <f t="shared" si="21"/>
        <v>27900736</v>
      </c>
      <c r="S249" t="str" cm="1">
        <f t="array" ref="S249">IF(C249="",IFERROR(INDEX($C$2:$C$1166,MATCH(MAX(COUNTIF($C$2:$C$1166,$C$2:$C$1166)),COUNTIF($C$2:$C$1166,$C$2:$C$1166),0)),"Unknown"),C249)</f>
        <v>Patricia Silva</v>
      </c>
      <c r="T249" s="4" t="str" cm="1">
        <f t="array" ref="T249">IF(D249="",IFERROR(INDEX($D$2:$D$1000,MATCH(MAX(COUNTIF($D$2:$D$1166,$D$2:$D$1166)),COUNTIF($D$2:$D$1166,$D$2:$D$1166),0)),"Unknown"),D249)</f>
        <v>Zayn Nair</v>
      </c>
      <c r="U249" t="str">
        <f t="shared" si="22"/>
        <v>GBP</v>
      </c>
      <c r="V249" s="7" t="str">
        <f t="shared" si="22"/>
        <v>usd</v>
      </c>
      <c r="W249" s="7" t="str">
        <f t="shared" si="23"/>
        <v>UK</v>
      </c>
      <c r="X249" s="7" t="str">
        <f t="shared" si="23"/>
        <v>Canada</v>
      </c>
      <c r="Y249" s="7" t="str" cm="1">
        <f t="array" ref="Y249">IF(H249="",IFERROR(INDEX($H$2:$H$1166,MATCH(MAX(COUNTIF($H$2:$H$1166,$H$2:$H$1166)),COUNTIF($H$2:$H$1166,$H$2:$H$1166),0)),"Unknown"),H249)</f>
        <v>Pending</v>
      </c>
      <c r="Z249" s="7" t="str">
        <f t="shared" si="24"/>
        <v>Inter-Transaction</v>
      </c>
      <c r="AA249" s="7">
        <f>IF(J249="",AVERAGE($J:$J),J249)</f>
        <v>6249.17</v>
      </c>
      <c r="AB249" s="7">
        <f>IF(N249="",AVERAGE($N:$N),N249)</f>
        <v>36</v>
      </c>
      <c r="AC249" s="7">
        <f t="shared" si="25"/>
        <v>2020</v>
      </c>
      <c r="AD249" s="7">
        <f t="shared" si="26"/>
        <v>11</v>
      </c>
      <c r="AE249" s="7">
        <f>COUNTIF(A:A,A249)</f>
        <v>1</v>
      </c>
      <c r="AF249" s="7" t="str">
        <f t="shared" si="27"/>
        <v>No</v>
      </c>
    </row>
    <row r="250" spans="1:32">
      <c r="A250" t="s">
        <v>959</v>
      </c>
      <c r="B250">
        <v>77093782</v>
      </c>
      <c r="C250" t="s">
        <v>960</v>
      </c>
      <c r="D250" t="s">
        <v>685</v>
      </c>
      <c r="E250" t="s">
        <v>20</v>
      </c>
      <c r="F250" t="s">
        <v>393</v>
      </c>
      <c r="G250" t="s">
        <v>92</v>
      </c>
      <c r="H250" t="s">
        <v>103</v>
      </c>
      <c r="I250" t="s">
        <v>3376</v>
      </c>
      <c r="J250">
        <v>7618.04</v>
      </c>
      <c r="K250" t="s">
        <v>39</v>
      </c>
      <c r="L250" t="s">
        <v>48</v>
      </c>
      <c r="M250" s="1">
        <v>44822.177777777775</v>
      </c>
      <c r="N250">
        <v>21</v>
      </c>
      <c r="O250" t="s">
        <v>54</v>
      </c>
      <c r="P250" t="s">
        <v>127</v>
      </c>
      <c r="Q250" t="s">
        <v>961</v>
      </c>
      <c r="R250">
        <f t="shared" si="21"/>
        <v>77093782</v>
      </c>
      <c r="S250" t="str" cm="1">
        <f t="array" ref="S250">IF(C250="",IFERROR(INDEX($C$2:$C$1166,MATCH(MAX(COUNTIF($C$2:$C$1166,$C$2:$C$1166)),COUNTIF($C$2:$C$1166,$C$2:$C$1166),0)),"Unknown"),C250)</f>
        <v>Nancy Williams</v>
      </c>
      <c r="T250" s="4" t="str" cm="1">
        <f t="array" ref="T250">IF(D250="",IFERROR(INDEX($D$2:$D$1000,MATCH(MAX(COUNTIF($D$2:$D$1166,$D$2:$D$1166)),COUNTIF($D$2:$D$1166,$D$2:$D$1166),0)),"Unknown"),D250)</f>
        <v>Sanjay Khan</v>
      </c>
      <c r="U250" t="str">
        <f t="shared" si="22"/>
        <v>cad</v>
      </c>
      <c r="V250" s="7" t="str">
        <f t="shared" si="22"/>
        <v>AUD</v>
      </c>
      <c r="W250" s="7" t="str">
        <f t="shared" si="23"/>
        <v>India</v>
      </c>
      <c r="X250" s="7" t="str">
        <f t="shared" si="23"/>
        <v>Canada</v>
      </c>
      <c r="Y250" s="7" t="str" cm="1">
        <f t="array" ref="Y250">IF(H250="",IFERROR(INDEX($H$2:$H$1166,MATCH(MAX(COUNTIF($H$2:$H$1166,$H$2:$H$1166)),COUNTIF($H$2:$H$1166,$H$2:$H$1166),0)),"Unknown"),H250)</f>
        <v>Verified</v>
      </c>
      <c r="Z250" s="7" t="str">
        <f t="shared" si="24"/>
        <v>Internal</v>
      </c>
      <c r="AA250" s="7">
        <f>IF(J250="",AVERAGE($J:$J),J250)</f>
        <v>7618.04</v>
      </c>
      <c r="AB250" s="7">
        <f>IF(N250="",AVERAGE($N:$N),N250)</f>
        <v>21</v>
      </c>
      <c r="AC250" s="7">
        <f t="shared" si="25"/>
        <v>2022</v>
      </c>
      <c r="AD250" s="7">
        <f t="shared" si="26"/>
        <v>9</v>
      </c>
      <c r="AE250" s="7">
        <f>COUNTIF(A:A,A250)</f>
        <v>1</v>
      </c>
      <c r="AF250" s="7" t="str">
        <f t="shared" si="27"/>
        <v>No</v>
      </c>
    </row>
    <row r="251" spans="1:32">
      <c r="A251" t="s">
        <v>962</v>
      </c>
      <c r="B251">
        <v>15786878</v>
      </c>
      <c r="C251" t="s">
        <v>943</v>
      </c>
      <c r="D251" t="s">
        <v>963</v>
      </c>
      <c r="E251" t="b">
        <v>1</v>
      </c>
      <c r="F251" t="s">
        <v>53</v>
      </c>
      <c r="G251" t="s">
        <v>34</v>
      </c>
      <c r="H251" t="s">
        <v>38</v>
      </c>
      <c r="I251" t="s">
        <v>3371</v>
      </c>
      <c r="J251">
        <v>2379.1</v>
      </c>
      <c r="K251" t="s">
        <v>86</v>
      </c>
      <c r="L251" t="s">
        <v>81</v>
      </c>
      <c r="M251" s="1">
        <v>45824.318749999999</v>
      </c>
      <c r="N251">
        <v>52</v>
      </c>
      <c r="O251" t="s">
        <v>62</v>
      </c>
      <c r="P251" t="s">
        <v>24</v>
      </c>
      <c r="Q251" t="s">
        <v>964</v>
      </c>
      <c r="R251">
        <f t="shared" si="21"/>
        <v>15786878</v>
      </c>
      <c r="S251" t="str" cm="1">
        <f t="array" ref="S251">IF(C251="",IFERROR(INDEX($C$2:$C$1166,MATCH(MAX(COUNTIF($C$2:$C$1166,$C$2:$C$1166)),COUNTIF($C$2:$C$1166,$C$2:$C$1166),0)),"Unknown"),C251)</f>
        <v>Mary Nair</v>
      </c>
      <c r="T251" s="4" t="str" cm="1">
        <f t="array" ref="T251">IF(D251="",IFERROR(INDEX($D$2:$D$1000,MATCH(MAX(COUNTIF($D$2:$D$1166,$D$2:$D$1166)),COUNTIF($D$2:$D$1166,$D$2:$D$1166),0)),"Unknown"),D251)</f>
        <v xml:space="preserve"> susan martinez   </v>
      </c>
      <c r="U251" t="str">
        <f t="shared" si="22"/>
        <v>AED</v>
      </c>
      <c r="V251" s="7" t="str">
        <f t="shared" si="22"/>
        <v>CAD</v>
      </c>
      <c r="W251" s="7" t="str">
        <f t="shared" si="23"/>
        <v>Australia</v>
      </c>
      <c r="X251" s="7" t="str">
        <f t="shared" si="23"/>
        <v>Brazil</v>
      </c>
      <c r="Y251" s="7" t="str" cm="1">
        <f t="array" ref="Y251">IF(H251="",IFERROR(INDEX($H$2:$H$1166,MATCH(MAX(COUNTIF($H$2:$H$1166,$H$2:$H$1166)),COUNTIF($H$2:$H$1166,$H$2:$H$1166),0)),"Unknown"),H251)</f>
        <v>Pending</v>
      </c>
      <c r="Z251" s="7" t="str">
        <f t="shared" si="24"/>
        <v>Outer-Transaction</v>
      </c>
      <c r="AA251" s="7">
        <f>IF(J251="",AVERAGE($J:$J),J251)</f>
        <v>2379.1</v>
      </c>
      <c r="AB251" s="7">
        <f>IF(N251="",AVERAGE($N:$N),N251)</f>
        <v>52</v>
      </c>
      <c r="AC251" s="7">
        <f t="shared" si="25"/>
        <v>2025</v>
      </c>
      <c r="AD251" s="7">
        <f t="shared" si="26"/>
        <v>6</v>
      </c>
      <c r="AE251" s="7">
        <f>COUNTIF(A:A,A251)</f>
        <v>1</v>
      </c>
      <c r="AF251" s="7" t="str">
        <f t="shared" si="27"/>
        <v>No</v>
      </c>
    </row>
    <row r="252" spans="1:32">
      <c r="A252" t="s">
        <v>965</v>
      </c>
      <c r="B252">
        <v>40878564</v>
      </c>
      <c r="C252" t="s">
        <v>966</v>
      </c>
      <c r="D252" t="s">
        <v>522</v>
      </c>
      <c r="E252" t="s">
        <v>20</v>
      </c>
      <c r="F252" t="s">
        <v>22</v>
      </c>
      <c r="G252" t="s">
        <v>92</v>
      </c>
      <c r="H252" t="s">
        <v>56</v>
      </c>
      <c r="I252" t="s">
        <v>3371</v>
      </c>
      <c r="J252">
        <v>3250.32</v>
      </c>
      <c r="K252" t="s">
        <v>27</v>
      </c>
      <c r="L252" t="s">
        <v>81</v>
      </c>
      <c r="M252" s="1">
        <v>44547.882638888892</v>
      </c>
      <c r="N252">
        <v>81</v>
      </c>
      <c r="O252" t="s">
        <v>23</v>
      </c>
      <c r="P252" t="s">
        <v>93</v>
      </c>
      <c r="Q252" t="s">
        <v>967</v>
      </c>
      <c r="R252">
        <f t="shared" si="21"/>
        <v>40878564</v>
      </c>
      <c r="S252" t="str" cm="1">
        <f t="array" ref="S252">IF(C252="",IFERROR(INDEX($C$2:$C$1166,MATCH(MAX(COUNTIF($C$2:$C$1166,$C$2:$C$1166)),COUNTIF($C$2:$C$1166,$C$2:$C$1166),0)),"Unknown"),C252)</f>
        <v>Jean-Pierre Brown</v>
      </c>
      <c r="T252" s="4" t="str" cm="1">
        <f t="array" ref="T252">IF(D252="",IFERROR(INDEX($D$2:$D$1000,MATCH(MAX(COUNTIF($D$2:$D$1166,$D$2:$D$1166)),COUNTIF($D$2:$D$1166,$D$2:$D$1166),0)),"Unknown"),D252)</f>
        <v>Richard Davis</v>
      </c>
      <c r="U252" t="str">
        <f t="shared" si="22"/>
        <v>BRL</v>
      </c>
      <c r="V252" s="7" t="str">
        <f t="shared" si="22"/>
        <v>AUD</v>
      </c>
      <c r="W252" s="7" t="str">
        <f t="shared" si="23"/>
        <v>France</v>
      </c>
      <c r="X252" s="7" t="str">
        <f t="shared" si="23"/>
        <v>USA</v>
      </c>
      <c r="Y252" s="7" t="str" cm="1">
        <f t="array" ref="Y252">IF(H252="",IFERROR(INDEX($H$2:$H$1166,MATCH(MAX(COUNTIF($H$2:$H$1166,$H$2:$H$1166)),COUNTIF($H$2:$H$1166,$H$2:$H$1166),0)),"Unknown"),H252)</f>
        <v>Unverified</v>
      </c>
      <c r="Z252" s="7" t="str">
        <f t="shared" si="24"/>
        <v>Outer-Transaction</v>
      </c>
      <c r="AA252" s="7">
        <f>IF(J252="",AVERAGE($J:$J),J252)</f>
        <v>3250.32</v>
      </c>
      <c r="AB252" s="7">
        <f>IF(N252="",AVERAGE($N:$N),N252)</f>
        <v>81</v>
      </c>
      <c r="AC252" s="7">
        <f t="shared" si="25"/>
        <v>2021</v>
      </c>
      <c r="AD252" s="7">
        <f t="shared" si="26"/>
        <v>12</v>
      </c>
      <c r="AE252" s="7">
        <f>COUNTIF(A:A,A252)</f>
        <v>1</v>
      </c>
      <c r="AF252" s="7" t="str">
        <f t="shared" si="27"/>
        <v>No</v>
      </c>
    </row>
    <row r="253" spans="1:32">
      <c r="A253" t="s">
        <v>968</v>
      </c>
      <c r="B253">
        <v>86325036</v>
      </c>
      <c r="C253" t="s">
        <v>969</v>
      </c>
      <c r="D253" t="s">
        <v>970</v>
      </c>
      <c r="E253" t="s">
        <v>20</v>
      </c>
      <c r="F253" t="s">
        <v>44</v>
      </c>
      <c r="I253" t="s">
        <v>3376</v>
      </c>
      <c r="J253">
        <v>13584.62</v>
      </c>
      <c r="K253" t="s">
        <v>27</v>
      </c>
      <c r="L253" t="s">
        <v>48</v>
      </c>
      <c r="M253" s="1">
        <v>44107.86041666667</v>
      </c>
      <c r="N253">
        <v>66</v>
      </c>
      <c r="O253" t="s">
        <v>23</v>
      </c>
      <c r="P253" t="s">
        <v>68</v>
      </c>
      <c r="Q253" t="s">
        <v>971</v>
      </c>
      <c r="R253">
        <f t="shared" si="21"/>
        <v>86325036</v>
      </c>
      <c r="S253" t="str" cm="1">
        <f t="array" ref="S253">IF(C253="",IFERROR(INDEX($C$2:$C$1166,MATCH(MAX(COUNTIF($C$2:$C$1166,$C$2:$C$1166)),COUNTIF($C$2:$C$1166,$C$2:$C$1166),0)),"Unknown"),C253)</f>
        <v>Mary Rodriguez</v>
      </c>
      <c r="T253" s="4" t="str" cm="1">
        <f t="array" ref="T253">IF(D253="",IFERROR(INDEX($D$2:$D$1000,MATCH(MAX(COUNTIF($D$2:$D$1166,$D$2:$D$1166)),COUNTIF($D$2:$D$1166,$D$2:$D$1166),0)),"Unknown"),D253)</f>
        <v>Michael Brown</v>
      </c>
      <c r="U253" t="str">
        <f t="shared" si="22"/>
        <v>SGD</v>
      </c>
      <c r="V253" s="7" t="str">
        <f t="shared" si="22"/>
        <v/>
      </c>
      <c r="W253" s="7" t="str">
        <f t="shared" si="23"/>
        <v>France</v>
      </c>
      <c r="X253" s="7" t="str">
        <f t="shared" si="23"/>
        <v>UAE</v>
      </c>
      <c r="Y253" s="7" t="str" cm="1">
        <f t="array" ref="Y253">IF(H253="",IFERROR(INDEX($H$2:$H$1166,MATCH(MAX(COUNTIF($H$2:$H$1166,$H$2:$H$1166)),COUNTIF($H$2:$H$1166,$H$2:$H$1166),0)),"Unknown"),H253)</f>
        <v>Pending</v>
      </c>
      <c r="Z253" s="7" t="str">
        <f t="shared" si="24"/>
        <v>Internal</v>
      </c>
      <c r="AA253" s="7">
        <f>IF(J253="",AVERAGE($J:$J),J253)</f>
        <v>13584.62</v>
      </c>
      <c r="AB253" s="7">
        <f>IF(N253="",AVERAGE($N:$N),N253)</f>
        <v>66</v>
      </c>
      <c r="AC253" s="7">
        <f t="shared" si="25"/>
        <v>2020</v>
      </c>
      <c r="AD253" s="7">
        <f t="shared" si="26"/>
        <v>10</v>
      </c>
      <c r="AE253" s="7">
        <f>COUNTIF(A:A,A253)</f>
        <v>1</v>
      </c>
      <c r="AF253" s="7" t="str">
        <f t="shared" si="27"/>
        <v>No</v>
      </c>
    </row>
    <row r="254" spans="1:32">
      <c r="A254" t="s">
        <v>972</v>
      </c>
      <c r="B254">
        <v>67460000</v>
      </c>
      <c r="C254" t="s">
        <v>346</v>
      </c>
      <c r="D254" t="s">
        <v>973</v>
      </c>
      <c r="E254" t="s">
        <v>20</v>
      </c>
      <c r="F254" t="s">
        <v>116</v>
      </c>
      <c r="G254" t="s">
        <v>121</v>
      </c>
      <c r="H254" t="s">
        <v>25</v>
      </c>
      <c r="I254" t="s">
        <v>3377</v>
      </c>
      <c r="J254">
        <v>14869.19</v>
      </c>
      <c r="K254" t="s">
        <v>27</v>
      </c>
      <c r="L254" t="s">
        <v>28</v>
      </c>
      <c r="M254" s="1">
        <v>43982.751388888886</v>
      </c>
      <c r="N254">
        <v>34</v>
      </c>
      <c r="O254" t="s">
        <v>55</v>
      </c>
      <c r="P254" t="s">
        <v>37</v>
      </c>
      <c r="Q254" t="s">
        <v>974</v>
      </c>
      <c r="R254">
        <f t="shared" si="21"/>
        <v>67460000</v>
      </c>
      <c r="S254" t="str" cm="1">
        <f t="array" ref="S254">IF(C254="",IFERROR(INDEX($C$2:$C$1166,MATCH(MAX(COUNTIF($C$2:$C$1166,$C$2:$C$1166)),COUNTIF($C$2:$C$1166,$C$2:$C$1166),0)),"Unknown"),C254)</f>
        <v>Fatima Malik</v>
      </c>
      <c r="T254" s="4" t="str" cm="1">
        <f t="array" ref="T254">IF(D254="",IFERROR(INDEX($D$2:$D$1000,MATCH(MAX(COUNTIF($D$2:$D$1166,$D$2:$D$1166)),COUNTIF($D$2:$D$1166,$D$2:$D$1166),0)),"Unknown"),D254)</f>
        <v xml:space="preserve"> elizabeth davis   </v>
      </c>
      <c r="U254" t="str">
        <f t="shared" si="22"/>
        <v>CHF</v>
      </c>
      <c r="V254" s="7" t="str">
        <f t="shared" si="22"/>
        <v>INR</v>
      </c>
      <c r="W254" s="7" t="str">
        <f t="shared" si="23"/>
        <v>UK</v>
      </c>
      <c r="X254" s="7" t="str">
        <f t="shared" si="23"/>
        <v>South Africa</v>
      </c>
      <c r="Y254" s="7" t="str" cm="1">
        <f t="array" ref="Y254">IF(H254="",IFERROR(INDEX($H$2:$H$1166,MATCH(MAX(COUNTIF($H$2:$H$1166,$H$2:$H$1166)),COUNTIF($H$2:$H$1166,$H$2:$H$1166),0)),"Unknown"),H254)</f>
        <v>KYC</v>
      </c>
      <c r="Z254" s="7" t="str">
        <f t="shared" si="24"/>
        <v>Inter-Transaction</v>
      </c>
      <c r="AA254" s="7">
        <f>IF(J254="",AVERAGE($J:$J),J254)</f>
        <v>14869.19</v>
      </c>
      <c r="AB254" s="7">
        <f>IF(N254="",AVERAGE($N:$N),N254)</f>
        <v>34</v>
      </c>
      <c r="AC254" s="7">
        <f t="shared" si="25"/>
        <v>2020</v>
      </c>
      <c r="AD254" s="7">
        <f t="shared" si="26"/>
        <v>5</v>
      </c>
      <c r="AE254" s="7">
        <f>COUNTIF(A:A,A254)</f>
        <v>1</v>
      </c>
      <c r="AF254" s="7" t="str">
        <f t="shared" si="27"/>
        <v>No</v>
      </c>
    </row>
    <row r="255" spans="1:32">
      <c r="A255" t="s">
        <v>975</v>
      </c>
      <c r="B255">
        <v>11667385</v>
      </c>
      <c r="C255" t="s">
        <v>335</v>
      </c>
      <c r="D255" t="s">
        <v>976</v>
      </c>
      <c r="E255" t="b">
        <v>0</v>
      </c>
      <c r="G255" t="s">
        <v>121</v>
      </c>
      <c r="H255" t="s">
        <v>38</v>
      </c>
      <c r="I255" t="s">
        <v>3374</v>
      </c>
      <c r="J255">
        <v>8759.07</v>
      </c>
      <c r="K255" t="s">
        <v>39</v>
      </c>
      <c r="L255" t="s">
        <v>81</v>
      </c>
      <c r="M255" s="1">
        <v>44785.744444444441</v>
      </c>
      <c r="N255">
        <v>61</v>
      </c>
      <c r="O255" t="s">
        <v>55</v>
      </c>
      <c r="P255" t="s">
        <v>37</v>
      </c>
      <c r="Q255" t="s">
        <v>977</v>
      </c>
      <c r="R255">
        <f t="shared" si="21"/>
        <v>11667385</v>
      </c>
      <c r="S255" t="str" cm="1">
        <f t="array" ref="S255">IF(C255="",IFERROR(INDEX($C$2:$C$1166,MATCH(MAX(COUNTIF($C$2:$C$1166,$C$2:$C$1166)),COUNTIF($C$2:$C$1166,$C$2:$C$1166),0)),"Unknown"),C255)</f>
        <v>Elena Al-Sayed</v>
      </c>
      <c r="T255" s="4" t="str" cm="1">
        <f t="array" ref="T255">IF(D255="",IFERROR(INDEX($D$2:$D$1000,MATCH(MAX(COUNTIF($D$2:$D$1166,$D$2:$D$1166)),COUNTIF($D$2:$D$1166,$D$2:$D$1166),0)),"Unknown"),D255)</f>
        <v>Jessica Miller</v>
      </c>
      <c r="U255" t="str">
        <f t="shared" si="22"/>
        <v/>
      </c>
      <c r="V255" s="7" t="str">
        <f t="shared" si="22"/>
        <v>INR</v>
      </c>
      <c r="W255" s="7" t="str">
        <f t="shared" si="23"/>
        <v>UK</v>
      </c>
      <c r="X255" s="7" t="str">
        <f t="shared" si="23"/>
        <v>South Africa</v>
      </c>
      <c r="Y255" s="7" t="str" cm="1">
        <f t="array" ref="Y255">IF(H255="",IFERROR(INDEX($H$2:$H$1166,MATCH(MAX(COUNTIF($H$2:$H$1166,$H$2:$H$1166)),COUNTIF($H$2:$H$1166,$H$2:$H$1166),0)),"Unknown"),H255)</f>
        <v>Pending</v>
      </c>
      <c r="Z255" s="7" t="str">
        <f t="shared" si="24"/>
        <v>External</v>
      </c>
      <c r="AA255" s="7">
        <f>IF(J255="",AVERAGE($J:$J),J255)</f>
        <v>8759.07</v>
      </c>
      <c r="AB255" s="7">
        <f>IF(N255="",AVERAGE($N:$N),N255)</f>
        <v>61</v>
      </c>
      <c r="AC255" s="7">
        <f t="shared" si="25"/>
        <v>2022</v>
      </c>
      <c r="AD255" s="7">
        <f t="shared" si="26"/>
        <v>8</v>
      </c>
      <c r="AE255" s="7">
        <f>COUNTIF(A:A,A255)</f>
        <v>1</v>
      </c>
      <c r="AF255" s="7" t="str">
        <f t="shared" si="27"/>
        <v>No</v>
      </c>
    </row>
    <row r="256" spans="1:32">
      <c r="A256" t="s">
        <v>978</v>
      </c>
      <c r="B256">
        <v>61657620</v>
      </c>
      <c r="C256" t="s">
        <v>979</v>
      </c>
      <c r="D256" t="s">
        <v>980</v>
      </c>
      <c r="E256" t="s">
        <v>20</v>
      </c>
      <c r="F256" t="s">
        <v>92</v>
      </c>
      <c r="G256" t="s">
        <v>53</v>
      </c>
      <c r="H256" t="s">
        <v>38</v>
      </c>
      <c r="I256" t="s">
        <v>3378</v>
      </c>
      <c r="J256">
        <v>11039.05</v>
      </c>
      <c r="K256" t="s">
        <v>86</v>
      </c>
      <c r="L256" t="s">
        <v>75</v>
      </c>
      <c r="M256" s="1">
        <v>45337.762499999997</v>
      </c>
      <c r="N256">
        <v>47</v>
      </c>
      <c r="O256" t="s">
        <v>23</v>
      </c>
      <c r="P256" t="s">
        <v>23</v>
      </c>
      <c r="Q256" t="s">
        <v>981</v>
      </c>
      <c r="R256">
        <f t="shared" si="21"/>
        <v>61657620</v>
      </c>
      <c r="S256" t="str" cm="1">
        <f t="array" ref="S256">IF(C256="",IFERROR(INDEX($C$2:$C$1166,MATCH(MAX(COUNTIF($C$2:$C$1166,$C$2:$C$1166)),COUNTIF($C$2:$C$1166,$C$2:$C$1166),0)),"Unknown"),C256)</f>
        <v>Carlos Rostova</v>
      </c>
      <c r="T256" s="4" t="str" cm="1">
        <f t="array" ref="T256">IF(D256="",IFERROR(INDEX($D$2:$D$1000,MATCH(MAX(COUNTIF($D$2:$D$1166,$D$2:$D$1166)),COUNTIF($D$2:$D$1166,$D$2:$D$1166),0)),"Unknown"),D256)</f>
        <v>Richard Taylor</v>
      </c>
      <c r="U256" t="str">
        <f t="shared" si="22"/>
        <v>AUD</v>
      </c>
      <c r="V256" s="7" t="str">
        <f t="shared" si="22"/>
        <v>AED</v>
      </c>
      <c r="W256" s="7" t="str">
        <f t="shared" si="23"/>
        <v>France</v>
      </c>
      <c r="X256" s="7" t="str">
        <f t="shared" si="23"/>
        <v>France</v>
      </c>
      <c r="Y256" s="7" t="str" cm="1">
        <f t="array" ref="Y256">IF(H256="",IFERROR(INDEX($H$2:$H$1166,MATCH(MAX(COUNTIF($H$2:$H$1166,$H$2:$H$1166)),COUNTIF($H$2:$H$1166,$H$2:$H$1166),0)),"Unknown"),H256)</f>
        <v>Pending</v>
      </c>
      <c r="Z256" s="7" t="str">
        <f t="shared" si="24"/>
        <v>Inter-Transaction</v>
      </c>
      <c r="AA256" s="7">
        <f>IF(J256="",AVERAGE($J:$J),J256)</f>
        <v>11039.05</v>
      </c>
      <c r="AB256" s="7">
        <f>IF(N256="",AVERAGE($N:$N),N256)</f>
        <v>47</v>
      </c>
      <c r="AC256" s="7">
        <f t="shared" si="25"/>
        <v>2024</v>
      </c>
      <c r="AD256" s="7">
        <f t="shared" si="26"/>
        <v>2</v>
      </c>
      <c r="AE256" s="7">
        <f>COUNTIF(A:A,A256)</f>
        <v>1</v>
      </c>
      <c r="AF256" s="7" t="str">
        <f t="shared" si="27"/>
        <v>No</v>
      </c>
    </row>
    <row r="257" spans="1:32">
      <c r="A257" t="s">
        <v>982</v>
      </c>
      <c r="B257">
        <v>37476059</v>
      </c>
      <c r="C257" t="s">
        <v>983</v>
      </c>
      <c r="D257" t="s">
        <v>297</v>
      </c>
      <c r="E257" t="s">
        <v>3375</v>
      </c>
      <c r="F257" t="s">
        <v>44</v>
      </c>
      <c r="G257" t="s">
        <v>22</v>
      </c>
      <c r="H257" t="s">
        <v>74</v>
      </c>
      <c r="I257" t="s">
        <v>3378</v>
      </c>
      <c r="J257">
        <v>5297.15</v>
      </c>
      <c r="K257" t="s">
        <v>57</v>
      </c>
      <c r="L257" t="s">
        <v>81</v>
      </c>
      <c r="M257" s="1">
        <v>44089.586805555555</v>
      </c>
      <c r="N257">
        <v>63</v>
      </c>
      <c r="O257" t="s">
        <v>62</v>
      </c>
      <c r="P257" t="s">
        <v>54</v>
      </c>
      <c r="Q257" t="s">
        <v>984</v>
      </c>
      <c r="R257">
        <f t="shared" si="21"/>
        <v>37476059</v>
      </c>
      <c r="S257" t="str" cm="1">
        <f t="array" ref="S257">IF(C257="",IFERROR(INDEX($C$2:$C$1166,MATCH(MAX(COUNTIF($C$2:$C$1166,$C$2:$C$1166)),COUNTIF($C$2:$C$1166,$C$2:$C$1166),0)),"Unknown"),C257)</f>
        <v>Michael Hernandez</v>
      </c>
      <c r="T257" s="4" t="str" cm="1">
        <f t="array" ref="T257">IF(D257="",IFERROR(INDEX($D$2:$D$1000,MATCH(MAX(COUNTIF($D$2:$D$1166,$D$2:$D$1166)),COUNTIF($D$2:$D$1166,$D$2:$D$1166),0)),"Unknown"),D257)</f>
        <v>Elizabeth Moore</v>
      </c>
      <c r="U257" t="str">
        <f t="shared" si="22"/>
        <v>SGD</v>
      </c>
      <c r="V257" s="7" t="str">
        <f t="shared" si="22"/>
        <v>BRL</v>
      </c>
      <c r="W257" s="7" t="str">
        <f t="shared" si="23"/>
        <v>Australia</v>
      </c>
      <c r="X257" s="7" t="str">
        <f t="shared" si="23"/>
        <v>India</v>
      </c>
      <c r="Y257" s="7" t="str" cm="1">
        <f t="array" ref="Y257">IF(H257="",IFERROR(INDEX($H$2:$H$1166,MATCH(MAX(COUNTIF($H$2:$H$1166,$H$2:$H$1166)),COUNTIF($H$2:$H$1166,$H$2:$H$1166),0)),"Unknown"),H257)</f>
        <v>Non-KYC</v>
      </c>
      <c r="Z257" s="7" t="str">
        <f t="shared" si="24"/>
        <v>Inter-Transaction</v>
      </c>
      <c r="AA257" s="7">
        <f>IF(J257="",AVERAGE($J:$J),J257)</f>
        <v>5297.15</v>
      </c>
      <c r="AB257" s="7">
        <f>IF(N257="",AVERAGE($N:$N),N257)</f>
        <v>63</v>
      </c>
      <c r="AC257" s="7">
        <f t="shared" si="25"/>
        <v>2020</v>
      </c>
      <c r="AD257" s="7">
        <f t="shared" si="26"/>
        <v>9</v>
      </c>
      <c r="AE257" s="7">
        <f>COUNTIF(A:A,A257)</f>
        <v>1</v>
      </c>
      <c r="AF257" s="7" t="str">
        <f t="shared" si="27"/>
        <v>No</v>
      </c>
    </row>
    <row r="258" spans="1:32">
      <c r="A258" t="s">
        <v>985</v>
      </c>
      <c r="B258">
        <v>81518649</v>
      </c>
      <c r="C258" t="s">
        <v>339</v>
      </c>
      <c r="D258" t="s">
        <v>986</v>
      </c>
      <c r="E258" t="s">
        <v>3375</v>
      </c>
      <c r="F258" t="s">
        <v>45</v>
      </c>
      <c r="G258" t="s">
        <v>392</v>
      </c>
      <c r="H258" t="s">
        <v>25</v>
      </c>
      <c r="I258" t="s">
        <v>3372</v>
      </c>
      <c r="J258">
        <v>13470.21</v>
      </c>
      <c r="K258" t="s">
        <v>57</v>
      </c>
      <c r="L258" t="s">
        <v>28</v>
      </c>
      <c r="M258" s="1">
        <v>46202.629861111112</v>
      </c>
      <c r="N258">
        <v>23</v>
      </c>
      <c r="O258" t="s">
        <v>93</v>
      </c>
      <c r="P258" t="s">
        <v>62</v>
      </c>
      <c r="Q258" t="s">
        <v>987</v>
      </c>
      <c r="R258">
        <f t="shared" ref="R258:R321" si="28">IF(B258="",0,B258)</f>
        <v>81518649</v>
      </c>
      <c r="S258" t="str" cm="1">
        <f t="array" ref="S258">IF(C258="",IFERROR(INDEX($C$2:$C$1166,MATCH(MAX(COUNTIF($C$2:$C$1166,$C$2:$C$1166)),COUNTIF($C$2:$C$1166,$C$2:$C$1166),0)),"Unknown"),C258)</f>
        <v>Carlos Martinez</v>
      </c>
      <c r="T258" s="4" t="str" cm="1">
        <f t="array" ref="T258">IF(D258="",IFERROR(INDEX($D$2:$D$1000,MATCH(MAX(COUNTIF($D$2:$D$1166,$D$2:$D$1166)),COUNTIF($D$2:$D$1166,$D$2:$D$1166),0)),"Unknown"),D258)</f>
        <v>Thomas Martin</v>
      </c>
      <c r="U258" t="str">
        <f t="shared" ref="U258:V321" si="29">TRIM(F258)</f>
        <v>ZAR</v>
      </c>
      <c r="V258" s="7" t="str">
        <f t="shared" si="29"/>
        <v>brl</v>
      </c>
      <c r="W258" s="7" t="str">
        <f t="shared" ref="W258:X321" si="30">TRIM(O258)</f>
        <v>USA</v>
      </c>
      <c r="X258" s="7" t="str">
        <f t="shared" si="30"/>
        <v>Australia</v>
      </c>
      <c r="Y258" s="7" t="str" cm="1">
        <f t="array" ref="Y258">IF(H258="",IFERROR(INDEX($H$2:$H$1166,MATCH(MAX(COUNTIF($H$2:$H$1166,$H$2:$H$1166)),COUNTIF($H$2:$H$1166,$H$2:$H$1166),0)),"Unknown"),H258)</f>
        <v>KYC</v>
      </c>
      <c r="Z258" s="7" t="str">
        <f t="shared" ref="Z258:Z321" si="31">PROPER(I258)</f>
        <v>Outer-Transaction</v>
      </c>
      <c r="AA258" s="7">
        <f>IF(J258="",AVERAGE($J:$J),J258)</f>
        <v>13470.21</v>
      </c>
      <c r="AB258" s="7">
        <f>IF(N258="",AVERAGE($N:$N),N258)</f>
        <v>23</v>
      </c>
      <c r="AC258" s="7">
        <f t="shared" ref="AC258:AC321" si="32">YEAR(M258)</f>
        <v>2026</v>
      </c>
      <c r="AD258" s="7">
        <f t="shared" ref="AD258:AD321" si="33">MONTH(M258)</f>
        <v>6</v>
      </c>
      <c r="AE258" s="7">
        <f>COUNTIF(A:A,A258)</f>
        <v>1</v>
      </c>
      <c r="AF258" s="7" t="str">
        <f t="shared" ref="AF258:AF321" si="34">IF(E258="","",IF(OR(E258="Yes",E258="Y",E258="TRUE",E258=1),"Yes","No"))</f>
        <v>No</v>
      </c>
    </row>
    <row r="259" spans="1:32">
      <c r="A259" t="s">
        <v>988</v>
      </c>
      <c r="B259">
        <v>65906603</v>
      </c>
      <c r="C259" t="s">
        <v>989</v>
      </c>
      <c r="D259" t="s">
        <v>150</v>
      </c>
      <c r="E259" t="s">
        <v>20</v>
      </c>
      <c r="F259" t="s">
        <v>92</v>
      </c>
      <c r="G259" t="s">
        <v>44</v>
      </c>
      <c r="H259" t="s">
        <v>38</v>
      </c>
      <c r="I259" t="s">
        <v>3374</v>
      </c>
      <c r="J259">
        <v>5044.8</v>
      </c>
      <c r="K259" t="s">
        <v>27</v>
      </c>
      <c r="L259" t="s">
        <v>75</v>
      </c>
      <c r="M259" s="1">
        <v>44699.636805555558</v>
      </c>
      <c r="N259">
        <v>54</v>
      </c>
      <c r="O259" t="s">
        <v>37</v>
      </c>
      <c r="P259" t="s">
        <v>54</v>
      </c>
      <c r="Q259" t="s">
        <v>990</v>
      </c>
      <c r="R259">
        <f t="shared" si="28"/>
        <v>65906603</v>
      </c>
      <c r="S259" t="str" cm="1">
        <f t="array" ref="S259">IF(C259="",IFERROR(INDEX($C$2:$C$1166,MATCH(MAX(COUNTIF($C$2:$C$1166,$C$2:$C$1166)),COUNTIF($C$2:$C$1166,$C$2:$C$1166),0)),"Unknown"),C259)</f>
        <v xml:space="preserve">  MARTA MOORE </v>
      </c>
      <c r="T259" s="4" t="str" cm="1">
        <f t="array" ref="T259">IF(D259="",IFERROR(INDEX($D$2:$D$1000,MATCH(MAX(COUNTIF($D$2:$D$1166,$D$2:$D$1166)),COUNTIF($D$2:$D$1166,$D$2:$D$1166),0)),"Unknown"),D259)</f>
        <v>Priya Jones</v>
      </c>
      <c r="U259" t="str">
        <f t="shared" si="29"/>
        <v>AUD</v>
      </c>
      <c r="V259" s="7" t="str">
        <f t="shared" si="29"/>
        <v>SGD</v>
      </c>
      <c r="W259" s="7" t="str">
        <f t="shared" si="30"/>
        <v>South Africa</v>
      </c>
      <c r="X259" s="7" t="str">
        <f t="shared" si="30"/>
        <v>India</v>
      </c>
      <c r="Y259" s="7" t="str" cm="1">
        <f t="array" ref="Y259">IF(H259="",IFERROR(INDEX($H$2:$H$1166,MATCH(MAX(COUNTIF($H$2:$H$1166,$H$2:$H$1166)),COUNTIF($H$2:$H$1166,$H$2:$H$1166),0)),"Unknown"),H259)</f>
        <v>Pending</v>
      </c>
      <c r="Z259" s="7" t="str">
        <f t="shared" si="31"/>
        <v>External</v>
      </c>
      <c r="AA259" s="7">
        <f>IF(J259="",AVERAGE($J:$J),J259)</f>
        <v>5044.8</v>
      </c>
      <c r="AB259" s="7">
        <f>IF(N259="",AVERAGE($N:$N),N259)</f>
        <v>54</v>
      </c>
      <c r="AC259" s="7">
        <f t="shared" si="32"/>
        <v>2022</v>
      </c>
      <c r="AD259" s="7">
        <f t="shared" si="33"/>
        <v>5</v>
      </c>
      <c r="AE259" s="7">
        <f>COUNTIF(A:A,A259)</f>
        <v>1</v>
      </c>
      <c r="AF259" s="7" t="str">
        <f t="shared" si="34"/>
        <v>No</v>
      </c>
    </row>
    <row r="260" spans="1:32">
      <c r="A260" t="s">
        <v>991</v>
      </c>
      <c r="B260">
        <v>51137063</v>
      </c>
      <c r="C260" t="s">
        <v>536</v>
      </c>
      <c r="D260" t="s">
        <v>452</v>
      </c>
      <c r="E260" t="s">
        <v>33</v>
      </c>
      <c r="F260" t="s">
        <v>53</v>
      </c>
      <c r="G260" t="s">
        <v>80</v>
      </c>
      <c r="H260" t="s">
        <v>38</v>
      </c>
      <c r="I260" t="s">
        <v>3378</v>
      </c>
      <c r="J260">
        <v>2742.38</v>
      </c>
      <c r="K260" t="s">
        <v>47</v>
      </c>
      <c r="L260" t="s">
        <v>48</v>
      </c>
      <c r="M260" s="1">
        <v>45022.824305555558</v>
      </c>
      <c r="N260">
        <v>41</v>
      </c>
      <c r="O260" t="s">
        <v>127</v>
      </c>
      <c r="P260" t="s">
        <v>68</v>
      </c>
      <c r="Q260" t="s">
        <v>992</v>
      </c>
      <c r="R260">
        <f t="shared" si="28"/>
        <v>51137063</v>
      </c>
      <c r="S260" t="str" cm="1">
        <f t="array" ref="S260">IF(C260="",IFERROR(INDEX($C$2:$C$1166,MATCH(MAX(COUNTIF($C$2:$C$1166,$C$2:$C$1166)),COUNTIF($C$2:$C$1166,$C$2:$C$1166),0)),"Unknown"),C260)</f>
        <v>Linda Silva</v>
      </c>
      <c r="T260" s="4" t="str" cm="1">
        <f t="array" ref="T260">IF(D260="",IFERROR(INDEX($D$2:$D$1000,MATCH(MAX(COUNTIF($D$2:$D$1166,$D$2:$D$1166)),COUNTIF($D$2:$D$1166,$D$2:$D$1166),0)),"Unknown"),D260)</f>
        <v>David Davis</v>
      </c>
      <c r="U260" t="str">
        <f t="shared" si="29"/>
        <v>AED</v>
      </c>
      <c r="V260" s="7" t="str">
        <f t="shared" si="29"/>
        <v>USD</v>
      </c>
      <c r="W260" s="7" t="str">
        <f t="shared" si="30"/>
        <v>Canada</v>
      </c>
      <c r="X260" s="7" t="str">
        <f t="shared" si="30"/>
        <v>UAE</v>
      </c>
      <c r="Y260" s="7" t="str" cm="1">
        <f t="array" ref="Y260">IF(H260="",IFERROR(INDEX($H$2:$H$1166,MATCH(MAX(COUNTIF($H$2:$H$1166,$H$2:$H$1166)),COUNTIF($H$2:$H$1166,$H$2:$H$1166),0)),"Unknown"),H260)</f>
        <v>Pending</v>
      </c>
      <c r="Z260" s="7" t="str">
        <f t="shared" si="31"/>
        <v>Inter-Transaction</v>
      </c>
      <c r="AA260" s="7">
        <f>IF(J260="",AVERAGE($J:$J),J260)</f>
        <v>2742.38</v>
      </c>
      <c r="AB260" s="7">
        <f>IF(N260="",AVERAGE($N:$N),N260)</f>
        <v>41</v>
      </c>
      <c r="AC260" s="7">
        <f t="shared" si="32"/>
        <v>2023</v>
      </c>
      <c r="AD260" s="7">
        <f t="shared" si="33"/>
        <v>4</v>
      </c>
      <c r="AE260" s="7">
        <f>COUNTIF(A:A,A260)</f>
        <v>1</v>
      </c>
      <c r="AF260" s="7" t="str">
        <f t="shared" si="34"/>
        <v>Yes</v>
      </c>
    </row>
    <row r="261" spans="1:32">
      <c r="A261" t="s">
        <v>993</v>
      </c>
      <c r="B261">
        <v>14655890</v>
      </c>
      <c r="C261" t="s">
        <v>994</v>
      </c>
      <c r="D261" t="s">
        <v>995</v>
      </c>
      <c r="E261" t="s">
        <v>20</v>
      </c>
      <c r="F261" t="s">
        <v>98</v>
      </c>
      <c r="G261" t="s">
        <v>91</v>
      </c>
      <c r="H261" t="s">
        <v>56</v>
      </c>
      <c r="I261" t="s">
        <v>3378</v>
      </c>
      <c r="J261">
        <v>2349.2399999999998</v>
      </c>
      <c r="K261" t="s">
        <v>27</v>
      </c>
      <c r="L261" t="s">
        <v>75</v>
      </c>
      <c r="M261" s="1">
        <v>44518.443055555559</v>
      </c>
      <c r="N261">
        <v>63</v>
      </c>
      <c r="O261" t="s">
        <v>54</v>
      </c>
      <c r="P261" t="s">
        <v>127</v>
      </c>
      <c r="Q261" t="s">
        <v>996</v>
      </c>
      <c r="R261">
        <f t="shared" si="28"/>
        <v>14655890</v>
      </c>
      <c r="S261" t="str" cm="1">
        <f t="array" ref="S261">IF(C261="",IFERROR(INDEX($C$2:$C$1166,MATCH(MAX(COUNTIF($C$2:$C$1166,$C$2:$C$1166)),COUNTIF($C$2:$C$1166,$C$2:$C$1166),0)),"Unknown"),C261)</f>
        <v>Marta Hernandez</v>
      </c>
      <c r="T261" s="4" t="str" cm="1">
        <f t="array" ref="T261">IF(D261="",IFERROR(INDEX($D$2:$D$1000,MATCH(MAX(COUNTIF($D$2:$D$1166,$D$2:$D$1166)),COUNTIF($D$2:$D$1166,$D$2:$D$1166),0)),"Unknown"),D261)</f>
        <v>Susan Jones</v>
      </c>
      <c r="U261" t="str">
        <f t="shared" si="29"/>
        <v>JPY</v>
      </c>
      <c r="V261" s="7" t="str">
        <f t="shared" si="29"/>
        <v>gbp</v>
      </c>
      <c r="W261" s="7" t="str">
        <f t="shared" si="30"/>
        <v>India</v>
      </c>
      <c r="X261" s="7" t="str">
        <f t="shared" si="30"/>
        <v>Canada</v>
      </c>
      <c r="Y261" s="7" t="str" cm="1">
        <f t="array" ref="Y261">IF(H261="",IFERROR(INDEX($H$2:$H$1166,MATCH(MAX(COUNTIF($H$2:$H$1166,$H$2:$H$1166)),COUNTIF($H$2:$H$1166,$H$2:$H$1166),0)),"Unknown"),H261)</f>
        <v>Unverified</v>
      </c>
      <c r="Z261" s="7" t="str">
        <f t="shared" si="31"/>
        <v>Inter-Transaction</v>
      </c>
      <c r="AA261" s="7">
        <f>IF(J261="",AVERAGE($J:$J),J261)</f>
        <v>2349.2399999999998</v>
      </c>
      <c r="AB261" s="7">
        <f>IF(N261="",AVERAGE($N:$N),N261)</f>
        <v>63</v>
      </c>
      <c r="AC261" s="7">
        <f t="shared" si="32"/>
        <v>2021</v>
      </c>
      <c r="AD261" s="7">
        <f t="shared" si="33"/>
        <v>11</v>
      </c>
      <c r="AE261" s="7">
        <f>COUNTIF(A:A,A261)</f>
        <v>1</v>
      </c>
      <c r="AF261" s="7" t="str">
        <f t="shared" si="34"/>
        <v>No</v>
      </c>
    </row>
    <row r="262" spans="1:32">
      <c r="A262" t="s">
        <v>997</v>
      </c>
      <c r="C262" t="s">
        <v>907</v>
      </c>
      <c r="D262" t="s">
        <v>998</v>
      </c>
      <c r="E262" t="s">
        <v>20</v>
      </c>
      <c r="F262" t="s">
        <v>80</v>
      </c>
      <c r="G262" t="s">
        <v>91</v>
      </c>
      <c r="H262" t="s">
        <v>103</v>
      </c>
      <c r="I262" t="s">
        <v>3377</v>
      </c>
      <c r="J262">
        <v>4902.2299999999996</v>
      </c>
      <c r="K262" t="s">
        <v>27</v>
      </c>
      <c r="L262" t="s">
        <v>48</v>
      </c>
      <c r="M262" s="1">
        <v>44140.7</v>
      </c>
      <c r="N262">
        <v>70</v>
      </c>
      <c r="O262" t="s">
        <v>68</v>
      </c>
      <c r="P262" t="s">
        <v>127</v>
      </c>
      <c r="Q262" t="s">
        <v>999</v>
      </c>
      <c r="R262">
        <f t="shared" si="28"/>
        <v>0</v>
      </c>
      <c r="S262" t="str" cm="1">
        <f t="array" ref="S262">IF(C262="",IFERROR(INDEX($C$2:$C$1166,MATCH(MAX(COUNTIF($C$2:$C$1166,$C$2:$C$1166)),COUNTIF($C$2:$C$1166,$C$2:$C$1166),0)),"Unknown"),C262)</f>
        <v>Richard Rostova</v>
      </c>
      <c r="T262" s="4" t="str" cm="1">
        <f t="array" ref="T262">IF(D262="",IFERROR(INDEX($D$2:$D$1000,MATCH(MAX(COUNTIF($D$2:$D$1166,$D$2:$D$1166)),COUNTIF($D$2:$D$1166,$D$2:$D$1166),0)),"Unknown"),D262)</f>
        <v>Patricia Al-Sayed</v>
      </c>
      <c r="U262" t="str">
        <f t="shared" si="29"/>
        <v>USD</v>
      </c>
      <c r="V262" s="7" t="str">
        <f t="shared" si="29"/>
        <v>gbp</v>
      </c>
      <c r="W262" s="7" t="str">
        <f t="shared" si="30"/>
        <v>UAE</v>
      </c>
      <c r="X262" s="7" t="str">
        <f t="shared" si="30"/>
        <v>Canada</v>
      </c>
      <c r="Y262" s="7" t="str" cm="1">
        <f t="array" ref="Y262">IF(H262="",IFERROR(INDEX($H$2:$H$1166,MATCH(MAX(COUNTIF($H$2:$H$1166,$H$2:$H$1166)),COUNTIF($H$2:$H$1166,$H$2:$H$1166),0)),"Unknown"),H262)</f>
        <v>Verified</v>
      </c>
      <c r="Z262" s="7" t="str">
        <f t="shared" si="31"/>
        <v>Inter-Transaction</v>
      </c>
      <c r="AA262" s="7">
        <f>IF(J262="",AVERAGE($J:$J),J262)</f>
        <v>4902.2299999999996</v>
      </c>
      <c r="AB262" s="7">
        <f>IF(N262="",AVERAGE($N:$N),N262)</f>
        <v>70</v>
      </c>
      <c r="AC262" s="7">
        <f t="shared" si="32"/>
        <v>2020</v>
      </c>
      <c r="AD262" s="7">
        <f t="shared" si="33"/>
        <v>11</v>
      </c>
      <c r="AE262" s="7">
        <f>COUNTIF(A:A,A262)</f>
        <v>1</v>
      </c>
      <c r="AF262" s="7" t="str">
        <f t="shared" si="34"/>
        <v>No</v>
      </c>
    </row>
    <row r="263" spans="1:32">
      <c r="A263" t="s">
        <v>1000</v>
      </c>
      <c r="B263">
        <v>36098642</v>
      </c>
      <c r="C263" t="s">
        <v>1001</v>
      </c>
      <c r="D263" t="s">
        <v>1002</v>
      </c>
      <c r="E263" t="b">
        <v>1</v>
      </c>
      <c r="F263" t="s">
        <v>80</v>
      </c>
      <c r="G263" t="s">
        <v>45</v>
      </c>
      <c r="H263" t="s">
        <v>103</v>
      </c>
      <c r="I263" t="s">
        <v>3378</v>
      </c>
      <c r="J263">
        <v>5276.81</v>
      </c>
      <c r="K263" t="s">
        <v>39</v>
      </c>
      <c r="L263" t="s">
        <v>28</v>
      </c>
      <c r="M263" s="1">
        <v>45333.488888888889</v>
      </c>
      <c r="N263">
        <v>77</v>
      </c>
      <c r="O263" t="s">
        <v>54</v>
      </c>
      <c r="P263" t="s">
        <v>127</v>
      </c>
      <c r="Q263" t="s">
        <v>1003</v>
      </c>
      <c r="R263">
        <f t="shared" si="28"/>
        <v>36098642</v>
      </c>
      <c r="S263" t="str" cm="1">
        <f t="array" ref="S263">IF(C263="",IFERROR(INDEX($C$2:$C$1166,MATCH(MAX(COUNTIF($C$2:$C$1166,$C$2:$C$1166)),COUNTIF($C$2:$C$1166,$C$2:$C$1166),0)),"Unknown"),C263)</f>
        <v>Sarah Hernandez</v>
      </c>
      <c r="T263" s="4" t="str" cm="1">
        <f t="array" ref="T263">IF(D263="",IFERROR(INDEX($D$2:$D$1000,MATCH(MAX(COUNTIF($D$2:$D$1166,$D$2:$D$1166)),COUNTIF($D$2:$D$1166,$D$2:$D$1166),0)),"Unknown"),D263)</f>
        <v>Nancy Martin</v>
      </c>
      <c r="U263" t="str">
        <f t="shared" si="29"/>
        <v>USD</v>
      </c>
      <c r="V263" s="7" t="str">
        <f t="shared" si="29"/>
        <v>ZAR</v>
      </c>
      <c r="W263" s="7" t="str">
        <f t="shared" si="30"/>
        <v>India</v>
      </c>
      <c r="X263" s="7" t="str">
        <f t="shared" si="30"/>
        <v>Canada</v>
      </c>
      <c r="Y263" s="7" t="str" cm="1">
        <f t="array" ref="Y263">IF(H263="",IFERROR(INDEX($H$2:$H$1166,MATCH(MAX(COUNTIF($H$2:$H$1166,$H$2:$H$1166)),COUNTIF($H$2:$H$1166,$H$2:$H$1166),0)),"Unknown"),H263)</f>
        <v>Verified</v>
      </c>
      <c r="Z263" s="7" t="str">
        <f t="shared" si="31"/>
        <v>Inter-Transaction</v>
      </c>
      <c r="AA263" s="7">
        <f>IF(J263="",AVERAGE($J:$J),J263)</f>
        <v>5276.81</v>
      </c>
      <c r="AB263" s="7">
        <f>IF(N263="",AVERAGE($N:$N),N263)</f>
        <v>77</v>
      </c>
      <c r="AC263" s="7">
        <f t="shared" si="32"/>
        <v>2024</v>
      </c>
      <c r="AD263" s="7">
        <f t="shared" si="33"/>
        <v>2</v>
      </c>
      <c r="AE263" s="7">
        <f>COUNTIF(A:A,A263)</f>
        <v>1</v>
      </c>
      <c r="AF263" s="7" t="str">
        <f t="shared" si="34"/>
        <v>No</v>
      </c>
    </row>
    <row r="264" spans="1:32">
      <c r="A264" t="s">
        <v>1004</v>
      </c>
      <c r="B264">
        <v>66885794</v>
      </c>
      <c r="C264" t="s">
        <v>1005</v>
      </c>
      <c r="D264" t="s">
        <v>1006</v>
      </c>
      <c r="E264" t="s">
        <v>20</v>
      </c>
      <c r="F264" t="s">
        <v>116</v>
      </c>
      <c r="G264" t="s">
        <v>35</v>
      </c>
      <c r="H264" t="s">
        <v>38</v>
      </c>
      <c r="I264" t="s">
        <v>3372</v>
      </c>
      <c r="J264">
        <v>1335.84</v>
      </c>
      <c r="K264" t="s">
        <v>39</v>
      </c>
      <c r="L264" t="s">
        <v>75</v>
      </c>
      <c r="M264" s="1">
        <v>44303.379166666666</v>
      </c>
      <c r="N264">
        <v>80</v>
      </c>
      <c r="O264" t="s">
        <v>68</v>
      </c>
      <c r="P264" t="s">
        <v>23</v>
      </c>
      <c r="Q264" t="s">
        <v>1007</v>
      </c>
      <c r="R264">
        <f t="shared" si="28"/>
        <v>66885794</v>
      </c>
      <c r="S264" t="str" cm="1">
        <f t="array" ref="S264">IF(C264="",IFERROR(INDEX($C$2:$C$1166,MATCH(MAX(COUNTIF($C$2:$C$1166,$C$2:$C$1166)),COUNTIF($C$2:$C$1166,$C$2:$C$1166),0)),"Unknown"),C264)</f>
        <v>Fatima Volkov</v>
      </c>
      <c r="T264" s="4" t="str" cm="1">
        <f t="array" ref="T264">IF(D264="",IFERROR(INDEX($D$2:$D$1000,MATCH(MAX(COUNTIF($D$2:$D$1166,$D$2:$D$1166)),COUNTIF($D$2:$D$1166,$D$2:$D$1166),0)),"Unknown"),D264)</f>
        <v>Jessica Jones</v>
      </c>
      <c r="U264" t="str">
        <f t="shared" si="29"/>
        <v>CHF</v>
      </c>
      <c r="V264" s="7" t="str">
        <f t="shared" si="29"/>
        <v>EUR</v>
      </c>
      <c r="W264" s="7" t="str">
        <f t="shared" si="30"/>
        <v>UAE</v>
      </c>
      <c r="X264" s="7" t="str">
        <f t="shared" si="30"/>
        <v>France</v>
      </c>
      <c r="Y264" s="7" t="str" cm="1">
        <f t="array" ref="Y264">IF(H264="",IFERROR(INDEX($H$2:$H$1166,MATCH(MAX(COUNTIF($H$2:$H$1166,$H$2:$H$1166)),COUNTIF($H$2:$H$1166,$H$2:$H$1166),0)),"Unknown"),H264)</f>
        <v>Pending</v>
      </c>
      <c r="Z264" s="7" t="str">
        <f t="shared" si="31"/>
        <v>Outer-Transaction</v>
      </c>
      <c r="AA264" s="7">
        <f>IF(J264="",AVERAGE($J:$J),J264)</f>
        <v>1335.84</v>
      </c>
      <c r="AB264" s="7">
        <f>IF(N264="",AVERAGE($N:$N),N264)</f>
        <v>80</v>
      </c>
      <c r="AC264" s="7">
        <f t="shared" si="32"/>
        <v>2021</v>
      </c>
      <c r="AD264" s="7">
        <f t="shared" si="33"/>
        <v>4</v>
      </c>
      <c r="AE264" s="7">
        <f>COUNTIF(A:A,A264)</f>
        <v>1</v>
      </c>
      <c r="AF264" s="7" t="str">
        <f t="shared" si="34"/>
        <v>No</v>
      </c>
    </row>
    <row r="265" spans="1:32">
      <c r="A265" t="s">
        <v>1008</v>
      </c>
      <c r="B265">
        <v>75845287</v>
      </c>
      <c r="C265" t="s">
        <v>1009</v>
      </c>
      <c r="D265" t="s">
        <v>1010</v>
      </c>
      <c r="E265" t="s">
        <v>20</v>
      </c>
      <c r="F265" t="s">
        <v>53</v>
      </c>
      <c r="G265" t="s">
        <v>686</v>
      </c>
      <c r="I265" t="s">
        <v>3374</v>
      </c>
      <c r="J265">
        <v>7093.39</v>
      </c>
      <c r="K265" t="s">
        <v>57</v>
      </c>
      <c r="L265" t="s">
        <v>81</v>
      </c>
      <c r="M265" s="1">
        <v>46339.57916666667</v>
      </c>
      <c r="N265">
        <v>49</v>
      </c>
      <c r="O265" t="s">
        <v>62</v>
      </c>
      <c r="P265" t="s">
        <v>127</v>
      </c>
      <c r="Q265" t="s">
        <v>1011</v>
      </c>
      <c r="R265">
        <f t="shared" si="28"/>
        <v>75845287</v>
      </c>
      <c r="S265" t="str" cm="1">
        <f t="array" ref="S265">IF(C265="",IFERROR(INDEX($C$2:$C$1166,MATCH(MAX(COUNTIF($C$2:$C$1166,$C$2:$C$1166)),COUNTIF($C$2:$C$1166,$C$2:$C$1166),0)),"Unknown"),C265)</f>
        <v xml:space="preserve">  MARY KHAN </v>
      </c>
      <c r="T265" s="4" t="str" cm="1">
        <f t="array" ref="T265">IF(D265="",IFERROR(INDEX($D$2:$D$1000,MATCH(MAX(COUNTIF($D$2:$D$1166,$D$2:$D$1166)),COUNTIF($D$2:$D$1166,$D$2:$D$1166),0)),"Unknown"),D265)</f>
        <v>Amir Martinez</v>
      </c>
      <c r="U265" t="str">
        <f t="shared" si="29"/>
        <v>AED</v>
      </c>
      <c r="V265" s="7" t="str">
        <f t="shared" si="29"/>
        <v>sgd</v>
      </c>
      <c r="W265" s="7" t="str">
        <f t="shared" si="30"/>
        <v>Australia</v>
      </c>
      <c r="X265" s="7" t="str">
        <f t="shared" si="30"/>
        <v>Canada</v>
      </c>
      <c r="Y265" s="7" t="str" cm="1">
        <f t="array" ref="Y265">IF(H265="",IFERROR(INDEX($H$2:$H$1166,MATCH(MAX(COUNTIF($H$2:$H$1166,$H$2:$H$1166)),COUNTIF($H$2:$H$1166,$H$2:$H$1166),0)),"Unknown"),H265)</f>
        <v>Pending</v>
      </c>
      <c r="Z265" s="7" t="str">
        <f t="shared" si="31"/>
        <v>External</v>
      </c>
      <c r="AA265" s="7">
        <f>IF(J265="",AVERAGE($J:$J),J265)</f>
        <v>7093.39</v>
      </c>
      <c r="AB265" s="7">
        <f>IF(N265="",AVERAGE($N:$N),N265)</f>
        <v>49</v>
      </c>
      <c r="AC265" s="7">
        <f t="shared" si="32"/>
        <v>2026</v>
      </c>
      <c r="AD265" s="7">
        <f t="shared" si="33"/>
        <v>11</v>
      </c>
      <c r="AE265" s="7">
        <f>COUNTIF(A:A,A265)</f>
        <v>1</v>
      </c>
      <c r="AF265" s="7" t="str">
        <f t="shared" si="34"/>
        <v>No</v>
      </c>
    </row>
    <row r="266" spans="1:32">
      <c r="A266" t="s">
        <v>1012</v>
      </c>
      <c r="B266">
        <v>58554539</v>
      </c>
      <c r="C266" t="s">
        <v>1013</v>
      </c>
      <c r="D266" t="s">
        <v>1014</v>
      </c>
      <c r="E266">
        <v>1</v>
      </c>
      <c r="F266" t="s">
        <v>45</v>
      </c>
      <c r="G266" t="s">
        <v>45</v>
      </c>
      <c r="H266" t="s">
        <v>103</v>
      </c>
      <c r="I266" t="s">
        <v>3371</v>
      </c>
      <c r="J266">
        <v>8729</v>
      </c>
      <c r="K266" t="s">
        <v>47</v>
      </c>
      <c r="L266" t="s">
        <v>75</v>
      </c>
      <c r="M266" s="1">
        <v>44644.033333333333</v>
      </c>
      <c r="N266">
        <v>50</v>
      </c>
      <c r="O266" t="s">
        <v>68</v>
      </c>
      <c r="P266" t="s">
        <v>68</v>
      </c>
      <c r="Q266" t="s">
        <v>1015</v>
      </c>
      <c r="R266">
        <f t="shared" si="28"/>
        <v>58554539</v>
      </c>
      <c r="S266" t="str" cm="1">
        <f t="array" ref="S266">IF(C266="",IFERROR(INDEX($C$2:$C$1166,MATCH(MAX(COUNTIF($C$2:$C$1166,$C$2:$C$1166)),COUNTIF($C$2:$C$1166,$C$2:$C$1166),0)),"Unknown"),C266)</f>
        <v>Christopher Thomas</v>
      </c>
      <c r="T266" s="4" t="str" cm="1">
        <f t="array" ref="T266">IF(D266="",IFERROR(INDEX($D$2:$D$1000,MATCH(MAX(COUNTIF($D$2:$D$1166,$D$2:$D$1166)),COUNTIF($D$2:$D$1166,$D$2:$D$1166),0)),"Unknown"),D266)</f>
        <v>Christopher Wilson</v>
      </c>
      <c r="U266" t="str">
        <f t="shared" si="29"/>
        <v>ZAR</v>
      </c>
      <c r="V266" s="7" t="str">
        <f t="shared" si="29"/>
        <v>ZAR</v>
      </c>
      <c r="W266" s="7" t="str">
        <f t="shared" si="30"/>
        <v>UAE</v>
      </c>
      <c r="X266" s="7" t="str">
        <f t="shared" si="30"/>
        <v>UAE</v>
      </c>
      <c r="Y266" s="7" t="str" cm="1">
        <f t="array" ref="Y266">IF(H266="",IFERROR(INDEX($H$2:$H$1166,MATCH(MAX(COUNTIF($H$2:$H$1166,$H$2:$H$1166)),COUNTIF($H$2:$H$1166,$H$2:$H$1166),0)),"Unknown"),H266)</f>
        <v>Verified</v>
      </c>
      <c r="Z266" s="7" t="str">
        <f t="shared" si="31"/>
        <v>Outer-Transaction</v>
      </c>
      <c r="AA266" s="7">
        <f>IF(J266="",AVERAGE($J:$J),J266)</f>
        <v>8729</v>
      </c>
      <c r="AB266" s="7">
        <f>IF(N266="",AVERAGE($N:$N),N266)</f>
        <v>50</v>
      </c>
      <c r="AC266" s="7">
        <f t="shared" si="32"/>
        <v>2022</v>
      </c>
      <c r="AD266" s="7">
        <f t="shared" si="33"/>
        <v>3</v>
      </c>
      <c r="AE266" s="7">
        <f>COUNTIF(A:A,A266)</f>
        <v>1</v>
      </c>
      <c r="AF266" s="7" t="str">
        <f t="shared" si="34"/>
        <v>Yes</v>
      </c>
    </row>
    <row r="267" spans="1:32">
      <c r="A267" t="s">
        <v>1016</v>
      </c>
      <c r="B267">
        <v>49146492</v>
      </c>
      <c r="C267" t="s">
        <v>285</v>
      </c>
      <c r="D267" t="s">
        <v>950</v>
      </c>
      <c r="E267" t="s">
        <v>20</v>
      </c>
      <c r="F267" t="s">
        <v>45</v>
      </c>
      <c r="G267" t="s">
        <v>21</v>
      </c>
      <c r="I267" t="s">
        <v>3378</v>
      </c>
      <c r="J267">
        <v>4079.17</v>
      </c>
      <c r="K267" t="s">
        <v>57</v>
      </c>
      <c r="L267" t="s">
        <v>28</v>
      </c>
      <c r="M267" s="1">
        <v>44676.138888888891</v>
      </c>
      <c r="N267">
        <v>84</v>
      </c>
      <c r="O267" t="s">
        <v>55</v>
      </c>
      <c r="P267" t="s">
        <v>24</v>
      </c>
      <c r="Q267" t="s">
        <v>1017</v>
      </c>
      <c r="R267">
        <f t="shared" si="28"/>
        <v>49146492</v>
      </c>
      <c r="S267" t="str" cm="1">
        <f t="array" ref="S267">IF(C267="",IFERROR(INDEX($C$2:$C$1166,MATCH(MAX(COUNTIF($C$2:$C$1166,$C$2:$C$1166)),COUNTIF($C$2:$C$1166,$C$2:$C$1166),0)),"Unknown"),C267)</f>
        <v>Charles Nair</v>
      </c>
      <c r="T267" s="4" t="str" cm="1">
        <f t="array" ref="T267">IF(D267="",IFERROR(INDEX($D$2:$D$1000,MATCH(MAX(COUNTIF($D$2:$D$1166,$D$2:$D$1166)),COUNTIF($D$2:$D$1166,$D$2:$D$1166),0)),"Unknown"),D267)</f>
        <v>Priya Williams</v>
      </c>
      <c r="U267" t="str">
        <f t="shared" si="29"/>
        <v>ZAR</v>
      </c>
      <c r="V267" s="7" t="str">
        <f t="shared" si="29"/>
        <v>GBP</v>
      </c>
      <c r="W267" s="7" t="str">
        <f t="shared" si="30"/>
        <v>UK</v>
      </c>
      <c r="X267" s="7" t="str">
        <f t="shared" si="30"/>
        <v>Brazil</v>
      </c>
      <c r="Y267" s="7" t="str" cm="1">
        <f t="array" ref="Y267">IF(H267="",IFERROR(INDEX($H$2:$H$1166,MATCH(MAX(COUNTIF($H$2:$H$1166,$H$2:$H$1166)),COUNTIF($H$2:$H$1166,$H$2:$H$1166),0)),"Unknown"),H267)</f>
        <v>Pending</v>
      </c>
      <c r="Z267" s="7" t="str">
        <f t="shared" si="31"/>
        <v>Inter-Transaction</v>
      </c>
      <c r="AA267" s="7">
        <f>IF(J267="",AVERAGE($J:$J),J267)</f>
        <v>4079.17</v>
      </c>
      <c r="AB267" s="7">
        <f>IF(N267="",AVERAGE($N:$N),N267)</f>
        <v>84</v>
      </c>
      <c r="AC267" s="7">
        <f t="shared" si="32"/>
        <v>2022</v>
      </c>
      <c r="AD267" s="7">
        <f t="shared" si="33"/>
        <v>4</v>
      </c>
      <c r="AE267" s="7">
        <f>COUNTIF(A:A,A267)</f>
        <v>1</v>
      </c>
      <c r="AF267" s="7" t="str">
        <f t="shared" si="34"/>
        <v>No</v>
      </c>
    </row>
    <row r="268" spans="1:32">
      <c r="A268" t="s">
        <v>1018</v>
      </c>
      <c r="B268">
        <v>39242850</v>
      </c>
      <c r="C268" t="s">
        <v>408</v>
      </c>
      <c r="D268" t="s">
        <v>51</v>
      </c>
      <c r="E268" t="s">
        <v>20</v>
      </c>
      <c r="F268" t="s">
        <v>98</v>
      </c>
      <c r="G268" t="s">
        <v>116</v>
      </c>
      <c r="H268" t="s">
        <v>25</v>
      </c>
      <c r="I268" t="s">
        <v>3372</v>
      </c>
      <c r="J268">
        <v>6912.77</v>
      </c>
      <c r="K268" t="s">
        <v>86</v>
      </c>
      <c r="L268" t="s">
        <v>28</v>
      </c>
      <c r="M268" s="1">
        <v>44995.20208333333</v>
      </c>
      <c r="N268">
        <v>35</v>
      </c>
      <c r="O268" t="s">
        <v>37</v>
      </c>
      <c r="P268" t="s">
        <v>62</v>
      </c>
      <c r="Q268" t="s">
        <v>1019</v>
      </c>
      <c r="R268">
        <f t="shared" si="28"/>
        <v>39242850</v>
      </c>
      <c r="S268" t="str" cm="1">
        <f t="array" ref="S268">IF(C268="",IFERROR(INDEX($C$2:$C$1166,MATCH(MAX(COUNTIF($C$2:$C$1166,$C$2:$C$1166)),COUNTIF($C$2:$C$1166,$C$2:$C$1166),0)),"Unknown"),C268)</f>
        <v>Michael Taylor</v>
      </c>
      <c r="T268" s="4" t="str" cm="1">
        <f t="array" ref="T268">IF(D268="",IFERROR(INDEX($D$2:$D$1000,MATCH(MAX(COUNTIF($D$2:$D$1166,$D$2:$D$1166)),COUNTIF($D$2:$D$1166,$D$2:$D$1166),0)),"Unknown"),D268)</f>
        <v>Elizabeth Khan</v>
      </c>
      <c r="U268" t="str">
        <f t="shared" si="29"/>
        <v>JPY</v>
      </c>
      <c r="V268" s="7" t="str">
        <f t="shared" si="29"/>
        <v>CHF</v>
      </c>
      <c r="W268" s="7" t="str">
        <f t="shared" si="30"/>
        <v>South Africa</v>
      </c>
      <c r="X268" s="7" t="str">
        <f t="shared" si="30"/>
        <v>Australia</v>
      </c>
      <c r="Y268" s="7" t="str" cm="1">
        <f t="array" ref="Y268">IF(H268="",IFERROR(INDEX($H$2:$H$1166,MATCH(MAX(COUNTIF($H$2:$H$1166,$H$2:$H$1166)),COUNTIF($H$2:$H$1166,$H$2:$H$1166),0)),"Unknown"),H268)</f>
        <v>KYC</v>
      </c>
      <c r="Z268" s="7" t="str">
        <f t="shared" si="31"/>
        <v>Outer-Transaction</v>
      </c>
      <c r="AA268" s="7">
        <f>IF(J268="",AVERAGE($J:$J),J268)</f>
        <v>6912.77</v>
      </c>
      <c r="AB268" s="7">
        <f>IF(N268="",AVERAGE($N:$N),N268)</f>
        <v>35</v>
      </c>
      <c r="AC268" s="7">
        <f t="shared" si="32"/>
        <v>2023</v>
      </c>
      <c r="AD268" s="7">
        <f t="shared" si="33"/>
        <v>3</v>
      </c>
      <c r="AE268" s="7">
        <f>COUNTIF(A:A,A268)</f>
        <v>1</v>
      </c>
      <c r="AF268" s="7" t="str">
        <f t="shared" si="34"/>
        <v>No</v>
      </c>
    </row>
    <row r="269" spans="1:32">
      <c r="A269" t="s">
        <v>1020</v>
      </c>
      <c r="B269">
        <v>55908520</v>
      </c>
      <c r="C269" t="s">
        <v>1021</v>
      </c>
      <c r="D269" t="s">
        <v>1022</v>
      </c>
      <c r="E269" t="s">
        <v>20</v>
      </c>
      <c r="F269" t="s">
        <v>35</v>
      </c>
      <c r="G269" t="s">
        <v>121</v>
      </c>
      <c r="H269" t="s">
        <v>25</v>
      </c>
      <c r="I269" t="s">
        <v>3372</v>
      </c>
      <c r="J269">
        <v>10365.36</v>
      </c>
      <c r="K269" t="s">
        <v>86</v>
      </c>
      <c r="L269" t="s">
        <v>28</v>
      </c>
      <c r="M269" s="1">
        <v>44497.995833333334</v>
      </c>
      <c r="N269">
        <v>42</v>
      </c>
      <c r="O269" t="s">
        <v>37</v>
      </c>
      <c r="P269" t="s">
        <v>68</v>
      </c>
      <c r="Q269" t="s">
        <v>1023</v>
      </c>
      <c r="R269">
        <f t="shared" si="28"/>
        <v>55908520</v>
      </c>
      <c r="S269" t="str" cm="1">
        <f t="array" ref="S269">IF(C269="",IFERROR(INDEX($C$2:$C$1166,MATCH(MAX(COUNTIF($C$2:$C$1166,$C$2:$C$1166)),COUNTIF($C$2:$C$1166,$C$2:$C$1166),0)),"Unknown"),C269)</f>
        <v>Linda Rostova</v>
      </c>
      <c r="T269" s="4" t="str" cm="1">
        <f t="array" ref="T269">IF(D269="",IFERROR(INDEX($D$2:$D$1000,MATCH(MAX(COUNTIF($D$2:$D$1166,$D$2:$D$1166)),COUNTIF($D$2:$D$1166,$D$2:$D$1166),0)),"Unknown"),D269)</f>
        <v>Barbara Smith</v>
      </c>
      <c r="U269" t="str">
        <f t="shared" si="29"/>
        <v>EUR</v>
      </c>
      <c r="V269" s="7" t="str">
        <f t="shared" si="29"/>
        <v>INR</v>
      </c>
      <c r="W269" s="7" t="str">
        <f t="shared" si="30"/>
        <v>South Africa</v>
      </c>
      <c r="X269" s="7" t="str">
        <f t="shared" si="30"/>
        <v>UAE</v>
      </c>
      <c r="Y269" s="7" t="str" cm="1">
        <f t="array" ref="Y269">IF(H269="",IFERROR(INDEX($H$2:$H$1166,MATCH(MAX(COUNTIF($H$2:$H$1166,$H$2:$H$1166)),COUNTIF($H$2:$H$1166,$H$2:$H$1166),0)),"Unknown"),H269)</f>
        <v>KYC</v>
      </c>
      <c r="Z269" s="7" t="str">
        <f t="shared" si="31"/>
        <v>Outer-Transaction</v>
      </c>
      <c r="AA269" s="7">
        <f>IF(J269="",AVERAGE($J:$J),J269)</f>
        <v>10365.36</v>
      </c>
      <c r="AB269" s="7">
        <f>IF(N269="",AVERAGE($N:$N),N269)</f>
        <v>42</v>
      </c>
      <c r="AC269" s="7">
        <f t="shared" si="32"/>
        <v>2021</v>
      </c>
      <c r="AD269" s="7">
        <f t="shared" si="33"/>
        <v>10</v>
      </c>
      <c r="AE269" s="7">
        <f>COUNTIF(A:A,A269)</f>
        <v>1</v>
      </c>
      <c r="AF269" s="7" t="str">
        <f t="shared" si="34"/>
        <v>No</v>
      </c>
    </row>
    <row r="270" spans="1:32">
      <c r="A270" t="s">
        <v>1024</v>
      </c>
      <c r="B270">
        <v>43958759</v>
      </c>
      <c r="C270" t="s">
        <v>1025</v>
      </c>
      <c r="D270" t="s">
        <v>1026</v>
      </c>
      <c r="E270" t="s">
        <v>20</v>
      </c>
      <c r="F270" t="s">
        <v>35</v>
      </c>
      <c r="G270" t="s">
        <v>35</v>
      </c>
      <c r="H270" t="s">
        <v>25</v>
      </c>
      <c r="I270" t="s">
        <v>3371</v>
      </c>
      <c r="J270">
        <v>12689.46</v>
      </c>
      <c r="K270" t="s">
        <v>57</v>
      </c>
      <c r="L270" t="s">
        <v>75</v>
      </c>
      <c r="M270" s="1">
        <v>46140.27847222222</v>
      </c>
      <c r="N270">
        <v>71</v>
      </c>
      <c r="O270" t="s">
        <v>55</v>
      </c>
      <c r="P270" t="s">
        <v>62</v>
      </c>
      <c r="Q270" t="s">
        <v>1027</v>
      </c>
      <c r="R270">
        <f t="shared" si="28"/>
        <v>43958759</v>
      </c>
      <c r="S270" t="str" cm="1">
        <f t="array" ref="S270">IF(C270="",IFERROR(INDEX($C$2:$C$1166,MATCH(MAX(COUNTIF($C$2:$C$1166,$C$2:$C$1166)),COUNTIF($C$2:$C$1166,$C$2:$C$1166),0)),"Unknown"),C270)</f>
        <v>Mary Williams</v>
      </c>
      <c r="T270" s="4" t="str" cm="1">
        <f t="array" ref="T270">IF(D270="",IFERROR(INDEX($D$2:$D$1000,MATCH(MAX(COUNTIF($D$2:$D$1166,$D$2:$D$1166)),COUNTIF($D$2:$D$1166,$D$2:$D$1166),0)),"Unknown"),D270)</f>
        <v>Barbara Velez</v>
      </c>
      <c r="U270" t="str">
        <f t="shared" si="29"/>
        <v>EUR</v>
      </c>
      <c r="V270" s="7" t="str">
        <f t="shared" si="29"/>
        <v>EUR</v>
      </c>
      <c r="W270" s="7" t="str">
        <f t="shared" si="30"/>
        <v>UK</v>
      </c>
      <c r="X270" s="7" t="str">
        <f t="shared" si="30"/>
        <v>Australia</v>
      </c>
      <c r="Y270" s="7" t="str" cm="1">
        <f t="array" ref="Y270">IF(H270="",IFERROR(INDEX($H$2:$H$1166,MATCH(MAX(COUNTIF($H$2:$H$1166,$H$2:$H$1166)),COUNTIF($H$2:$H$1166,$H$2:$H$1166),0)),"Unknown"),H270)</f>
        <v>KYC</v>
      </c>
      <c r="Z270" s="7" t="str">
        <f t="shared" si="31"/>
        <v>Outer-Transaction</v>
      </c>
      <c r="AA270" s="7">
        <f>IF(J270="",AVERAGE($J:$J),J270)</f>
        <v>12689.46</v>
      </c>
      <c r="AB270" s="7">
        <f>IF(N270="",AVERAGE($N:$N),N270)</f>
        <v>71</v>
      </c>
      <c r="AC270" s="7">
        <f t="shared" si="32"/>
        <v>2026</v>
      </c>
      <c r="AD270" s="7">
        <f t="shared" si="33"/>
        <v>4</v>
      </c>
      <c r="AE270" s="7">
        <f>COUNTIF(A:A,A270)</f>
        <v>1</v>
      </c>
      <c r="AF270" s="7" t="str">
        <f t="shared" si="34"/>
        <v>No</v>
      </c>
    </row>
    <row r="271" spans="1:32">
      <c r="A271" t="s">
        <v>1028</v>
      </c>
      <c r="B271">
        <v>11876942</v>
      </c>
      <c r="C271" t="s">
        <v>1029</v>
      </c>
      <c r="D271" t="s">
        <v>369</v>
      </c>
      <c r="E271" t="s">
        <v>20</v>
      </c>
      <c r="F271" t="s">
        <v>91</v>
      </c>
      <c r="G271" t="s">
        <v>98</v>
      </c>
      <c r="H271" t="s">
        <v>56</v>
      </c>
      <c r="I271" t="s">
        <v>3378</v>
      </c>
      <c r="J271">
        <v>10475.01</v>
      </c>
      <c r="K271" t="s">
        <v>47</v>
      </c>
      <c r="L271" t="s">
        <v>81</v>
      </c>
      <c r="M271" s="1">
        <v>45639.686111111114</v>
      </c>
      <c r="N271">
        <v>75</v>
      </c>
      <c r="O271" t="s">
        <v>24</v>
      </c>
      <c r="P271" t="s">
        <v>68</v>
      </c>
      <c r="Q271" t="s">
        <v>1030</v>
      </c>
      <c r="R271">
        <f t="shared" si="28"/>
        <v>11876942</v>
      </c>
      <c r="S271" t="str" cm="1">
        <f t="array" ref="S271">IF(C271="",IFERROR(INDEX($C$2:$C$1166,MATCH(MAX(COUNTIF($C$2:$C$1166,$C$2:$C$1166)),COUNTIF($C$2:$C$1166,$C$2:$C$1166),0)),"Unknown"),C271)</f>
        <v>Charles Miller</v>
      </c>
      <c r="T271" s="4" t="str" cm="1">
        <f t="array" ref="T271">IF(D271="",IFERROR(INDEX($D$2:$D$1000,MATCH(MAX(COUNTIF($D$2:$D$1166,$D$2:$D$1166)),COUNTIF($D$2:$D$1166,$D$2:$D$1166),0)),"Unknown"),D271)</f>
        <v>Elena Miller</v>
      </c>
      <c r="U271" t="str">
        <f t="shared" si="29"/>
        <v>gbp</v>
      </c>
      <c r="V271" s="7" t="str">
        <f t="shared" si="29"/>
        <v>JPY</v>
      </c>
      <c r="W271" s="7" t="str">
        <f t="shared" si="30"/>
        <v>Brazil</v>
      </c>
      <c r="X271" s="7" t="str">
        <f t="shared" si="30"/>
        <v>UAE</v>
      </c>
      <c r="Y271" s="7" t="str" cm="1">
        <f t="array" ref="Y271">IF(H271="",IFERROR(INDEX($H$2:$H$1166,MATCH(MAX(COUNTIF($H$2:$H$1166,$H$2:$H$1166)),COUNTIF($H$2:$H$1166,$H$2:$H$1166),0)),"Unknown"),H271)</f>
        <v>Unverified</v>
      </c>
      <c r="Z271" s="7" t="str">
        <f t="shared" si="31"/>
        <v>Inter-Transaction</v>
      </c>
      <c r="AA271" s="7">
        <f>IF(J271="",AVERAGE($J:$J),J271)</f>
        <v>10475.01</v>
      </c>
      <c r="AB271" s="7">
        <f>IF(N271="",AVERAGE($N:$N),N271)</f>
        <v>75</v>
      </c>
      <c r="AC271" s="7">
        <f t="shared" si="32"/>
        <v>2024</v>
      </c>
      <c r="AD271" s="7">
        <f t="shared" si="33"/>
        <v>12</v>
      </c>
      <c r="AE271" s="7">
        <f>COUNTIF(A:A,A271)</f>
        <v>1</v>
      </c>
      <c r="AF271" s="7" t="str">
        <f t="shared" si="34"/>
        <v>No</v>
      </c>
    </row>
    <row r="272" spans="1:32">
      <c r="A272" t="s">
        <v>1031</v>
      </c>
      <c r="B272">
        <v>26591378</v>
      </c>
      <c r="C272" t="s">
        <v>1032</v>
      </c>
      <c r="D272" t="s">
        <v>1033</v>
      </c>
      <c r="E272" t="s">
        <v>20</v>
      </c>
      <c r="F272" t="s">
        <v>34</v>
      </c>
      <c r="G272" t="s">
        <v>22</v>
      </c>
      <c r="H272" t="s">
        <v>56</v>
      </c>
      <c r="I272" t="s">
        <v>3376</v>
      </c>
      <c r="J272">
        <v>11045.25</v>
      </c>
      <c r="K272" t="s">
        <v>39</v>
      </c>
      <c r="L272" t="s">
        <v>48</v>
      </c>
      <c r="M272" s="1">
        <v>45274.272222222222</v>
      </c>
      <c r="N272">
        <v>84</v>
      </c>
      <c r="O272" t="s">
        <v>62</v>
      </c>
      <c r="P272" t="s">
        <v>127</v>
      </c>
      <c r="Q272" t="s">
        <v>1034</v>
      </c>
      <c r="R272">
        <f t="shared" si="28"/>
        <v>26591378</v>
      </c>
      <c r="S272" t="str" cm="1">
        <f t="array" ref="S272">IF(C272="",IFERROR(INDEX($C$2:$C$1166,MATCH(MAX(COUNTIF($C$2:$C$1166,$C$2:$C$1166)),COUNTIF($C$2:$C$1166,$C$2:$C$1166),0)),"Unknown"),C272)</f>
        <v>Thomas Brown</v>
      </c>
      <c r="T272" s="4" t="str" cm="1">
        <f t="array" ref="T272">IF(D272="",IFERROR(INDEX($D$2:$D$1000,MATCH(MAX(COUNTIF($D$2:$D$1166,$D$2:$D$1166)),COUNTIF($D$2:$D$1166,$D$2:$D$1166),0)),"Unknown"),D272)</f>
        <v>Charles Jones</v>
      </c>
      <c r="U272" t="str">
        <f t="shared" si="29"/>
        <v>CAD</v>
      </c>
      <c r="V272" s="7" t="str">
        <f t="shared" si="29"/>
        <v>BRL</v>
      </c>
      <c r="W272" s="7" t="str">
        <f t="shared" si="30"/>
        <v>Australia</v>
      </c>
      <c r="X272" s="7" t="str">
        <f t="shared" si="30"/>
        <v>Canada</v>
      </c>
      <c r="Y272" s="7" t="str" cm="1">
        <f t="array" ref="Y272">IF(H272="",IFERROR(INDEX($H$2:$H$1166,MATCH(MAX(COUNTIF($H$2:$H$1166,$H$2:$H$1166)),COUNTIF($H$2:$H$1166,$H$2:$H$1166),0)),"Unknown"),H272)</f>
        <v>Unverified</v>
      </c>
      <c r="Z272" s="7" t="str">
        <f t="shared" si="31"/>
        <v>Internal</v>
      </c>
      <c r="AA272" s="7">
        <f>IF(J272="",AVERAGE($J:$J),J272)</f>
        <v>11045.25</v>
      </c>
      <c r="AB272" s="7">
        <f>IF(N272="",AVERAGE($N:$N),N272)</f>
        <v>84</v>
      </c>
      <c r="AC272" s="7">
        <f t="shared" si="32"/>
        <v>2023</v>
      </c>
      <c r="AD272" s="7">
        <f t="shared" si="33"/>
        <v>12</v>
      </c>
      <c r="AE272" s="7">
        <f>COUNTIF(A:A,A272)</f>
        <v>1</v>
      </c>
      <c r="AF272" s="7" t="str">
        <f t="shared" si="34"/>
        <v>No</v>
      </c>
    </row>
    <row r="273" spans="1:32">
      <c r="A273" t="s">
        <v>1035</v>
      </c>
      <c r="B273">
        <v>11716086</v>
      </c>
      <c r="C273" t="s">
        <v>797</v>
      </c>
      <c r="D273" t="s">
        <v>1036</v>
      </c>
      <c r="E273" t="s">
        <v>20</v>
      </c>
      <c r="F273" t="s">
        <v>98</v>
      </c>
      <c r="G273" t="s">
        <v>45</v>
      </c>
      <c r="I273" t="s">
        <v>3371</v>
      </c>
      <c r="J273">
        <v>980.01</v>
      </c>
      <c r="K273" t="s">
        <v>47</v>
      </c>
      <c r="L273" t="s">
        <v>75</v>
      </c>
      <c r="M273" s="1">
        <v>45598.289583333331</v>
      </c>
      <c r="N273">
        <v>63</v>
      </c>
      <c r="O273" t="s">
        <v>24</v>
      </c>
      <c r="P273" t="s">
        <v>24</v>
      </c>
      <c r="Q273" t="s">
        <v>1037</v>
      </c>
      <c r="R273">
        <f t="shared" si="28"/>
        <v>11716086</v>
      </c>
      <c r="S273" t="str" cm="1">
        <f t="array" ref="S273">IF(C273="",IFERROR(INDEX($C$2:$C$1166,MATCH(MAX(COUNTIF($C$2:$C$1166,$C$2:$C$1166)),COUNTIF($C$2:$C$1166,$C$2:$C$1166),0)),"Unknown"),C273)</f>
        <v>Marta Thomas</v>
      </c>
      <c r="T273" s="4" t="str" cm="1">
        <f t="array" ref="T273">IF(D273="",IFERROR(INDEX($D$2:$D$1000,MATCH(MAX(COUNTIF($D$2:$D$1166,$D$2:$D$1166)),COUNTIF($D$2:$D$1166,$D$2:$D$1166),0)),"Unknown"),D273)</f>
        <v>Marta Brown</v>
      </c>
      <c r="U273" t="str">
        <f t="shared" si="29"/>
        <v>JPY</v>
      </c>
      <c r="V273" s="7" t="str">
        <f t="shared" si="29"/>
        <v>ZAR</v>
      </c>
      <c r="W273" s="7" t="str">
        <f t="shared" si="30"/>
        <v>Brazil</v>
      </c>
      <c r="X273" s="7" t="str">
        <f t="shared" si="30"/>
        <v>Brazil</v>
      </c>
      <c r="Y273" s="7" t="str" cm="1">
        <f t="array" ref="Y273">IF(H273="",IFERROR(INDEX($H$2:$H$1166,MATCH(MAX(COUNTIF($H$2:$H$1166,$H$2:$H$1166)),COUNTIF($H$2:$H$1166,$H$2:$H$1166),0)),"Unknown"),H273)</f>
        <v>Pending</v>
      </c>
      <c r="Z273" s="7" t="str">
        <f t="shared" si="31"/>
        <v>Outer-Transaction</v>
      </c>
      <c r="AA273" s="7">
        <f>IF(J273="",AVERAGE($J:$J),J273)</f>
        <v>980.01</v>
      </c>
      <c r="AB273" s="7">
        <f>IF(N273="",AVERAGE($N:$N),N273)</f>
        <v>63</v>
      </c>
      <c r="AC273" s="7">
        <f t="shared" si="32"/>
        <v>2024</v>
      </c>
      <c r="AD273" s="7">
        <f t="shared" si="33"/>
        <v>11</v>
      </c>
      <c r="AE273" s="7">
        <f>COUNTIF(A:A,A273)</f>
        <v>1</v>
      </c>
      <c r="AF273" s="7" t="str">
        <f t="shared" si="34"/>
        <v>No</v>
      </c>
    </row>
    <row r="274" spans="1:32">
      <c r="A274" t="s">
        <v>1038</v>
      </c>
      <c r="C274" t="s">
        <v>343</v>
      </c>
      <c r="D274" t="s">
        <v>1039</v>
      </c>
      <c r="E274" t="s">
        <v>20</v>
      </c>
      <c r="F274" t="s">
        <v>92</v>
      </c>
      <c r="G274" t="s">
        <v>34</v>
      </c>
      <c r="H274" t="s">
        <v>56</v>
      </c>
      <c r="I274" t="s">
        <v>3377</v>
      </c>
      <c r="J274">
        <v>1841.63</v>
      </c>
      <c r="K274" t="s">
        <v>39</v>
      </c>
      <c r="L274" t="s">
        <v>81</v>
      </c>
      <c r="M274" s="1">
        <v>45095.965277777781</v>
      </c>
      <c r="N274">
        <v>41</v>
      </c>
      <c r="O274" t="s">
        <v>24</v>
      </c>
      <c r="P274" t="s">
        <v>37</v>
      </c>
      <c r="Q274" t="s">
        <v>1040</v>
      </c>
      <c r="R274">
        <f t="shared" si="28"/>
        <v>0</v>
      </c>
      <c r="S274" t="str" cm="1">
        <f t="array" ref="S274">IF(C274="",IFERROR(INDEX($C$2:$C$1166,MATCH(MAX(COUNTIF($C$2:$C$1166,$C$2:$C$1166)),COUNTIF($C$2:$C$1166,$C$2:$C$1166),0)),"Unknown"),C274)</f>
        <v>Christopher Rodriguez</v>
      </c>
      <c r="T274" s="4" t="str" cm="1">
        <f t="array" ref="T274">IF(D274="",IFERROR(INDEX($D$2:$D$1000,MATCH(MAX(COUNTIF($D$2:$D$1166,$D$2:$D$1166)),COUNTIF($D$2:$D$1166,$D$2:$D$1166),0)),"Unknown"),D274)</f>
        <v>Jean-Pierre Silva</v>
      </c>
      <c r="U274" t="str">
        <f t="shared" si="29"/>
        <v>AUD</v>
      </c>
      <c r="V274" s="7" t="str">
        <f t="shared" si="29"/>
        <v>CAD</v>
      </c>
      <c r="W274" s="7" t="str">
        <f t="shared" si="30"/>
        <v>Brazil</v>
      </c>
      <c r="X274" s="7" t="str">
        <f t="shared" si="30"/>
        <v>South Africa</v>
      </c>
      <c r="Y274" s="7" t="str" cm="1">
        <f t="array" ref="Y274">IF(H274="",IFERROR(INDEX($H$2:$H$1166,MATCH(MAX(COUNTIF($H$2:$H$1166,$H$2:$H$1166)),COUNTIF($H$2:$H$1166,$H$2:$H$1166),0)),"Unknown"),H274)</f>
        <v>Unverified</v>
      </c>
      <c r="Z274" s="7" t="str">
        <f t="shared" si="31"/>
        <v>Inter-Transaction</v>
      </c>
      <c r="AA274" s="7">
        <f>IF(J274="",AVERAGE($J:$J),J274)</f>
        <v>1841.63</v>
      </c>
      <c r="AB274" s="7">
        <f>IF(N274="",AVERAGE($N:$N),N274)</f>
        <v>41</v>
      </c>
      <c r="AC274" s="7">
        <f t="shared" si="32"/>
        <v>2023</v>
      </c>
      <c r="AD274" s="7">
        <f t="shared" si="33"/>
        <v>6</v>
      </c>
      <c r="AE274" s="7">
        <f>COUNTIF(A:A,A274)</f>
        <v>1</v>
      </c>
      <c r="AF274" s="7" t="str">
        <f t="shared" si="34"/>
        <v>No</v>
      </c>
    </row>
    <row r="275" spans="1:32">
      <c r="A275" t="s">
        <v>1041</v>
      </c>
      <c r="B275">
        <v>91145880</v>
      </c>
      <c r="C275" t="s">
        <v>994</v>
      </c>
      <c r="D275" t="s">
        <v>1042</v>
      </c>
      <c r="E275" t="s">
        <v>3375</v>
      </c>
      <c r="F275" t="s">
        <v>35</v>
      </c>
      <c r="G275" t="s">
        <v>35</v>
      </c>
      <c r="H275" t="s">
        <v>56</v>
      </c>
      <c r="I275" t="s">
        <v>3372</v>
      </c>
      <c r="J275">
        <v>7576.87</v>
      </c>
      <c r="K275" t="s">
        <v>27</v>
      </c>
      <c r="L275" t="s">
        <v>75</v>
      </c>
      <c r="M275" s="1">
        <v>44185.34097222222</v>
      </c>
      <c r="N275">
        <v>49</v>
      </c>
      <c r="O275" t="s">
        <v>54</v>
      </c>
      <c r="P275" t="s">
        <v>54</v>
      </c>
      <c r="Q275" t="s">
        <v>1043</v>
      </c>
      <c r="R275">
        <f t="shared" si="28"/>
        <v>91145880</v>
      </c>
      <c r="S275" t="str" cm="1">
        <f t="array" ref="S275">IF(C275="",IFERROR(INDEX($C$2:$C$1166,MATCH(MAX(COUNTIF($C$2:$C$1166,$C$2:$C$1166)),COUNTIF($C$2:$C$1166,$C$2:$C$1166),0)),"Unknown"),C275)</f>
        <v>Marta Hernandez</v>
      </c>
      <c r="T275" s="4" t="str" cm="1">
        <f t="array" ref="T275">IF(D275="",IFERROR(INDEX($D$2:$D$1000,MATCH(MAX(COUNTIF($D$2:$D$1166,$D$2:$D$1166)),COUNTIF($D$2:$D$1166,$D$2:$D$1166),0)),"Unknown"),D275)</f>
        <v>Michael Martinez</v>
      </c>
      <c r="U275" t="str">
        <f t="shared" si="29"/>
        <v>EUR</v>
      </c>
      <c r="V275" s="7" t="str">
        <f t="shared" si="29"/>
        <v>EUR</v>
      </c>
      <c r="W275" s="7" t="str">
        <f t="shared" si="30"/>
        <v>India</v>
      </c>
      <c r="X275" s="7" t="str">
        <f t="shared" si="30"/>
        <v>India</v>
      </c>
      <c r="Y275" s="7" t="str" cm="1">
        <f t="array" ref="Y275">IF(H275="",IFERROR(INDEX($H$2:$H$1166,MATCH(MAX(COUNTIF($H$2:$H$1166,$H$2:$H$1166)),COUNTIF($H$2:$H$1166,$H$2:$H$1166),0)),"Unknown"),H275)</f>
        <v>Unverified</v>
      </c>
      <c r="Z275" s="7" t="str">
        <f t="shared" si="31"/>
        <v>Outer-Transaction</v>
      </c>
      <c r="AA275" s="7">
        <f>IF(J275="",AVERAGE($J:$J),J275)</f>
        <v>7576.87</v>
      </c>
      <c r="AB275" s="7">
        <f>IF(N275="",AVERAGE($N:$N),N275)</f>
        <v>49</v>
      </c>
      <c r="AC275" s="7">
        <f t="shared" si="32"/>
        <v>2020</v>
      </c>
      <c r="AD275" s="7">
        <f t="shared" si="33"/>
        <v>12</v>
      </c>
      <c r="AE275" s="7">
        <f>COUNTIF(A:A,A275)</f>
        <v>1</v>
      </c>
      <c r="AF275" s="7" t="str">
        <f t="shared" si="34"/>
        <v>No</v>
      </c>
    </row>
    <row r="276" spans="1:32">
      <c r="A276" t="s">
        <v>1044</v>
      </c>
      <c r="B276">
        <v>33738978</v>
      </c>
      <c r="C276" t="s">
        <v>1045</v>
      </c>
      <c r="D276" t="s">
        <v>139</v>
      </c>
      <c r="E276" t="s">
        <v>20</v>
      </c>
      <c r="F276" t="s">
        <v>22</v>
      </c>
      <c r="G276" t="s">
        <v>21</v>
      </c>
      <c r="I276" t="s">
        <v>3372</v>
      </c>
      <c r="J276">
        <v>9904.58</v>
      </c>
      <c r="K276" t="s">
        <v>27</v>
      </c>
      <c r="L276" t="s">
        <v>81</v>
      </c>
      <c r="M276" s="1">
        <v>45703.085416666669</v>
      </c>
      <c r="N276">
        <v>64</v>
      </c>
      <c r="O276" t="s">
        <v>23</v>
      </c>
      <c r="P276" t="s">
        <v>36</v>
      </c>
      <c r="Q276" t="s">
        <v>1046</v>
      </c>
      <c r="R276">
        <f t="shared" si="28"/>
        <v>33738978</v>
      </c>
      <c r="S276" t="str" cm="1">
        <f t="array" ref="S276">IF(C276="",IFERROR(INDEX($C$2:$C$1166,MATCH(MAX(COUNTIF($C$2:$C$1166,$C$2:$C$1166)),COUNTIF($C$2:$C$1166,$C$2:$C$1166),0)),"Unknown"),C276)</f>
        <v>Karen Velez</v>
      </c>
      <c r="T276" s="4" t="str" cm="1">
        <f t="array" ref="T276">IF(D276="",IFERROR(INDEX($D$2:$D$1000,MATCH(MAX(COUNTIF($D$2:$D$1166,$D$2:$D$1166)),COUNTIF($D$2:$D$1166,$D$2:$D$1166),0)),"Unknown"),D276)</f>
        <v>Zayn Dubois</v>
      </c>
      <c r="U276" t="str">
        <f t="shared" si="29"/>
        <v>BRL</v>
      </c>
      <c r="V276" s="7" t="str">
        <f t="shared" si="29"/>
        <v>GBP</v>
      </c>
      <c r="W276" s="7" t="str">
        <f t="shared" si="30"/>
        <v>France</v>
      </c>
      <c r="X276" s="7" t="str">
        <f t="shared" si="30"/>
        <v>Germany</v>
      </c>
      <c r="Y276" s="7" t="str" cm="1">
        <f t="array" ref="Y276">IF(H276="",IFERROR(INDEX($H$2:$H$1166,MATCH(MAX(COUNTIF($H$2:$H$1166,$H$2:$H$1166)),COUNTIF($H$2:$H$1166,$H$2:$H$1166),0)),"Unknown"),H276)</f>
        <v>Pending</v>
      </c>
      <c r="Z276" s="7" t="str">
        <f t="shared" si="31"/>
        <v>Outer-Transaction</v>
      </c>
      <c r="AA276" s="7">
        <f>IF(J276="",AVERAGE($J:$J),J276)</f>
        <v>9904.58</v>
      </c>
      <c r="AB276" s="7">
        <f>IF(N276="",AVERAGE($N:$N),N276)</f>
        <v>64</v>
      </c>
      <c r="AC276" s="7">
        <f t="shared" si="32"/>
        <v>2025</v>
      </c>
      <c r="AD276" s="7">
        <f t="shared" si="33"/>
        <v>2</v>
      </c>
      <c r="AE276" s="7">
        <f>COUNTIF(A:A,A276)</f>
        <v>1</v>
      </c>
      <c r="AF276" s="7" t="str">
        <f t="shared" si="34"/>
        <v>No</v>
      </c>
    </row>
    <row r="277" spans="1:32">
      <c r="A277" t="s">
        <v>1047</v>
      </c>
      <c r="B277">
        <v>48176560</v>
      </c>
      <c r="C277" t="s">
        <v>936</v>
      </c>
      <c r="D277" t="s">
        <v>224</v>
      </c>
      <c r="E277" t="s">
        <v>3373</v>
      </c>
      <c r="F277" t="s">
        <v>34</v>
      </c>
      <c r="G277" t="s">
        <v>34</v>
      </c>
      <c r="H277" t="s">
        <v>56</v>
      </c>
      <c r="I277" t="s">
        <v>3378</v>
      </c>
      <c r="J277">
        <v>14879.26</v>
      </c>
      <c r="K277" t="s">
        <v>39</v>
      </c>
      <c r="L277" t="s">
        <v>75</v>
      </c>
      <c r="M277" s="1">
        <v>45855.143750000003</v>
      </c>
      <c r="N277">
        <v>40</v>
      </c>
      <c r="O277" t="s">
        <v>54</v>
      </c>
      <c r="P277" t="s">
        <v>24</v>
      </c>
      <c r="Q277" t="s">
        <v>1048</v>
      </c>
      <c r="R277">
        <f t="shared" si="28"/>
        <v>48176560</v>
      </c>
      <c r="S277" t="str" cm="1">
        <f t="array" ref="S277">IF(C277="",IFERROR(INDEX($C$2:$C$1166,MATCH(MAX(COUNTIF($C$2:$C$1166,$C$2:$C$1166)),COUNTIF($C$2:$C$1166,$C$2:$C$1166),0)),"Unknown"),C277)</f>
        <v>Richard Johnson</v>
      </c>
      <c r="T277" s="4" t="str" cm="1">
        <f t="array" ref="T277">IF(D277="",IFERROR(INDEX($D$2:$D$1000,MATCH(MAX(COUNTIF($D$2:$D$1166,$D$2:$D$1166)),COUNTIF($D$2:$D$1166,$D$2:$D$1166),0)),"Unknown"),D277)</f>
        <v>John Jackson</v>
      </c>
      <c r="U277" t="str">
        <f t="shared" si="29"/>
        <v>CAD</v>
      </c>
      <c r="V277" s="7" t="str">
        <f t="shared" si="29"/>
        <v>CAD</v>
      </c>
      <c r="W277" s="7" t="str">
        <f t="shared" si="30"/>
        <v>India</v>
      </c>
      <c r="X277" s="7" t="str">
        <f t="shared" si="30"/>
        <v>Brazil</v>
      </c>
      <c r="Y277" s="7" t="str" cm="1">
        <f t="array" ref="Y277">IF(H277="",IFERROR(INDEX($H$2:$H$1166,MATCH(MAX(COUNTIF($H$2:$H$1166,$H$2:$H$1166)),COUNTIF($H$2:$H$1166,$H$2:$H$1166),0)),"Unknown"),H277)</f>
        <v>Unverified</v>
      </c>
      <c r="Z277" s="7" t="str">
        <f t="shared" si="31"/>
        <v>Inter-Transaction</v>
      </c>
      <c r="AA277" s="7">
        <f>IF(J277="",AVERAGE($J:$J),J277)</f>
        <v>14879.26</v>
      </c>
      <c r="AB277" s="7">
        <f>IF(N277="",AVERAGE($N:$N),N277)</f>
        <v>40</v>
      </c>
      <c r="AC277" s="7">
        <f t="shared" si="32"/>
        <v>2025</v>
      </c>
      <c r="AD277" s="7">
        <f t="shared" si="33"/>
        <v>7</v>
      </c>
      <c r="AE277" s="7">
        <f>COUNTIF(A:A,A277)</f>
        <v>1</v>
      </c>
      <c r="AF277" s="7" t="str">
        <f t="shared" si="34"/>
        <v>Yes</v>
      </c>
    </row>
    <row r="278" spans="1:32">
      <c r="A278" t="s">
        <v>1049</v>
      </c>
      <c r="B278">
        <v>55311134</v>
      </c>
      <c r="C278" t="s">
        <v>1050</v>
      </c>
      <c r="D278" t="s">
        <v>1051</v>
      </c>
      <c r="E278" t="s">
        <v>20</v>
      </c>
      <c r="F278" t="s">
        <v>45</v>
      </c>
      <c r="G278" t="s">
        <v>92</v>
      </c>
      <c r="H278" t="s">
        <v>103</v>
      </c>
      <c r="I278" t="s">
        <v>3372</v>
      </c>
      <c r="J278">
        <v>8559.6</v>
      </c>
      <c r="K278" t="s">
        <v>57</v>
      </c>
      <c r="L278" t="s">
        <v>28</v>
      </c>
      <c r="M278" s="1">
        <v>44010.515277777777</v>
      </c>
      <c r="N278">
        <v>83</v>
      </c>
      <c r="O278" t="s">
        <v>23</v>
      </c>
      <c r="P278" t="s">
        <v>37</v>
      </c>
      <c r="Q278" t="s">
        <v>1052</v>
      </c>
      <c r="R278">
        <f t="shared" si="28"/>
        <v>55311134</v>
      </c>
      <c r="S278" t="str" cm="1">
        <f t="array" ref="S278">IF(C278="",IFERROR(INDEX($C$2:$C$1166,MATCH(MAX(COUNTIF($C$2:$C$1166,$C$2:$C$1166)),COUNTIF($C$2:$C$1166,$C$2:$C$1166),0)),"Unknown"),C278)</f>
        <v>Linda Smith</v>
      </c>
      <c r="T278" s="4" t="str" cm="1">
        <f t="array" ref="T278">IF(D278="",IFERROR(INDEX($D$2:$D$1000,MATCH(MAX(COUNTIF($D$2:$D$1166,$D$2:$D$1166)),COUNTIF($D$2:$D$1166,$D$2:$D$1166),0)),"Unknown"),D278)</f>
        <v>Karen Hernandez</v>
      </c>
      <c r="U278" t="str">
        <f t="shared" si="29"/>
        <v>ZAR</v>
      </c>
      <c r="V278" s="7" t="str">
        <f t="shared" si="29"/>
        <v>AUD</v>
      </c>
      <c r="W278" s="7" t="str">
        <f t="shared" si="30"/>
        <v>France</v>
      </c>
      <c r="X278" s="7" t="str">
        <f t="shared" si="30"/>
        <v>South Africa</v>
      </c>
      <c r="Y278" s="7" t="str" cm="1">
        <f t="array" ref="Y278">IF(H278="",IFERROR(INDEX($H$2:$H$1166,MATCH(MAX(COUNTIF($H$2:$H$1166,$H$2:$H$1166)),COUNTIF($H$2:$H$1166,$H$2:$H$1166),0)),"Unknown"),H278)</f>
        <v>Verified</v>
      </c>
      <c r="Z278" s="7" t="str">
        <f t="shared" si="31"/>
        <v>Outer-Transaction</v>
      </c>
      <c r="AA278" s="7">
        <f>IF(J278="",AVERAGE($J:$J),J278)</f>
        <v>8559.6</v>
      </c>
      <c r="AB278" s="7">
        <f>IF(N278="",AVERAGE($N:$N),N278)</f>
        <v>83</v>
      </c>
      <c r="AC278" s="7">
        <f t="shared" si="32"/>
        <v>2020</v>
      </c>
      <c r="AD278" s="7">
        <f t="shared" si="33"/>
        <v>6</v>
      </c>
      <c r="AE278" s="7">
        <f>COUNTIF(A:A,A278)</f>
        <v>1</v>
      </c>
      <c r="AF278" s="7" t="str">
        <f t="shared" si="34"/>
        <v>No</v>
      </c>
    </row>
    <row r="279" spans="1:32">
      <c r="A279" t="s">
        <v>1053</v>
      </c>
      <c r="B279">
        <v>58765904</v>
      </c>
      <c r="C279" t="s">
        <v>976</v>
      </c>
      <c r="D279" t="s">
        <v>376</v>
      </c>
      <c r="E279">
        <v>0</v>
      </c>
      <c r="F279" t="s">
        <v>35</v>
      </c>
      <c r="G279" t="s">
        <v>98</v>
      </c>
      <c r="H279" t="s">
        <v>38</v>
      </c>
      <c r="I279" t="s">
        <v>3374</v>
      </c>
      <c r="J279">
        <v>14369.54</v>
      </c>
      <c r="K279" t="s">
        <v>27</v>
      </c>
      <c r="L279" t="s">
        <v>28</v>
      </c>
      <c r="M279" s="1">
        <v>43896.77847222222</v>
      </c>
      <c r="N279">
        <v>44</v>
      </c>
      <c r="O279" t="s">
        <v>127</v>
      </c>
      <c r="P279" t="s">
        <v>93</v>
      </c>
      <c r="Q279" t="s">
        <v>1054</v>
      </c>
      <c r="R279">
        <f t="shared" si="28"/>
        <v>58765904</v>
      </c>
      <c r="S279" t="str" cm="1">
        <f t="array" ref="S279">IF(C279="",IFERROR(INDEX($C$2:$C$1166,MATCH(MAX(COUNTIF($C$2:$C$1166,$C$2:$C$1166)),COUNTIF($C$2:$C$1166,$C$2:$C$1166),0)),"Unknown"),C279)</f>
        <v>Jessica Miller</v>
      </c>
      <c r="T279" s="4" t="str" cm="1">
        <f t="array" ref="T279">IF(D279="",IFERROR(INDEX($D$2:$D$1000,MATCH(MAX(COUNTIF($D$2:$D$1166,$D$2:$D$1166)),COUNTIF($D$2:$D$1166,$D$2:$D$1166),0)),"Unknown"),D279)</f>
        <v>Sarah Nair</v>
      </c>
      <c r="U279" t="str">
        <f t="shared" si="29"/>
        <v>EUR</v>
      </c>
      <c r="V279" s="7" t="str">
        <f t="shared" si="29"/>
        <v>JPY</v>
      </c>
      <c r="W279" s="7" t="str">
        <f t="shared" si="30"/>
        <v>Canada</v>
      </c>
      <c r="X279" s="7" t="str">
        <f t="shared" si="30"/>
        <v>USA</v>
      </c>
      <c r="Y279" s="7" t="str" cm="1">
        <f t="array" ref="Y279">IF(H279="",IFERROR(INDEX($H$2:$H$1166,MATCH(MAX(COUNTIF($H$2:$H$1166,$H$2:$H$1166)),COUNTIF($H$2:$H$1166,$H$2:$H$1166),0)),"Unknown"),H279)</f>
        <v>Pending</v>
      </c>
      <c r="Z279" s="7" t="str">
        <f t="shared" si="31"/>
        <v>External</v>
      </c>
      <c r="AA279" s="7">
        <f>IF(J279="",AVERAGE($J:$J),J279)</f>
        <v>14369.54</v>
      </c>
      <c r="AB279" s="7">
        <f>IF(N279="",AVERAGE($N:$N),N279)</f>
        <v>44</v>
      </c>
      <c r="AC279" s="7">
        <f t="shared" si="32"/>
        <v>2020</v>
      </c>
      <c r="AD279" s="7">
        <f t="shared" si="33"/>
        <v>3</v>
      </c>
      <c r="AE279" s="7">
        <f>COUNTIF(A:A,A279)</f>
        <v>1</v>
      </c>
      <c r="AF279" s="7" t="str">
        <f t="shared" si="34"/>
        <v>No</v>
      </c>
    </row>
    <row r="280" spans="1:32">
      <c r="A280" t="s">
        <v>1055</v>
      </c>
      <c r="B280">
        <v>77731571</v>
      </c>
      <c r="C280" t="s">
        <v>526</v>
      </c>
      <c r="D280" t="s">
        <v>1056</v>
      </c>
      <c r="E280" t="s">
        <v>20</v>
      </c>
      <c r="F280" t="s">
        <v>121</v>
      </c>
      <c r="G280" t="s">
        <v>92</v>
      </c>
      <c r="H280" t="s">
        <v>25</v>
      </c>
      <c r="I280" t="s">
        <v>3374</v>
      </c>
      <c r="J280">
        <v>10552.94</v>
      </c>
      <c r="K280" t="s">
        <v>47</v>
      </c>
      <c r="L280" t="s">
        <v>81</v>
      </c>
      <c r="M280" s="1">
        <v>44650.193055555559</v>
      </c>
      <c r="N280">
        <v>19</v>
      </c>
      <c r="O280" t="s">
        <v>68</v>
      </c>
      <c r="P280" t="s">
        <v>68</v>
      </c>
      <c r="Q280" t="s">
        <v>1057</v>
      </c>
      <c r="R280">
        <f t="shared" si="28"/>
        <v>77731571</v>
      </c>
      <c r="S280" t="str" cm="1">
        <f t="array" ref="S280">IF(C280="",IFERROR(INDEX($C$2:$C$1166,MATCH(MAX(COUNTIF($C$2:$C$1166,$C$2:$C$1166)),COUNTIF($C$2:$C$1166,$C$2:$C$1166),0)),"Unknown"),C280)</f>
        <v>Lucas Martinez</v>
      </c>
      <c r="T280" s="4" t="str" cm="1">
        <f t="array" ref="T280">IF(D280="",IFERROR(INDEX($D$2:$D$1000,MATCH(MAX(COUNTIF($D$2:$D$1166,$D$2:$D$1166)),COUNTIF($D$2:$D$1166,$D$2:$D$1166),0)),"Unknown"),D280)</f>
        <v>Jessica Velez</v>
      </c>
      <c r="U280" t="str">
        <f t="shared" si="29"/>
        <v>INR</v>
      </c>
      <c r="V280" s="7" t="str">
        <f t="shared" si="29"/>
        <v>AUD</v>
      </c>
      <c r="W280" s="7" t="str">
        <f t="shared" si="30"/>
        <v>UAE</v>
      </c>
      <c r="X280" s="7" t="str">
        <f t="shared" si="30"/>
        <v>UAE</v>
      </c>
      <c r="Y280" s="7" t="str" cm="1">
        <f t="array" ref="Y280">IF(H280="",IFERROR(INDEX($H$2:$H$1166,MATCH(MAX(COUNTIF($H$2:$H$1166,$H$2:$H$1166)),COUNTIF($H$2:$H$1166,$H$2:$H$1166),0)),"Unknown"),H280)</f>
        <v>KYC</v>
      </c>
      <c r="Z280" s="7" t="str">
        <f t="shared" si="31"/>
        <v>External</v>
      </c>
      <c r="AA280" s="7">
        <f>IF(J280="",AVERAGE($J:$J),J280)</f>
        <v>10552.94</v>
      </c>
      <c r="AB280" s="7">
        <f>IF(N280="",AVERAGE($N:$N),N280)</f>
        <v>19</v>
      </c>
      <c r="AC280" s="7">
        <f t="shared" si="32"/>
        <v>2022</v>
      </c>
      <c r="AD280" s="7">
        <f t="shared" si="33"/>
        <v>3</v>
      </c>
      <c r="AE280" s="7">
        <f>COUNTIF(A:A,A280)</f>
        <v>1</v>
      </c>
      <c r="AF280" s="7" t="str">
        <f t="shared" si="34"/>
        <v>No</v>
      </c>
    </row>
    <row r="281" spans="1:32">
      <c r="A281" t="s">
        <v>1058</v>
      </c>
      <c r="B281">
        <v>68213514</v>
      </c>
      <c r="C281" t="s">
        <v>1059</v>
      </c>
      <c r="D281" t="s">
        <v>453</v>
      </c>
      <c r="E281" t="s">
        <v>20</v>
      </c>
      <c r="F281" t="s">
        <v>121</v>
      </c>
      <c r="G281" t="s">
        <v>34</v>
      </c>
      <c r="H281" t="s">
        <v>56</v>
      </c>
      <c r="I281" t="s">
        <v>3378</v>
      </c>
      <c r="J281">
        <v>12904.19</v>
      </c>
      <c r="K281" t="s">
        <v>86</v>
      </c>
      <c r="L281" t="s">
        <v>48</v>
      </c>
      <c r="M281" s="1">
        <v>45202.96875</v>
      </c>
      <c r="N281">
        <v>34</v>
      </c>
      <c r="O281" t="s">
        <v>23</v>
      </c>
      <c r="P281" t="s">
        <v>93</v>
      </c>
      <c r="Q281" t="s">
        <v>1060</v>
      </c>
      <c r="R281">
        <f t="shared" si="28"/>
        <v>68213514</v>
      </c>
      <c r="S281" t="str" cm="1">
        <f t="array" ref="S281">IF(C281="",IFERROR(INDEX($C$2:$C$1166,MATCH(MAX(COUNTIF($C$2:$C$1166,$C$2:$C$1166)),COUNTIF($C$2:$C$1166,$C$2:$C$1166),0)),"Unknown"),C281)</f>
        <v>Priya Jackson</v>
      </c>
      <c r="T281" s="4" t="str" cm="1">
        <f t="array" ref="T281">IF(D281="",IFERROR(INDEX($D$2:$D$1000,MATCH(MAX(COUNTIF($D$2:$D$1166,$D$2:$D$1166)),COUNTIF($D$2:$D$1166,$D$2:$D$1166),0)),"Unknown"),D281)</f>
        <v>Fatima Nair</v>
      </c>
      <c r="U281" t="str">
        <f t="shared" si="29"/>
        <v>INR</v>
      </c>
      <c r="V281" s="7" t="str">
        <f t="shared" si="29"/>
        <v>CAD</v>
      </c>
      <c r="W281" s="7" t="str">
        <f t="shared" si="30"/>
        <v>France</v>
      </c>
      <c r="X281" s="7" t="str">
        <f t="shared" si="30"/>
        <v>USA</v>
      </c>
      <c r="Y281" s="7" t="str" cm="1">
        <f t="array" ref="Y281">IF(H281="",IFERROR(INDEX($H$2:$H$1166,MATCH(MAX(COUNTIF($H$2:$H$1166,$H$2:$H$1166)),COUNTIF($H$2:$H$1166,$H$2:$H$1166),0)),"Unknown"),H281)</f>
        <v>Unverified</v>
      </c>
      <c r="Z281" s="7" t="str">
        <f t="shared" si="31"/>
        <v>Inter-Transaction</v>
      </c>
      <c r="AA281" s="7">
        <f>IF(J281="",AVERAGE($J:$J),J281)</f>
        <v>12904.19</v>
      </c>
      <c r="AB281" s="7">
        <f>IF(N281="",AVERAGE($N:$N),N281)</f>
        <v>34</v>
      </c>
      <c r="AC281" s="7">
        <f t="shared" si="32"/>
        <v>2023</v>
      </c>
      <c r="AD281" s="7">
        <f t="shared" si="33"/>
        <v>10</v>
      </c>
      <c r="AE281" s="7">
        <f>COUNTIF(A:A,A281)</f>
        <v>1</v>
      </c>
      <c r="AF281" s="7" t="str">
        <f t="shared" si="34"/>
        <v>No</v>
      </c>
    </row>
    <row r="282" spans="1:32">
      <c r="A282" t="s">
        <v>1061</v>
      </c>
      <c r="B282">
        <v>13718391</v>
      </c>
      <c r="C282" t="s">
        <v>1062</v>
      </c>
      <c r="D282" t="s">
        <v>1063</v>
      </c>
      <c r="E282" t="s">
        <v>20</v>
      </c>
      <c r="F282" t="s">
        <v>98</v>
      </c>
      <c r="G282" t="s">
        <v>92</v>
      </c>
      <c r="H282" t="s">
        <v>103</v>
      </c>
      <c r="I282" t="s">
        <v>3374</v>
      </c>
      <c r="J282">
        <v>8265.08</v>
      </c>
      <c r="K282" t="s">
        <v>86</v>
      </c>
      <c r="L282" t="s">
        <v>81</v>
      </c>
      <c r="M282" s="1">
        <v>44001.007638888892</v>
      </c>
      <c r="N282">
        <v>50</v>
      </c>
      <c r="O282" t="s">
        <v>55</v>
      </c>
      <c r="P282" t="s">
        <v>37</v>
      </c>
      <c r="Q282" t="s">
        <v>1064</v>
      </c>
      <c r="R282">
        <f t="shared" si="28"/>
        <v>13718391</v>
      </c>
      <c r="S282" t="str" cm="1">
        <f t="array" ref="S282">IF(C282="",IFERROR(INDEX($C$2:$C$1166,MATCH(MAX(COUNTIF($C$2:$C$1166,$C$2:$C$1166)),COUNTIF($C$2:$C$1166,$C$2:$C$1166),0)),"Unknown"),C282)</f>
        <v>Elizabeth Silva</v>
      </c>
      <c r="T282" s="4" t="str" cm="1">
        <f t="array" ref="T282">IF(D282="",IFERROR(INDEX($D$2:$D$1000,MATCH(MAX(COUNTIF($D$2:$D$1166,$D$2:$D$1166)),COUNTIF($D$2:$D$1166,$D$2:$D$1166),0)),"Unknown"),D282)</f>
        <v xml:space="preserve"> amir martinez   </v>
      </c>
      <c r="U282" t="str">
        <f t="shared" si="29"/>
        <v>JPY</v>
      </c>
      <c r="V282" s="7" t="str">
        <f t="shared" si="29"/>
        <v>AUD</v>
      </c>
      <c r="W282" s="7" t="str">
        <f t="shared" si="30"/>
        <v>UK</v>
      </c>
      <c r="X282" s="7" t="str">
        <f t="shared" si="30"/>
        <v>South Africa</v>
      </c>
      <c r="Y282" s="7" t="str" cm="1">
        <f t="array" ref="Y282">IF(H282="",IFERROR(INDEX($H$2:$H$1166,MATCH(MAX(COUNTIF($H$2:$H$1166,$H$2:$H$1166)),COUNTIF($H$2:$H$1166,$H$2:$H$1166),0)),"Unknown"),H282)</f>
        <v>Verified</v>
      </c>
      <c r="Z282" s="7" t="str">
        <f t="shared" si="31"/>
        <v>External</v>
      </c>
      <c r="AA282" s="7">
        <f>IF(J282="",AVERAGE($J:$J),J282)</f>
        <v>8265.08</v>
      </c>
      <c r="AB282" s="7">
        <f>IF(N282="",AVERAGE($N:$N),N282)</f>
        <v>50</v>
      </c>
      <c r="AC282" s="7">
        <f t="shared" si="32"/>
        <v>2020</v>
      </c>
      <c r="AD282" s="7">
        <f t="shared" si="33"/>
        <v>6</v>
      </c>
      <c r="AE282" s="7">
        <f>COUNTIF(A:A,A282)</f>
        <v>1</v>
      </c>
      <c r="AF282" s="7" t="str">
        <f t="shared" si="34"/>
        <v>No</v>
      </c>
    </row>
    <row r="283" spans="1:32">
      <c r="A283" t="s">
        <v>1065</v>
      </c>
      <c r="B283">
        <v>98238841</v>
      </c>
      <c r="C283" t="s">
        <v>1066</v>
      </c>
      <c r="D283" t="s">
        <v>1067</v>
      </c>
      <c r="E283" t="s">
        <v>20</v>
      </c>
      <c r="F283" t="s">
        <v>21</v>
      </c>
      <c r="G283" t="s">
        <v>121</v>
      </c>
      <c r="H283" t="s">
        <v>38</v>
      </c>
      <c r="I283" t="s">
        <v>3378</v>
      </c>
      <c r="J283">
        <v>7451.8</v>
      </c>
      <c r="K283" t="s">
        <v>86</v>
      </c>
      <c r="L283" t="s">
        <v>48</v>
      </c>
      <c r="M283" s="1">
        <v>46352.04583333333</v>
      </c>
      <c r="N283">
        <v>26</v>
      </c>
      <c r="O283" t="s">
        <v>54</v>
      </c>
      <c r="P283" t="s">
        <v>24</v>
      </c>
      <c r="Q283" t="s">
        <v>1068</v>
      </c>
      <c r="R283">
        <f t="shared" si="28"/>
        <v>98238841</v>
      </c>
      <c r="S283" t="str" cm="1">
        <f t="array" ref="S283">IF(C283="",IFERROR(INDEX($C$2:$C$1166,MATCH(MAX(COUNTIF($C$2:$C$1166,$C$2:$C$1166)),COUNTIF($C$2:$C$1166,$C$2:$C$1166),0)),"Unknown"),C283)</f>
        <v>Carlos Williams</v>
      </c>
      <c r="T283" s="4" t="str" cm="1">
        <f t="array" ref="T283">IF(D283="",IFERROR(INDEX($D$2:$D$1000,MATCH(MAX(COUNTIF($D$2:$D$1166,$D$2:$D$1166)),COUNTIF($D$2:$D$1166,$D$2:$D$1166),0)),"Unknown"),D283)</f>
        <v>Joseph Khan</v>
      </c>
      <c r="U283" t="str">
        <f t="shared" si="29"/>
        <v>GBP</v>
      </c>
      <c r="V283" s="7" t="str">
        <f t="shared" si="29"/>
        <v>INR</v>
      </c>
      <c r="W283" s="7" t="str">
        <f t="shared" si="30"/>
        <v>India</v>
      </c>
      <c r="X283" s="7" t="str">
        <f t="shared" si="30"/>
        <v>Brazil</v>
      </c>
      <c r="Y283" s="7" t="str" cm="1">
        <f t="array" ref="Y283">IF(H283="",IFERROR(INDEX($H$2:$H$1166,MATCH(MAX(COUNTIF($H$2:$H$1166,$H$2:$H$1166)),COUNTIF($H$2:$H$1166,$H$2:$H$1166),0)),"Unknown"),H283)</f>
        <v>Pending</v>
      </c>
      <c r="Z283" s="7" t="str">
        <f t="shared" si="31"/>
        <v>Inter-Transaction</v>
      </c>
      <c r="AA283" s="7">
        <f>IF(J283="",AVERAGE($J:$J),J283)</f>
        <v>7451.8</v>
      </c>
      <c r="AB283" s="7">
        <f>IF(N283="",AVERAGE($N:$N),N283)</f>
        <v>26</v>
      </c>
      <c r="AC283" s="7">
        <f t="shared" si="32"/>
        <v>2026</v>
      </c>
      <c r="AD283" s="7">
        <f t="shared" si="33"/>
        <v>11</v>
      </c>
      <c r="AE283" s="7">
        <f>COUNTIF(A:A,A283)</f>
        <v>1</v>
      </c>
      <c r="AF283" s="7" t="str">
        <f t="shared" si="34"/>
        <v>No</v>
      </c>
    </row>
    <row r="284" spans="1:32">
      <c r="A284" t="s">
        <v>1069</v>
      </c>
      <c r="B284">
        <v>24336334</v>
      </c>
      <c r="D284" t="s">
        <v>1070</v>
      </c>
      <c r="E284">
        <v>1</v>
      </c>
      <c r="F284" t="s">
        <v>116</v>
      </c>
      <c r="G284" t="s">
        <v>80</v>
      </c>
      <c r="I284" t="s">
        <v>3371</v>
      </c>
      <c r="J284">
        <v>14450.1</v>
      </c>
      <c r="K284" t="s">
        <v>47</v>
      </c>
      <c r="L284" t="s">
        <v>75</v>
      </c>
      <c r="M284" s="1">
        <v>45221.4375</v>
      </c>
      <c r="N284">
        <v>60</v>
      </c>
      <c r="O284" t="s">
        <v>62</v>
      </c>
      <c r="P284" t="s">
        <v>68</v>
      </c>
      <c r="Q284" t="s">
        <v>1071</v>
      </c>
      <c r="R284">
        <f t="shared" si="28"/>
        <v>24336334</v>
      </c>
      <c r="S284" t="str" cm="1">
        <f t="array" ref="S284">IF(C284="",IFERROR(INDEX($C$2:$C$1166,MATCH(MAX(COUNTIF($C$2:$C$1166,$C$2:$C$1166)),COUNTIF($C$2:$C$1166,$C$2:$C$1166),0)),"Unknown"),C284)</f>
        <v>Fatima Brown</v>
      </c>
      <c r="T284" s="4" t="str" cm="1">
        <f t="array" ref="T284">IF(D284="",IFERROR(INDEX($D$2:$D$1000,MATCH(MAX(COUNTIF($D$2:$D$1166,$D$2:$D$1166)),COUNTIF($D$2:$D$1166,$D$2:$D$1166),0)),"Unknown"),D284)</f>
        <v>David Anderson</v>
      </c>
      <c r="U284" t="str">
        <f t="shared" si="29"/>
        <v>CHF</v>
      </c>
      <c r="V284" s="7" t="str">
        <f t="shared" si="29"/>
        <v>USD</v>
      </c>
      <c r="W284" s="7" t="str">
        <f t="shared" si="30"/>
        <v>Australia</v>
      </c>
      <c r="X284" s="7" t="str">
        <f t="shared" si="30"/>
        <v>UAE</v>
      </c>
      <c r="Y284" s="7" t="str" cm="1">
        <f t="array" ref="Y284">IF(H284="",IFERROR(INDEX($H$2:$H$1166,MATCH(MAX(COUNTIF($H$2:$H$1166,$H$2:$H$1166)),COUNTIF($H$2:$H$1166,$H$2:$H$1166),0)),"Unknown"),H284)</f>
        <v>Pending</v>
      </c>
      <c r="Z284" s="7" t="str">
        <f t="shared" si="31"/>
        <v>Outer-Transaction</v>
      </c>
      <c r="AA284" s="7">
        <f>IF(J284="",AVERAGE($J:$J),J284)</f>
        <v>14450.1</v>
      </c>
      <c r="AB284" s="7">
        <f>IF(N284="",AVERAGE($N:$N),N284)</f>
        <v>60</v>
      </c>
      <c r="AC284" s="7">
        <f t="shared" si="32"/>
        <v>2023</v>
      </c>
      <c r="AD284" s="7">
        <f t="shared" si="33"/>
        <v>10</v>
      </c>
      <c r="AE284" s="7">
        <f>COUNTIF(A:A,A284)</f>
        <v>1</v>
      </c>
      <c r="AF284" s="7" t="str">
        <f t="shared" si="34"/>
        <v>Yes</v>
      </c>
    </row>
    <row r="285" spans="1:32">
      <c r="A285" t="s">
        <v>1072</v>
      </c>
      <c r="B285">
        <v>17337997</v>
      </c>
      <c r="C285" t="s">
        <v>491</v>
      </c>
      <c r="D285" t="s">
        <v>1073</v>
      </c>
      <c r="E285" t="s">
        <v>20</v>
      </c>
      <c r="F285" t="s">
        <v>98</v>
      </c>
      <c r="G285" t="s">
        <v>92</v>
      </c>
      <c r="H285" t="s">
        <v>74</v>
      </c>
      <c r="I285" t="s">
        <v>3372</v>
      </c>
      <c r="J285">
        <v>5833.18</v>
      </c>
      <c r="K285" t="s">
        <v>39</v>
      </c>
      <c r="L285" t="s">
        <v>75</v>
      </c>
      <c r="M285" s="1">
        <v>44961.520833333336</v>
      </c>
      <c r="N285">
        <v>65</v>
      </c>
      <c r="O285" t="s">
        <v>68</v>
      </c>
      <c r="P285" t="s">
        <v>36</v>
      </c>
      <c r="Q285" t="s">
        <v>1074</v>
      </c>
      <c r="R285">
        <f t="shared" si="28"/>
        <v>17337997</v>
      </c>
      <c r="S285" t="str" cm="1">
        <f t="array" ref="S285">IF(C285="",IFERROR(INDEX($C$2:$C$1166,MATCH(MAX(COUNTIF($C$2:$C$1166,$C$2:$C$1166)),COUNTIF($C$2:$C$1166,$C$2:$C$1166),0)),"Unknown"),C285)</f>
        <v>Elena Souza</v>
      </c>
      <c r="T285" s="4" t="str" cm="1">
        <f t="array" ref="T285">IF(D285="",IFERROR(INDEX($D$2:$D$1000,MATCH(MAX(COUNTIF($D$2:$D$1166,$D$2:$D$1166)),COUNTIF($D$2:$D$1166,$D$2:$D$1166),0)),"Unknown"),D285)</f>
        <v>Lucas Velez</v>
      </c>
      <c r="U285" t="str">
        <f t="shared" si="29"/>
        <v>JPY</v>
      </c>
      <c r="V285" s="7" t="str">
        <f t="shared" si="29"/>
        <v>AUD</v>
      </c>
      <c r="W285" s="7" t="str">
        <f t="shared" si="30"/>
        <v>UAE</v>
      </c>
      <c r="X285" s="7" t="str">
        <f t="shared" si="30"/>
        <v>Germany</v>
      </c>
      <c r="Y285" s="7" t="str" cm="1">
        <f t="array" ref="Y285">IF(H285="",IFERROR(INDEX($H$2:$H$1166,MATCH(MAX(COUNTIF($H$2:$H$1166,$H$2:$H$1166)),COUNTIF($H$2:$H$1166,$H$2:$H$1166),0)),"Unknown"),H285)</f>
        <v>Non-KYC</v>
      </c>
      <c r="Z285" s="7" t="str">
        <f t="shared" si="31"/>
        <v>Outer-Transaction</v>
      </c>
      <c r="AA285" s="7">
        <f>IF(J285="",AVERAGE($J:$J),J285)</f>
        <v>5833.18</v>
      </c>
      <c r="AB285" s="7">
        <f>IF(N285="",AVERAGE($N:$N),N285)</f>
        <v>65</v>
      </c>
      <c r="AC285" s="7">
        <f t="shared" si="32"/>
        <v>2023</v>
      </c>
      <c r="AD285" s="7">
        <f t="shared" si="33"/>
        <v>2</v>
      </c>
      <c r="AE285" s="7">
        <f>COUNTIF(A:A,A285)</f>
        <v>1</v>
      </c>
      <c r="AF285" s="7" t="str">
        <f t="shared" si="34"/>
        <v>No</v>
      </c>
    </row>
    <row r="286" spans="1:32">
      <c r="A286" t="s">
        <v>1075</v>
      </c>
      <c r="B286">
        <v>96493863</v>
      </c>
      <c r="C286" t="s">
        <v>1076</v>
      </c>
      <c r="D286" t="s">
        <v>969</v>
      </c>
      <c r="E286" t="s">
        <v>20</v>
      </c>
      <c r="F286" t="s">
        <v>44</v>
      </c>
      <c r="G286" t="s">
        <v>44</v>
      </c>
      <c r="H286" t="s">
        <v>25</v>
      </c>
      <c r="I286" t="s">
        <v>3371</v>
      </c>
      <c r="J286">
        <v>10480.25</v>
      </c>
      <c r="K286" t="s">
        <v>27</v>
      </c>
      <c r="L286" t="s">
        <v>28</v>
      </c>
      <c r="M286" s="1">
        <v>46317.068055555559</v>
      </c>
      <c r="N286">
        <v>56</v>
      </c>
      <c r="O286" t="s">
        <v>127</v>
      </c>
      <c r="P286" t="s">
        <v>127</v>
      </c>
      <c r="Q286" t="s">
        <v>1077</v>
      </c>
      <c r="R286">
        <f t="shared" si="28"/>
        <v>96493863</v>
      </c>
      <c r="S286" t="str" cm="1">
        <f t="array" ref="S286">IF(C286="",IFERROR(INDEX($C$2:$C$1166,MATCH(MAX(COUNTIF($C$2:$C$1166,$C$2:$C$1166)),COUNTIF($C$2:$C$1166,$C$2:$C$1166),0)),"Unknown"),C286)</f>
        <v>Jessica Silva</v>
      </c>
      <c r="T286" s="4" t="str" cm="1">
        <f t="array" ref="T286">IF(D286="",IFERROR(INDEX($D$2:$D$1000,MATCH(MAX(COUNTIF($D$2:$D$1166,$D$2:$D$1166)),COUNTIF($D$2:$D$1166,$D$2:$D$1166),0)),"Unknown"),D286)</f>
        <v>Mary Rodriguez</v>
      </c>
      <c r="U286" t="str">
        <f t="shared" si="29"/>
        <v>SGD</v>
      </c>
      <c r="V286" s="7" t="str">
        <f t="shared" si="29"/>
        <v>SGD</v>
      </c>
      <c r="W286" s="7" t="str">
        <f t="shared" si="30"/>
        <v>Canada</v>
      </c>
      <c r="X286" s="7" t="str">
        <f t="shared" si="30"/>
        <v>Canada</v>
      </c>
      <c r="Y286" s="7" t="str" cm="1">
        <f t="array" ref="Y286">IF(H286="",IFERROR(INDEX($H$2:$H$1166,MATCH(MAX(COUNTIF($H$2:$H$1166,$H$2:$H$1166)),COUNTIF($H$2:$H$1166,$H$2:$H$1166),0)),"Unknown"),H286)</f>
        <v>KYC</v>
      </c>
      <c r="Z286" s="7" t="str">
        <f t="shared" si="31"/>
        <v>Outer-Transaction</v>
      </c>
      <c r="AA286" s="7">
        <f>IF(J286="",AVERAGE($J:$J),J286)</f>
        <v>10480.25</v>
      </c>
      <c r="AB286" s="7">
        <f>IF(N286="",AVERAGE($N:$N),N286)</f>
        <v>56</v>
      </c>
      <c r="AC286" s="7">
        <f t="shared" si="32"/>
        <v>2026</v>
      </c>
      <c r="AD286" s="7">
        <f t="shared" si="33"/>
        <v>10</v>
      </c>
      <c r="AE286" s="7">
        <f>COUNTIF(A:A,A286)</f>
        <v>1</v>
      </c>
      <c r="AF286" s="7" t="str">
        <f t="shared" si="34"/>
        <v>No</v>
      </c>
    </row>
    <row r="287" spans="1:32">
      <c r="A287" t="s">
        <v>1078</v>
      </c>
      <c r="B287">
        <v>34661114</v>
      </c>
      <c r="C287" t="s">
        <v>1079</v>
      </c>
      <c r="D287" t="s">
        <v>1080</v>
      </c>
      <c r="E287">
        <v>0</v>
      </c>
      <c r="F287" t="s">
        <v>92</v>
      </c>
      <c r="G287" t="s">
        <v>121</v>
      </c>
      <c r="I287" t="s">
        <v>3371</v>
      </c>
      <c r="J287">
        <v>12705.94</v>
      </c>
      <c r="K287" t="s">
        <v>39</v>
      </c>
      <c r="L287" t="s">
        <v>75</v>
      </c>
      <c r="M287" s="1">
        <v>44665.62222222222</v>
      </c>
      <c r="N287">
        <v>59</v>
      </c>
      <c r="O287" t="s">
        <v>23</v>
      </c>
      <c r="P287" t="s">
        <v>68</v>
      </c>
      <c r="Q287" t="s">
        <v>1081</v>
      </c>
      <c r="R287">
        <f t="shared" si="28"/>
        <v>34661114</v>
      </c>
      <c r="S287" t="str" cm="1">
        <f t="array" ref="S287">IF(C287="",IFERROR(INDEX($C$2:$C$1166,MATCH(MAX(COUNTIF($C$2:$C$1166,$C$2:$C$1166)),COUNTIF($C$2:$C$1166,$C$2:$C$1166),0)),"Unknown"),C287)</f>
        <v>Sanjay Anderson</v>
      </c>
      <c r="T287" s="4" t="str" cm="1">
        <f t="array" ref="T287">IF(D287="",IFERROR(INDEX($D$2:$D$1000,MATCH(MAX(COUNTIF($D$2:$D$1166,$D$2:$D$1166)),COUNTIF($D$2:$D$1166,$D$2:$D$1166),0)),"Unknown"),D287)</f>
        <v>Lucas Nair</v>
      </c>
      <c r="U287" t="str">
        <f t="shared" si="29"/>
        <v>AUD</v>
      </c>
      <c r="V287" s="7" t="str">
        <f t="shared" si="29"/>
        <v>INR</v>
      </c>
      <c r="W287" s="7" t="str">
        <f t="shared" si="30"/>
        <v>France</v>
      </c>
      <c r="X287" s="7" t="str">
        <f t="shared" si="30"/>
        <v>UAE</v>
      </c>
      <c r="Y287" s="7" t="str" cm="1">
        <f t="array" ref="Y287">IF(H287="",IFERROR(INDEX($H$2:$H$1166,MATCH(MAX(COUNTIF($H$2:$H$1166,$H$2:$H$1166)),COUNTIF($H$2:$H$1166,$H$2:$H$1166),0)),"Unknown"),H287)</f>
        <v>Pending</v>
      </c>
      <c r="Z287" s="7" t="str">
        <f t="shared" si="31"/>
        <v>Outer-Transaction</v>
      </c>
      <c r="AA287" s="7">
        <f>IF(J287="",AVERAGE($J:$J),J287)</f>
        <v>12705.94</v>
      </c>
      <c r="AB287" s="7">
        <f>IF(N287="",AVERAGE($N:$N),N287)</f>
        <v>59</v>
      </c>
      <c r="AC287" s="7">
        <f t="shared" si="32"/>
        <v>2022</v>
      </c>
      <c r="AD287" s="7">
        <f t="shared" si="33"/>
        <v>4</v>
      </c>
      <c r="AE287" s="7">
        <f>COUNTIF(A:A,A287)</f>
        <v>1</v>
      </c>
      <c r="AF287" s="7" t="str">
        <f t="shared" si="34"/>
        <v>No</v>
      </c>
    </row>
    <row r="288" spans="1:32">
      <c r="A288" t="s">
        <v>1082</v>
      </c>
      <c r="B288">
        <v>65632768</v>
      </c>
      <c r="C288" t="s">
        <v>1083</v>
      </c>
      <c r="D288" t="s">
        <v>147</v>
      </c>
      <c r="E288" t="s">
        <v>20</v>
      </c>
      <c r="F288" t="s">
        <v>1084</v>
      </c>
      <c r="H288" t="s">
        <v>25</v>
      </c>
      <c r="I288" t="s">
        <v>3372</v>
      </c>
      <c r="J288">
        <v>2982.01</v>
      </c>
      <c r="K288" t="s">
        <v>47</v>
      </c>
      <c r="L288" t="s">
        <v>28</v>
      </c>
      <c r="M288" s="1">
        <v>44057.439583333333</v>
      </c>
      <c r="N288">
        <v>43</v>
      </c>
      <c r="O288" t="s">
        <v>127</v>
      </c>
      <c r="P288" t="s">
        <v>68</v>
      </c>
      <c r="Q288" t="s">
        <v>1085</v>
      </c>
      <c r="R288">
        <f t="shared" si="28"/>
        <v>65632768</v>
      </c>
      <c r="S288" t="str" cm="1">
        <f t="array" ref="S288">IF(C288="",IFERROR(INDEX($C$2:$C$1166,MATCH(MAX(COUNTIF($C$2:$C$1166,$C$2:$C$1166)),COUNTIF($C$2:$C$1166,$C$2:$C$1166),0)),"Unknown"),C288)</f>
        <v>Susan Garcia</v>
      </c>
      <c r="T288" s="4" t="str" cm="1">
        <f t="array" ref="T288">IF(D288="",IFERROR(INDEX($D$2:$D$1000,MATCH(MAX(COUNTIF($D$2:$D$1166,$D$2:$D$1166)),COUNTIF($D$2:$D$1166,$D$2:$D$1166),0)),"Unknown"),D288)</f>
        <v>Joseph Volkov</v>
      </c>
      <c r="U288" t="str">
        <f t="shared" si="29"/>
        <v>chf</v>
      </c>
      <c r="V288" s="7" t="str">
        <f t="shared" si="29"/>
        <v/>
      </c>
      <c r="W288" s="7" t="str">
        <f t="shared" si="30"/>
        <v>Canada</v>
      </c>
      <c r="X288" s="7" t="str">
        <f t="shared" si="30"/>
        <v>UAE</v>
      </c>
      <c r="Y288" s="7" t="str" cm="1">
        <f t="array" ref="Y288">IF(H288="",IFERROR(INDEX($H$2:$H$1166,MATCH(MAX(COUNTIF($H$2:$H$1166,$H$2:$H$1166)),COUNTIF($H$2:$H$1166,$H$2:$H$1166),0)),"Unknown"),H288)</f>
        <v>KYC</v>
      </c>
      <c r="Z288" s="7" t="str">
        <f t="shared" si="31"/>
        <v>Outer-Transaction</v>
      </c>
      <c r="AA288" s="7">
        <f>IF(J288="",AVERAGE($J:$J),J288)</f>
        <v>2982.01</v>
      </c>
      <c r="AB288" s="7">
        <f>IF(N288="",AVERAGE($N:$N),N288)</f>
        <v>43</v>
      </c>
      <c r="AC288" s="7">
        <f t="shared" si="32"/>
        <v>2020</v>
      </c>
      <c r="AD288" s="7">
        <f t="shared" si="33"/>
        <v>8</v>
      </c>
      <c r="AE288" s="7">
        <f>COUNTIF(A:A,A288)</f>
        <v>1</v>
      </c>
      <c r="AF288" s="7" t="str">
        <f t="shared" si="34"/>
        <v>No</v>
      </c>
    </row>
    <row r="289" spans="1:32">
      <c r="A289" t="s">
        <v>1086</v>
      </c>
      <c r="B289">
        <v>80576741</v>
      </c>
      <c r="C289" t="s">
        <v>1087</v>
      </c>
      <c r="D289" t="s">
        <v>1088</v>
      </c>
      <c r="E289" t="s">
        <v>3375</v>
      </c>
      <c r="F289" t="s">
        <v>45</v>
      </c>
      <c r="G289" t="s">
        <v>44</v>
      </c>
      <c r="H289" t="s">
        <v>103</v>
      </c>
      <c r="I289" t="s">
        <v>3374</v>
      </c>
      <c r="J289">
        <v>7417.58</v>
      </c>
      <c r="K289" t="s">
        <v>47</v>
      </c>
      <c r="L289" t="s">
        <v>81</v>
      </c>
      <c r="M289" s="1">
        <v>44272.252083333333</v>
      </c>
      <c r="N289">
        <v>67</v>
      </c>
      <c r="O289" t="s">
        <v>62</v>
      </c>
      <c r="P289" t="s">
        <v>24</v>
      </c>
      <c r="Q289" t="s">
        <v>1089</v>
      </c>
      <c r="R289">
        <f t="shared" si="28"/>
        <v>80576741</v>
      </c>
      <c r="S289" t="str" cm="1">
        <f t="array" ref="S289">IF(C289="",IFERROR(INDEX($C$2:$C$1166,MATCH(MAX(COUNTIF($C$2:$C$1166,$C$2:$C$1166)),COUNTIF($C$2:$C$1166,$C$2:$C$1166),0)),"Unknown"),C289)</f>
        <v>Jessica Dubois</v>
      </c>
      <c r="T289" s="4" t="str" cm="1">
        <f t="array" ref="T289">IF(D289="",IFERROR(INDEX($D$2:$D$1000,MATCH(MAX(COUNTIF($D$2:$D$1166,$D$2:$D$1166)),COUNTIF($D$2:$D$1166,$D$2:$D$1166),0)),"Unknown"),D289)</f>
        <v>Priya Souza</v>
      </c>
      <c r="U289" t="str">
        <f t="shared" si="29"/>
        <v>ZAR</v>
      </c>
      <c r="V289" s="7" t="str">
        <f t="shared" si="29"/>
        <v>SGD</v>
      </c>
      <c r="W289" s="7" t="str">
        <f t="shared" si="30"/>
        <v>Australia</v>
      </c>
      <c r="X289" s="7" t="str">
        <f t="shared" si="30"/>
        <v>Brazil</v>
      </c>
      <c r="Y289" s="7" t="str" cm="1">
        <f t="array" ref="Y289">IF(H289="",IFERROR(INDEX($H$2:$H$1166,MATCH(MAX(COUNTIF($H$2:$H$1166,$H$2:$H$1166)),COUNTIF($H$2:$H$1166,$H$2:$H$1166),0)),"Unknown"),H289)</f>
        <v>Verified</v>
      </c>
      <c r="Z289" s="7" t="str">
        <f t="shared" si="31"/>
        <v>External</v>
      </c>
      <c r="AA289" s="7">
        <f>IF(J289="",AVERAGE($J:$J),J289)</f>
        <v>7417.58</v>
      </c>
      <c r="AB289" s="7">
        <f>IF(N289="",AVERAGE($N:$N),N289)</f>
        <v>67</v>
      </c>
      <c r="AC289" s="7">
        <f t="shared" si="32"/>
        <v>2021</v>
      </c>
      <c r="AD289" s="7">
        <f t="shared" si="33"/>
        <v>3</v>
      </c>
      <c r="AE289" s="7">
        <f>COUNTIF(A:A,A289)</f>
        <v>1</v>
      </c>
      <c r="AF289" s="7" t="str">
        <f t="shared" si="34"/>
        <v>No</v>
      </c>
    </row>
    <row r="290" spans="1:32">
      <c r="A290" t="s">
        <v>1090</v>
      </c>
      <c r="B290">
        <v>48949039</v>
      </c>
      <c r="C290" t="s">
        <v>452</v>
      </c>
      <c r="D290" t="s">
        <v>1091</v>
      </c>
      <c r="E290" t="s">
        <v>20</v>
      </c>
      <c r="F290" t="s">
        <v>34</v>
      </c>
      <c r="G290" t="s">
        <v>1084</v>
      </c>
      <c r="I290" t="s">
        <v>3372</v>
      </c>
      <c r="J290">
        <v>10305.92</v>
      </c>
      <c r="K290" t="s">
        <v>39</v>
      </c>
      <c r="L290" t="s">
        <v>81</v>
      </c>
      <c r="M290" s="1">
        <v>46274.436111111114</v>
      </c>
      <c r="N290">
        <v>42</v>
      </c>
      <c r="O290" t="s">
        <v>24</v>
      </c>
      <c r="P290" t="s">
        <v>24</v>
      </c>
      <c r="Q290" t="s">
        <v>1092</v>
      </c>
      <c r="R290">
        <f t="shared" si="28"/>
        <v>48949039</v>
      </c>
      <c r="S290" t="str" cm="1">
        <f t="array" ref="S290">IF(C290="",IFERROR(INDEX($C$2:$C$1166,MATCH(MAX(COUNTIF($C$2:$C$1166,$C$2:$C$1166)),COUNTIF($C$2:$C$1166,$C$2:$C$1166),0)),"Unknown"),C290)</f>
        <v>David Davis</v>
      </c>
      <c r="T290" s="4" t="str" cm="1">
        <f t="array" ref="T290">IF(D290="",IFERROR(INDEX($D$2:$D$1000,MATCH(MAX(COUNTIF($D$2:$D$1166,$D$2:$D$1166)),COUNTIF($D$2:$D$1166,$D$2:$D$1166),0)),"Unknown"),D290)</f>
        <v>Nancy Anderson</v>
      </c>
      <c r="U290" t="str">
        <f t="shared" si="29"/>
        <v>CAD</v>
      </c>
      <c r="V290" s="7" t="str">
        <f t="shared" si="29"/>
        <v>chf</v>
      </c>
      <c r="W290" s="7" t="str">
        <f t="shared" si="30"/>
        <v>Brazil</v>
      </c>
      <c r="X290" s="7" t="str">
        <f t="shared" si="30"/>
        <v>Brazil</v>
      </c>
      <c r="Y290" s="7" t="str" cm="1">
        <f t="array" ref="Y290">IF(H290="",IFERROR(INDEX($H$2:$H$1166,MATCH(MAX(COUNTIF($H$2:$H$1166,$H$2:$H$1166)),COUNTIF($H$2:$H$1166,$H$2:$H$1166),0)),"Unknown"),H290)</f>
        <v>Pending</v>
      </c>
      <c r="Z290" s="7" t="str">
        <f t="shared" si="31"/>
        <v>Outer-Transaction</v>
      </c>
      <c r="AA290" s="7">
        <f>IF(J290="",AVERAGE($J:$J),J290)</f>
        <v>10305.92</v>
      </c>
      <c r="AB290" s="7">
        <f>IF(N290="",AVERAGE($N:$N),N290)</f>
        <v>42</v>
      </c>
      <c r="AC290" s="7">
        <f t="shared" si="32"/>
        <v>2026</v>
      </c>
      <c r="AD290" s="7">
        <f t="shared" si="33"/>
        <v>9</v>
      </c>
      <c r="AE290" s="7">
        <f>COUNTIF(A:A,A290)</f>
        <v>1</v>
      </c>
      <c r="AF290" s="7" t="str">
        <f t="shared" si="34"/>
        <v>No</v>
      </c>
    </row>
    <row r="291" spans="1:32">
      <c r="A291" t="s">
        <v>1093</v>
      </c>
      <c r="B291">
        <v>90293348</v>
      </c>
      <c r="C291" t="s">
        <v>335</v>
      </c>
      <c r="D291" t="s">
        <v>882</v>
      </c>
      <c r="E291">
        <v>1</v>
      </c>
      <c r="F291" t="s">
        <v>98</v>
      </c>
      <c r="G291" t="s">
        <v>116</v>
      </c>
      <c r="H291" t="s">
        <v>25</v>
      </c>
      <c r="I291" t="s">
        <v>3376</v>
      </c>
      <c r="J291">
        <v>2698.79</v>
      </c>
      <c r="K291" t="s">
        <v>47</v>
      </c>
      <c r="L291" t="s">
        <v>81</v>
      </c>
      <c r="M291" s="1">
        <v>44558.052083333336</v>
      </c>
      <c r="N291">
        <v>41</v>
      </c>
      <c r="O291" t="s">
        <v>37</v>
      </c>
      <c r="P291" t="s">
        <v>37</v>
      </c>
      <c r="Q291" t="s">
        <v>1094</v>
      </c>
      <c r="R291">
        <f t="shared" si="28"/>
        <v>90293348</v>
      </c>
      <c r="S291" t="str" cm="1">
        <f t="array" ref="S291">IF(C291="",IFERROR(INDEX($C$2:$C$1166,MATCH(MAX(COUNTIF($C$2:$C$1166,$C$2:$C$1166)),COUNTIF($C$2:$C$1166,$C$2:$C$1166),0)),"Unknown"),C291)</f>
        <v>Elena Al-Sayed</v>
      </c>
      <c r="T291" s="4" t="str" cm="1">
        <f t="array" ref="T291">IF(D291="",IFERROR(INDEX($D$2:$D$1000,MATCH(MAX(COUNTIF($D$2:$D$1166,$D$2:$D$1166)),COUNTIF($D$2:$D$1166,$D$2:$D$1166),0)),"Unknown"),D291)</f>
        <v>Lucas Johnson</v>
      </c>
      <c r="U291" t="str">
        <f t="shared" si="29"/>
        <v>JPY</v>
      </c>
      <c r="V291" s="7" t="str">
        <f t="shared" si="29"/>
        <v>CHF</v>
      </c>
      <c r="W291" s="7" t="str">
        <f t="shared" si="30"/>
        <v>South Africa</v>
      </c>
      <c r="X291" s="7" t="str">
        <f t="shared" si="30"/>
        <v>South Africa</v>
      </c>
      <c r="Y291" s="7" t="str" cm="1">
        <f t="array" ref="Y291">IF(H291="",IFERROR(INDEX($H$2:$H$1166,MATCH(MAX(COUNTIF($H$2:$H$1166,$H$2:$H$1166)),COUNTIF($H$2:$H$1166,$H$2:$H$1166),0)),"Unknown"),H291)</f>
        <v>KYC</v>
      </c>
      <c r="Z291" s="7" t="str">
        <f t="shared" si="31"/>
        <v>Internal</v>
      </c>
      <c r="AA291" s="7">
        <f>IF(J291="",AVERAGE($J:$J),J291)</f>
        <v>2698.79</v>
      </c>
      <c r="AB291" s="7">
        <f>IF(N291="",AVERAGE($N:$N),N291)</f>
        <v>41</v>
      </c>
      <c r="AC291" s="7">
        <f t="shared" si="32"/>
        <v>2021</v>
      </c>
      <c r="AD291" s="7">
        <f t="shared" si="33"/>
        <v>12</v>
      </c>
      <c r="AE291" s="7">
        <f>COUNTIF(A:A,A291)</f>
        <v>1</v>
      </c>
      <c r="AF291" s="7" t="str">
        <f t="shared" si="34"/>
        <v>Yes</v>
      </c>
    </row>
    <row r="292" spans="1:32">
      <c r="A292" t="s">
        <v>1095</v>
      </c>
      <c r="B292">
        <v>77002914</v>
      </c>
      <c r="C292" t="s">
        <v>483</v>
      </c>
      <c r="D292" t="s">
        <v>1096</v>
      </c>
      <c r="E292" t="s">
        <v>20</v>
      </c>
      <c r="F292" t="s">
        <v>92</v>
      </c>
      <c r="G292" t="s">
        <v>53</v>
      </c>
      <c r="H292" t="s">
        <v>56</v>
      </c>
      <c r="I292" t="s">
        <v>3371</v>
      </c>
      <c r="J292">
        <v>4739.99</v>
      </c>
      <c r="K292" t="s">
        <v>39</v>
      </c>
      <c r="L292" t="s">
        <v>48</v>
      </c>
      <c r="M292" s="1">
        <v>45435.258333333331</v>
      </c>
      <c r="N292">
        <v>30</v>
      </c>
      <c r="O292" t="s">
        <v>62</v>
      </c>
      <c r="P292" t="s">
        <v>55</v>
      </c>
      <c r="Q292" t="s">
        <v>1097</v>
      </c>
      <c r="R292">
        <f t="shared" si="28"/>
        <v>77002914</v>
      </c>
      <c r="S292" t="str" cm="1">
        <f t="array" ref="S292">IF(C292="",IFERROR(INDEX($C$2:$C$1166,MATCH(MAX(COUNTIF($C$2:$C$1166,$C$2:$C$1166)),COUNTIF($C$2:$C$1166,$C$2:$C$1166),0)),"Unknown"),C292)</f>
        <v>Zayn Khan</v>
      </c>
      <c r="T292" s="4" t="str" cm="1">
        <f t="array" ref="T292">IF(D292="",IFERROR(INDEX($D$2:$D$1000,MATCH(MAX(COUNTIF($D$2:$D$1166,$D$2:$D$1166)),COUNTIF($D$2:$D$1166,$D$2:$D$1166),0)),"Unknown"),D292)</f>
        <v>David Al-Sayed</v>
      </c>
      <c r="U292" t="str">
        <f t="shared" si="29"/>
        <v>AUD</v>
      </c>
      <c r="V292" s="7" t="str">
        <f t="shared" si="29"/>
        <v>AED</v>
      </c>
      <c r="W292" s="7" t="str">
        <f t="shared" si="30"/>
        <v>Australia</v>
      </c>
      <c r="X292" s="7" t="str">
        <f t="shared" si="30"/>
        <v>UK</v>
      </c>
      <c r="Y292" s="7" t="str" cm="1">
        <f t="array" ref="Y292">IF(H292="",IFERROR(INDEX($H$2:$H$1166,MATCH(MAX(COUNTIF($H$2:$H$1166,$H$2:$H$1166)),COUNTIF($H$2:$H$1166,$H$2:$H$1166),0)),"Unknown"),H292)</f>
        <v>Unverified</v>
      </c>
      <c r="Z292" s="7" t="str">
        <f t="shared" si="31"/>
        <v>Outer-Transaction</v>
      </c>
      <c r="AA292" s="7">
        <f>IF(J292="",AVERAGE($J:$J),J292)</f>
        <v>4739.99</v>
      </c>
      <c r="AB292" s="7">
        <f>IF(N292="",AVERAGE($N:$N),N292)</f>
        <v>30</v>
      </c>
      <c r="AC292" s="7">
        <f t="shared" si="32"/>
        <v>2024</v>
      </c>
      <c r="AD292" s="7">
        <f t="shared" si="33"/>
        <v>5</v>
      </c>
      <c r="AE292" s="7">
        <f>COUNTIF(A:A,A292)</f>
        <v>1</v>
      </c>
      <c r="AF292" s="7" t="str">
        <f t="shared" si="34"/>
        <v>No</v>
      </c>
    </row>
    <row r="293" spans="1:32">
      <c r="A293" t="s">
        <v>1098</v>
      </c>
      <c r="B293">
        <v>76425800</v>
      </c>
      <c r="C293" t="s">
        <v>1099</v>
      </c>
      <c r="D293" t="s">
        <v>1100</v>
      </c>
      <c r="E293" t="s">
        <v>20</v>
      </c>
      <c r="F293" t="s">
        <v>44</v>
      </c>
      <c r="G293" t="s">
        <v>44</v>
      </c>
      <c r="H293" t="s">
        <v>103</v>
      </c>
      <c r="I293" t="s">
        <v>3371</v>
      </c>
      <c r="J293">
        <v>12525.96</v>
      </c>
      <c r="K293" t="s">
        <v>27</v>
      </c>
      <c r="L293" t="s">
        <v>75</v>
      </c>
      <c r="M293" s="1">
        <v>45962.177777777775</v>
      </c>
      <c r="N293">
        <v>77</v>
      </c>
      <c r="O293" t="s">
        <v>36</v>
      </c>
      <c r="P293" t="s">
        <v>68</v>
      </c>
      <c r="Q293" t="s">
        <v>1101</v>
      </c>
      <c r="R293">
        <f t="shared" si="28"/>
        <v>76425800</v>
      </c>
      <c r="S293" t="str" cm="1">
        <f t="array" ref="S293">IF(C293="",IFERROR(INDEX($C$2:$C$1166,MATCH(MAX(COUNTIF($C$2:$C$1166,$C$2:$C$1166)),COUNTIF($C$2:$C$1166,$C$2:$C$1166),0)),"Unknown"),C293)</f>
        <v>Mary Anderson</v>
      </c>
      <c r="T293" s="4" t="str" cm="1">
        <f t="array" ref="T293">IF(D293="",IFERROR(INDEX($D$2:$D$1000,MATCH(MAX(COUNTIF($D$2:$D$1166,$D$2:$D$1166)),COUNTIF($D$2:$D$1166,$D$2:$D$1166),0)),"Unknown"),D293)</f>
        <v>Susan Rostova</v>
      </c>
      <c r="U293" t="str">
        <f t="shared" si="29"/>
        <v>SGD</v>
      </c>
      <c r="V293" s="7" t="str">
        <f t="shared" si="29"/>
        <v>SGD</v>
      </c>
      <c r="W293" s="7" t="str">
        <f t="shared" si="30"/>
        <v>Germany</v>
      </c>
      <c r="X293" s="7" t="str">
        <f t="shared" si="30"/>
        <v>UAE</v>
      </c>
      <c r="Y293" s="7" t="str" cm="1">
        <f t="array" ref="Y293">IF(H293="",IFERROR(INDEX($H$2:$H$1166,MATCH(MAX(COUNTIF($H$2:$H$1166,$H$2:$H$1166)),COUNTIF($H$2:$H$1166,$H$2:$H$1166),0)),"Unknown"),H293)</f>
        <v>Verified</v>
      </c>
      <c r="Z293" s="7" t="str">
        <f t="shared" si="31"/>
        <v>Outer-Transaction</v>
      </c>
      <c r="AA293" s="7">
        <f>IF(J293="",AVERAGE($J:$J),J293)</f>
        <v>12525.96</v>
      </c>
      <c r="AB293" s="7">
        <f>IF(N293="",AVERAGE($N:$N),N293)</f>
        <v>77</v>
      </c>
      <c r="AC293" s="7">
        <f t="shared" si="32"/>
        <v>2025</v>
      </c>
      <c r="AD293" s="7">
        <f t="shared" si="33"/>
        <v>11</v>
      </c>
      <c r="AE293" s="7">
        <f>COUNTIF(A:A,A293)</f>
        <v>1</v>
      </c>
      <c r="AF293" s="7" t="str">
        <f t="shared" si="34"/>
        <v>No</v>
      </c>
    </row>
    <row r="294" spans="1:32">
      <c r="A294" t="s">
        <v>1102</v>
      </c>
      <c r="B294">
        <v>54111700</v>
      </c>
      <c r="C294" t="s">
        <v>1103</v>
      </c>
      <c r="D294" t="s">
        <v>1104</v>
      </c>
      <c r="E294">
        <v>0</v>
      </c>
      <c r="F294" t="s">
        <v>34</v>
      </c>
      <c r="G294" t="s">
        <v>116</v>
      </c>
      <c r="I294" t="s">
        <v>3374</v>
      </c>
      <c r="J294">
        <v>7203.03</v>
      </c>
      <c r="K294" t="s">
        <v>57</v>
      </c>
      <c r="L294" t="s">
        <v>28</v>
      </c>
      <c r="M294" s="1">
        <v>44867.863194444442</v>
      </c>
      <c r="N294">
        <v>24</v>
      </c>
      <c r="O294" t="s">
        <v>62</v>
      </c>
      <c r="P294" t="s">
        <v>54</v>
      </c>
      <c r="Q294" t="s">
        <v>1105</v>
      </c>
      <c r="R294">
        <f t="shared" si="28"/>
        <v>54111700</v>
      </c>
      <c r="S294" t="str" cm="1">
        <f t="array" ref="S294">IF(C294="",IFERROR(INDEX($C$2:$C$1166,MATCH(MAX(COUNTIF($C$2:$C$1166,$C$2:$C$1166)),COUNTIF($C$2:$C$1166,$C$2:$C$1166),0)),"Unknown"),C294)</f>
        <v xml:space="preserve">  JOHN MARTINEZ </v>
      </c>
      <c r="T294" s="4" t="str" cm="1">
        <f t="array" ref="T294">IF(D294="",IFERROR(INDEX($D$2:$D$1000,MATCH(MAX(COUNTIF($D$2:$D$1166,$D$2:$D$1166)),COUNTIF($D$2:$D$1166,$D$2:$D$1166),0)),"Unknown"),D294)</f>
        <v>Marta Velez</v>
      </c>
      <c r="U294" t="str">
        <f t="shared" si="29"/>
        <v>CAD</v>
      </c>
      <c r="V294" s="7" t="str">
        <f t="shared" si="29"/>
        <v>CHF</v>
      </c>
      <c r="W294" s="7" t="str">
        <f t="shared" si="30"/>
        <v>Australia</v>
      </c>
      <c r="X294" s="7" t="str">
        <f t="shared" si="30"/>
        <v>India</v>
      </c>
      <c r="Y294" s="7" t="str" cm="1">
        <f t="array" ref="Y294">IF(H294="",IFERROR(INDEX($H$2:$H$1166,MATCH(MAX(COUNTIF($H$2:$H$1166,$H$2:$H$1166)),COUNTIF($H$2:$H$1166,$H$2:$H$1166),0)),"Unknown"),H294)</f>
        <v>Pending</v>
      </c>
      <c r="Z294" s="7" t="str">
        <f t="shared" si="31"/>
        <v>External</v>
      </c>
      <c r="AA294" s="7">
        <f>IF(J294="",AVERAGE($J:$J),J294)</f>
        <v>7203.03</v>
      </c>
      <c r="AB294" s="7">
        <f>IF(N294="",AVERAGE($N:$N),N294)</f>
        <v>24</v>
      </c>
      <c r="AC294" s="7">
        <f t="shared" si="32"/>
        <v>2022</v>
      </c>
      <c r="AD294" s="7">
        <f t="shared" si="33"/>
        <v>11</v>
      </c>
      <c r="AE294" s="7">
        <f>COUNTIF(A:A,A294)</f>
        <v>1</v>
      </c>
      <c r="AF294" s="7" t="str">
        <f t="shared" si="34"/>
        <v>No</v>
      </c>
    </row>
    <row r="295" spans="1:32">
      <c r="A295" t="s">
        <v>1106</v>
      </c>
      <c r="B295">
        <v>27357063</v>
      </c>
      <c r="C295" t="s">
        <v>808</v>
      </c>
      <c r="D295" t="s">
        <v>52</v>
      </c>
      <c r="E295" t="s">
        <v>20</v>
      </c>
      <c r="F295" t="s">
        <v>34</v>
      </c>
      <c r="G295" t="s">
        <v>80</v>
      </c>
      <c r="H295" t="s">
        <v>74</v>
      </c>
      <c r="I295" t="s">
        <v>3372</v>
      </c>
      <c r="J295">
        <v>1346.93</v>
      </c>
      <c r="K295" t="s">
        <v>47</v>
      </c>
      <c r="L295" t="s">
        <v>48</v>
      </c>
      <c r="M295" s="1">
        <v>45663.754166666666</v>
      </c>
      <c r="N295">
        <v>74</v>
      </c>
      <c r="O295" t="s">
        <v>127</v>
      </c>
      <c r="P295" t="s">
        <v>68</v>
      </c>
      <c r="Q295" t="s">
        <v>1107</v>
      </c>
      <c r="R295">
        <f t="shared" si="28"/>
        <v>27357063</v>
      </c>
      <c r="S295" t="str" cm="1">
        <f t="array" ref="S295">IF(C295="",IFERROR(INDEX($C$2:$C$1166,MATCH(MAX(COUNTIF($C$2:$C$1166,$C$2:$C$1166)),COUNTIF($C$2:$C$1166,$C$2:$C$1166),0)),"Unknown"),C295)</f>
        <v>William Malik</v>
      </c>
      <c r="T295" s="4" t="str" cm="1">
        <f t="array" ref="T295">IF(D295="",IFERROR(INDEX($D$2:$D$1000,MATCH(MAX(COUNTIF($D$2:$D$1166,$D$2:$D$1166)),COUNTIF($D$2:$D$1166,$D$2:$D$1166),0)),"Unknown"),D295)</f>
        <v>Mary Silva</v>
      </c>
      <c r="U295" t="str">
        <f t="shared" si="29"/>
        <v>CAD</v>
      </c>
      <c r="V295" s="7" t="str">
        <f t="shared" si="29"/>
        <v>USD</v>
      </c>
      <c r="W295" s="7" t="str">
        <f t="shared" si="30"/>
        <v>Canada</v>
      </c>
      <c r="X295" s="7" t="str">
        <f t="shared" si="30"/>
        <v>UAE</v>
      </c>
      <c r="Y295" s="7" t="str" cm="1">
        <f t="array" ref="Y295">IF(H295="",IFERROR(INDEX($H$2:$H$1166,MATCH(MAX(COUNTIF($H$2:$H$1166,$H$2:$H$1166)),COUNTIF($H$2:$H$1166,$H$2:$H$1166),0)),"Unknown"),H295)</f>
        <v>Non-KYC</v>
      </c>
      <c r="Z295" s="7" t="str">
        <f t="shared" si="31"/>
        <v>Outer-Transaction</v>
      </c>
      <c r="AA295" s="7">
        <f>IF(J295="",AVERAGE($J:$J),J295)</f>
        <v>1346.93</v>
      </c>
      <c r="AB295" s="7">
        <f>IF(N295="",AVERAGE($N:$N),N295)</f>
        <v>74</v>
      </c>
      <c r="AC295" s="7">
        <f t="shared" si="32"/>
        <v>2025</v>
      </c>
      <c r="AD295" s="7">
        <f t="shared" si="33"/>
        <v>1</v>
      </c>
      <c r="AE295" s="7">
        <f>COUNTIF(A:A,A295)</f>
        <v>1</v>
      </c>
      <c r="AF295" s="7" t="str">
        <f t="shared" si="34"/>
        <v>No</v>
      </c>
    </row>
    <row r="296" spans="1:32">
      <c r="A296" t="s">
        <v>1108</v>
      </c>
      <c r="B296">
        <v>51621092</v>
      </c>
      <c r="C296" t="s">
        <v>486</v>
      </c>
      <c r="D296" t="s">
        <v>1109</v>
      </c>
      <c r="E296" t="s">
        <v>20</v>
      </c>
      <c r="F296" t="s">
        <v>35</v>
      </c>
      <c r="G296" t="s">
        <v>34</v>
      </c>
      <c r="H296" t="s">
        <v>56</v>
      </c>
      <c r="I296" t="s">
        <v>3377</v>
      </c>
      <c r="J296">
        <v>11349.79</v>
      </c>
      <c r="K296" t="s">
        <v>57</v>
      </c>
      <c r="L296" t="s">
        <v>48</v>
      </c>
      <c r="M296" s="1">
        <v>45679.213194444441</v>
      </c>
      <c r="N296">
        <v>53</v>
      </c>
      <c r="O296" t="s">
        <v>55</v>
      </c>
      <c r="P296" t="s">
        <v>37</v>
      </c>
      <c r="Q296" t="s">
        <v>1110</v>
      </c>
      <c r="R296">
        <f t="shared" si="28"/>
        <v>51621092</v>
      </c>
      <c r="S296" t="str" cm="1">
        <f t="array" ref="S296">IF(C296="",IFERROR(INDEX($C$2:$C$1166,MATCH(MAX(COUNTIF($C$2:$C$1166,$C$2:$C$1166)),COUNTIF($C$2:$C$1166,$C$2:$C$1166),0)),"Unknown"),C296)</f>
        <v>Carlos Velez</v>
      </c>
      <c r="T296" s="4" t="str" cm="1">
        <f t="array" ref="T296">IF(D296="",IFERROR(INDEX($D$2:$D$1000,MATCH(MAX(COUNTIF($D$2:$D$1166,$D$2:$D$1166)),COUNTIF($D$2:$D$1166,$D$2:$D$1166),0)),"Unknown"),D296)</f>
        <v>Nancy Jones</v>
      </c>
      <c r="U296" t="str">
        <f t="shared" si="29"/>
        <v>EUR</v>
      </c>
      <c r="V296" s="7" t="str">
        <f t="shared" si="29"/>
        <v>CAD</v>
      </c>
      <c r="W296" s="7" t="str">
        <f t="shared" si="30"/>
        <v>UK</v>
      </c>
      <c r="X296" s="7" t="str">
        <f t="shared" si="30"/>
        <v>South Africa</v>
      </c>
      <c r="Y296" s="7" t="str" cm="1">
        <f t="array" ref="Y296">IF(H296="",IFERROR(INDEX($H$2:$H$1166,MATCH(MAX(COUNTIF($H$2:$H$1166,$H$2:$H$1166)),COUNTIF($H$2:$H$1166,$H$2:$H$1166),0)),"Unknown"),H296)</f>
        <v>Unverified</v>
      </c>
      <c r="Z296" s="7" t="str">
        <f t="shared" si="31"/>
        <v>Inter-Transaction</v>
      </c>
      <c r="AA296" s="7">
        <f>IF(J296="",AVERAGE($J:$J),J296)</f>
        <v>11349.79</v>
      </c>
      <c r="AB296" s="7">
        <f>IF(N296="",AVERAGE($N:$N),N296)</f>
        <v>53</v>
      </c>
      <c r="AC296" s="7">
        <f t="shared" si="32"/>
        <v>2025</v>
      </c>
      <c r="AD296" s="7">
        <f t="shared" si="33"/>
        <v>1</v>
      </c>
      <c r="AE296" s="7">
        <f>COUNTIF(A:A,A296)</f>
        <v>1</v>
      </c>
      <c r="AF296" s="7" t="str">
        <f t="shared" si="34"/>
        <v>No</v>
      </c>
    </row>
    <row r="297" spans="1:32">
      <c r="A297" t="s">
        <v>1111</v>
      </c>
      <c r="B297">
        <v>76481027</v>
      </c>
      <c r="C297" t="s">
        <v>285</v>
      </c>
      <c r="D297" t="s">
        <v>869</v>
      </c>
      <c r="E297" t="s">
        <v>20</v>
      </c>
      <c r="F297" t="s">
        <v>686</v>
      </c>
      <c r="G297" t="s">
        <v>92</v>
      </c>
      <c r="H297" t="s">
        <v>103</v>
      </c>
      <c r="I297" t="s">
        <v>3371</v>
      </c>
      <c r="J297">
        <v>7851.15</v>
      </c>
      <c r="K297" t="s">
        <v>57</v>
      </c>
      <c r="L297" t="s">
        <v>28</v>
      </c>
      <c r="M297" s="1">
        <v>44323.525000000001</v>
      </c>
      <c r="N297">
        <v>62</v>
      </c>
      <c r="O297" t="s">
        <v>54</v>
      </c>
      <c r="P297" t="s">
        <v>62</v>
      </c>
      <c r="Q297" t="s">
        <v>1112</v>
      </c>
      <c r="R297">
        <f t="shared" si="28"/>
        <v>76481027</v>
      </c>
      <c r="S297" t="str" cm="1">
        <f t="array" ref="S297">IF(C297="",IFERROR(INDEX($C$2:$C$1166,MATCH(MAX(COUNTIF($C$2:$C$1166,$C$2:$C$1166)),COUNTIF($C$2:$C$1166,$C$2:$C$1166),0)),"Unknown"),C297)</f>
        <v>Charles Nair</v>
      </c>
      <c r="T297" s="4" t="str" cm="1">
        <f t="array" ref="T297">IF(D297="",IFERROR(INDEX($D$2:$D$1000,MATCH(MAX(COUNTIF($D$2:$D$1166,$D$2:$D$1166)),COUNTIF($D$2:$D$1166,$D$2:$D$1166),0)),"Unknown"),D297)</f>
        <v>Sanjay Taylor</v>
      </c>
      <c r="U297" t="str">
        <f t="shared" si="29"/>
        <v>sgd</v>
      </c>
      <c r="V297" s="7" t="str">
        <f t="shared" si="29"/>
        <v>AUD</v>
      </c>
      <c r="W297" s="7" t="str">
        <f t="shared" si="30"/>
        <v>India</v>
      </c>
      <c r="X297" s="7" t="str">
        <f t="shared" si="30"/>
        <v>Australia</v>
      </c>
      <c r="Y297" s="7" t="str" cm="1">
        <f t="array" ref="Y297">IF(H297="",IFERROR(INDEX($H$2:$H$1166,MATCH(MAX(COUNTIF($H$2:$H$1166,$H$2:$H$1166)),COUNTIF($H$2:$H$1166,$H$2:$H$1166),0)),"Unknown"),H297)</f>
        <v>Verified</v>
      </c>
      <c r="Z297" s="7" t="str">
        <f t="shared" si="31"/>
        <v>Outer-Transaction</v>
      </c>
      <c r="AA297" s="7">
        <f>IF(J297="",AVERAGE($J:$J),J297)</f>
        <v>7851.15</v>
      </c>
      <c r="AB297" s="7">
        <f>IF(N297="",AVERAGE($N:$N),N297)</f>
        <v>62</v>
      </c>
      <c r="AC297" s="7">
        <f t="shared" si="32"/>
        <v>2021</v>
      </c>
      <c r="AD297" s="7">
        <f t="shared" si="33"/>
        <v>5</v>
      </c>
      <c r="AE297" s="7">
        <f>COUNTIF(A:A,A297)</f>
        <v>2</v>
      </c>
      <c r="AF297" s="7" t="str">
        <f t="shared" si="34"/>
        <v>No</v>
      </c>
    </row>
    <row r="298" spans="1:32">
      <c r="A298" t="s">
        <v>1113</v>
      </c>
      <c r="B298">
        <v>44206757</v>
      </c>
      <c r="C298" t="s">
        <v>1114</v>
      </c>
      <c r="D298" t="s">
        <v>174</v>
      </c>
      <c r="E298">
        <v>1</v>
      </c>
      <c r="F298" t="s">
        <v>22</v>
      </c>
      <c r="G298" t="s">
        <v>45</v>
      </c>
      <c r="I298" t="s">
        <v>3378</v>
      </c>
      <c r="J298">
        <v>4716.0600000000004</v>
      </c>
      <c r="K298" t="s">
        <v>39</v>
      </c>
      <c r="L298" t="s">
        <v>81</v>
      </c>
      <c r="M298" s="1">
        <v>45379.069444444445</v>
      </c>
      <c r="N298">
        <v>37</v>
      </c>
      <c r="O298" t="s">
        <v>55</v>
      </c>
      <c r="P298" t="s">
        <v>93</v>
      </c>
      <c r="Q298" t="s">
        <v>1115</v>
      </c>
      <c r="R298">
        <f t="shared" si="28"/>
        <v>44206757</v>
      </c>
      <c r="S298" t="str" cm="1">
        <f t="array" ref="S298">IF(C298="",IFERROR(INDEX($C$2:$C$1166,MATCH(MAX(COUNTIF($C$2:$C$1166,$C$2:$C$1166)),COUNTIF($C$2:$C$1166,$C$2:$C$1166),0)),"Unknown"),C298)</f>
        <v xml:space="preserve">  CHRISTOPHER WILLIAMS </v>
      </c>
      <c r="T298" s="4" t="str" cm="1">
        <f t="array" ref="T298">IF(D298="",IFERROR(INDEX($D$2:$D$1000,MATCH(MAX(COUNTIF($D$2:$D$1166,$D$2:$D$1166)),COUNTIF($D$2:$D$1166,$D$2:$D$1166),0)),"Unknown"),D298)</f>
        <v>Jean-Pierre Taylor</v>
      </c>
      <c r="U298" t="str">
        <f t="shared" si="29"/>
        <v>BRL</v>
      </c>
      <c r="V298" s="7" t="str">
        <f t="shared" si="29"/>
        <v>ZAR</v>
      </c>
      <c r="W298" s="7" t="str">
        <f t="shared" si="30"/>
        <v>UK</v>
      </c>
      <c r="X298" s="7" t="str">
        <f t="shared" si="30"/>
        <v>USA</v>
      </c>
      <c r="Y298" s="7" t="str" cm="1">
        <f t="array" ref="Y298">IF(H298="",IFERROR(INDEX($H$2:$H$1166,MATCH(MAX(COUNTIF($H$2:$H$1166,$H$2:$H$1166)),COUNTIF($H$2:$H$1166,$H$2:$H$1166),0)),"Unknown"),H298)</f>
        <v>Pending</v>
      </c>
      <c r="Z298" s="7" t="str">
        <f t="shared" si="31"/>
        <v>Inter-Transaction</v>
      </c>
      <c r="AA298" s="7">
        <f>IF(J298="",AVERAGE($J:$J),J298)</f>
        <v>4716.0600000000004</v>
      </c>
      <c r="AB298" s="7">
        <f>IF(N298="",AVERAGE($N:$N),N298)</f>
        <v>37</v>
      </c>
      <c r="AC298" s="7">
        <f t="shared" si="32"/>
        <v>2024</v>
      </c>
      <c r="AD298" s="7">
        <f t="shared" si="33"/>
        <v>3</v>
      </c>
      <c r="AE298" s="7">
        <f>COUNTIF(A:A,A298)</f>
        <v>1</v>
      </c>
      <c r="AF298" s="7" t="str">
        <f t="shared" si="34"/>
        <v>Yes</v>
      </c>
    </row>
    <row r="299" spans="1:32">
      <c r="A299" t="s">
        <v>1116</v>
      </c>
      <c r="B299">
        <v>24271459</v>
      </c>
      <c r="D299" t="s">
        <v>1117</v>
      </c>
      <c r="E299" t="s">
        <v>20</v>
      </c>
      <c r="F299" t="s">
        <v>80</v>
      </c>
      <c r="G299" t="s">
        <v>21</v>
      </c>
      <c r="I299" t="s">
        <v>3372</v>
      </c>
      <c r="J299">
        <v>4548.97</v>
      </c>
      <c r="K299" t="s">
        <v>27</v>
      </c>
      <c r="L299" t="s">
        <v>75</v>
      </c>
      <c r="M299" s="1">
        <v>44974.432638888888</v>
      </c>
      <c r="N299">
        <v>82</v>
      </c>
      <c r="O299" t="s">
        <v>127</v>
      </c>
      <c r="P299" t="s">
        <v>127</v>
      </c>
      <c r="Q299" t="s">
        <v>1118</v>
      </c>
      <c r="R299">
        <f t="shared" si="28"/>
        <v>24271459</v>
      </c>
      <c r="S299" t="str" cm="1">
        <f t="array" ref="S299">IF(C299="",IFERROR(INDEX($C$2:$C$1166,MATCH(MAX(COUNTIF($C$2:$C$1166,$C$2:$C$1166)),COUNTIF($C$2:$C$1166,$C$2:$C$1166),0)),"Unknown"),C299)</f>
        <v>Fatima Brown</v>
      </c>
      <c r="T299" s="4" t="str" cm="1">
        <f t="array" ref="T299">IF(D299="",IFERROR(INDEX($D$2:$D$1000,MATCH(MAX(COUNTIF($D$2:$D$1166,$D$2:$D$1166)),COUNTIF($D$2:$D$1166,$D$2:$D$1166),0)),"Unknown"),D299)</f>
        <v>John Smith</v>
      </c>
      <c r="U299" t="str">
        <f t="shared" si="29"/>
        <v>USD</v>
      </c>
      <c r="V299" s="7" t="str">
        <f t="shared" si="29"/>
        <v>GBP</v>
      </c>
      <c r="W299" s="7" t="str">
        <f t="shared" si="30"/>
        <v>Canada</v>
      </c>
      <c r="X299" s="7" t="str">
        <f t="shared" si="30"/>
        <v>Canada</v>
      </c>
      <c r="Y299" s="7" t="str" cm="1">
        <f t="array" ref="Y299">IF(H299="",IFERROR(INDEX($H$2:$H$1166,MATCH(MAX(COUNTIF($H$2:$H$1166,$H$2:$H$1166)),COUNTIF($H$2:$H$1166,$H$2:$H$1166),0)),"Unknown"),H299)</f>
        <v>Pending</v>
      </c>
      <c r="Z299" s="7" t="str">
        <f t="shared" si="31"/>
        <v>Outer-Transaction</v>
      </c>
      <c r="AA299" s="7">
        <f>IF(J299="",AVERAGE($J:$J),J299)</f>
        <v>4548.97</v>
      </c>
      <c r="AB299" s="7">
        <f>IF(N299="",AVERAGE($N:$N),N299)</f>
        <v>82</v>
      </c>
      <c r="AC299" s="7">
        <f t="shared" si="32"/>
        <v>2023</v>
      </c>
      <c r="AD299" s="7">
        <f t="shared" si="33"/>
        <v>2</v>
      </c>
      <c r="AE299" s="7">
        <f>COUNTIF(A:A,A299)</f>
        <v>1</v>
      </c>
      <c r="AF299" s="7" t="str">
        <f t="shared" si="34"/>
        <v>No</v>
      </c>
    </row>
    <row r="300" spans="1:32">
      <c r="A300" t="s">
        <v>1119</v>
      </c>
      <c r="B300">
        <v>38082305</v>
      </c>
      <c r="C300" t="s">
        <v>376</v>
      </c>
      <c r="D300" t="s">
        <v>1120</v>
      </c>
      <c r="E300" t="s">
        <v>20</v>
      </c>
      <c r="F300" t="s">
        <v>45</v>
      </c>
      <c r="G300" t="s">
        <v>98</v>
      </c>
      <c r="H300" t="s">
        <v>74</v>
      </c>
      <c r="I300" t="s">
        <v>3371</v>
      </c>
      <c r="J300">
        <v>11084.33</v>
      </c>
      <c r="K300" t="s">
        <v>39</v>
      </c>
      <c r="L300" t="s">
        <v>81</v>
      </c>
      <c r="M300" s="1">
        <v>44800.225694444445</v>
      </c>
      <c r="N300">
        <v>25</v>
      </c>
      <c r="O300" t="s">
        <v>54</v>
      </c>
      <c r="P300" t="s">
        <v>55</v>
      </c>
      <c r="Q300" t="s">
        <v>1121</v>
      </c>
      <c r="R300">
        <f t="shared" si="28"/>
        <v>38082305</v>
      </c>
      <c r="S300" t="str" cm="1">
        <f t="array" ref="S300">IF(C300="",IFERROR(INDEX($C$2:$C$1166,MATCH(MAX(COUNTIF($C$2:$C$1166,$C$2:$C$1166)),COUNTIF($C$2:$C$1166,$C$2:$C$1166),0)),"Unknown"),C300)</f>
        <v>Sarah Nair</v>
      </c>
      <c r="T300" s="4" t="str" cm="1">
        <f t="array" ref="T300">IF(D300="",IFERROR(INDEX($D$2:$D$1000,MATCH(MAX(COUNTIF($D$2:$D$1166,$D$2:$D$1166)),COUNTIF($D$2:$D$1166,$D$2:$D$1166),0)),"Unknown"),D300)</f>
        <v xml:space="preserve"> michael nair   </v>
      </c>
      <c r="U300" t="str">
        <f t="shared" si="29"/>
        <v>ZAR</v>
      </c>
      <c r="V300" s="7" t="str">
        <f t="shared" si="29"/>
        <v>JPY</v>
      </c>
      <c r="W300" s="7" t="str">
        <f t="shared" si="30"/>
        <v>India</v>
      </c>
      <c r="X300" s="7" t="str">
        <f t="shared" si="30"/>
        <v>UK</v>
      </c>
      <c r="Y300" s="7" t="str" cm="1">
        <f t="array" ref="Y300">IF(H300="",IFERROR(INDEX($H$2:$H$1166,MATCH(MAX(COUNTIF($H$2:$H$1166,$H$2:$H$1166)),COUNTIF($H$2:$H$1166,$H$2:$H$1166),0)),"Unknown"),H300)</f>
        <v>Non-KYC</v>
      </c>
      <c r="Z300" s="7" t="str">
        <f t="shared" si="31"/>
        <v>Outer-Transaction</v>
      </c>
      <c r="AA300" s="7">
        <f>IF(J300="",AVERAGE($J:$J),J300)</f>
        <v>11084.33</v>
      </c>
      <c r="AB300" s="7">
        <f>IF(N300="",AVERAGE($N:$N),N300)</f>
        <v>25</v>
      </c>
      <c r="AC300" s="7">
        <f t="shared" si="32"/>
        <v>2022</v>
      </c>
      <c r="AD300" s="7">
        <f t="shared" si="33"/>
        <v>8</v>
      </c>
      <c r="AE300" s="7">
        <f>COUNTIF(A:A,A300)</f>
        <v>1</v>
      </c>
      <c r="AF300" s="7" t="str">
        <f t="shared" si="34"/>
        <v>No</v>
      </c>
    </row>
    <row r="301" spans="1:32">
      <c r="A301" t="s">
        <v>1122</v>
      </c>
      <c r="B301">
        <v>23779264</v>
      </c>
      <c r="C301" t="s">
        <v>1123</v>
      </c>
      <c r="D301" t="s">
        <v>31</v>
      </c>
      <c r="E301" t="s">
        <v>20</v>
      </c>
      <c r="F301" t="s">
        <v>44</v>
      </c>
      <c r="G301" t="s">
        <v>22</v>
      </c>
      <c r="H301" t="s">
        <v>38</v>
      </c>
      <c r="I301" t="s">
        <v>3376</v>
      </c>
      <c r="J301">
        <v>10871.97</v>
      </c>
      <c r="K301" t="s">
        <v>39</v>
      </c>
      <c r="L301" t="s">
        <v>48</v>
      </c>
      <c r="M301" s="1">
        <v>46231.288888888892</v>
      </c>
      <c r="N301">
        <v>33</v>
      </c>
      <c r="O301" t="s">
        <v>36</v>
      </c>
      <c r="P301" t="s">
        <v>36</v>
      </c>
      <c r="Q301" t="s">
        <v>1124</v>
      </c>
      <c r="R301">
        <f t="shared" si="28"/>
        <v>23779264</v>
      </c>
      <c r="S301" t="str" cm="1">
        <f t="array" ref="S301">IF(C301="",IFERROR(INDEX($C$2:$C$1166,MATCH(MAX(COUNTIF($C$2:$C$1166,$C$2:$C$1166)),COUNTIF($C$2:$C$1166,$C$2:$C$1166),0)),"Unknown"),C301)</f>
        <v xml:space="preserve">  SANJAY MALIK </v>
      </c>
      <c r="T301" s="4" t="str" cm="1">
        <f t="array" ref="T301">IF(D301="",IFERROR(INDEX($D$2:$D$1000,MATCH(MAX(COUNTIF($D$2:$D$1166,$D$2:$D$1166)),COUNTIF($D$2:$D$1166,$D$2:$D$1166),0)),"Unknown"),D301)</f>
        <v>Elena Wilson</v>
      </c>
      <c r="U301" t="str">
        <f t="shared" si="29"/>
        <v>SGD</v>
      </c>
      <c r="V301" s="7" t="str">
        <f t="shared" si="29"/>
        <v>BRL</v>
      </c>
      <c r="W301" s="7" t="str">
        <f t="shared" si="30"/>
        <v>Germany</v>
      </c>
      <c r="X301" s="7" t="str">
        <f t="shared" si="30"/>
        <v>Germany</v>
      </c>
      <c r="Y301" s="7" t="str" cm="1">
        <f t="array" ref="Y301">IF(H301="",IFERROR(INDEX($H$2:$H$1166,MATCH(MAX(COUNTIF($H$2:$H$1166,$H$2:$H$1166)),COUNTIF($H$2:$H$1166,$H$2:$H$1166),0)),"Unknown"),H301)</f>
        <v>Pending</v>
      </c>
      <c r="Z301" s="7" t="str">
        <f t="shared" si="31"/>
        <v>Internal</v>
      </c>
      <c r="AA301" s="7">
        <f>IF(J301="",AVERAGE($J:$J),J301)</f>
        <v>10871.97</v>
      </c>
      <c r="AB301" s="7">
        <f>IF(N301="",AVERAGE($N:$N),N301)</f>
        <v>33</v>
      </c>
      <c r="AC301" s="7">
        <f t="shared" si="32"/>
        <v>2026</v>
      </c>
      <c r="AD301" s="7">
        <f t="shared" si="33"/>
        <v>7</v>
      </c>
      <c r="AE301" s="7">
        <f>COUNTIF(A:A,A301)</f>
        <v>1</v>
      </c>
      <c r="AF301" s="7" t="str">
        <f t="shared" si="34"/>
        <v>No</v>
      </c>
    </row>
    <row r="302" spans="1:32">
      <c r="A302" t="s">
        <v>1125</v>
      </c>
      <c r="B302">
        <v>76409428</v>
      </c>
      <c r="C302" t="s">
        <v>1126</v>
      </c>
      <c r="D302" t="s">
        <v>1127</v>
      </c>
      <c r="E302" t="s">
        <v>20</v>
      </c>
      <c r="F302" t="s">
        <v>80</v>
      </c>
      <c r="G302" t="s">
        <v>21</v>
      </c>
      <c r="I302" t="s">
        <v>3378</v>
      </c>
      <c r="J302">
        <v>13826.82</v>
      </c>
      <c r="K302" t="s">
        <v>39</v>
      </c>
      <c r="L302" t="s">
        <v>48</v>
      </c>
      <c r="M302" s="1">
        <v>45918.262499999997</v>
      </c>
      <c r="N302">
        <v>31</v>
      </c>
      <c r="O302" t="s">
        <v>37</v>
      </c>
      <c r="P302" t="s">
        <v>36</v>
      </c>
      <c r="Q302" t="s">
        <v>1128</v>
      </c>
      <c r="R302">
        <f t="shared" si="28"/>
        <v>76409428</v>
      </c>
      <c r="S302" t="str" cm="1">
        <f t="array" ref="S302">IF(C302="",IFERROR(INDEX($C$2:$C$1166,MATCH(MAX(COUNTIF($C$2:$C$1166,$C$2:$C$1166)),COUNTIF($C$2:$C$1166,$C$2:$C$1166),0)),"Unknown"),C302)</f>
        <v>Nancy Nair</v>
      </c>
      <c r="T302" s="4" t="str" cm="1">
        <f t="array" ref="T302">IF(D302="",IFERROR(INDEX($D$2:$D$1000,MATCH(MAX(COUNTIF($D$2:$D$1166,$D$2:$D$1166)),COUNTIF($D$2:$D$1166,$D$2:$D$1166),0)),"Unknown"),D302)</f>
        <v>Susan Anderson</v>
      </c>
      <c r="U302" t="str">
        <f t="shared" si="29"/>
        <v>USD</v>
      </c>
      <c r="V302" s="7" t="str">
        <f t="shared" si="29"/>
        <v>GBP</v>
      </c>
      <c r="W302" s="7" t="str">
        <f t="shared" si="30"/>
        <v>South Africa</v>
      </c>
      <c r="X302" s="7" t="str">
        <f t="shared" si="30"/>
        <v>Germany</v>
      </c>
      <c r="Y302" s="7" t="str" cm="1">
        <f t="array" ref="Y302">IF(H302="",IFERROR(INDEX($H$2:$H$1166,MATCH(MAX(COUNTIF($H$2:$H$1166,$H$2:$H$1166)),COUNTIF($H$2:$H$1166,$H$2:$H$1166),0)),"Unknown"),H302)</f>
        <v>Pending</v>
      </c>
      <c r="Z302" s="7" t="str">
        <f t="shared" si="31"/>
        <v>Inter-Transaction</v>
      </c>
      <c r="AA302" s="7">
        <f>IF(J302="",AVERAGE($J:$J),J302)</f>
        <v>13826.82</v>
      </c>
      <c r="AB302" s="7">
        <f>IF(N302="",AVERAGE($N:$N),N302)</f>
        <v>31</v>
      </c>
      <c r="AC302" s="7">
        <f t="shared" si="32"/>
        <v>2025</v>
      </c>
      <c r="AD302" s="7">
        <f t="shared" si="33"/>
        <v>9</v>
      </c>
      <c r="AE302" s="7">
        <f>COUNTIF(A:A,A302)</f>
        <v>1</v>
      </c>
      <c r="AF302" s="7" t="str">
        <f t="shared" si="34"/>
        <v>No</v>
      </c>
    </row>
    <row r="303" spans="1:32">
      <c r="A303" t="s">
        <v>1129</v>
      </c>
      <c r="B303">
        <v>31746728</v>
      </c>
      <c r="C303" t="s">
        <v>1130</v>
      </c>
      <c r="D303" t="s">
        <v>1131</v>
      </c>
      <c r="E303" t="s">
        <v>20</v>
      </c>
      <c r="F303" t="s">
        <v>45</v>
      </c>
      <c r="G303" t="s">
        <v>44</v>
      </c>
      <c r="H303" t="s">
        <v>56</v>
      </c>
      <c r="I303" t="s">
        <v>3378</v>
      </c>
      <c r="J303">
        <v>3528.44</v>
      </c>
      <c r="K303" t="s">
        <v>27</v>
      </c>
      <c r="L303" t="s">
        <v>28</v>
      </c>
      <c r="M303" s="1">
        <v>44470.237500000003</v>
      </c>
      <c r="N303">
        <v>32</v>
      </c>
      <c r="O303" t="s">
        <v>68</v>
      </c>
      <c r="P303" t="s">
        <v>36</v>
      </c>
      <c r="Q303" t="s">
        <v>1132</v>
      </c>
      <c r="R303">
        <f t="shared" si="28"/>
        <v>31746728</v>
      </c>
      <c r="S303" t="str" cm="1">
        <f t="array" ref="S303">IF(C303="",IFERROR(INDEX($C$2:$C$1166,MATCH(MAX(COUNTIF($C$2:$C$1166,$C$2:$C$1166)),COUNTIF($C$2:$C$1166,$C$2:$C$1166),0)),"Unknown"),C303)</f>
        <v>Nancy Miller</v>
      </c>
      <c r="T303" s="4" t="str" cm="1">
        <f t="array" ref="T303">IF(D303="",IFERROR(INDEX($D$2:$D$1000,MATCH(MAX(COUNTIF($D$2:$D$1166,$D$2:$D$1166)),COUNTIF($D$2:$D$1166,$D$2:$D$1166),0)),"Unknown"),D303)</f>
        <v>Barbara Rostova</v>
      </c>
      <c r="U303" t="str">
        <f t="shared" si="29"/>
        <v>ZAR</v>
      </c>
      <c r="V303" s="7" t="str">
        <f t="shared" si="29"/>
        <v>SGD</v>
      </c>
      <c r="W303" s="7" t="str">
        <f t="shared" si="30"/>
        <v>UAE</v>
      </c>
      <c r="X303" s="7" t="str">
        <f t="shared" si="30"/>
        <v>Germany</v>
      </c>
      <c r="Y303" s="7" t="str" cm="1">
        <f t="array" ref="Y303">IF(H303="",IFERROR(INDEX($H$2:$H$1166,MATCH(MAX(COUNTIF($H$2:$H$1166,$H$2:$H$1166)),COUNTIF($H$2:$H$1166,$H$2:$H$1166),0)),"Unknown"),H303)</f>
        <v>Unverified</v>
      </c>
      <c r="Z303" s="7" t="str">
        <f t="shared" si="31"/>
        <v>Inter-Transaction</v>
      </c>
      <c r="AA303" s="7">
        <f>IF(J303="",AVERAGE($J:$J),J303)</f>
        <v>3528.44</v>
      </c>
      <c r="AB303" s="7">
        <f>IF(N303="",AVERAGE($N:$N),N303)</f>
        <v>32</v>
      </c>
      <c r="AC303" s="7">
        <f t="shared" si="32"/>
        <v>2021</v>
      </c>
      <c r="AD303" s="7">
        <f t="shared" si="33"/>
        <v>10</v>
      </c>
      <c r="AE303" s="7">
        <f>COUNTIF(A:A,A303)</f>
        <v>1</v>
      </c>
      <c r="AF303" s="7" t="str">
        <f t="shared" si="34"/>
        <v>No</v>
      </c>
    </row>
    <row r="304" spans="1:32">
      <c r="A304" t="s">
        <v>1133</v>
      </c>
      <c r="B304">
        <v>55329991</v>
      </c>
      <c r="C304" t="s">
        <v>1134</v>
      </c>
      <c r="D304" t="s">
        <v>1135</v>
      </c>
      <c r="E304" t="s">
        <v>20</v>
      </c>
      <c r="F304" t="s">
        <v>121</v>
      </c>
      <c r="G304" t="s">
        <v>44</v>
      </c>
      <c r="H304" t="s">
        <v>103</v>
      </c>
      <c r="I304" t="s">
        <v>3371</v>
      </c>
      <c r="J304">
        <v>12802.59</v>
      </c>
      <c r="K304" t="s">
        <v>27</v>
      </c>
      <c r="L304" t="s">
        <v>28</v>
      </c>
      <c r="M304" s="1">
        <v>44003.443055555559</v>
      </c>
      <c r="N304">
        <v>83</v>
      </c>
      <c r="O304" t="s">
        <v>127</v>
      </c>
      <c r="P304" t="s">
        <v>24</v>
      </c>
      <c r="Q304" t="s">
        <v>1136</v>
      </c>
      <c r="R304">
        <f t="shared" si="28"/>
        <v>55329991</v>
      </c>
      <c r="S304" t="str" cm="1">
        <f t="array" ref="S304">IF(C304="",IFERROR(INDEX($C$2:$C$1166,MATCH(MAX(COUNTIF($C$2:$C$1166,$C$2:$C$1166)),COUNTIF($C$2:$C$1166,$C$2:$C$1166),0)),"Unknown"),C304)</f>
        <v xml:space="preserve">  JESSICA BROWN </v>
      </c>
      <c r="T304" s="4" t="str" cm="1">
        <f t="array" ref="T304">IF(D304="",IFERROR(INDEX($D$2:$D$1000,MATCH(MAX(COUNTIF($D$2:$D$1166,$D$2:$D$1166)),COUNTIF($D$2:$D$1166,$D$2:$D$1166),0)),"Unknown"),D304)</f>
        <v>Nancy Davis</v>
      </c>
      <c r="U304" t="str">
        <f t="shared" si="29"/>
        <v>INR</v>
      </c>
      <c r="V304" s="7" t="str">
        <f t="shared" si="29"/>
        <v>SGD</v>
      </c>
      <c r="W304" s="7" t="str">
        <f t="shared" si="30"/>
        <v>Canada</v>
      </c>
      <c r="X304" s="7" t="str">
        <f t="shared" si="30"/>
        <v>Brazil</v>
      </c>
      <c r="Y304" s="7" t="str" cm="1">
        <f t="array" ref="Y304">IF(H304="",IFERROR(INDEX($H$2:$H$1166,MATCH(MAX(COUNTIF($H$2:$H$1166,$H$2:$H$1166)),COUNTIF($H$2:$H$1166,$H$2:$H$1166),0)),"Unknown"),H304)</f>
        <v>Verified</v>
      </c>
      <c r="Z304" s="7" t="str">
        <f t="shared" si="31"/>
        <v>Outer-Transaction</v>
      </c>
      <c r="AA304" s="7">
        <f>IF(J304="",AVERAGE($J:$J),J304)</f>
        <v>12802.59</v>
      </c>
      <c r="AB304" s="7">
        <f>IF(N304="",AVERAGE($N:$N),N304)</f>
        <v>83</v>
      </c>
      <c r="AC304" s="7">
        <f t="shared" si="32"/>
        <v>2020</v>
      </c>
      <c r="AD304" s="7">
        <f t="shared" si="33"/>
        <v>6</v>
      </c>
      <c r="AE304" s="7">
        <f>COUNTIF(A:A,A304)</f>
        <v>1</v>
      </c>
      <c r="AF304" s="7" t="str">
        <f t="shared" si="34"/>
        <v>No</v>
      </c>
    </row>
    <row r="305" spans="1:32">
      <c r="A305" t="s">
        <v>1137</v>
      </c>
      <c r="B305">
        <v>23672496</v>
      </c>
      <c r="C305" t="s">
        <v>106</v>
      </c>
      <c r="D305" t="s">
        <v>647</v>
      </c>
      <c r="E305" t="s">
        <v>20</v>
      </c>
      <c r="F305" t="s">
        <v>45</v>
      </c>
      <c r="G305" t="s">
        <v>35</v>
      </c>
      <c r="H305" t="s">
        <v>38</v>
      </c>
      <c r="I305" t="s">
        <v>3372</v>
      </c>
      <c r="J305">
        <v>10990.95</v>
      </c>
      <c r="K305" t="s">
        <v>86</v>
      </c>
      <c r="L305" t="s">
        <v>48</v>
      </c>
      <c r="M305" s="1">
        <v>45401.054166666669</v>
      </c>
      <c r="N305">
        <v>49</v>
      </c>
      <c r="O305" t="s">
        <v>23</v>
      </c>
      <c r="P305" t="s">
        <v>36</v>
      </c>
      <c r="Q305" t="s">
        <v>1138</v>
      </c>
      <c r="R305">
        <f t="shared" si="28"/>
        <v>23672496</v>
      </c>
      <c r="S305" t="str" cm="1">
        <f t="array" ref="S305">IF(C305="",IFERROR(INDEX($C$2:$C$1166,MATCH(MAX(COUNTIF($C$2:$C$1166,$C$2:$C$1166)),COUNTIF($C$2:$C$1166,$C$2:$C$1166),0)),"Unknown"),C305)</f>
        <v>Amir Moore</v>
      </c>
      <c r="T305" s="4" t="str" cm="1">
        <f t="array" ref="T305">IF(D305="",IFERROR(INDEX($D$2:$D$1000,MATCH(MAX(COUNTIF($D$2:$D$1166,$D$2:$D$1166)),COUNTIF($D$2:$D$1166,$D$2:$D$1166),0)),"Unknown"),D305)</f>
        <v>Mary Taylor</v>
      </c>
      <c r="U305" t="str">
        <f t="shared" si="29"/>
        <v>ZAR</v>
      </c>
      <c r="V305" s="7" t="str">
        <f t="shared" si="29"/>
        <v>EUR</v>
      </c>
      <c r="W305" s="7" t="str">
        <f t="shared" si="30"/>
        <v>France</v>
      </c>
      <c r="X305" s="7" t="str">
        <f t="shared" si="30"/>
        <v>Germany</v>
      </c>
      <c r="Y305" s="7" t="str" cm="1">
        <f t="array" ref="Y305">IF(H305="",IFERROR(INDEX($H$2:$H$1166,MATCH(MAX(COUNTIF($H$2:$H$1166,$H$2:$H$1166)),COUNTIF($H$2:$H$1166,$H$2:$H$1166),0)),"Unknown"),H305)</f>
        <v>Pending</v>
      </c>
      <c r="Z305" s="7" t="str">
        <f t="shared" si="31"/>
        <v>Outer-Transaction</v>
      </c>
      <c r="AA305" s="7">
        <f>IF(J305="",AVERAGE($J:$J),J305)</f>
        <v>10990.95</v>
      </c>
      <c r="AB305" s="7">
        <f>IF(N305="",AVERAGE($N:$N),N305)</f>
        <v>49</v>
      </c>
      <c r="AC305" s="7">
        <f t="shared" si="32"/>
        <v>2024</v>
      </c>
      <c r="AD305" s="7">
        <f t="shared" si="33"/>
        <v>4</v>
      </c>
      <c r="AE305" s="7">
        <f>COUNTIF(A:A,A305)</f>
        <v>1</v>
      </c>
      <c r="AF305" s="7" t="str">
        <f t="shared" si="34"/>
        <v>No</v>
      </c>
    </row>
    <row r="306" spans="1:32">
      <c r="A306" t="s">
        <v>1139</v>
      </c>
      <c r="B306">
        <v>73574016</v>
      </c>
      <c r="C306" t="s">
        <v>661</v>
      </c>
      <c r="D306" t="s">
        <v>1140</v>
      </c>
      <c r="E306" t="s">
        <v>20</v>
      </c>
      <c r="F306" t="s">
        <v>34</v>
      </c>
      <c r="G306" t="s">
        <v>22</v>
      </c>
      <c r="H306" t="s">
        <v>56</v>
      </c>
      <c r="I306" t="s">
        <v>3371</v>
      </c>
      <c r="J306">
        <v>2078.54</v>
      </c>
      <c r="K306" t="s">
        <v>39</v>
      </c>
      <c r="L306" t="s">
        <v>81</v>
      </c>
      <c r="M306" s="1">
        <v>44089.164583333331</v>
      </c>
      <c r="N306">
        <v>80</v>
      </c>
      <c r="O306" t="s">
        <v>127</v>
      </c>
      <c r="P306" t="s">
        <v>127</v>
      </c>
      <c r="Q306" t="s">
        <v>1141</v>
      </c>
      <c r="R306">
        <f t="shared" si="28"/>
        <v>73574016</v>
      </c>
      <c r="S306" t="str" cm="1">
        <f t="array" ref="S306">IF(C306="",IFERROR(INDEX($C$2:$C$1166,MATCH(MAX(COUNTIF($C$2:$C$1166,$C$2:$C$1166)),COUNTIF($C$2:$C$1166,$C$2:$C$1166),0)),"Unknown"),C306)</f>
        <v>Richard Martinez</v>
      </c>
      <c r="T306" s="4" t="str" cm="1">
        <f t="array" ref="T306">IF(D306="",IFERROR(INDEX($D$2:$D$1000,MATCH(MAX(COUNTIF($D$2:$D$1166,$D$2:$D$1166)),COUNTIF($D$2:$D$1166,$D$2:$D$1166),0)),"Unknown"),D306)</f>
        <v>Charles Garcia</v>
      </c>
      <c r="U306" t="str">
        <f t="shared" si="29"/>
        <v>CAD</v>
      </c>
      <c r="V306" s="7" t="str">
        <f t="shared" si="29"/>
        <v>BRL</v>
      </c>
      <c r="W306" s="7" t="str">
        <f t="shared" si="30"/>
        <v>Canada</v>
      </c>
      <c r="X306" s="7" t="str">
        <f t="shared" si="30"/>
        <v>Canada</v>
      </c>
      <c r="Y306" s="7" t="str" cm="1">
        <f t="array" ref="Y306">IF(H306="",IFERROR(INDEX($H$2:$H$1166,MATCH(MAX(COUNTIF($H$2:$H$1166,$H$2:$H$1166)),COUNTIF($H$2:$H$1166,$H$2:$H$1166),0)),"Unknown"),H306)</f>
        <v>Unverified</v>
      </c>
      <c r="Z306" s="7" t="str">
        <f t="shared" si="31"/>
        <v>Outer-Transaction</v>
      </c>
      <c r="AA306" s="7">
        <f>IF(J306="",AVERAGE($J:$J),J306)</f>
        <v>2078.54</v>
      </c>
      <c r="AB306" s="7">
        <f>IF(N306="",AVERAGE($N:$N),N306)</f>
        <v>80</v>
      </c>
      <c r="AC306" s="7">
        <f t="shared" si="32"/>
        <v>2020</v>
      </c>
      <c r="AD306" s="7">
        <f t="shared" si="33"/>
        <v>9</v>
      </c>
      <c r="AE306" s="7">
        <f>COUNTIF(A:A,A306)</f>
        <v>1</v>
      </c>
      <c r="AF306" s="7" t="str">
        <f t="shared" si="34"/>
        <v>No</v>
      </c>
    </row>
    <row r="307" spans="1:32">
      <c r="A307" t="s">
        <v>1142</v>
      </c>
      <c r="B307">
        <v>79437366</v>
      </c>
      <c r="C307" t="s">
        <v>1143</v>
      </c>
      <c r="D307" t="s">
        <v>1144</v>
      </c>
      <c r="E307" t="s">
        <v>33</v>
      </c>
      <c r="F307" t="s">
        <v>91</v>
      </c>
      <c r="H307" t="s">
        <v>25</v>
      </c>
      <c r="I307" t="s">
        <v>3374</v>
      </c>
      <c r="J307">
        <v>14700.91</v>
      </c>
      <c r="K307" t="s">
        <v>27</v>
      </c>
      <c r="L307" t="s">
        <v>75</v>
      </c>
      <c r="M307" s="1">
        <v>44347.241666666669</v>
      </c>
      <c r="N307">
        <v>68</v>
      </c>
      <c r="O307" t="s">
        <v>127</v>
      </c>
      <c r="P307" t="s">
        <v>93</v>
      </c>
      <c r="Q307" t="s">
        <v>1145</v>
      </c>
      <c r="R307">
        <f t="shared" si="28"/>
        <v>79437366</v>
      </c>
      <c r="S307" t="str" cm="1">
        <f t="array" ref="S307">IF(C307="",IFERROR(INDEX($C$2:$C$1166,MATCH(MAX(COUNTIF($C$2:$C$1166,$C$2:$C$1166)),COUNTIF($C$2:$C$1166,$C$2:$C$1166),0)),"Unknown"),C307)</f>
        <v>Robert Williams</v>
      </c>
      <c r="T307" s="4" t="str" cm="1">
        <f t="array" ref="T307">IF(D307="",IFERROR(INDEX($D$2:$D$1000,MATCH(MAX(COUNTIF($D$2:$D$1166,$D$2:$D$1166)),COUNTIF($D$2:$D$1166,$D$2:$D$1166),0)),"Unknown"),D307)</f>
        <v>Richard Hernandez</v>
      </c>
      <c r="U307" t="str">
        <f t="shared" si="29"/>
        <v>gbp</v>
      </c>
      <c r="V307" s="7" t="str">
        <f t="shared" si="29"/>
        <v/>
      </c>
      <c r="W307" s="7" t="str">
        <f t="shared" si="30"/>
        <v>Canada</v>
      </c>
      <c r="X307" s="7" t="str">
        <f t="shared" si="30"/>
        <v>USA</v>
      </c>
      <c r="Y307" s="7" t="str" cm="1">
        <f t="array" ref="Y307">IF(H307="",IFERROR(INDEX($H$2:$H$1166,MATCH(MAX(COUNTIF($H$2:$H$1166,$H$2:$H$1166)),COUNTIF($H$2:$H$1166,$H$2:$H$1166),0)),"Unknown"),H307)</f>
        <v>KYC</v>
      </c>
      <c r="Z307" s="7" t="str">
        <f t="shared" si="31"/>
        <v>External</v>
      </c>
      <c r="AA307" s="7">
        <f>IF(J307="",AVERAGE($J:$J),J307)</f>
        <v>14700.91</v>
      </c>
      <c r="AB307" s="7">
        <f>IF(N307="",AVERAGE($N:$N),N307)</f>
        <v>68</v>
      </c>
      <c r="AC307" s="7">
        <f t="shared" si="32"/>
        <v>2021</v>
      </c>
      <c r="AD307" s="7">
        <f t="shared" si="33"/>
        <v>5</v>
      </c>
      <c r="AE307" s="7">
        <f>COUNTIF(A:A,A307)</f>
        <v>1</v>
      </c>
      <c r="AF307" s="7" t="str">
        <f t="shared" si="34"/>
        <v>Yes</v>
      </c>
    </row>
    <row r="308" spans="1:32">
      <c r="A308" t="s">
        <v>1146</v>
      </c>
      <c r="B308">
        <v>47551535</v>
      </c>
      <c r="C308" t="s">
        <v>358</v>
      </c>
      <c r="D308" t="s">
        <v>922</v>
      </c>
      <c r="E308" t="s">
        <v>20</v>
      </c>
      <c r="F308" t="s">
        <v>92</v>
      </c>
      <c r="G308" t="s">
        <v>44</v>
      </c>
      <c r="H308" t="s">
        <v>103</v>
      </c>
      <c r="I308" t="s">
        <v>3374</v>
      </c>
      <c r="J308">
        <v>6073.54</v>
      </c>
      <c r="K308" t="s">
        <v>47</v>
      </c>
      <c r="L308" t="s">
        <v>75</v>
      </c>
      <c r="M308" s="1">
        <v>44353.185416666667</v>
      </c>
      <c r="N308">
        <v>42</v>
      </c>
      <c r="O308" t="s">
        <v>54</v>
      </c>
      <c r="P308" t="s">
        <v>36</v>
      </c>
      <c r="Q308" t="s">
        <v>1147</v>
      </c>
      <c r="R308">
        <f t="shared" si="28"/>
        <v>47551535</v>
      </c>
      <c r="S308" t="str" cm="1">
        <f t="array" ref="S308">IF(C308="",IFERROR(INDEX($C$2:$C$1166,MATCH(MAX(COUNTIF($C$2:$C$1166,$C$2:$C$1166)),COUNTIF($C$2:$C$1166,$C$2:$C$1166),0)),"Unknown"),C308)</f>
        <v>Carlos Taylor</v>
      </c>
      <c r="T308" s="4" t="str" cm="1">
        <f t="array" ref="T308">IF(D308="",IFERROR(INDEX($D$2:$D$1000,MATCH(MAX(COUNTIF($D$2:$D$1166,$D$2:$D$1166)),COUNTIF($D$2:$D$1166,$D$2:$D$1166),0)),"Unknown"),D308)</f>
        <v>Nancy Souza</v>
      </c>
      <c r="U308" t="str">
        <f t="shared" si="29"/>
        <v>AUD</v>
      </c>
      <c r="V308" s="7" t="str">
        <f t="shared" si="29"/>
        <v>SGD</v>
      </c>
      <c r="W308" s="7" t="str">
        <f t="shared" si="30"/>
        <v>India</v>
      </c>
      <c r="X308" s="7" t="str">
        <f t="shared" si="30"/>
        <v>Germany</v>
      </c>
      <c r="Y308" s="7" t="str" cm="1">
        <f t="array" ref="Y308">IF(H308="",IFERROR(INDEX($H$2:$H$1166,MATCH(MAX(COUNTIF($H$2:$H$1166,$H$2:$H$1166)),COUNTIF($H$2:$H$1166,$H$2:$H$1166),0)),"Unknown"),H308)</f>
        <v>Verified</v>
      </c>
      <c r="Z308" s="7" t="str">
        <f t="shared" si="31"/>
        <v>External</v>
      </c>
      <c r="AA308" s="7">
        <f>IF(J308="",AVERAGE($J:$J),J308)</f>
        <v>6073.54</v>
      </c>
      <c r="AB308" s="7">
        <f>IF(N308="",AVERAGE($N:$N),N308)</f>
        <v>42</v>
      </c>
      <c r="AC308" s="7">
        <f t="shared" si="32"/>
        <v>2021</v>
      </c>
      <c r="AD308" s="7">
        <f t="shared" si="33"/>
        <v>6</v>
      </c>
      <c r="AE308" s="7">
        <f>COUNTIF(A:A,A308)</f>
        <v>1</v>
      </c>
      <c r="AF308" s="7" t="str">
        <f t="shared" si="34"/>
        <v>No</v>
      </c>
    </row>
    <row r="309" spans="1:32">
      <c r="A309" t="s">
        <v>1148</v>
      </c>
      <c r="B309">
        <v>22458031</v>
      </c>
      <c r="C309" t="s">
        <v>270</v>
      </c>
      <c r="D309" t="s">
        <v>135</v>
      </c>
      <c r="E309" t="s">
        <v>20</v>
      </c>
      <c r="F309" t="s">
        <v>180</v>
      </c>
      <c r="G309" t="s">
        <v>21</v>
      </c>
      <c r="H309" t="s">
        <v>103</v>
      </c>
      <c r="I309" t="s">
        <v>3374</v>
      </c>
      <c r="J309">
        <v>6346.96</v>
      </c>
      <c r="K309" t="s">
        <v>27</v>
      </c>
      <c r="L309" t="s">
        <v>28</v>
      </c>
      <c r="M309" s="1">
        <v>45748.255555555559</v>
      </c>
      <c r="N309">
        <v>75</v>
      </c>
      <c r="O309" t="s">
        <v>93</v>
      </c>
      <c r="P309" t="s">
        <v>68</v>
      </c>
      <c r="Q309" t="s">
        <v>1149</v>
      </c>
      <c r="R309">
        <f t="shared" si="28"/>
        <v>22458031</v>
      </c>
      <c r="S309" t="str" cm="1">
        <f t="array" ref="S309">IF(C309="",IFERROR(INDEX($C$2:$C$1166,MATCH(MAX(COUNTIF($C$2:$C$1166,$C$2:$C$1166)),COUNTIF($C$2:$C$1166,$C$2:$C$1166),0)),"Unknown"),C309)</f>
        <v>Charles Moore</v>
      </c>
      <c r="T309" s="4" t="str" cm="1">
        <f t="array" ref="T309">IF(D309="",IFERROR(INDEX($D$2:$D$1000,MATCH(MAX(COUNTIF($D$2:$D$1166,$D$2:$D$1166)),COUNTIF($D$2:$D$1166,$D$2:$D$1166),0)),"Unknown"),D309)</f>
        <v>Barbara Taylor</v>
      </c>
      <c r="U309" t="str">
        <f t="shared" si="29"/>
        <v>zar</v>
      </c>
      <c r="V309" s="7" t="str">
        <f t="shared" si="29"/>
        <v>GBP</v>
      </c>
      <c r="W309" s="7" t="str">
        <f t="shared" si="30"/>
        <v>USA</v>
      </c>
      <c r="X309" s="7" t="str">
        <f t="shared" si="30"/>
        <v>UAE</v>
      </c>
      <c r="Y309" s="7" t="str" cm="1">
        <f t="array" ref="Y309">IF(H309="",IFERROR(INDEX($H$2:$H$1166,MATCH(MAX(COUNTIF($H$2:$H$1166,$H$2:$H$1166)),COUNTIF($H$2:$H$1166,$H$2:$H$1166),0)),"Unknown"),H309)</f>
        <v>Verified</v>
      </c>
      <c r="Z309" s="7" t="str">
        <f t="shared" si="31"/>
        <v>External</v>
      </c>
      <c r="AA309" s="7">
        <f>IF(J309="",AVERAGE($J:$J),J309)</f>
        <v>6346.96</v>
      </c>
      <c r="AB309" s="7">
        <f>IF(N309="",AVERAGE($N:$N),N309)</f>
        <v>75</v>
      </c>
      <c r="AC309" s="7">
        <f t="shared" si="32"/>
        <v>2025</v>
      </c>
      <c r="AD309" s="7">
        <f t="shared" si="33"/>
        <v>4</v>
      </c>
      <c r="AE309" s="7">
        <f>COUNTIF(A:A,A309)</f>
        <v>1</v>
      </c>
      <c r="AF309" s="7" t="str">
        <f t="shared" si="34"/>
        <v>No</v>
      </c>
    </row>
    <row r="310" spans="1:32">
      <c r="A310" t="s">
        <v>1150</v>
      </c>
      <c r="B310">
        <v>10699730</v>
      </c>
      <c r="C310" t="s">
        <v>1151</v>
      </c>
      <c r="D310" t="s">
        <v>1062</v>
      </c>
      <c r="E310" t="s">
        <v>20</v>
      </c>
      <c r="F310" t="s">
        <v>116</v>
      </c>
      <c r="G310" t="s">
        <v>116</v>
      </c>
      <c r="H310" t="s">
        <v>103</v>
      </c>
      <c r="I310" t="s">
        <v>3378</v>
      </c>
      <c r="J310">
        <v>10007.17</v>
      </c>
      <c r="K310" t="s">
        <v>27</v>
      </c>
      <c r="L310" t="s">
        <v>48</v>
      </c>
      <c r="M310" s="1">
        <v>45995</v>
      </c>
      <c r="N310">
        <v>80</v>
      </c>
      <c r="O310" t="s">
        <v>62</v>
      </c>
      <c r="P310" t="s">
        <v>68</v>
      </c>
      <c r="Q310" t="s">
        <v>1152</v>
      </c>
      <c r="R310">
        <f t="shared" si="28"/>
        <v>10699730</v>
      </c>
      <c r="S310" t="str" cm="1">
        <f t="array" ref="S310">IF(C310="",IFERROR(INDEX($C$2:$C$1166,MATCH(MAX(COUNTIF($C$2:$C$1166,$C$2:$C$1166)),COUNTIF($C$2:$C$1166,$C$2:$C$1166),0)),"Unknown"),C310)</f>
        <v>Thomas Hernandez</v>
      </c>
      <c r="T310" s="4" t="str" cm="1">
        <f t="array" ref="T310">IF(D310="",IFERROR(INDEX($D$2:$D$1000,MATCH(MAX(COUNTIF($D$2:$D$1166,$D$2:$D$1166)),COUNTIF($D$2:$D$1166,$D$2:$D$1166),0)),"Unknown"),D310)</f>
        <v>Elizabeth Silva</v>
      </c>
      <c r="U310" t="str">
        <f t="shared" si="29"/>
        <v>CHF</v>
      </c>
      <c r="V310" s="7" t="str">
        <f t="shared" si="29"/>
        <v>CHF</v>
      </c>
      <c r="W310" s="7" t="str">
        <f t="shared" si="30"/>
        <v>Australia</v>
      </c>
      <c r="X310" s="7" t="str">
        <f t="shared" si="30"/>
        <v>UAE</v>
      </c>
      <c r="Y310" s="7" t="str" cm="1">
        <f t="array" ref="Y310">IF(H310="",IFERROR(INDEX($H$2:$H$1166,MATCH(MAX(COUNTIF($H$2:$H$1166,$H$2:$H$1166)),COUNTIF($H$2:$H$1166,$H$2:$H$1166),0)),"Unknown"),H310)</f>
        <v>Verified</v>
      </c>
      <c r="Z310" s="7" t="str">
        <f t="shared" si="31"/>
        <v>Inter-Transaction</v>
      </c>
      <c r="AA310" s="7">
        <f>IF(J310="",AVERAGE($J:$J),J310)</f>
        <v>10007.17</v>
      </c>
      <c r="AB310" s="7">
        <f>IF(N310="",AVERAGE($N:$N),N310)</f>
        <v>80</v>
      </c>
      <c r="AC310" s="7">
        <f t="shared" si="32"/>
        <v>2025</v>
      </c>
      <c r="AD310" s="7">
        <f t="shared" si="33"/>
        <v>12</v>
      </c>
      <c r="AE310" s="7">
        <f>COUNTIF(A:A,A310)</f>
        <v>1</v>
      </c>
      <c r="AF310" s="7" t="str">
        <f t="shared" si="34"/>
        <v>No</v>
      </c>
    </row>
    <row r="311" spans="1:32">
      <c r="A311" t="s">
        <v>1153</v>
      </c>
      <c r="B311">
        <v>67135430</v>
      </c>
      <c r="C311" t="s">
        <v>1154</v>
      </c>
      <c r="D311" t="s">
        <v>1143</v>
      </c>
      <c r="E311">
        <v>1</v>
      </c>
      <c r="F311" t="s">
        <v>21</v>
      </c>
      <c r="G311" t="s">
        <v>44</v>
      </c>
      <c r="H311" t="s">
        <v>56</v>
      </c>
      <c r="I311" t="s">
        <v>3378</v>
      </c>
      <c r="J311">
        <v>8768.7099999999991</v>
      </c>
      <c r="K311" t="s">
        <v>39</v>
      </c>
      <c r="L311" t="s">
        <v>81</v>
      </c>
      <c r="M311" s="1">
        <v>46062.753472222219</v>
      </c>
      <c r="N311">
        <v>79</v>
      </c>
      <c r="O311" t="s">
        <v>93</v>
      </c>
      <c r="P311" t="s">
        <v>24</v>
      </c>
      <c r="Q311" t="s">
        <v>1155</v>
      </c>
      <c r="R311">
        <f t="shared" si="28"/>
        <v>67135430</v>
      </c>
      <c r="S311" t="str" cm="1">
        <f t="array" ref="S311">IF(C311="",IFERROR(INDEX($C$2:$C$1166,MATCH(MAX(COUNTIF($C$2:$C$1166,$C$2:$C$1166)),COUNTIF($C$2:$C$1166,$C$2:$C$1166),0)),"Unknown"),C311)</f>
        <v>Amir Wilson</v>
      </c>
      <c r="T311" s="4" t="str" cm="1">
        <f t="array" ref="T311">IF(D311="",IFERROR(INDEX($D$2:$D$1000,MATCH(MAX(COUNTIF($D$2:$D$1166,$D$2:$D$1166)),COUNTIF($D$2:$D$1166,$D$2:$D$1166),0)),"Unknown"),D311)</f>
        <v>Robert Williams</v>
      </c>
      <c r="U311" t="str">
        <f t="shared" si="29"/>
        <v>GBP</v>
      </c>
      <c r="V311" s="7" t="str">
        <f t="shared" si="29"/>
        <v>SGD</v>
      </c>
      <c r="W311" s="7" t="str">
        <f t="shared" si="30"/>
        <v>USA</v>
      </c>
      <c r="X311" s="7" t="str">
        <f t="shared" si="30"/>
        <v>Brazil</v>
      </c>
      <c r="Y311" s="7" t="str" cm="1">
        <f t="array" ref="Y311">IF(H311="",IFERROR(INDEX($H$2:$H$1166,MATCH(MAX(COUNTIF($H$2:$H$1166,$H$2:$H$1166)),COUNTIF($H$2:$H$1166,$H$2:$H$1166),0)),"Unknown"),H311)</f>
        <v>Unverified</v>
      </c>
      <c r="Z311" s="7" t="str">
        <f t="shared" si="31"/>
        <v>Inter-Transaction</v>
      </c>
      <c r="AA311" s="7">
        <f>IF(J311="",AVERAGE($J:$J),J311)</f>
        <v>8768.7099999999991</v>
      </c>
      <c r="AB311" s="7">
        <f>IF(N311="",AVERAGE($N:$N),N311)</f>
        <v>79</v>
      </c>
      <c r="AC311" s="7">
        <f t="shared" si="32"/>
        <v>2026</v>
      </c>
      <c r="AD311" s="7">
        <f t="shared" si="33"/>
        <v>2</v>
      </c>
      <c r="AE311" s="7">
        <f>COUNTIF(A:A,A311)</f>
        <v>1</v>
      </c>
      <c r="AF311" s="7" t="str">
        <f t="shared" si="34"/>
        <v>Yes</v>
      </c>
    </row>
    <row r="312" spans="1:32">
      <c r="A312" t="s">
        <v>1156</v>
      </c>
      <c r="B312">
        <v>81020117</v>
      </c>
      <c r="C312" t="s">
        <v>932</v>
      </c>
      <c r="D312" t="s">
        <v>742</v>
      </c>
      <c r="E312" t="s">
        <v>20</v>
      </c>
      <c r="F312" t="s">
        <v>22</v>
      </c>
      <c r="G312" t="s">
        <v>21</v>
      </c>
      <c r="H312" t="s">
        <v>25</v>
      </c>
      <c r="I312" t="s">
        <v>3378</v>
      </c>
      <c r="J312">
        <v>8580.75</v>
      </c>
      <c r="K312" t="s">
        <v>86</v>
      </c>
      <c r="L312" t="s">
        <v>48</v>
      </c>
      <c r="M312" s="1">
        <v>45760.714583333334</v>
      </c>
      <c r="N312">
        <v>39</v>
      </c>
      <c r="O312" t="s">
        <v>36</v>
      </c>
      <c r="P312" t="s">
        <v>127</v>
      </c>
      <c r="Q312" t="s">
        <v>1157</v>
      </c>
      <c r="R312">
        <f t="shared" si="28"/>
        <v>81020117</v>
      </c>
      <c r="S312" t="str" cm="1">
        <f t="array" ref="S312">IF(C312="",IFERROR(INDEX($C$2:$C$1166,MATCH(MAX(COUNTIF($C$2:$C$1166,$C$2:$C$1166)),COUNTIF($C$2:$C$1166,$C$2:$C$1166),0)),"Unknown"),C312)</f>
        <v>Patricia Rostova</v>
      </c>
      <c r="T312" s="4" t="str" cm="1">
        <f t="array" ref="T312">IF(D312="",IFERROR(INDEX($D$2:$D$1000,MATCH(MAX(COUNTIF($D$2:$D$1166,$D$2:$D$1166)),COUNTIF($D$2:$D$1166,$D$2:$D$1166),0)),"Unknown"),D312)</f>
        <v>William Anderson</v>
      </c>
      <c r="U312" t="str">
        <f t="shared" si="29"/>
        <v>BRL</v>
      </c>
      <c r="V312" s="7" t="str">
        <f t="shared" si="29"/>
        <v>GBP</v>
      </c>
      <c r="W312" s="7" t="str">
        <f t="shared" si="30"/>
        <v>Germany</v>
      </c>
      <c r="X312" s="7" t="str">
        <f t="shared" si="30"/>
        <v>Canada</v>
      </c>
      <c r="Y312" s="7" t="str" cm="1">
        <f t="array" ref="Y312">IF(H312="",IFERROR(INDEX($H$2:$H$1166,MATCH(MAX(COUNTIF($H$2:$H$1166,$H$2:$H$1166)),COUNTIF($H$2:$H$1166,$H$2:$H$1166),0)),"Unknown"),H312)</f>
        <v>KYC</v>
      </c>
      <c r="Z312" s="7" t="str">
        <f t="shared" si="31"/>
        <v>Inter-Transaction</v>
      </c>
      <c r="AA312" s="7">
        <f>IF(J312="",AVERAGE($J:$J),J312)</f>
        <v>8580.75</v>
      </c>
      <c r="AB312" s="7">
        <f>IF(N312="",AVERAGE($N:$N),N312)</f>
        <v>39</v>
      </c>
      <c r="AC312" s="7">
        <f t="shared" si="32"/>
        <v>2025</v>
      </c>
      <c r="AD312" s="7">
        <f t="shared" si="33"/>
        <v>4</v>
      </c>
      <c r="AE312" s="7">
        <f>COUNTIF(A:A,A312)</f>
        <v>1</v>
      </c>
      <c r="AF312" s="7" t="str">
        <f t="shared" si="34"/>
        <v>No</v>
      </c>
    </row>
    <row r="313" spans="1:32">
      <c r="A313" t="s">
        <v>1158</v>
      </c>
      <c r="B313">
        <v>16529832</v>
      </c>
      <c r="C313" t="s">
        <v>1159</v>
      </c>
      <c r="D313" t="s">
        <v>1160</v>
      </c>
      <c r="E313" t="s">
        <v>20</v>
      </c>
      <c r="F313" t="s">
        <v>21</v>
      </c>
      <c r="G313" t="s">
        <v>22</v>
      </c>
      <c r="H313" t="s">
        <v>38</v>
      </c>
      <c r="I313" t="s">
        <v>3378</v>
      </c>
      <c r="J313">
        <v>8490.7999999999993</v>
      </c>
      <c r="K313" t="s">
        <v>57</v>
      </c>
      <c r="L313" t="s">
        <v>81</v>
      </c>
      <c r="M313" s="1">
        <v>44970.438888888886</v>
      </c>
      <c r="N313">
        <v>75</v>
      </c>
      <c r="O313" t="s">
        <v>23</v>
      </c>
      <c r="P313" t="s">
        <v>93</v>
      </c>
      <c r="Q313" t="s">
        <v>1161</v>
      </c>
      <c r="R313">
        <f t="shared" si="28"/>
        <v>16529832</v>
      </c>
      <c r="S313" t="str" cm="1">
        <f t="array" ref="S313">IF(C313="",IFERROR(INDEX($C$2:$C$1166,MATCH(MAX(COUNTIF($C$2:$C$1166,$C$2:$C$1166)),COUNTIF($C$2:$C$1166,$C$2:$C$1166),0)),"Unknown"),C313)</f>
        <v>Priya Volkov</v>
      </c>
      <c r="T313" s="4" t="str" cm="1">
        <f t="array" ref="T313">IF(D313="",IFERROR(INDEX($D$2:$D$1000,MATCH(MAX(COUNTIF($D$2:$D$1166,$D$2:$D$1166)),COUNTIF($D$2:$D$1166,$D$2:$D$1166),0)),"Unknown"),D313)</f>
        <v>Barbara Volkov</v>
      </c>
      <c r="U313" t="str">
        <f t="shared" si="29"/>
        <v>GBP</v>
      </c>
      <c r="V313" s="7" t="str">
        <f t="shared" si="29"/>
        <v>BRL</v>
      </c>
      <c r="W313" s="7" t="str">
        <f t="shared" si="30"/>
        <v>France</v>
      </c>
      <c r="X313" s="7" t="str">
        <f t="shared" si="30"/>
        <v>USA</v>
      </c>
      <c r="Y313" s="7" t="str" cm="1">
        <f t="array" ref="Y313">IF(H313="",IFERROR(INDEX($H$2:$H$1166,MATCH(MAX(COUNTIF($H$2:$H$1166,$H$2:$H$1166)),COUNTIF($H$2:$H$1166,$H$2:$H$1166),0)),"Unknown"),H313)</f>
        <v>Pending</v>
      </c>
      <c r="Z313" s="7" t="str">
        <f t="shared" si="31"/>
        <v>Inter-Transaction</v>
      </c>
      <c r="AA313" s="7">
        <f>IF(J313="",AVERAGE($J:$J),J313)</f>
        <v>8490.7999999999993</v>
      </c>
      <c r="AB313" s="7">
        <f>IF(N313="",AVERAGE($N:$N),N313)</f>
        <v>75</v>
      </c>
      <c r="AC313" s="7">
        <f t="shared" si="32"/>
        <v>2023</v>
      </c>
      <c r="AD313" s="7">
        <f t="shared" si="33"/>
        <v>2</v>
      </c>
      <c r="AE313" s="7">
        <f>COUNTIF(A:A,A313)</f>
        <v>1</v>
      </c>
      <c r="AF313" s="7" t="str">
        <f t="shared" si="34"/>
        <v>No</v>
      </c>
    </row>
    <row r="314" spans="1:32">
      <c r="A314" t="s">
        <v>1162</v>
      </c>
      <c r="B314">
        <v>53649791</v>
      </c>
      <c r="C314" t="s">
        <v>1163</v>
      </c>
      <c r="D314" t="s">
        <v>1164</v>
      </c>
      <c r="E314" t="s">
        <v>20</v>
      </c>
      <c r="F314" t="s">
        <v>92</v>
      </c>
      <c r="G314" t="s">
        <v>126</v>
      </c>
      <c r="H314" t="s">
        <v>103</v>
      </c>
      <c r="I314" t="s">
        <v>3374</v>
      </c>
      <c r="J314">
        <v>1337.06</v>
      </c>
      <c r="K314" t="s">
        <v>47</v>
      </c>
      <c r="L314" t="s">
        <v>28</v>
      </c>
      <c r="M314" s="1">
        <v>46040.008333333331</v>
      </c>
      <c r="N314">
        <v>75</v>
      </c>
      <c r="O314" t="s">
        <v>37</v>
      </c>
      <c r="P314" t="s">
        <v>55</v>
      </c>
      <c r="Q314" t="s">
        <v>1165</v>
      </c>
      <c r="R314">
        <f t="shared" si="28"/>
        <v>53649791</v>
      </c>
      <c r="S314" t="str" cm="1">
        <f t="array" ref="S314">IF(C314="",IFERROR(INDEX($C$2:$C$1166,MATCH(MAX(COUNTIF($C$2:$C$1166,$C$2:$C$1166)),COUNTIF($C$2:$C$1166,$C$2:$C$1166),0)),"Unknown"),C314)</f>
        <v>Robert Silva</v>
      </c>
      <c r="T314" s="4" t="str" cm="1">
        <f t="array" ref="T314">IF(D314="",IFERROR(INDEX($D$2:$D$1000,MATCH(MAX(COUNTIF($D$2:$D$1166,$D$2:$D$1166)),COUNTIF($D$2:$D$1166,$D$2:$D$1166),0)),"Unknown"),D314)</f>
        <v>Nancy Velez</v>
      </c>
      <c r="U314" t="str">
        <f t="shared" si="29"/>
        <v>AUD</v>
      </c>
      <c r="V314" s="7" t="str">
        <f t="shared" si="29"/>
        <v>inr</v>
      </c>
      <c r="W314" s="7" t="str">
        <f t="shared" si="30"/>
        <v>South Africa</v>
      </c>
      <c r="X314" s="7" t="str">
        <f t="shared" si="30"/>
        <v>UK</v>
      </c>
      <c r="Y314" s="7" t="str" cm="1">
        <f t="array" ref="Y314">IF(H314="",IFERROR(INDEX($H$2:$H$1166,MATCH(MAX(COUNTIF($H$2:$H$1166,$H$2:$H$1166)),COUNTIF($H$2:$H$1166,$H$2:$H$1166),0)),"Unknown"),H314)</f>
        <v>Verified</v>
      </c>
      <c r="Z314" s="7" t="str">
        <f t="shared" si="31"/>
        <v>External</v>
      </c>
      <c r="AA314" s="7">
        <f>IF(J314="",AVERAGE($J:$J),J314)</f>
        <v>1337.06</v>
      </c>
      <c r="AB314" s="7">
        <f>IF(N314="",AVERAGE($N:$N),N314)</f>
        <v>75</v>
      </c>
      <c r="AC314" s="7">
        <f t="shared" si="32"/>
        <v>2026</v>
      </c>
      <c r="AD314" s="7">
        <f t="shared" si="33"/>
        <v>1</v>
      </c>
      <c r="AE314" s="7">
        <f>COUNTIF(A:A,A314)</f>
        <v>1</v>
      </c>
      <c r="AF314" s="7" t="str">
        <f t="shared" si="34"/>
        <v>No</v>
      </c>
    </row>
    <row r="315" spans="1:32">
      <c r="A315" t="s">
        <v>1166</v>
      </c>
      <c r="B315">
        <v>86536905</v>
      </c>
      <c r="C315" t="s">
        <v>1029</v>
      </c>
      <c r="D315" t="s">
        <v>1167</v>
      </c>
      <c r="E315">
        <v>1</v>
      </c>
      <c r="F315" t="s">
        <v>80</v>
      </c>
      <c r="G315" t="s">
        <v>35</v>
      </c>
      <c r="I315" t="s">
        <v>3376</v>
      </c>
      <c r="J315">
        <v>6669</v>
      </c>
      <c r="K315" t="s">
        <v>27</v>
      </c>
      <c r="L315" t="s">
        <v>75</v>
      </c>
      <c r="M315" s="1">
        <v>44669.179861111108</v>
      </c>
      <c r="N315">
        <v>66</v>
      </c>
      <c r="O315" t="s">
        <v>24</v>
      </c>
      <c r="P315" t="s">
        <v>37</v>
      </c>
      <c r="Q315" t="s">
        <v>1168</v>
      </c>
      <c r="R315">
        <f t="shared" si="28"/>
        <v>86536905</v>
      </c>
      <c r="S315" t="str" cm="1">
        <f t="array" ref="S315">IF(C315="",IFERROR(INDEX($C$2:$C$1166,MATCH(MAX(COUNTIF($C$2:$C$1166,$C$2:$C$1166)),COUNTIF($C$2:$C$1166,$C$2:$C$1166),0)),"Unknown"),C315)</f>
        <v>Charles Miller</v>
      </c>
      <c r="T315" s="4" t="str" cm="1">
        <f t="array" ref="T315">IF(D315="",IFERROR(INDEX($D$2:$D$1000,MATCH(MAX(COUNTIF($D$2:$D$1166,$D$2:$D$1166)),COUNTIF($D$2:$D$1166,$D$2:$D$1166),0)),"Unknown"),D315)</f>
        <v>Jean-Pierre Thomas</v>
      </c>
      <c r="U315" t="str">
        <f t="shared" si="29"/>
        <v>USD</v>
      </c>
      <c r="V315" s="7" t="str">
        <f t="shared" si="29"/>
        <v>EUR</v>
      </c>
      <c r="W315" s="7" t="str">
        <f t="shared" si="30"/>
        <v>Brazil</v>
      </c>
      <c r="X315" s="7" t="str">
        <f t="shared" si="30"/>
        <v>South Africa</v>
      </c>
      <c r="Y315" s="7" t="str" cm="1">
        <f t="array" ref="Y315">IF(H315="",IFERROR(INDEX($H$2:$H$1166,MATCH(MAX(COUNTIF($H$2:$H$1166,$H$2:$H$1166)),COUNTIF($H$2:$H$1166,$H$2:$H$1166),0)),"Unknown"),H315)</f>
        <v>Pending</v>
      </c>
      <c r="Z315" s="7" t="str">
        <f t="shared" si="31"/>
        <v>Internal</v>
      </c>
      <c r="AA315" s="7">
        <f>IF(J315="",AVERAGE($J:$J),J315)</f>
        <v>6669</v>
      </c>
      <c r="AB315" s="7">
        <f>IF(N315="",AVERAGE($N:$N),N315)</f>
        <v>66</v>
      </c>
      <c r="AC315" s="7">
        <f t="shared" si="32"/>
        <v>2022</v>
      </c>
      <c r="AD315" s="7">
        <f t="shared" si="33"/>
        <v>4</v>
      </c>
      <c r="AE315" s="7">
        <f>COUNTIF(A:A,A315)</f>
        <v>1</v>
      </c>
      <c r="AF315" s="7" t="str">
        <f t="shared" si="34"/>
        <v>Yes</v>
      </c>
    </row>
    <row r="316" spans="1:32">
      <c r="A316" t="s">
        <v>1169</v>
      </c>
      <c r="B316">
        <v>61272646</v>
      </c>
      <c r="C316" t="s">
        <v>577</v>
      </c>
      <c r="D316" t="s">
        <v>768</v>
      </c>
      <c r="E316" t="s">
        <v>20</v>
      </c>
      <c r="F316" t="s">
        <v>53</v>
      </c>
      <c r="G316" t="s">
        <v>21</v>
      </c>
      <c r="H316" t="s">
        <v>25</v>
      </c>
      <c r="I316" t="s">
        <v>3376</v>
      </c>
      <c r="J316">
        <v>14417.24</v>
      </c>
      <c r="K316" t="s">
        <v>47</v>
      </c>
      <c r="L316" t="s">
        <v>28</v>
      </c>
      <c r="M316" s="1">
        <v>44920.035416666666</v>
      </c>
      <c r="N316">
        <v>69</v>
      </c>
      <c r="O316" t="s">
        <v>36</v>
      </c>
      <c r="P316" t="s">
        <v>93</v>
      </c>
      <c r="Q316" t="s">
        <v>1170</v>
      </c>
      <c r="R316">
        <f t="shared" si="28"/>
        <v>61272646</v>
      </c>
      <c r="S316" t="str" cm="1">
        <f t="array" ref="S316">IF(C316="",IFERROR(INDEX($C$2:$C$1166,MATCH(MAX(COUNTIF($C$2:$C$1166,$C$2:$C$1166)),COUNTIF($C$2:$C$1166,$C$2:$C$1166),0)),"Unknown"),C316)</f>
        <v>David Williams</v>
      </c>
      <c r="T316" s="4" t="str" cm="1">
        <f t="array" ref="T316">IF(D316="",IFERROR(INDEX($D$2:$D$1000,MATCH(MAX(COUNTIF($D$2:$D$1166,$D$2:$D$1166)),COUNTIF($D$2:$D$1166,$D$2:$D$1166),0)),"Unknown"),D316)</f>
        <v>Patricia Brown</v>
      </c>
      <c r="U316" t="str">
        <f t="shared" si="29"/>
        <v>AED</v>
      </c>
      <c r="V316" s="7" t="str">
        <f t="shared" si="29"/>
        <v>GBP</v>
      </c>
      <c r="W316" s="7" t="str">
        <f t="shared" si="30"/>
        <v>Germany</v>
      </c>
      <c r="X316" s="7" t="str">
        <f t="shared" si="30"/>
        <v>USA</v>
      </c>
      <c r="Y316" s="7" t="str" cm="1">
        <f t="array" ref="Y316">IF(H316="",IFERROR(INDEX($H$2:$H$1166,MATCH(MAX(COUNTIF($H$2:$H$1166,$H$2:$H$1166)),COUNTIF($H$2:$H$1166,$H$2:$H$1166),0)),"Unknown"),H316)</f>
        <v>KYC</v>
      </c>
      <c r="Z316" s="7" t="str">
        <f t="shared" si="31"/>
        <v>Internal</v>
      </c>
      <c r="AA316" s="7">
        <f>IF(J316="",AVERAGE($J:$J),J316)</f>
        <v>14417.24</v>
      </c>
      <c r="AB316" s="7">
        <f>IF(N316="",AVERAGE($N:$N),N316)</f>
        <v>69</v>
      </c>
      <c r="AC316" s="7">
        <f t="shared" si="32"/>
        <v>2022</v>
      </c>
      <c r="AD316" s="7">
        <f t="shared" si="33"/>
        <v>12</v>
      </c>
      <c r="AE316" s="7">
        <f>COUNTIF(A:A,A316)</f>
        <v>1</v>
      </c>
      <c r="AF316" s="7" t="str">
        <f t="shared" si="34"/>
        <v>No</v>
      </c>
    </row>
    <row r="317" spans="1:32">
      <c r="A317" t="s">
        <v>1171</v>
      </c>
      <c r="B317">
        <v>16962963</v>
      </c>
      <c r="C317" t="s">
        <v>1172</v>
      </c>
      <c r="D317" t="s">
        <v>1173</v>
      </c>
      <c r="E317" t="s">
        <v>20</v>
      </c>
      <c r="F317" t="s">
        <v>44</v>
      </c>
      <c r="G317" t="s">
        <v>98</v>
      </c>
      <c r="H317" t="s">
        <v>56</v>
      </c>
      <c r="I317" t="s">
        <v>3377</v>
      </c>
      <c r="J317">
        <v>7267.73</v>
      </c>
      <c r="K317" t="s">
        <v>39</v>
      </c>
      <c r="L317" t="s">
        <v>48</v>
      </c>
      <c r="M317" s="1">
        <v>44924.095138888886</v>
      </c>
      <c r="N317">
        <v>59</v>
      </c>
      <c r="O317" t="s">
        <v>24</v>
      </c>
      <c r="P317" t="s">
        <v>37</v>
      </c>
      <c r="Q317" t="s">
        <v>1174</v>
      </c>
      <c r="R317">
        <f t="shared" si="28"/>
        <v>16962963</v>
      </c>
      <c r="S317" t="str" cm="1">
        <f t="array" ref="S317">IF(C317="",IFERROR(INDEX($C$2:$C$1166,MATCH(MAX(COUNTIF($C$2:$C$1166,$C$2:$C$1166)),COUNTIF($C$2:$C$1166,$C$2:$C$1166),0)),"Unknown"),C317)</f>
        <v xml:space="preserve">  WILLIAM DAVIS </v>
      </c>
      <c r="T317" s="4" t="str" cm="1">
        <f t="array" ref="T317">IF(D317="",IFERROR(INDEX($D$2:$D$1000,MATCH(MAX(COUNTIF($D$2:$D$1166,$D$2:$D$1166)),COUNTIF($D$2:$D$1166,$D$2:$D$1166),0)),"Unknown"),D317)</f>
        <v>Jean-Pierre Martin</v>
      </c>
      <c r="U317" t="str">
        <f t="shared" si="29"/>
        <v>SGD</v>
      </c>
      <c r="V317" s="7" t="str">
        <f t="shared" si="29"/>
        <v>JPY</v>
      </c>
      <c r="W317" s="7" t="str">
        <f t="shared" si="30"/>
        <v>Brazil</v>
      </c>
      <c r="X317" s="7" t="str">
        <f t="shared" si="30"/>
        <v>South Africa</v>
      </c>
      <c r="Y317" s="7" t="str" cm="1">
        <f t="array" ref="Y317">IF(H317="",IFERROR(INDEX($H$2:$H$1166,MATCH(MAX(COUNTIF($H$2:$H$1166,$H$2:$H$1166)),COUNTIF($H$2:$H$1166,$H$2:$H$1166),0)),"Unknown"),H317)</f>
        <v>Unverified</v>
      </c>
      <c r="Z317" s="7" t="str">
        <f t="shared" si="31"/>
        <v>Inter-Transaction</v>
      </c>
      <c r="AA317" s="7">
        <f>IF(J317="",AVERAGE($J:$J),J317)</f>
        <v>7267.73</v>
      </c>
      <c r="AB317" s="7">
        <f>IF(N317="",AVERAGE($N:$N),N317)</f>
        <v>59</v>
      </c>
      <c r="AC317" s="7">
        <f t="shared" si="32"/>
        <v>2022</v>
      </c>
      <c r="AD317" s="7">
        <f t="shared" si="33"/>
        <v>12</v>
      </c>
      <c r="AE317" s="7">
        <f>COUNTIF(A:A,A317)</f>
        <v>1</v>
      </c>
      <c r="AF317" s="7" t="str">
        <f t="shared" si="34"/>
        <v>No</v>
      </c>
    </row>
    <row r="318" spans="1:32">
      <c r="A318" t="s">
        <v>1175</v>
      </c>
      <c r="B318">
        <v>64592513</v>
      </c>
      <c r="C318" t="s">
        <v>1176</v>
      </c>
      <c r="D318" t="s">
        <v>211</v>
      </c>
      <c r="E318" t="s">
        <v>3373</v>
      </c>
      <c r="F318" t="s">
        <v>21</v>
      </c>
      <c r="G318" t="s">
        <v>34</v>
      </c>
      <c r="H318" t="s">
        <v>38</v>
      </c>
      <c r="I318" t="s">
        <v>3372</v>
      </c>
      <c r="J318">
        <v>636.46</v>
      </c>
      <c r="K318" t="s">
        <v>39</v>
      </c>
      <c r="L318" t="s">
        <v>75</v>
      </c>
      <c r="M318" s="1">
        <v>46325.342361111114</v>
      </c>
      <c r="N318">
        <v>32</v>
      </c>
      <c r="O318" t="s">
        <v>24</v>
      </c>
      <c r="P318" t="s">
        <v>62</v>
      </c>
      <c r="Q318" t="s">
        <v>1177</v>
      </c>
      <c r="R318">
        <f t="shared" si="28"/>
        <v>64592513</v>
      </c>
      <c r="S318" t="str" cm="1">
        <f t="array" ref="S318">IF(C318="",IFERROR(INDEX($C$2:$C$1166,MATCH(MAX(COUNTIF($C$2:$C$1166,$C$2:$C$1166)),COUNTIF($C$2:$C$1166,$C$2:$C$1166),0)),"Unknown"),C318)</f>
        <v>Thomas Williams</v>
      </c>
      <c r="T318" s="4" t="str" cm="1">
        <f t="array" ref="T318">IF(D318="",IFERROR(INDEX($D$2:$D$1000,MATCH(MAX(COUNTIF($D$2:$D$1166,$D$2:$D$1166)),COUNTIF($D$2:$D$1166,$D$2:$D$1166),0)),"Unknown"),D318)</f>
        <v>Zayn Nair</v>
      </c>
      <c r="U318" t="str">
        <f t="shared" si="29"/>
        <v>GBP</v>
      </c>
      <c r="V318" s="7" t="str">
        <f t="shared" si="29"/>
        <v>CAD</v>
      </c>
      <c r="W318" s="7" t="str">
        <f t="shared" si="30"/>
        <v>Brazil</v>
      </c>
      <c r="X318" s="7" t="str">
        <f t="shared" si="30"/>
        <v>Australia</v>
      </c>
      <c r="Y318" s="7" t="str" cm="1">
        <f t="array" ref="Y318">IF(H318="",IFERROR(INDEX($H$2:$H$1166,MATCH(MAX(COUNTIF($H$2:$H$1166,$H$2:$H$1166)),COUNTIF($H$2:$H$1166,$H$2:$H$1166),0)),"Unknown"),H318)</f>
        <v>Pending</v>
      </c>
      <c r="Z318" s="7" t="str">
        <f t="shared" si="31"/>
        <v>Outer-Transaction</v>
      </c>
      <c r="AA318" s="7">
        <f>IF(J318="",AVERAGE($J:$J),J318)</f>
        <v>636.46</v>
      </c>
      <c r="AB318" s="7">
        <f>IF(N318="",AVERAGE($N:$N),N318)</f>
        <v>32</v>
      </c>
      <c r="AC318" s="7">
        <f t="shared" si="32"/>
        <v>2026</v>
      </c>
      <c r="AD318" s="7">
        <f t="shared" si="33"/>
        <v>10</v>
      </c>
      <c r="AE318" s="7">
        <f>COUNTIF(A:A,A318)</f>
        <v>1</v>
      </c>
      <c r="AF318" s="7" t="str">
        <f t="shared" si="34"/>
        <v>Yes</v>
      </c>
    </row>
    <row r="319" spans="1:32">
      <c r="A319" t="s">
        <v>1178</v>
      </c>
      <c r="B319">
        <v>94853379</v>
      </c>
      <c r="C319" t="s">
        <v>1179</v>
      </c>
      <c r="D319" t="s">
        <v>1180</v>
      </c>
      <c r="E319" t="s">
        <v>20</v>
      </c>
      <c r="F319" t="s">
        <v>21</v>
      </c>
      <c r="G319" t="s">
        <v>22</v>
      </c>
      <c r="I319" t="s">
        <v>3376</v>
      </c>
      <c r="J319">
        <v>14982.33</v>
      </c>
      <c r="K319" t="s">
        <v>39</v>
      </c>
      <c r="L319" t="s">
        <v>48</v>
      </c>
      <c r="M319" s="1">
        <v>46294.70416666667</v>
      </c>
      <c r="N319">
        <v>71</v>
      </c>
      <c r="O319" t="s">
        <v>37</v>
      </c>
      <c r="P319" t="s">
        <v>37</v>
      </c>
      <c r="Q319" t="s">
        <v>1181</v>
      </c>
      <c r="R319">
        <f t="shared" si="28"/>
        <v>94853379</v>
      </c>
      <c r="S319" t="str" cm="1">
        <f t="array" ref="S319">IF(C319="",IFERROR(INDEX($C$2:$C$1166,MATCH(MAX(COUNTIF($C$2:$C$1166,$C$2:$C$1166)),COUNTIF($C$2:$C$1166,$C$2:$C$1166),0)),"Unknown"),C319)</f>
        <v>William Jackson</v>
      </c>
      <c r="T319" s="4" t="str" cm="1">
        <f t="array" ref="T319">IF(D319="",IFERROR(INDEX($D$2:$D$1000,MATCH(MAX(COUNTIF($D$2:$D$1166,$D$2:$D$1166)),COUNTIF($D$2:$D$1166,$D$2:$D$1166),0)),"Unknown"),D319)</f>
        <v>Amir Taylor</v>
      </c>
      <c r="U319" t="str">
        <f t="shared" si="29"/>
        <v>GBP</v>
      </c>
      <c r="V319" s="7" t="str">
        <f t="shared" si="29"/>
        <v>BRL</v>
      </c>
      <c r="W319" s="7" t="str">
        <f t="shared" si="30"/>
        <v>South Africa</v>
      </c>
      <c r="X319" s="7" t="str">
        <f t="shared" si="30"/>
        <v>South Africa</v>
      </c>
      <c r="Y319" s="7" t="str" cm="1">
        <f t="array" ref="Y319">IF(H319="",IFERROR(INDEX($H$2:$H$1166,MATCH(MAX(COUNTIF($H$2:$H$1166,$H$2:$H$1166)),COUNTIF($H$2:$H$1166,$H$2:$H$1166),0)),"Unknown"),H319)</f>
        <v>Pending</v>
      </c>
      <c r="Z319" s="7" t="str">
        <f t="shared" si="31"/>
        <v>Internal</v>
      </c>
      <c r="AA319" s="7">
        <f>IF(J319="",AVERAGE($J:$J),J319)</f>
        <v>14982.33</v>
      </c>
      <c r="AB319" s="7">
        <f>IF(N319="",AVERAGE($N:$N),N319)</f>
        <v>71</v>
      </c>
      <c r="AC319" s="7">
        <f t="shared" si="32"/>
        <v>2026</v>
      </c>
      <c r="AD319" s="7">
        <f t="shared" si="33"/>
        <v>9</v>
      </c>
      <c r="AE319" s="7">
        <f>COUNTIF(A:A,A319)</f>
        <v>1</v>
      </c>
      <c r="AF319" s="7" t="str">
        <f t="shared" si="34"/>
        <v>No</v>
      </c>
    </row>
    <row r="320" spans="1:32">
      <c r="A320" t="s">
        <v>1182</v>
      </c>
      <c r="B320">
        <v>53169555</v>
      </c>
      <c r="C320" t="s">
        <v>1183</v>
      </c>
      <c r="D320" t="s">
        <v>986</v>
      </c>
      <c r="E320" t="s">
        <v>3375</v>
      </c>
      <c r="F320" t="s">
        <v>22</v>
      </c>
      <c r="G320" t="s">
        <v>21</v>
      </c>
      <c r="H320" t="s">
        <v>56</v>
      </c>
      <c r="I320" t="s">
        <v>3376</v>
      </c>
      <c r="J320">
        <v>13430.07</v>
      </c>
      <c r="K320" t="s">
        <v>39</v>
      </c>
      <c r="L320" t="s">
        <v>81</v>
      </c>
      <c r="M320" s="1">
        <v>46319.561111111114</v>
      </c>
      <c r="N320">
        <v>77</v>
      </c>
      <c r="O320" t="s">
        <v>55</v>
      </c>
      <c r="P320" t="s">
        <v>54</v>
      </c>
      <c r="Q320" t="s">
        <v>1184</v>
      </c>
      <c r="R320">
        <f t="shared" si="28"/>
        <v>53169555</v>
      </c>
      <c r="S320" t="str" cm="1">
        <f t="array" ref="S320">IF(C320="",IFERROR(INDEX($C$2:$C$1166,MATCH(MAX(COUNTIF($C$2:$C$1166,$C$2:$C$1166)),COUNTIF($C$2:$C$1166,$C$2:$C$1166),0)),"Unknown"),C320)</f>
        <v>Richard Miller</v>
      </c>
      <c r="T320" s="4" t="str" cm="1">
        <f t="array" ref="T320">IF(D320="",IFERROR(INDEX($D$2:$D$1000,MATCH(MAX(COUNTIF($D$2:$D$1166,$D$2:$D$1166)),COUNTIF($D$2:$D$1166,$D$2:$D$1166),0)),"Unknown"),D320)</f>
        <v>Thomas Martin</v>
      </c>
      <c r="U320" t="str">
        <f t="shared" si="29"/>
        <v>BRL</v>
      </c>
      <c r="V320" s="7" t="str">
        <f t="shared" si="29"/>
        <v>GBP</v>
      </c>
      <c r="W320" s="7" t="str">
        <f t="shared" si="30"/>
        <v>UK</v>
      </c>
      <c r="X320" s="7" t="str">
        <f t="shared" si="30"/>
        <v>India</v>
      </c>
      <c r="Y320" s="7" t="str" cm="1">
        <f t="array" ref="Y320">IF(H320="",IFERROR(INDEX($H$2:$H$1166,MATCH(MAX(COUNTIF($H$2:$H$1166,$H$2:$H$1166)),COUNTIF($H$2:$H$1166,$H$2:$H$1166),0)),"Unknown"),H320)</f>
        <v>Unverified</v>
      </c>
      <c r="Z320" s="7" t="str">
        <f t="shared" si="31"/>
        <v>Internal</v>
      </c>
      <c r="AA320" s="7">
        <f>IF(J320="",AVERAGE($J:$J),J320)</f>
        <v>13430.07</v>
      </c>
      <c r="AB320" s="7">
        <f>IF(N320="",AVERAGE($N:$N),N320)</f>
        <v>77</v>
      </c>
      <c r="AC320" s="7">
        <f t="shared" si="32"/>
        <v>2026</v>
      </c>
      <c r="AD320" s="7">
        <f t="shared" si="33"/>
        <v>10</v>
      </c>
      <c r="AE320" s="7">
        <f>COUNTIF(A:A,A320)</f>
        <v>1</v>
      </c>
      <c r="AF320" s="7" t="str">
        <f t="shared" si="34"/>
        <v>No</v>
      </c>
    </row>
    <row r="321" spans="1:32">
      <c r="A321" t="s">
        <v>1185</v>
      </c>
      <c r="B321">
        <v>60516391</v>
      </c>
      <c r="C321" t="s">
        <v>1186</v>
      </c>
      <c r="D321" t="s">
        <v>326</v>
      </c>
      <c r="E321" t="s">
        <v>20</v>
      </c>
      <c r="F321" t="s">
        <v>22</v>
      </c>
      <c r="G321" t="s">
        <v>80</v>
      </c>
      <c r="H321" t="s">
        <v>103</v>
      </c>
      <c r="I321" t="s">
        <v>3374</v>
      </c>
      <c r="J321">
        <v>13821.77</v>
      </c>
      <c r="K321" t="s">
        <v>57</v>
      </c>
      <c r="L321" t="s">
        <v>48</v>
      </c>
      <c r="M321" s="1">
        <v>45800.15</v>
      </c>
      <c r="N321">
        <v>25</v>
      </c>
      <c r="O321" t="s">
        <v>93</v>
      </c>
      <c r="P321" t="s">
        <v>68</v>
      </c>
      <c r="Q321" t="s">
        <v>1187</v>
      </c>
      <c r="R321">
        <f t="shared" si="28"/>
        <v>60516391</v>
      </c>
      <c r="S321" t="str" cm="1">
        <f t="array" ref="S321">IF(C321="",IFERROR(INDEX($C$2:$C$1166,MATCH(MAX(COUNTIF($C$2:$C$1166,$C$2:$C$1166)),COUNTIF($C$2:$C$1166,$C$2:$C$1166),0)),"Unknown"),C321)</f>
        <v xml:space="preserve">  AMIR MARTIN </v>
      </c>
      <c r="T321" s="4" t="str" cm="1">
        <f t="array" ref="T321">IF(D321="",IFERROR(INDEX($D$2:$D$1000,MATCH(MAX(COUNTIF($D$2:$D$1166,$D$2:$D$1166)),COUNTIF($D$2:$D$1166,$D$2:$D$1166),0)),"Unknown"),D321)</f>
        <v>Susan Gonzalez</v>
      </c>
      <c r="U321" t="str">
        <f t="shared" si="29"/>
        <v>BRL</v>
      </c>
      <c r="V321" s="7" t="str">
        <f t="shared" si="29"/>
        <v>USD</v>
      </c>
      <c r="W321" s="7" t="str">
        <f t="shared" si="30"/>
        <v>USA</v>
      </c>
      <c r="X321" s="7" t="str">
        <f t="shared" si="30"/>
        <v>UAE</v>
      </c>
      <c r="Y321" s="7" t="str" cm="1">
        <f t="array" ref="Y321">IF(H321="",IFERROR(INDEX($H$2:$H$1166,MATCH(MAX(COUNTIF($H$2:$H$1166,$H$2:$H$1166)),COUNTIF($H$2:$H$1166,$H$2:$H$1166),0)),"Unknown"),H321)</f>
        <v>Verified</v>
      </c>
      <c r="Z321" s="7" t="str">
        <f t="shared" si="31"/>
        <v>External</v>
      </c>
      <c r="AA321" s="7">
        <f>IF(J321="",AVERAGE($J:$J),J321)</f>
        <v>13821.77</v>
      </c>
      <c r="AB321" s="7">
        <f>IF(N321="",AVERAGE($N:$N),N321)</f>
        <v>25</v>
      </c>
      <c r="AC321" s="7">
        <f t="shared" si="32"/>
        <v>2025</v>
      </c>
      <c r="AD321" s="7">
        <f t="shared" si="33"/>
        <v>5</v>
      </c>
      <c r="AE321" s="7">
        <f>COUNTIF(A:A,A321)</f>
        <v>1</v>
      </c>
      <c r="AF321" s="7" t="str">
        <f t="shared" si="34"/>
        <v>No</v>
      </c>
    </row>
    <row r="322" spans="1:32">
      <c r="A322" t="s">
        <v>1188</v>
      </c>
      <c r="B322">
        <v>91339562</v>
      </c>
      <c r="C322" t="s">
        <v>728</v>
      </c>
      <c r="D322" t="s">
        <v>585</v>
      </c>
      <c r="E322" t="s">
        <v>20</v>
      </c>
      <c r="F322" t="s">
        <v>35</v>
      </c>
      <c r="G322" t="s">
        <v>53</v>
      </c>
      <c r="I322" t="s">
        <v>3376</v>
      </c>
      <c r="J322">
        <v>8481.4500000000007</v>
      </c>
      <c r="K322" t="s">
        <v>86</v>
      </c>
      <c r="L322" t="s">
        <v>48</v>
      </c>
      <c r="M322" s="1">
        <v>46342.844444444447</v>
      </c>
      <c r="N322">
        <v>70</v>
      </c>
      <c r="O322" t="s">
        <v>127</v>
      </c>
      <c r="P322" t="s">
        <v>127</v>
      </c>
      <c r="Q322" t="s">
        <v>1189</v>
      </c>
      <c r="R322">
        <f t="shared" ref="R322:R385" si="35">IF(B322="",0,B322)</f>
        <v>91339562</v>
      </c>
      <c r="S322" t="str" cm="1">
        <f t="array" ref="S322">IF(C322="",IFERROR(INDEX($C$2:$C$1166,MATCH(MAX(COUNTIF($C$2:$C$1166,$C$2:$C$1166)),COUNTIF($C$2:$C$1166,$C$2:$C$1166),0)),"Unknown"),C322)</f>
        <v>William Smith</v>
      </c>
      <c r="T322" s="4" t="str" cm="1">
        <f t="array" ref="T322">IF(D322="",IFERROR(INDEX($D$2:$D$1000,MATCH(MAX(COUNTIF($D$2:$D$1166,$D$2:$D$1166)),COUNTIF($D$2:$D$1166,$D$2:$D$1166),0)),"Unknown"),D322)</f>
        <v>William Khan</v>
      </c>
      <c r="U322" t="str">
        <f t="shared" ref="U322:V385" si="36">TRIM(F322)</f>
        <v>EUR</v>
      </c>
      <c r="V322" s="7" t="str">
        <f t="shared" si="36"/>
        <v>AED</v>
      </c>
      <c r="W322" s="7" t="str">
        <f t="shared" ref="W322:X385" si="37">TRIM(O322)</f>
        <v>Canada</v>
      </c>
      <c r="X322" s="7" t="str">
        <f t="shared" si="37"/>
        <v>Canada</v>
      </c>
      <c r="Y322" s="7" t="str" cm="1">
        <f t="array" ref="Y322">IF(H322="",IFERROR(INDEX($H$2:$H$1166,MATCH(MAX(COUNTIF($H$2:$H$1166,$H$2:$H$1166)),COUNTIF($H$2:$H$1166,$H$2:$H$1166),0)),"Unknown"),H322)</f>
        <v>Pending</v>
      </c>
      <c r="Z322" s="7" t="str">
        <f t="shared" ref="Z322:Z385" si="38">PROPER(I322)</f>
        <v>Internal</v>
      </c>
      <c r="AA322" s="7">
        <f>IF(J322="",AVERAGE($J:$J),J322)</f>
        <v>8481.4500000000007</v>
      </c>
      <c r="AB322" s="7">
        <f>IF(N322="",AVERAGE($N:$N),N322)</f>
        <v>70</v>
      </c>
      <c r="AC322" s="7">
        <f t="shared" ref="AC322:AC385" si="39">YEAR(M322)</f>
        <v>2026</v>
      </c>
      <c r="AD322" s="7">
        <f t="shared" ref="AD322:AD385" si="40">MONTH(M322)</f>
        <v>11</v>
      </c>
      <c r="AE322" s="7">
        <f>COUNTIF(A:A,A322)</f>
        <v>1</v>
      </c>
      <c r="AF322" s="7" t="str">
        <f t="shared" ref="AF322:AF385" si="41">IF(E322="","",IF(OR(E322="Yes",E322="Y",E322="TRUE",E322=1),"Yes","No"))</f>
        <v>No</v>
      </c>
    </row>
    <row r="323" spans="1:32">
      <c r="A323" t="s">
        <v>1190</v>
      </c>
      <c r="B323">
        <v>13102778</v>
      </c>
      <c r="C323" t="s">
        <v>1191</v>
      </c>
      <c r="D323" t="s">
        <v>1192</v>
      </c>
      <c r="E323" t="s">
        <v>20</v>
      </c>
      <c r="F323" t="s">
        <v>294</v>
      </c>
      <c r="G323" t="s">
        <v>44</v>
      </c>
      <c r="H323" t="s">
        <v>103</v>
      </c>
      <c r="I323" t="s">
        <v>3372</v>
      </c>
      <c r="J323">
        <v>12666.68</v>
      </c>
      <c r="K323" t="s">
        <v>39</v>
      </c>
      <c r="L323" t="s">
        <v>75</v>
      </c>
      <c r="M323" s="1">
        <v>46274.89166666667</v>
      </c>
      <c r="N323">
        <v>77</v>
      </c>
      <c r="O323" t="s">
        <v>68</v>
      </c>
      <c r="P323" t="s">
        <v>23</v>
      </c>
      <c r="Q323" t="s">
        <v>1193</v>
      </c>
      <c r="R323">
        <f t="shared" si="35"/>
        <v>13102778</v>
      </c>
      <c r="S323" t="str" cm="1">
        <f t="array" ref="S323">IF(C323="",IFERROR(INDEX($C$2:$C$1166,MATCH(MAX(COUNTIF($C$2:$C$1166,$C$2:$C$1166)),COUNTIF($C$2:$C$1166,$C$2:$C$1166),0)),"Unknown"),C323)</f>
        <v>Elena Velez</v>
      </c>
      <c r="T323" s="4" t="str" cm="1">
        <f t="array" ref="T323">IF(D323="",IFERROR(INDEX($D$2:$D$1000,MATCH(MAX(COUNTIF($D$2:$D$1166,$D$2:$D$1166)),COUNTIF($D$2:$D$1166,$D$2:$D$1166),0)),"Unknown"),D323)</f>
        <v>Karen Martin</v>
      </c>
      <c r="U323" t="str">
        <f t="shared" si="36"/>
        <v>jpy</v>
      </c>
      <c r="V323" s="7" t="str">
        <f t="shared" si="36"/>
        <v>SGD</v>
      </c>
      <c r="W323" s="7" t="str">
        <f t="shared" si="37"/>
        <v>UAE</v>
      </c>
      <c r="X323" s="7" t="str">
        <f t="shared" si="37"/>
        <v>France</v>
      </c>
      <c r="Y323" s="7" t="str" cm="1">
        <f t="array" ref="Y323">IF(H323="",IFERROR(INDEX($H$2:$H$1166,MATCH(MAX(COUNTIF($H$2:$H$1166,$H$2:$H$1166)),COUNTIF($H$2:$H$1166,$H$2:$H$1166),0)),"Unknown"),H323)</f>
        <v>Verified</v>
      </c>
      <c r="Z323" s="7" t="str">
        <f t="shared" si="38"/>
        <v>Outer-Transaction</v>
      </c>
      <c r="AA323" s="7">
        <f>IF(J323="",AVERAGE($J:$J),J323)</f>
        <v>12666.68</v>
      </c>
      <c r="AB323" s="7">
        <f>IF(N323="",AVERAGE($N:$N),N323)</f>
        <v>77</v>
      </c>
      <c r="AC323" s="7">
        <f t="shared" si="39"/>
        <v>2026</v>
      </c>
      <c r="AD323" s="7">
        <f t="shared" si="40"/>
        <v>9</v>
      </c>
      <c r="AE323" s="7">
        <f>COUNTIF(A:A,A323)</f>
        <v>1</v>
      </c>
      <c r="AF323" s="7" t="str">
        <f t="shared" si="41"/>
        <v>No</v>
      </c>
    </row>
    <row r="324" spans="1:32">
      <c r="A324" t="s">
        <v>1194</v>
      </c>
      <c r="B324">
        <v>66379776</v>
      </c>
      <c r="C324" t="s">
        <v>897</v>
      </c>
      <c r="D324" t="s">
        <v>809</v>
      </c>
      <c r="E324">
        <v>1</v>
      </c>
      <c r="F324" t="s">
        <v>34</v>
      </c>
      <c r="G324" t="s">
        <v>35</v>
      </c>
      <c r="H324" t="s">
        <v>25</v>
      </c>
      <c r="I324" t="s">
        <v>3371</v>
      </c>
      <c r="J324">
        <v>2961.18</v>
      </c>
      <c r="K324" t="s">
        <v>57</v>
      </c>
      <c r="L324" t="s">
        <v>75</v>
      </c>
      <c r="M324" s="1">
        <v>45405.07916666667</v>
      </c>
      <c r="N324">
        <v>22</v>
      </c>
      <c r="O324" t="s">
        <v>24</v>
      </c>
      <c r="P324" t="s">
        <v>24</v>
      </c>
      <c r="Q324" t="s">
        <v>1195</v>
      </c>
      <c r="R324">
        <f t="shared" si="35"/>
        <v>66379776</v>
      </c>
      <c r="S324" t="str" cm="1">
        <f t="array" ref="S324">IF(C324="",IFERROR(INDEX($C$2:$C$1166,MATCH(MAX(COUNTIF($C$2:$C$1166,$C$2:$C$1166)),COUNTIF($C$2:$C$1166,$C$2:$C$1166),0)),"Unknown"),C324)</f>
        <v>Karen Anderson</v>
      </c>
      <c r="T324" s="4" t="str" cm="1">
        <f t="array" ref="T324">IF(D324="",IFERROR(INDEX($D$2:$D$1000,MATCH(MAX(COUNTIF($D$2:$D$1166,$D$2:$D$1166)),COUNTIF($D$2:$D$1166,$D$2:$D$1166),0)),"Unknown"),D324)</f>
        <v>Richard Smith</v>
      </c>
      <c r="U324" t="str">
        <f t="shared" si="36"/>
        <v>CAD</v>
      </c>
      <c r="V324" s="7" t="str">
        <f t="shared" si="36"/>
        <v>EUR</v>
      </c>
      <c r="W324" s="7" t="str">
        <f t="shared" si="37"/>
        <v>Brazil</v>
      </c>
      <c r="X324" s="7" t="str">
        <f t="shared" si="37"/>
        <v>Brazil</v>
      </c>
      <c r="Y324" s="7" t="str" cm="1">
        <f t="array" ref="Y324">IF(H324="",IFERROR(INDEX($H$2:$H$1166,MATCH(MAX(COUNTIF($H$2:$H$1166,$H$2:$H$1166)),COUNTIF($H$2:$H$1166,$H$2:$H$1166),0)),"Unknown"),H324)</f>
        <v>KYC</v>
      </c>
      <c r="Z324" s="7" t="str">
        <f t="shared" si="38"/>
        <v>Outer-Transaction</v>
      </c>
      <c r="AA324" s="7">
        <f>IF(J324="",AVERAGE($J:$J),J324)</f>
        <v>2961.18</v>
      </c>
      <c r="AB324" s="7">
        <f>IF(N324="",AVERAGE($N:$N),N324)</f>
        <v>22</v>
      </c>
      <c r="AC324" s="7">
        <f t="shared" si="39"/>
        <v>2024</v>
      </c>
      <c r="AD324" s="7">
        <f t="shared" si="40"/>
        <v>4</v>
      </c>
      <c r="AE324" s="7">
        <f>COUNTIF(A:A,A324)</f>
        <v>1</v>
      </c>
      <c r="AF324" s="7" t="str">
        <f t="shared" si="41"/>
        <v>Yes</v>
      </c>
    </row>
    <row r="325" spans="1:32">
      <c r="A325" t="s">
        <v>1196</v>
      </c>
      <c r="B325">
        <v>43609390</v>
      </c>
      <c r="C325" t="s">
        <v>574</v>
      </c>
      <c r="D325" t="s">
        <v>1197</v>
      </c>
      <c r="E325" t="s">
        <v>20</v>
      </c>
      <c r="F325" t="s">
        <v>80</v>
      </c>
      <c r="G325" t="s">
        <v>393</v>
      </c>
      <c r="H325" t="s">
        <v>25</v>
      </c>
      <c r="I325" t="s">
        <v>3374</v>
      </c>
      <c r="J325">
        <v>6702.38</v>
      </c>
      <c r="K325" t="s">
        <v>86</v>
      </c>
      <c r="L325" t="s">
        <v>28</v>
      </c>
      <c r="M325" s="1">
        <v>45411.87777777778</v>
      </c>
      <c r="N325">
        <v>85</v>
      </c>
      <c r="O325" t="s">
        <v>23</v>
      </c>
      <c r="P325" t="s">
        <v>54</v>
      </c>
      <c r="Q325" t="s">
        <v>1198</v>
      </c>
      <c r="R325">
        <f t="shared" si="35"/>
        <v>43609390</v>
      </c>
      <c r="S325" t="str" cm="1">
        <f t="array" ref="S325">IF(C325="",IFERROR(INDEX($C$2:$C$1166,MATCH(MAX(COUNTIF($C$2:$C$1166,$C$2:$C$1166)),COUNTIF($C$2:$C$1166,$C$2:$C$1166),0)),"Unknown"),C325)</f>
        <v>Elizabeth Brown</v>
      </c>
      <c r="T325" s="4" t="str" cm="1">
        <f t="array" ref="T325">IF(D325="",IFERROR(INDEX($D$2:$D$1000,MATCH(MAX(COUNTIF($D$2:$D$1166,$D$2:$D$1166)),COUNTIF($D$2:$D$1166,$D$2:$D$1166),0)),"Unknown"),D325)</f>
        <v>Sarah Davis</v>
      </c>
      <c r="U325" t="str">
        <f t="shared" si="36"/>
        <v>USD</v>
      </c>
      <c r="V325" s="7" t="str">
        <f t="shared" si="36"/>
        <v>cad</v>
      </c>
      <c r="W325" s="7" t="str">
        <f t="shared" si="37"/>
        <v>France</v>
      </c>
      <c r="X325" s="7" t="str">
        <f t="shared" si="37"/>
        <v>India</v>
      </c>
      <c r="Y325" s="7" t="str" cm="1">
        <f t="array" ref="Y325">IF(H325="",IFERROR(INDEX($H$2:$H$1166,MATCH(MAX(COUNTIF($H$2:$H$1166,$H$2:$H$1166)),COUNTIF($H$2:$H$1166,$H$2:$H$1166),0)),"Unknown"),H325)</f>
        <v>KYC</v>
      </c>
      <c r="Z325" s="7" t="str">
        <f t="shared" si="38"/>
        <v>External</v>
      </c>
      <c r="AA325" s="7">
        <f>IF(J325="",AVERAGE($J:$J),J325)</f>
        <v>6702.38</v>
      </c>
      <c r="AB325" s="7">
        <f>IF(N325="",AVERAGE($N:$N),N325)</f>
        <v>85</v>
      </c>
      <c r="AC325" s="7">
        <f t="shared" si="39"/>
        <v>2024</v>
      </c>
      <c r="AD325" s="7">
        <f t="shared" si="40"/>
        <v>4</v>
      </c>
      <c r="AE325" s="7">
        <f>COUNTIF(A:A,A325)</f>
        <v>1</v>
      </c>
      <c r="AF325" s="7" t="str">
        <f t="shared" si="41"/>
        <v>No</v>
      </c>
    </row>
    <row r="326" spans="1:32">
      <c r="A326" t="s">
        <v>1199</v>
      </c>
      <c r="B326">
        <v>50462762</v>
      </c>
      <c r="C326" t="s">
        <v>1126</v>
      </c>
      <c r="D326" t="s">
        <v>1200</v>
      </c>
      <c r="E326" t="s">
        <v>3373</v>
      </c>
      <c r="F326" t="s">
        <v>112</v>
      </c>
      <c r="G326" t="s">
        <v>98</v>
      </c>
      <c r="H326" t="s">
        <v>38</v>
      </c>
      <c r="I326" t="s">
        <v>3374</v>
      </c>
      <c r="J326">
        <v>9363.8799999999992</v>
      </c>
      <c r="K326" t="s">
        <v>39</v>
      </c>
      <c r="L326" t="s">
        <v>81</v>
      </c>
      <c r="M326" s="1">
        <v>46273.149305555555</v>
      </c>
      <c r="N326">
        <v>23</v>
      </c>
      <c r="O326" t="s">
        <v>36</v>
      </c>
      <c r="P326" t="s">
        <v>37</v>
      </c>
      <c r="Q326" t="s">
        <v>1201</v>
      </c>
      <c r="R326">
        <f t="shared" si="35"/>
        <v>50462762</v>
      </c>
      <c r="S326" t="str" cm="1">
        <f t="array" ref="S326">IF(C326="",IFERROR(INDEX($C$2:$C$1166,MATCH(MAX(COUNTIF($C$2:$C$1166,$C$2:$C$1166)),COUNTIF($C$2:$C$1166,$C$2:$C$1166),0)),"Unknown"),C326)</f>
        <v>Nancy Nair</v>
      </c>
      <c r="T326" s="4" t="str" cm="1">
        <f t="array" ref="T326">IF(D326="",IFERROR(INDEX($D$2:$D$1000,MATCH(MAX(COUNTIF($D$2:$D$1166,$D$2:$D$1166)),COUNTIF($D$2:$D$1166,$D$2:$D$1166),0)),"Unknown"),D326)</f>
        <v>Jessica Williams</v>
      </c>
      <c r="U326" t="str">
        <f t="shared" si="36"/>
        <v>usd</v>
      </c>
      <c r="V326" s="7" t="str">
        <f t="shared" si="36"/>
        <v>JPY</v>
      </c>
      <c r="W326" s="7" t="str">
        <f t="shared" si="37"/>
        <v>Germany</v>
      </c>
      <c r="X326" s="7" t="str">
        <f t="shared" si="37"/>
        <v>South Africa</v>
      </c>
      <c r="Y326" s="7" t="str" cm="1">
        <f t="array" ref="Y326">IF(H326="",IFERROR(INDEX($H$2:$H$1166,MATCH(MAX(COUNTIF($H$2:$H$1166,$H$2:$H$1166)),COUNTIF($H$2:$H$1166,$H$2:$H$1166),0)),"Unknown"),H326)</f>
        <v>Pending</v>
      </c>
      <c r="Z326" s="7" t="str">
        <f t="shared" si="38"/>
        <v>External</v>
      </c>
      <c r="AA326" s="7">
        <f>IF(J326="",AVERAGE($J:$J),J326)</f>
        <v>9363.8799999999992</v>
      </c>
      <c r="AB326" s="7">
        <f>IF(N326="",AVERAGE($N:$N),N326)</f>
        <v>23</v>
      </c>
      <c r="AC326" s="7">
        <f t="shared" si="39"/>
        <v>2026</v>
      </c>
      <c r="AD326" s="7">
        <f t="shared" si="40"/>
        <v>9</v>
      </c>
      <c r="AE326" s="7">
        <f>COUNTIF(A:A,A326)</f>
        <v>1</v>
      </c>
      <c r="AF326" s="7" t="str">
        <f t="shared" si="41"/>
        <v>Yes</v>
      </c>
    </row>
    <row r="327" spans="1:32">
      <c r="A327" t="s">
        <v>1202</v>
      </c>
      <c r="B327">
        <v>88894973</v>
      </c>
      <c r="C327" t="s">
        <v>787</v>
      </c>
      <c r="D327" t="s">
        <v>18</v>
      </c>
      <c r="E327" t="s">
        <v>20</v>
      </c>
      <c r="F327" t="s">
        <v>35</v>
      </c>
      <c r="G327" t="s">
        <v>116</v>
      </c>
      <c r="H327" t="s">
        <v>56</v>
      </c>
      <c r="I327" t="s">
        <v>3372</v>
      </c>
      <c r="J327">
        <v>10872.1</v>
      </c>
      <c r="K327" t="s">
        <v>39</v>
      </c>
      <c r="L327" t="s">
        <v>48</v>
      </c>
      <c r="M327" s="1">
        <v>46204.243750000001</v>
      </c>
      <c r="N327">
        <v>64</v>
      </c>
      <c r="O327" t="s">
        <v>55</v>
      </c>
      <c r="P327" t="s">
        <v>36</v>
      </c>
      <c r="Q327" t="s">
        <v>1203</v>
      </c>
      <c r="R327">
        <f t="shared" si="35"/>
        <v>88894973</v>
      </c>
      <c r="S327" t="str" cm="1">
        <f t="array" ref="S327">IF(C327="",IFERROR(INDEX($C$2:$C$1166,MATCH(MAX(COUNTIF($C$2:$C$1166,$C$2:$C$1166)),COUNTIF($C$2:$C$1166,$C$2:$C$1166),0)),"Unknown"),C327)</f>
        <v>William Brown</v>
      </c>
      <c r="T327" s="4" t="str" cm="1">
        <f t="array" ref="T327">IF(D327="",IFERROR(INDEX($D$2:$D$1000,MATCH(MAX(COUNTIF($D$2:$D$1166,$D$2:$D$1166)),COUNTIF($D$2:$D$1166,$D$2:$D$1166),0)),"Unknown"),D327)</f>
        <v>Patricia Smith</v>
      </c>
      <c r="U327" t="str">
        <f t="shared" si="36"/>
        <v>EUR</v>
      </c>
      <c r="V327" s="7" t="str">
        <f t="shared" si="36"/>
        <v>CHF</v>
      </c>
      <c r="W327" s="7" t="str">
        <f t="shared" si="37"/>
        <v>UK</v>
      </c>
      <c r="X327" s="7" t="str">
        <f t="shared" si="37"/>
        <v>Germany</v>
      </c>
      <c r="Y327" s="7" t="str" cm="1">
        <f t="array" ref="Y327">IF(H327="",IFERROR(INDEX($H$2:$H$1166,MATCH(MAX(COUNTIF($H$2:$H$1166,$H$2:$H$1166)),COUNTIF($H$2:$H$1166,$H$2:$H$1166),0)),"Unknown"),H327)</f>
        <v>Unverified</v>
      </c>
      <c r="Z327" s="7" t="str">
        <f t="shared" si="38"/>
        <v>Outer-Transaction</v>
      </c>
      <c r="AA327" s="7">
        <f>IF(J327="",AVERAGE($J:$J),J327)</f>
        <v>10872.1</v>
      </c>
      <c r="AB327" s="7">
        <f>IF(N327="",AVERAGE($N:$N),N327)</f>
        <v>64</v>
      </c>
      <c r="AC327" s="7">
        <f t="shared" si="39"/>
        <v>2026</v>
      </c>
      <c r="AD327" s="7">
        <f t="shared" si="40"/>
        <v>7</v>
      </c>
      <c r="AE327" s="7">
        <f>COUNTIF(A:A,A327)</f>
        <v>1</v>
      </c>
      <c r="AF327" s="7" t="str">
        <f t="shared" si="41"/>
        <v>No</v>
      </c>
    </row>
    <row r="328" spans="1:32">
      <c r="A328" t="s">
        <v>1204</v>
      </c>
      <c r="B328">
        <v>88338313</v>
      </c>
      <c r="C328" t="s">
        <v>704</v>
      </c>
      <c r="D328" t="s">
        <v>1205</v>
      </c>
      <c r="E328" t="s">
        <v>33</v>
      </c>
      <c r="F328" t="s">
        <v>53</v>
      </c>
      <c r="G328" t="s">
        <v>1084</v>
      </c>
      <c r="H328" t="s">
        <v>25</v>
      </c>
      <c r="I328" t="s">
        <v>3371</v>
      </c>
      <c r="J328">
        <v>7611.55</v>
      </c>
      <c r="K328" t="s">
        <v>27</v>
      </c>
      <c r="L328" t="s">
        <v>28</v>
      </c>
      <c r="M328" s="1">
        <v>44945.841666666667</v>
      </c>
      <c r="N328">
        <v>72</v>
      </c>
      <c r="O328" t="s">
        <v>24</v>
      </c>
      <c r="P328" t="s">
        <v>127</v>
      </c>
      <c r="Q328" t="s">
        <v>1206</v>
      </c>
      <c r="R328">
        <f t="shared" si="35"/>
        <v>88338313</v>
      </c>
      <c r="S328" t="str" cm="1">
        <f t="array" ref="S328">IF(C328="",IFERROR(INDEX($C$2:$C$1166,MATCH(MAX(COUNTIF($C$2:$C$1166,$C$2:$C$1166)),COUNTIF($C$2:$C$1166,$C$2:$C$1166),0)),"Unknown"),C328)</f>
        <v>Carlos Moore</v>
      </c>
      <c r="T328" s="4" t="str" cm="1">
        <f t="array" ref="T328">IF(D328="",IFERROR(INDEX($D$2:$D$1000,MATCH(MAX(COUNTIF($D$2:$D$1166,$D$2:$D$1166)),COUNTIF($D$2:$D$1166,$D$2:$D$1166),0)),"Unknown"),D328)</f>
        <v>Jean-Pierre Jones</v>
      </c>
      <c r="U328" t="str">
        <f t="shared" si="36"/>
        <v>AED</v>
      </c>
      <c r="V328" s="7" t="str">
        <f t="shared" si="36"/>
        <v>chf</v>
      </c>
      <c r="W328" s="7" t="str">
        <f t="shared" si="37"/>
        <v>Brazil</v>
      </c>
      <c r="X328" s="7" t="str">
        <f t="shared" si="37"/>
        <v>Canada</v>
      </c>
      <c r="Y328" s="7" t="str" cm="1">
        <f t="array" ref="Y328">IF(H328="",IFERROR(INDEX($H$2:$H$1166,MATCH(MAX(COUNTIF($H$2:$H$1166,$H$2:$H$1166)),COUNTIF($H$2:$H$1166,$H$2:$H$1166),0)),"Unknown"),H328)</f>
        <v>KYC</v>
      </c>
      <c r="Z328" s="7" t="str">
        <f t="shared" si="38"/>
        <v>Outer-Transaction</v>
      </c>
      <c r="AA328" s="7">
        <f>IF(J328="",AVERAGE($J:$J),J328)</f>
        <v>7611.55</v>
      </c>
      <c r="AB328" s="7">
        <f>IF(N328="",AVERAGE($N:$N),N328)</f>
        <v>72</v>
      </c>
      <c r="AC328" s="7">
        <f t="shared" si="39"/>
        <v>2023</v>
      </c>
      <c r="AD328" s="7">
        <f t="shared" si="40"/>
        <v>1</v>
      </c>
      <c r="AE328" s="7">
        <f>COUNTIF(A:A,A328)</f>
        <v>1</v>
      </c>
      <c r="AF328" s="7" t="str">
        <f t="shared" si="41"/>
        <v>Yes</v>
      </c>
    </row>
    <row r="329" spans="1:32">
      <c r="A329" t="s">
        <v>1207</v>
      </c>
      <c r="B329">
        <v>72733686</v>
      </c>
      <c r="C329" t="s">
        <v>629</v>
      </c>
      <c r="D329" t="s">
        <v>1208</v>
      </c>
      <c r="E329" t="s">
        <v>20</v>
      </c>
      <c r="F329" t="s">
        <v>34</v>
      </c>
      <c r="G329" t="s">
        <v>116</v>
      </c>
      <c r="H329" t="s">
        <v>56</v>
      </c>
      <c r="I329" t="s">
        <v>3371</v>
      </c>
      <c r="J329">
        <v>13800.1</v>
      </c>
      <c r="K329" t="s">
        <v>47</v>
      </c>
      <c r="L329" t="s">
        <v>48</v>
      </c>
      <c r="M329" s="1">
        <v>44580.9</v>
      </c>
      <c r="N329">
        <v>57</v>
      </c>
      <c r="O329" t="s">
        <v>55</v>
      </c>
      <c r="P329" t="s">
        <v>54</v>
      </c>
      <c r="Q329" t="s">
        <v>1209</v>
      </c>
      <c r="R329">
        <f t="shared" si="35"/>
        <v>72733686</v>
      </c>
      <c r="S329" t="str" cm="1">
        <f t="array" ref="S329">IF(C329="",IFERROR(INDEX($C$2:$C$1166,MATCH(MAX(COUNTIF($C$2:$C$1166,$C$2:$C$1166)),COUNTIF($C$2:$C$1166,$C$2:$C$1166),0)),"Unknown"),C329)</f>
        <v>Nancy Rostova</v>
      </c>
      <c r="T329" s="4" t="str" cm="1">
        <f t="array" ref="T329">IF(D329="",IFERROR(INDEX($D$2:$D$1000,MATCH(MAX(COUNTIF($D$2:$D$1166,$D$2:$D$1166)),COUNTIF($D$2:$D$1166,$D$2:$D$1166),0)),"Unknown"),D329)</f>
        <v>Richard Malik</v>
      </c>
      <c r="U329" t="str">
        <f t="shared" si="36"/>
        <v>CAD</v>
      </c>
      <c r="V329" s="7" t="str">
        <f t="shared" si="36"/>
        <v>CHF</v>
      </c>
      <c r="W329" s="7" t="str">
        <f t="shared" si="37"/>
        <v>UK</v>
      </c>
      <c r="X329" s="7" t="str">
        <f t="shared" si="37"/>
        <v>India</v>
      </c>
      <c r="Y329" s="7" t="str" cm="1">
        <f t="array" ref="Y329">IF(H329="",IFERROR(INDEX($H$2:$H$1166,MATCH(MAX(COUNTIF($H$2:$H$1166,$H$2:$H$1166)),COUNTIF($H$2:$H$1166,$H$2:$H$1166),0)),"Unknown"),H329)</f>
        <v>Unverified</v>
      </c>
      <c r="Z329" s="7" t="str">
        <f t="shared" si="38"/>
        <v>Outer-Transaction</v>
      </c>
      <c r="AA329" s="7">
        <f>IF(J329="",AVERAGE($J:$J),J329)</f>
        <v>13800.1</v>
      </c>
      <c r="AB329" s="7">
        <f>IF(N329="",AVERAGE($N:$N),N329)</f>
        <v>57</v>
      </c>
      <c r="AC329" s="7">
        <f t="shared" si="39"/>
        <v>2022</v>
      </c>
      <c r="AD329" s="7">
        <f t="shared" si="40"/>
        <v>1</v>
      </c>
      <c r="AE329" s="7">
        <f>COUNTIF(A:A,A329)</f>
        <v>1</v>
      </c>
      <c r="AF329" s="7" t="str">
        <f t="shared" si="41"/>
        <v>No</v>
      </c>
    </row>
    <row r="330" spans="1:32">
      <c r="A330" t="s">
        <v>1210</v>
      </c>
      <c r="B330">
        <v>34728879</v>
      </c>
      <c r="C330" t="s">
        <v>783</v>
      </c>
      <c r="D330" t="s">
        <v>693</v>
      </c>
      <c r="E330" t="s">
        <v>3373</v>
      </c>
      <c r="F330" t="s">
        <v>80</v>
      </c>
      <c r="G330" t="s">
        <v>98</v>
      </c>
      <c r="H330" t="s">
        <v>25</v>
      </c>
      <c r="I330" t="s">
        <v>3377</v>
      </c>
      <c r="J330">
        <v>2994.85</v>
      </c>
      <c r="K330" t="s">
        <v>57</v>
      </c>
      <c r="L330" t="s">
        <v>48</v>
      </c>
      <c r="M330" s="1">
        <v>44924.933333333334</v>
      </c>
      <c r="N330">
        <v>69</v>
      </c>
      <c r="O330" t="s">
        <v>55</v>
      </c>
      <c r="P330" t="s">
        <v>24</v>
      </c>
      <c r="Q330" t="s">
        <v>1211</v>
      </c>
      <c r="R330">
        <f t="shared" si="35"/>
        <v>34728879</v>
      </c>
      <c r="S330" t="str" cm="1">
        <f t="array" ref="S330">IF(C330="",IFERROR(INDEX($C$2:$C$1166,MATCH(MAX(COUNTIF($C$2:$C$1166,$C$2:$C$1166)),COUNTIF($C$2:$C$1166,$C$2:$C$1166),0)),"Unknown"),C330)</f>
        <v>Amir Smith</v>
      </c>
      <c r="T330" s="4" t="str" cm="1">
        <f t="array" ref="T330">IF(D330="",IFERROR(INDEX($D$2:$D$1000,MATCH(MAX(COUNTIF($D$2:$D$1166,$D$2:$D$1166)),COUNTIF($D$2:$D$1166,$D$2:$D$1166),0)),"Unknown"),D330)</f>
        <v>Susan Smith</v>
      </c>
      <c r="U330" t="str">
        <f t="shared" si="36"/>
        <v>USD</v>
      </c>
      <c r="V330" s="7" t="str">
        <f t="shared" si="36"/>
        <v>JPY</v>
      </c>
      <c r="W330" s="7" t="str">
        <f t="shared" si="37"/>
        <v>UK</v>
      </c>
      <c r="X330" s="7" t="str">
        <f t="shared" si="37"/>
        <v>Brazil</v>
      </c>
      <c r="Y330" s="7" t="str" cm="1">
        <f t="array" ref="Y330">IF(H330="",IFERROR(INDEX($H$2:$H$1166,MATCH(MAX(COUNTIF($H$2:$H$1166,$H$2:$H$1166)),COUNTIF($H$2:$H$1166,$H$2:$H$1166),0)),"Unknown"),H330)</f>
        <v>KYC</v>
      </c>
      <c r="Z330" s="7" t="str">
        <f t="shared" si="38"/>
        <v>Inter-Transaction</v>
      </c>
      <c r="AA330" s="7">
        <f>IF(J330="",AVERAGE($J:$J),J330)</f>
        <v>2994.85</v>
      </c>
      <c r="AB330" s="7">
        <f>IF(N330="",AVERAGE($N:$N),N330)</f>
        <v>69</v>
      </c>
      <c r="AC330" s="7">
        <f t="shared" si="39"/>
        <v>2022</v>
      </c>
      <c r="AD330" s="7">
        <f t="shared" si="40"/>
        <v>12</v>
      </c>
      <c r="AE330" s="7">
        <f>COUNTIF(A:A,A330)</f>
        <v>1</v>
      </c>
      <c r="AF330" s="7" t="str">
        <f t="shared" si="41"/>
        <v>Yes</v>
      </c>
    </row>
    <row r="331" spans="1:32">
      <c r="A331" t="s">
        <v>1212</v>
      </c>
      <c r="B331">
        <v>23581521</v>
      </c>
      <c r="C331" t="s">
        <v>1213</v>
      </c>
      <c r="D331" t="s">
        <v>290</v>
      </c>
      <c r="E331">
        <v>0</v>
      </c>
      <c r="F331" t="s">
        <v>35</v>
      </c>
      <c r="G331" t="s">
        <v>34</v>
      </c>
      <c r="H331" t="s">
        <v>38</v>
      </c>
      <c r="I331" t="s">
        <v>3376</v>
      </c>
      <c r="J331">
        <v>13226.14</v>
      </c>
      <c r="K331" t="s">
        <v>86</v>
      </c>
      <c r="L331" t="s">
        <v>28</v>
      </c>
      <c r="M331" s="1">
        <v>45020.943055555559</v>
      </c>
      <c r="N331">
        <v>33</v>
      </c>
      <c r="O331" t="s">
        <v>24</v>
      </c>
      <c r="P331" t="s">
        <v>68</v>
      </c>
      <c r="Q331" t="s">
        <v>1214</v>
      </c>
      <c r="R331">
        <f t="shared" si="35"/>
        <v>23581521</v>
      </c>
      <c r="S331" t="str" cm="1">
        <f t="array" ref="S331">IF(C331="",IFERROR(INDEX($C$2:$C$1166,MATCH(MAX(COUNTIF($C$2:$C$1166,$C$2:$C$1166)),COUNTIF($C$2:$C$1166,$C$2:$C$1166),0)),"Unknown"),C331)</f>
        <v>John Khan</v>
      </c>
      <c r="T331" s="4" t="str" cm="1">
        <f t="array" ref="T331">IF(D331="",IFERROR(INDEX($D$2:$D$1000,MATCH(MAX(COUNTIF($D$2:$D$1166,$D$2:$D$1166)),COUNTIF($D$2:$D$1166,$D$2:$D$1166),0)),"Unknown"),D331)</f>
        <v>Marta Jones</v>
      </c>
      <c r="U331" t="str">
        <f t="shared" si="36"/>
        <v>EUR</v>
      </c>
      <c r="V331" s="7" t="str">
        <f t="shared" si="36"/>
        <v>CAD</v>
      </c>
      <c r="W331" s="7" t="str">
        <f t="shared" si="37"/>
        <v>Brazil</v>
      </c>
      <c r="X331" s="7" t="str">
        <f t="shared" si="37"/>
        <v>UAE</v>
      </c>
      <c r="Y331" s="7" t="str" cm="1">
        <f t="array" ref="Y331">IF(H331="",IFERROR(INDEX($H$2:$H$1166,MATCH(MAX(COUNTIF($H$2:$H$1166,$H$2:$H$1166)),COUNTIF($H$2:$H$1166,$H$2:$H$1166),0)),"Unknown"),H331)</f>
        <v>Pending</v>
      </c>
      <c r="Z331" s="7" t="str">
        <f t="shared" si="38"/>
        <v>Internal</v>
      </c>
      <c r="AA331" s="7">
        <f>IF(J331="",AVERAGE($J:$J),J331)</f>
        <v>13226.14</v>
      </c>
      <c r="AB331" s="7">
        <f>IF(N331="",AVERAGE($N:$N),N331)</f>
        <v>33</v>
      </c>
      <c r="AC331" s="7">
        <f t="shared" si="39"/>
        <v>2023</v>
      </c>
      <c r="AD331" s="7">
        <f t="shared" si="40"/>
        <v>4</v>
      </c>
      <c r="AE331" s="7">
        <f>COUNTIF(A:A,A331)</f>
        <v>1</v>
      </c>
      <c r="AF331" s="7" t="str">
        <f t="shared" si="41"/>
        <v>No</v>
      </c>
    </row>
    <row r="332" spans="1:32">
      <c r="A332" t="s">
        <v>1215</v>
      </c>
      <c r="B332">
        <v>16200213</v>
      </c>
      <c r="C332" t="s">
        <v>1173</v>
      </c>
      <c r="D332" t="s">
        <v>1216</v>
      </c>
      <c r="E332">
        <v>1</v>
      </c>
      <c r="F332" t="s">
        <v>53</v>
      </c>
      <c r="G332" t="s">
        <v>21</v>
      </c>
      <c r="H332" t="s">
        <v>38</v>
      </c>
      <c r="I332" t="s">
        <v>3372</v>
      </c>
      <c r="J332">
        <v>3146.47</v>
      </c>
      <c r="K332" t="s">
        <v>86</v>
      </c>
      <c r="L332" t="s">
        <v>81</v>
      </c>
      <c r="M332" s="1">
        <v>46092.813888888886</v>
      </c>
      <c r="N332">
        <v>30</v>
      </c>
      <c r="O332" t="s">
        <v>54</v>
      </c>
      <c r="P332" t="s">
        <v>127</v>
      </c>
      <c r="Q332" t="s">
        <v>1217</v>
      </c>
      <c r="R332">
        <f t="shared" si="35"/>
        <v>16200213</v>
      </c>
      <c r="S332" t="str" cm="1">
        <f t="array" ref="S332">IF(C332="",IFERROR(INDEX($C$2:$C$1166,MATCH(MAX(COUNTIF($C$2:$C$1166,$C$2:$C$1166)),COUNTIF($C$2:$C$1166,$C$2:$C$1166),0)),"Unknown"),C332)</f>
        <v>Jean-Pierre Martin</v>
      </c>
      <c r="T332" s="4" t="str" cm="1">
        <f t="array" ref="T332">IF(D332="",IFERROR(INDEX($D$2:$D$1000,MATCH(MAX(COUNTIF($D$2:$D$1166,$D$2:$D$1166)),COUNTIF($D$2:$D$1166,$D$2:$D$1166),0)),"Unknown"),D332)</f>
        <v>Christopher Miller</v>
      </c>
      <c r="U332" t="str">
        <f t="shared" si="36"/>
        <v>AED</v>
      </c>
      <c r="V332" s="7" t="str">
        <f t="shared" si="36"/>
        <v>GBP</v>
      </c>
      <c r="W332" s="7" t="str">
        <f t="shared" si="37"/>
        <v>India</v>
      </c>
      <c r="X332" s="7" t="str">
        <f t="shared" si="37"/>
        <v>Canada</v>
      </c>
      <c r="Y332" s="7" t="str" cm="1">
        <f t="array" ref="Y332">IF(H332="",IFERROR(INDEX($H$2:$H$1166,MATCH(MAX(COUNTIF($H$2:$H$1166,$H$2:$H$1166)),COUNTIF($H$2:$H$1166,$H$2:$H$1166),0)),"Unknown"),H332)</f>
        <v>Pending</v>
      </c>
      <c r="Z332" s="7" t="str">
        <f t="shared" si="38"/>
        <v>Outer-Transaction</v>
      </c>
      <c r="AA332" s="7">
        <f>IF(J332="",AVERAGE($J:$J),J332)</f>
        <v>3146.47</v>
      </c>
      <c r="AB332" s="7">
        <f>IF(N332="",AVERAGE($N:$N),N332)</f>
        <v>30</v>
      </c>
      <c r="AC332" s="7">
        <f t="shared" si="39"/>
        <v>2026</v>
      </c>
      <c r="AD332" s="7">
        <f t="shared" si="40"/>
        <v>3</v>
      </c>
      <c r="AE332" s="7">
        <f>COUNTIF(A:A,A332)</f>
        <v>1</v>
      </c>
      <c r="AF332" s="7" t="str">
        <f t="shared" si="41"/>
        <v>Yes</v>
      </c>
    </row>
    <row r="333" spans="1:32">
      <c r="A333" t="s">
        <v>1218</v>
      </c>
      <c r="B333">
        <v>60181152</v>
      </c>
      <c r="C333" t="s">
        <v>1219</v>
      </c>
      <c r="D333" t="s">
        <v>1220</v>
      </c>
      <c r="E333" t="s">
        <v>20</v>
      </c>
      <c r="F333" t="s">
        <v>44</v>
      </c>
      <c r="G333" t="s">
        <v>53</v>
      </c>
      <c r="H333" t="s">
        <v>74</v>
      </c>
      <c r="I333" t="s">
        <v>3372</v>
      </c>
      <c r="J333">
        <v>12948.89</v>
      </c>
      <c r="K333" t="s">
        <v>39</v>
      </c>
      <c r="L333" t="s">
        <v>48</v>
      </c>
      <c r="M333" s="1">
        <v>45706.579861111109</v>
      </c>
      <c r="N333">
        <v>47</v>
      </c>
      <c r="O333" t="s">
        <v>62</v>
      </c>
      <c r="P333" t="s">
        <v>24</v>
      </c>
      <c r="Q333" t="s">
        <v>1221</v>
      </c>
      <c r="R333">
        <f t="shared" si="35"/>
        <v>60181152</v>
      </c>
      <c r="S333" t="str" cm="1">
        <f t="array" ref="S333">IF(C333="",IFERROR(INDEX($C$2:$C$1166,MATCH(MAX(COUNTIF($C$2:$C$1166,$C$2:$C$1166)),COUNTIF($C$2:$C$1166,$C$2:$C$1166),0)),"Unknown"),C333)</f>
        <v>Charles Rostova</v>
      </c>
      <c r="T333" s="4" t="str" cm="1">
        <f t="array" ref="T333">IF(D333="",IFERROR(INDEX($D$2:$D$1000,MATCH(MAX(COUNTIF($D$2:$D$1166,$D$2:$D$1166)),COUNTIF($D$2:$D$1166,$D$2:$D$1166),0)),"Unknown"),D333)</f>
        <v>Sarah Rostova</v>
      </c>
      <c r="U333" t="str">
        <f t="shared" si="36"/>
        <v>SGD</v>
      </c>
      <c r="V333" s="7" t="str">
        <f t="shared" si="36"/>
        <v>AED</v>
      </c>
      <c r="W333" s="7" t="str">
        <f t="shared" si="37"/>
        <v>Australia</v>
      </c>
      <c r="X333" s="7" t="str">
        <f t="shared" si="37"/>
        <v>Brazil</v>
      </c>
      <c r="Y333" s="7" t="str" cm="1">
        <f t="array" ref="Y333">IF(H333="",IFERROR(INDEX($H$2:$H$1166,MATCH(MAX(COUNTIF($H$2:$H$1166,$H$2:$H$1166)),COUNTIF($H$2:$H$1166,$H$2:$H$1166),0)),"Unknown"),H333)</f>
        <v>Non-KYC</v>
      </c>
      <c r="Z333" s="7" t="str">
        <f t="shared" si="38"/>
        <v>Outer-Transaction</v>
      </c>
      <c r="AA333" s="7">
        <f>IF(J333="",AVERAGE($J:$J),J333)</f>
        <v>12948.89</v>
      </c>
      <c r="AB333" s="7">
        <f>IF(N333="",AVERAGE($N:$N),N333)</f>
        <v>47</v>
      </c>
      <c r="AC333" s="7">
        <f t="shared" si="39"/>
        <v>2025</v>
      </c>
      <c r="AD333" s="7">
        <f t="shared" si="40"/>
        <v>2</v>
      </c>
      <c r="AE333" s="7">
        <f>COUNTIF(A:A,A333)</f>
        <v>1</v>
      </c>
      <c r="AF333" s="7" t="str">
        <f t="shared" si="41"/>
        <v>No</v>
      </c>
    </row>
    <row r="334" spans="1:32">
      <c r="A334" t="s">
        <v>1222</v>
      </c>
      <c r="B334">
        <v>49600674</v>
      </c>
      <c r="C334" t="s">
        <v>1223</v>
      </c>
      <c r="D334" t="s">
        <v>311</v>
      </c>
      <c r="E334" t="s">
        <v>3375</v>
      </c>
      <c r="F334" t="s">
        <v>44</v>
      </c>
      <c r="G334" t="s">
        <v>98</v>
      </c>
      <c r="H334" t="s">
        <v>103</v>
      </c>
      <c r="I334" t="s">
        <v>3378</v>
      </c>
      <c r="J334">
        <v>5741.74</v>
      </c>
      <c r="K334" t="s">
        <v>47</v>
      </c>
      <c r="L334" t="s">
        <v>81</v>
      </c>
      <c r="M334" s="1">
        <v>45618.136111111111</v>
      </c>
      <c r="N334">
        <v>36</v>
      </c>
      <c r="O334" t="s">
        <v>23</v>
      </c>
      <c r="P334" t="s">
        <v>62</v>
      </c>
      <c r="Q334" t="s">
        <v>1224</v>
      </c>
      <c r="R334">
        <f t="shared" si="35"/>
        <v>49600674</v>
      </c>
      <c r="S334" t="str" cm="1">
        <f t="array" ref="S334">IF(C334="",IFERROR(INDEX($C$2:$C$1166,MATCH(MAX(COUNTIF($C$2:$C$1166,$C$2:$C$1166)),COUNTIF($C$2:$C$1166,$C$2:$C$1166),0)),"Unknown"),C334)</f>
        <v>Thomas Taylor</v>
      </c>
      <c r="T334" s="4" t="str" cm="1">
        <f t="array" ref="T334">IF(D334="",IFERROR(INDEX($D$2:$D$1000,MATCH(MAX(COUNTIF($D$2:$D$1166,$D$2:$D$1166)),COUNTIF($D$2:$D$1166,$D$2:$D$1166),0)),"Unknown"),D334)</f>
        <v>Susan Davis</v>
      </c>
      <c r="U334" t="str">
        <f t="shared" si="36"/>
        <v>SGD</v>
      </c>
      <c r="V334" s="7" t="str">
        <f t="shared" si="36"/>
        <v>JPY</v>
      </c>
      <c r="W334" s="7" t="str">
        <f t="shared" si="37"/>
        <v>France</v>
      </c>
      <c r="X334" s="7" t="str">
        <f t="shared" si="37"/>
        <v>Australia</v>
      </c>
      <c r="Y334" s="7" t="str" cm="1">
        <f t="array" ref="Y334">IF(H334="",IFERROR(INDEX($H$2:$H$1166,MATCH(MAX(COUNTIF($H$2:$H$1166,$H$2:$H$1166)),COUNTIF($H$2:$H$1166,$H$2:$H$1166),0)),"Unknown"),H334)</f>
        <v>Verified</v>
      </c>
      <c r="Z334" s="7" t="str">
        <f t="shared" si="38"/>
        <v>Inter-Transaction</v>
      </c>
      <c r="AA334" s="7">
        <f>IF(J334="",AVERAGE($J:$J),J334)</f>
        <v>5741.74</v>
      </c>
      <c r="AB334" s="7">
        <f>IF(N334="",AVERAGE($N:$N),N334)</f>
        <v>36</v>
      </c>
      <c r="AC334" s="7">
        <f t="shared" si="39"/>
        <v>2024</v>
      </c>
      <c r="AD334" s="7">
        <f t="shared" si="40"/>
        <v>11</v>
      </c>
      <c r="AE334" s="7">
        <f>COUNTIF(A:A,A334)</f>
        <v>1</v>
      </c>
      <c r="AF334" s="7" t="str">
        <f t="shared" si="41"/>
        <v>No</v>
      </c>
    </row>
    <row r="335" spans="1:32">
      <c r="A335" t="s">
        <v>1225</v>
      </c>
      <c r="B335">
        <v>47101128</v>
      </c>
      <c r="C335" t="s">
        <v>419</v>
      </c>
      <c r="D335" t="s">
        <v>768</v>
      </c>
      <c r="E335" t="s">
        <v>20</v>
      </c>
      <c r="F335" t="s">
        <v>80</v>
      </c>
      <c r="G335" t="s">
        <v>98</v>
      </c>
      <c r="I335" t="s">
        <v>3378</v>
      </c>
      <c r="J335">
        <v>2867.73</v>
      </c>
      <c r="K335" t="s">
        <v>27</v>
      </c>
      <c r="L335" t="s">
        <v>48</v>
      </c>
      <c r="M335" s="1">
        <v>46247.864583333336</v>
      </c>
      <c r="N335">
        <v>34</v>
      </c>
      <c r="O335" t="s">
        <v>127</v>
      </c>
      <c r="P335" t="s">
        <v>62</v>
      </c>
      <c r="Q335" t="s">
        <v>1226</v>
      </c>
      <c r="R335">
        <f t="shared" si="35"/>
        <v>47101128</v>
      </c>
      <c r="S335" t="str" cm="1">
        <f t="array" ref="S335">IF(C335="",IFERROR(INDEX($C$2:$C$1166,MATCH(MAX(COUNTIF($C$2:$C$1166,$C$2:$C$1166)),COUNTIF($C$2:$C$1166,$C$2:$C$1166),0)),"Unknown"),C335)</f>
        <v>Priya Davis</v>
      </c>
      <c r="T335" s="4" t="str" cm="1">
        <f t="array" ref="T335">IF(D335="",IFERROR(INDEX($D$2:$D$1000,MATCH(MAX(COUNTIF($D$2:$D$1166,$D$2:$D$1166)),COUNTIF($D$2:$D$1166,$D$2:$D$1166),0)),"Unknown"),D335)</f>
        <v>Patricia Brown</v>
      </c>
      <c r="U335" t="str">
        <f t="shared" si="36"/>
        <v>USD</v>
      </c>
      <c r="V335" s="7" t="str">
        <f t="shared" si="36"/>
        <v>JPY</v>
      </c>
      <c r="W335" s="7" t="str">
        <f t="shared" si="37"/>
        <v>Canada</v>
      </c>
      <c r="X335" s="7" t="str">
        <f t="shared" si="37"/>
        <v>Australia</v>
      </c>
      <c r="Y335" s="7" t="str" cm="1">
        <f t="array" ref="Y335">IF(H335="",IFERROR(INDEX($H$2:$H$1166,MATCH(MAX(COUNTIF($H$2:$H$1166,$H$2:$H$1166)),COUNTIF($H$2:$H$1166,$H$2:$H$1166),0)),"Unknown"),H335)</f>
        <v>Pending</v>
      </c>
      <c r="Z335" s="7" t="str">
        <f t="shared" si="38"/>
        <v>Inter-Transaction</v>
      </c>
      <c r="AA335" s="7">
        <f>IF(J335="",AVERAGE($J:$J),J335)</f>
        <v>2867.73</v>
      </c>
      <c r="AB335" s="7">
        <f>IF(N335="",AVERAGE($N:$N),N335)</f>
        <v>34</v>
      </c>
      <c r="AC335" s="7">
        <f t="shared" si="39"/>
        <v>2026</v>
      </c>
      <c r="AD335" s="7">
        <f t="shared" si="40"/>
        <v>8</v>
      </c>
      <c r="AE335" s="7">
        <f>COUNTIF(A:A,A335)</f>
        <v>1</v>
      </c>
      <c r="AF335" s="7" t="str">
        <f t="shared" si="41"/>
        <v>No</v>
      </c>
    </row>
    <row r="336" spans="1:32">
      <c r="A336" t="s">
        <v>1227</v>
      </c>
      <c r="B336">
        <v>97954019</v>
      </c>
      <c r="C336" t="s">
        <v>167</v>
      </c>
      <c r="D336" t="s">
        <v>869</v>
      </c>
      <c r="E336" t="s">
        <v>20</v>
      </c>
      <c r="F336" t="s">
        <v>21</v>
      </c>
      <c r="G336" t="s">
        <v>92</v>
      </c>
      <c r="H336" t="s">
        <v>38</v>
      </c>
      <c r="I336" t="s">
        <v>3372</v>
      </c>
      <c r="J336">
        <v>10840.43</v>
      </c>
      <c r="K336" t="s">
        <v>39</v>
      </c>
      <c r="L336" t="s">
        <v>75</v>
      </c>
      <c r="M336" s="1">
        <v>45438.65625</v>
      </c>
      <c r="N336">
        <v>80</v>
      </c>
      <c r="O336" t="s">
        <v>127</v>
      </c>
      <c r="P336" t="s">
        <v>24</v>
      </c>
      <c r="Q336" t="s">
        <v>1228</v>
      </c>
      <c r="R336">
        <f t="shared" si="35"/>
        <v>97954019</v>
      </c>
      <c r="S336" t="str" cm="1">
        <f t="array" ref="S336">IF(C336="",IFERROR(INDEX($C$2:$C$1166,MATCH(MAX(COUNTIF($C$2:$C$1166,$C$2:$C$1166)),COUNTIF($C$2:$C$1166,$C$2:$C$1166),0)),"Unknown"),C336)</f>
        <v>John Thomas</v>
      </c>
      <c r="T336" s="4" t="str" cm="1">
        <f t="array" ref="T336">IF(D336="",IFERROR(INDEX($D$2:$D$1000,MATCH(MAX(COUNTIF($D$2:$D$1166,$D$2:$D$1166)),COUNTIF($D$2:$D$1166,$D$2:$D$1166),0)),"Unknown"),D336)</f>
        <v>Sanjay Taylor</v>
      </c>
      <c r="U336" t="str">
        <f t="shared" si="36"/>
        <v>GBP</v>
      </c>
      <c r="V336" s="7" t="str">
        <f t="shared" si="36"/>
        <v>AUD</v>
      </c>
      <c r="W336" s="7" t="str">
        <f t="shared" si="37"/>
        <v>Canada</v>
      </c>
      <c r="X336" s="7" t="str">
        <f t="shared" si="37"/>
        <v>Brazil</v>
      </c>
      <c r="Y336" s="7" t="str" cm="1">
        <f t="array" ref="Y336">IF(H336="",IFERROR(INDEX($H$2:$H$1166,MATCH(MAX(COUNTIF($H$2:$H$1166,$H$2:$H$1166)),COUNTIF($H$2:$H$1166,$H$2:$H$1166),0)),"Unknown"),H336)</f>
        <v>Pending</v>
      </c>
      <c r="Z336" s="7" t="str">
        <f t="shared" si="38"/>
        <v>Outer-Transaction</v>
      </c>
      <c r="AA336" s="7">
        <f>IF(J336="",AVERAGE($J:$J),J336)</f>
        <v>10840.43</v>
      </c>
      <c r="AB336" s="7">
        <f>IF(N336="",AVERAGE($N:$N),N336)</f>
        <v>80</v>
      </c>
      <c r="AC336" s="7">
        <f t="shared" si="39"/>
        <v>2024</v>
      </c>
      <c r="AD336" s="7">
        <f t="shared" si="40"/>
        <v>5</v>
      </c>
      <c r="AE336" s="7">
        <f>COUNTIF(A:A,A336)</f>
        <v>1</v>
      </c>
      <c r="AF336" s="7" t="str">
        <f t="shared" si="41"/>
        <v>No</v>
      </c>
    </row>
    <row r="337" spans="1:32">
      <c r="A337" t="s">
        <v>1229</v>
      </c>
      <c r="B337">
        <v>60291405</v>
      </c>
      <c r="C337" t="s">
        <v>700</v>
      </c>
      <c r="D337" t="s">
        <v>1230</v>
      </c>
      <c r="E337" t="s">
        <v>20</v>
      </c>
      <c r="F337" t="s">
        <v>22</v>
      </c>
      <c r="G337" t="s">
        <v>80</v>
      </c>
      <c r="H337" t="s">
        <v>56</v>
      </c>
      <c r="I337" t="s">
        <v>3374</v>
      </c>
      <c r="J337">
        <v>8068.68</v>
      </c>
      <c r="K337" t="s">
        <v>57</v>
      </c>
      <c r="L337" t="s">
        <v>28</v>
      </c>
      <c r="M337" s="1">
        <v>43879.663194444445</v>
      </c>
      <c r="N337">
        <v>36</v>
      </c>
      <c r="O337" t="s">
        <v>23</v>
      </c>
      <c r="P337" t="s">
        <v>54</v>
      </c>
      <c r="Q337" t="s">
        <v>1231</v>
      </c>
      <c r="R337">
        <f t="shared" si="35"/>
        <v>60291405</v>
      </c>
      <c r="S337" t="str" cm="1">
        <f t="array" ref="S337">IF(C337="",IFERROR(INDEX($C$2:$C$1166,MATCH(MAX(COUNTIF($C$2:$C$1166,$C$2:$C$1166)),COUNTIF($C$2:$C$1166,$C$2:$C$1166),0)),"Unknown"),C337)</f>
        <v>Michael Jackson</v>
      </c>
      <c r="T337" s="4" t="str" cm="1">
        <f t="array" ref="T337">IF(D337="",IFERROR(INDEX($D$2:$D$1000,MATCH(MAX(COUNTIF($D$2:$D$1166,$D$2:$D$1166)),COUNTIF($D$2:$D$1166,$D$2:$D$1166),0)),"Unknown"),D337)</f>
        <v>Zayn Jones</v>
      </c>
      <c r="U337" t="str">
        <f t="shared" si="36"/>
        <v>BRL</v>
      </c>
      <c r="V337" s="7" t="str">
        <f t="shared" si="36"/>
        <v>USD</v>
      </c>
      <c r="W337" s="7" t="str">
        <f t="shared" si="37"/>
        <v>France</v>
      </c>
      <c r="X337" s="7" t="str">
        <f t="shared" si="37"/>
        <v>India</v>
      </c>
      <c r="Y337" s="7" t="str" cm="1">
        <f t="array" ref="Y337">IF(H337="",IFERROR(INDEX($H$2:$H$1166,MATCH(MAX(COUNTIF($H$2:$H$1166,$H$2:$H$1166)),COUNTIF($H$2:$H$1166,$H$2:$H$1166),0)),"Unknown"),H337)</f>
        <v>Unverified</v>
      </c>
      <c r="Z337" s="7" t="str">
        <f t="shared" si="38"/>
        <v>External</v>
      </c>
      <c r="AA337" s="7">
        <f>IF(J337="",AVERAGE($J:$J),J337)</f>
        <v>8068.68</v>
      </c>
      <c r="AB337" s="7">
        <f>IF(N337="",AVERAGE($N:$N),N337)</f>
        <v>36</v>
      </c>
      <c r="AC337" s="7">
        <f t="shared" si="39"/>
        <v>2020</v>
      </c>
      <c r="AD337" s="7">
        <f t="shared" si="40"/>
        <v>2</v>
      </c>
      <c r="AE337" s="7">
        <f>COUNTIF(A:A,A337)</f>
        <v>1</v>
      </c>
      <c r="AF337" s="7" t="str">
        <f t="shared" si="41"/>
        <v>No</v>
      </c>
    </row>
    <row r="338" spans="1:32">
      <c r="A338" t="s">
        <v>1232</v>
      </c>
      <c r="B338">
        <v>62463815</v>
      </c>
      <c r="C338" t="s">
        <v>1233</v>
      </c>
      <c r="D338" t="s">
        <v>263</v>
      </c>
      <c r="E338" t="s">
        <v>20</v>
      </c>
      <c r="F338" t="s">
        <v>121</v>
      </c>
      <c r="G338" t="s">
        <v>44</v>
      </c>
      <c r="H338" t="s">
        <v>25</v>
      </c>
      <c r="I338" t="s">
        <v>3374</v>
      </c>
      <c r="J338">
        <v>8298.07</v>
      </c>
      <c r="K338" t="s">
        <v>86</v>
      </c>
      <c r="L338" t="s">
        <v>81</v>
      </c>
      <c r="M338" s="1">
        <v>44906.811111111114</v>
      </c>
      <c r="N338">
        <v>75</v>
      </c>
      <c r="O338" t="s">
        <v>54</v>
      </c>
      <c r="P338" t="s">
        <v>127</v>
      </c>
      <c r="Q338" t="s">
        <v>1234</v>
      </c>
      <c r="R338">
        <f t="shared" si="35"/>
        <v>62463815</v>
      </c>
      <c r="S338" t="str" cm="1">
        <f t="array" ref="S338">IF(C338="",IFERROR(INDEX($C$2:$C$1166,MATCH(MAX(COUNTIF($C$2:$C$1166,$C$2:$C$1166)),COUNTIF($C$2:$C$1166,$C$2:$C$1166),0)),"Unknown"),C338)</f>
        <v>Joseph Miller</v>
      </c>
      <c r="T338" s="4" t="str" cm="1">
        <f t="array" ref="T338">IF(D338="",IFERROR(INDEX($D$2:$D$1000,MATCH(MAX(COUNTIF($D$2:$D$1166,$D$2:$D$1166)),COUNTIF($D$2:$D$1166,$D$2:$D$1166),0)),"Unknown"),D338)</f>
        <v>Joseph Williams</v>
      </c>
      <c r="U338" t="str">
        <f t="shared" si="36"/>
        <v>INR</v>
      </c>
      <c r="V338" s="7" t="str">
        <f t="shared" si="36"/>
        <v>SGD</v>
      </c>
      <c r="W338" s="7" t="str">
        <f t="shared" si="37"/>
        <v>India</v>
      </c>
      <c r="X338" s="7" t="str">
        <f t="shared" si="37"/>
        <v>Canada</v>
      </c>
      <c r="Y338" s="7" t="str" cm="1">
        <f t="array" ref="Y338">IF(H338="",IFERROR(INDEX($H$2:$H$1166,MATCH(MAX(COUNTIF($H$2:$H$1166,$H$2:$H$1166)),COUNTIF($H$2:$H$1166,$H$2:$H$1166),0)),"Unknown"),H338)</f>
        <v>KYC</v>
      </c>
      <c r="Z338" s="7" t="str">
        <f t="shared" si="38"/>
        <v>External</v>
      </c>
      <c r="AA338" s="7">
        <f>IF(J338="",AVERAGE($J:$J),J338)</f>
        <v>8298.07</v>
      </c>
      <c r="AB338" s="7">
        <f>IF(N338="",AVERAGE($N:$N),N338)</f>
        <v>75</v>
      </c>
      <c r="AC338" s="7">
        <f t="shared" si="39"/>
        <v>2022</v>
      </c>
      <c r="AD338" s="7">
        <f t="shared" si="40"/>
        <v>12</v>
      </c>
      <c r="AE338" s="7">
        <f>COUNTIF(A:A,A338)</f>
        <v>1</v>
      </c>
      <c r="AF338" s="7" t="str">
        <f t="shared" si="41"/>
        <v>No</v>
      </c>
    </row>
    <row r="339" spans="1:32">
      <c r="A339" t="s">
        <v>1235</v>
      </c>
      <c r="B339">
        <v>17711235</v>
      </c>
      <c r="C339" t="s">
        <v>338</v>
      </c>
      <c r="D339" t="s">
        <v>1236</v>
      </c>
      <c r="E339" t="b">
        <v>0</v>
      </c>
      <c r="F339" t="s">
        <v>92</v>
      </c>
      <c r="G339" t="s">
        <v>92</v>
      </c>
      <c r="H339" t="s">
        <v>74</v>
      </c>
      <c r="I339" t="s">
        <v>3371</v>
      </c>
      <c r="J339">
        <v>13058.03</v>
      </c>
      <c r="K339" t="s">
        <v>57</v>
      </c>
      <c r="L339" t="s">
        <v>81</v>
      </c>
      <c r="M339" s="1">
        <v>45143.307638888888</v>
      </c>
      <c r="N339">
        <v>72</v>
      </c>
      <c r="O339" t="s">
        <v>127</v>
      </c>
      <c r="P339" t="s">
        <v>54</v>
      </c>
      <c r="Q339" t="s">
        <v>1237</v>
      </c>
      <c r="R339">
        <f t="shared" si="35"/>
        <v>17711235</v>
      </c>
      <c r="S339" t="str" cm="1">
        <f t="array" ref="S339">IF(C339="",IFERROR(INDEX($C$2:$C$1166,MATCH(MAX(COUNTIF($C$2:$C$1166,$C$2:$C$1166)),COUNTIF($C$2:$C$1166,$C$2:$C$1166),0)),"Unknown"),C339)</f>
        <v>Susan Taylor</v>
      </c>
      <c r="T339" s="4" t="str" cm="1">
        <f t="array" ref="T339">IF(D339="",IFERROR(INDEX($D$2:$D$1000,MATCH(MAX(COUNTIF($D$2:$D$1166,$D$2:$D$1166)),COUNTIF($D$2:$D$1166,$D$2:$D$1166),0)),"Unknown"),D339)</f>
        <v xml:space="preserve"> john garcia   </v>
      </c>
      <c r="U339" t="str">
        <f t="shared" si="36"/>
        <v>AUD</v>
      </c>
      <c r="V339" s="7" t="str">
        <f t="shared" si="36"/>
        <v>AUD</v>
      </c>
      <c r="W339" s="7" t="str">
        <f t="shared" si="37"/>
        <v>Canada</v>
      </c>
      <c r="X339" s="7" t="str">
        <f t="shared" si="37"/>
        <v>India</v>
      </c>
      <c r="Y339" s="7" t="str" cm="1">
        <f t="array" ref="Y339">IF(H339="",IFERROR(INDEX($H$2:$H$1166,MATCH(MAX(COUNTIF($H$2:$H$1166,$H$2:$H$1166)),COUNTIF($H$2:$H$1166,$H$2:$H$1166),0)),"Unknown"),H339)</f>
        <v>Non-KYC</v>
      </c>
      <c r="Z339" s="7" t="str">
        <f t="shared" si="38"/>
        <v>Outer-Transaction</v>
      </c>
      <c r="AA339" s="7">
        <f>IF(J339="",AVERAGE($J:$J),J339)</f>
        <v>13058.03</v>
      </c>
      <c r="AB339" s="7">
        <f>IF(N339="",AVERAGE($N:$N),N339)</f>
        <v>72</v>
      </c>
      <c r="AC339" s="7">
        <f t="shared" si="39"/>
        <v>2023</v>
      </c>
      <c r="AD339" s="7">
        <f t="shared" si="40"/>
        <v>8</v>
      </c>
      <c r="AE339" s="7">
        <f>COUNTIF(A:A,A339)</f>
        <v>1</v>
      </c>
      <c r="AF339" s="7" t="str">
        <f t="shared" si="41"/>
        <v>No</v>
      </c>
    </row>
    <row r="340" spans="1:32">
      <c r="A340" t="s">
        <v>1238</v>
      </c>
      <c r="B340">
        <v>29151794</v>
      </c>
      <c r="C340" t="s">
        <v>1176</v>
      </c>
      <c r="D340" t="s">
        <v>1239</v>
      </c>
      <c r="E340">
        <v>1</v>
      </c>
      <c r="F340" t="s">
        <v>121</v>
      </c>
      <c r="G340" t="s">
        <v>98</v>
      </c>
      <c r="H340" t="s">
        <v>25</v>
      </c>
      <c r="I340" t="s">
        <v>3378</v>
      </c>
      <c r="J340">
        <v>9698.02</v>
      </c>
      <c r="K340" t="s">
        <v>39</v>
      </c>
      <c r="L340" t="s">
        <v>75</v>
      </c>
      <c r="M340" s="1">
        <v>45480.1</v>
      </c>
      <c r="N340">
        <v>79</v>
      </c>
      <c r="O340" t="s">
        <v>55</v>
      </c>
      <c r="P340" t="s">
        <v>55</v>
      </c>
      <c r="Q340" t="s">
        <v>1240</v>
      </c>
      <c r="R340">
        <f t="shared" si="35"/>
        <v>29151794</v>
      </c>
      <c r="S340" t="str" cm="1">
        <f t="array" ref="S340">IF(C340="",IFERROR(INDEX($C$2:$C$1166,MATCH(MAX(COUNTIF($C$2:$C$1166,$C$2:$C$1166)),COUNTIF($C$2:$C$1166,$C$2:$C$1166),0)),"Unknown"),C340)</f>
        <v>Thomas Williams</v>
      </c>
      <c r="T340" s="4" t="str" cm="1">
        <f t="array" ref="T340">IF(D340="",IFERROR(INDEX($D$2:$D$1000,MATCH(MAX(COUNTIF($D$2:$D$1166,$D$2:$D$1166)),COUNTIF($D$2:$D$1166,$D$2:$D$1166),0)),"Unknown"),D340)</f>
        <v xml:space="preserve"> amir gonzalez   </v>
      </c>
      <c r="U340" t="str">
        <f t="shared" si="36"/>
        <v>INR</v>
      </c>
      <c r="V340" s="7" t="str">
        <f t="shared" si="36"/>
        <v>JPY</v>
      </c>
      <c r="W340" s="7" t="str">
        <f t="shared" si="37"/>
        <v>UK</v>
      </c>
      <c r="X340" s="7" t="str">
        <f t="shared" si="37"/>
        <v>UK</v>
      </c>
      <c r="Y340" s="7" t="str" cm="1">
        <f t="array" ref="Y340">IF(H340="",IFERROR(INDEX($H$2:$H$1166,MATCH(MAX(COUNTIF($H$2:$H$1166,$H$2:$H$1166)),COUNTIF($H$2:$H$1166,$H$2:$H$1166),0)),"Unknown"),H340)</f>
        <v>KYC</v>
      </c>
      <c r="Z340" s="7" t="str">
        <f t="shared" si="38"/>
        <v>Inter-Transaction</v>
      </c>
      <c r="AA340" s="7">
        <f>IF(J340="",AVERAGE($J:$J),J340)</f>
        <v>9698.02</v>
      </c>
      <c r="AB340" s="7">
        <f>IF(N340="",AVERAGE($N:$N),N340)</f>
        <v>79</v>
      </c>
      <c r="AC340" s="7">
        <f t="shared" si="39"/>
        <v>2024</v>
      </c>
      <c r="AD340" s="7">
        <f t="shared" si="40"/>
        <v>7</v>
      </c>
      <c r="AE340" s="7">
        <f>COUNTIF(A:A,A340)</f>
        <v>1</v>
      </c>
      <c r="AF340" s="7" t="str">
        <f t="shared" si="41"/>
        <v>Yes</v>
      </c>
    </row>
    <row r="341" spans="1:32">
      <c r="A341" t="s">
        <v>1241</v>
      </c>
      <c r="B341">
        <v>61628861</v>
      </c>
      <c r="C341" t="s">
        <v>1242</v>
      </c>
      <c r="D341" t="s">
        <v>1021</v>
      </c>
      <c r="E341" t="s">
        <v>20</v>
      </c>
      <c r="F341" t="s">
        <v>92</v>
      </c>
      <c r="G341" t="s">
        <v>22</v>
      </c>
      <c r="H341" t="s">
        <v>103</v>
      </c>
      <c r="I341" t="s">
        <v>3374</v>
      </c>
      <c r="J341">
        <v>13745.28</v>
      </c>
      <c r="K341" t="s">
        <v>47</v>
      </c>
      <c r="L341" t="s">
        <v>81</v>
      </c>
      <c r="M341" s="1">
        <v>46011.772222222222</v>
      </c>
      <c r="N341">
        <v>40</v>
      </c>
      <c r="O341" t="s">
        <v>37</v>
      </c>
      <c r="P341" t="s">
        <v>37</v>
      </c>
      <c r="Q341" t="s">
        <v>1243</v>
      </c>
      <c r="R341">
        <f t="shared" si="35"/>
        <v>61628861</v>
      </c>
      <c r="S341" t="str" cm="1">
        <f t="array" ref="S341">IF(C341="",IFERROR(INDEX($C$2:$C$1166,MATCH(MAX(COUNTIF($C$2:$C$1166,$C$2:$C$1166)),COUNTIF($C$2:$C$1166,$C$2:$C$1166),0)),"Unknown"),C341)</f>
        <v>Priya Velez</v>
      </c>
      <c r="T341" s="4" t="str" cm="1">
        <f t="array" ref="T341">IF(D341="",IFERROR(INDEX($D$2:$D$1000,MATCH(MAX(COUNTIF($D$2:$D$1166,$D$2:$D$1166)),COUNTIF($D$2:$D$1166,$D$2:$D$1166),0)),"Unknown"),D341)</f>
        <v>Linda Rostova</v>
      </c>
      <c r="U341" t="str">
        <f t="shared" si="36"/>
        <v>AUD</v>
      </c>
      <c r="V341" s="7" t="str">
        <f t="shared" si="36"/>
        <v>BRL</v>
      </c>
      <c r="W341" s="7" t="str">
        <f t="shared" si="37"/>
        <v>South Africa</v>
      </c>
      <c r="X341" s="7" t="str">
        <f t="shared" si="37"/>
        <v>South Africa</v>
      </c>
      <c r="Y341" s="7" t="str" cm="1">
        <f t="array" ref="Y341">IF(H341="",IFERROR(INDEX($H$2:$H$1166,MATCH(MAX(COUNTIF($H$2:$H$1166,$H$2:$H$1166)),COUNTIF($H$2:$H$1166,$H$2:$H$1166),0)),"Unknown"),H341)</f>
        <v>Verified</v>
      </c>
      <c r="Z341" s="7" t="str">
        <f t="shared" si="38"/>
        <v>External</v>
      </c>
      <c r="AA341" s="7">
        <f>IF(J341="",AVERAGE($J:$J),J341)</f>
        <v>13745.28</v>
      </c>
      <c r="AB341" s="7">
        <f>IF(N341="",AVERAGE($N:$N),N341)</f>
        <v>40</v>
      </c>
      <c r="AC341" s="7">
        <f t="shared" si="39"/>
        <v>2025</v>
      </c>
      <c r="AD341" s="7">
        <f t="shared" si="40"/>
        <v>12</v>
      </c>
      <c r="AE341" s="7">
        <f>COUNTIF(A:A,A341)</f>
        <v>1</v>
      </c>
      <c r="AF341" s="7" t="str">
        <f t="shared" si="41"/>
        <v>No</v>
      </c>
    </row>
    <row r="342" spans="1:32">
      <c r="A342" t="s">
        <v>1244</v>
      </c>
      <c r="B342">
        <v>43925761</v>
      </c>
      <c r="C342" t="s">
        <v>796</v>
      </c>
      <c r="D342" t="s">
        <v>1099</v>
      </c>
      <c r="E342" t="s">
        <v>20</v>
      </c>
      <c r="F342" t="s">
        <v>45</v>
      </c>
      <c r="G342" t="s">
        <v>22</v>
      </c>
      <c r="H342" t="s">
        <v>25</v>
      </c>
      <c r="I342" t="s">
        <v>3377</v>
      </c>
      <c r="J342">
        <v>3766.58</v>
      </c>
      <c r="K342" t="s">
        <v>47</v>
      </c>
      <c r="L342" t="s">
        <v>75</v>
      </c>
      <c r="M342" s="1">
        <v>45020.051388888889</v>
      </c>
      <c r="N342">
        <v>26</v>
      </c>
      <c r="O342" t="s">
        <v>36</v>
      </c>
      <c r="P342" t="s">
        <v>55</v>
      </c>
      <c r="Q342" t="s">
        <v>1245</v>
      </c>
      <c r="R342">
        <f t="shared" si="35"/>
        <v>43925761</v>
      </c>
      <c r="S342" t="str" cm="1">
        <f t="array" ref="S342">IF(C342="",IFERROR(INDEX($C$2:$C$1166,MATCH(MAX(COUNTIF($C$2:$C$1166,$C$2:$C$1166)),COUNTIF($C$2:$C$1166,$C$2:$C$1166),0)),"Unknown"),C342)</f>
        <v>William Taylor</v>
      </c>
      <c r="T342" s="4" t="str" cm="1">
        <f t="array" ref="T342">IF(D342="",IFERROR(INDEX($D$2:$D$1000,MATCH(MAX(COUNTIF($D$2:$D$1166,$D$2:$D$1166)),COUNTIF($D$2:$D$1166,$D$2:$D$1166),0)),"Unknown"),D342)</f>
        <v>Mary Anderson</v>
      </c>
      <c r="U342" t="str">
        <f t="shared" si="36"/>
        <v>ZAR</v>
      </c>
      <c r="V342" s="7" t="str">
        <f t="shared" si="36"/>
        <v>BRL</v>
      </c>
      <c r="W342" s="7" t="str">
        <f t="shared" si="37"/>
        <v>Germany</v>
      </c>
      <c r="X342" s="7" t="str">
        <f t="shared" si="37"/>
        <v>UK</v>
      </c>
      <c r="Y342" s="7" t="str" cm="1">
        <f t="array" ref="Y342">IF(H342="",IFERROR(INDEX($H$2:$H$1166,MATCH(MAX(COUNTIF($H$2:$H$1166,$H$2:$H$1166)),COUNTIF($H$2:$H$1166,$H$2:$H$1166),0)),"Unknown"),H342)</f>
        <v>KYC</v>
      </c>
      <c r="Z342" s="7" t="str">
        <f t="shared" si="38"/>
        <v>Inter-Transaction</v>
      </c>
      <c r="AA342" s="7">
        <f>IF(J342="",AVERAGE($J:$J),J342)</f>
        <v>3766.58</v>
      </c>
      <c r="AB342" s="7">
        <f>IF(N342="",AVERAGE($N:$N),N342)</f>
        <v>26</v>
      </c>
      <c r="AC342" s="7">
        <f t="shared" si="39"/>
        <v>2023</v>
      </c>
      <c r="AD342" s="7">
        <f t="shared" si="40"/>
        <v>4</v>
      </c>
      <c r="AE342" s="7">
        <f>COUNTIF(A:A,A342)</f>
        <v>1</v>
      </c>
      <c r="AF342" s="7" t="str">
        <f t="shared" si="41"/>
        <v>No</v>
      </c>
    </row>
    <row r="343" spans="1:32">
      <c r="A343" t="s">
        <v>1246</v>
      </c>
      <c r="B343">
        <v>31658249</v>
      </c>
      <c r="C343" t="s">
        <v>1247</v>
      </c>
      <c r="D343" t="s">
        <v>361</v>
      </c>
      <c r="E343" t="s">
        <v>20</v>
      </c>
      <c r="F343" t="s">
        <v>53</v>
      </c>
      <c r="G343" t="s">
        <v>99</v>
      </c>
      <c r="H343" t="s">
        <v>74</v>
      </c>
      <c r="I343" t="s">
        <v>3372</v>
      </c>
      <c r="J343">
        <v>5377.72</v>
      </c>
      <c r="K343" t="s">
        <v>47</v>
      </c>
      <c r="L343" t="s">
        <v>28</v>
      </c>
      <c r="M343" s="1">
        <v>45228.915972222225</v>
      </c>
      <c r="N343">
        <v>29</v>
      </c>
      <c r="O343" t="s">
        <v>93</v>
      </c>
      <c r="P343" t="s">
        <v>62</v>
      </c>
      <c r="Q343" t="s">
        <v>1248</v>
      </c>
      <c r="R343">
        <f t="shared" si="35"/>
        <v>31658249</v>
      </c>
      <c r="S343" t="str" cm="1">
        <f t="array" ref="S343">IF(C343="",IFERROR(INDEX($C$2:$C$1166,MATCH(MAX(COUNTIF($C$2:$C$1166,$C$2:$C$1166)),COUNTIF($C$2:$C$1166,$C$2:$C$1166),0)),"Unknown"),C343)</f>
        <v>Linda Khan</v>
      </c>
      <c r="T343" s="4" t="str" cm="1">
        <f t="array" ref="T343">IF(D343="",IFERROR(INDEX($D$2:$D$1000,MATCH(MAX(COUNTIF($D$2:$D$1166,$D$2:$D$1166)),COUNTIF($D$2:$D$1166,$D$2:$D$1166),0)),"Unknown"),D343)</f>
        <v>John Martin</v>
      </c>
      <c r="U343" t="str">
        <f t="shared" si="36"/>
        <v>AED</v>
      </c>
      <c r="V343" s="7" t="str">
        <f t="shared" si="36"/>
        <v>eur</v>
      </c>
      <c r="W343" s="7" t="str">
        <f t="shared" si="37"/>
        <v>USA</v>
      </c>
      <c r="X343" s="7" t="str">
        <f t="shared" si="37"/>
        <v>Australia</v>
      </c>
      <c r="Y343" s="7" t="str" cm="1">
        <f t="array" ref="Y343">IF(H343="",IFERROR(INDEX($H$2:$H$1166,MATCH(MAX(COUNTIF($H$2:$H$1166,$H$2:$H$1166)),COUNTIF($H$2:$H$1166,$H$2:$H$1166),0)),"Unknown"),H343)</f>
        <v>Non-KYC</v>
      </c>
      <c r="Z343" s="7" t="str">
        <f t="shared" si="38"/>
        <v>Outer-Transaction</v>
      </c>
      <c r="AA343" s="7">
        <f>IF(J343="",AVERAGE($J:$J),J343)</f>
        <v>5377.72</v>
      </c>
      <c r="AB343" s="7">
        <f>IF(N343="",AVERAGE($N:$N),N343)</f>
        <v>29</v>
      </c>
      <c r="AC343" s="7">
        <f t="shared" si="39"/>
        <v>2023</v>
      </c>
      <c r="AD343" s="7">
        <f t="shared" si="40"/>
        <v>10</v>
      </c>
      <c r="AE343" s="7">
        <f>COUNTIF(A:A,A343)</f>
        <v>1</v>
      </c>
      <c r="AF343" s="7" t="str">
        <f t="shared" si="41"/>
        <v>No</v>
      </c>
    </row>
    <row r="344" spans="1:32">
      <c r="A344" t="s">
        <v>1249</v>
      </c>
      <c r="B344">
        <v>51382580</v>
      </c>
      <c r="C344" t="s">
        <v>281</v>
      </c>
      <c r="D344" t="s">
        <v>874</v>
      </c>
      <c r="E344" t="s">
        <v>3373</v>
      </c>
      <c r="F344" t="s">
        <v>92</v>
      </c>
      <c r="G344" t="s">
        <v>121</v>
      </c>
      <c r="H344" t="s">
        <v>25</v>
      </c>
      <c r="I344" t="s">
        <v>3378</v>
      </c>
      <c r="J344">
        <v>12309.69</v>
      </c>
      <c r="K344" t="s">
        <v>86</v>
      </c>
      <c r="L344" t="s">
        <v>48</v>
      </c>
      <c r="M344" s="1">
        <v>46251.386805555558</v>
      </c>
      <c r="N344">
        <v>18</v>
      </c>
      <c r="O344" t="s">
        <v>127</v>
      </c>
      <c r="P344" t="s">
        <v>68</v>
      </c>
      <c r="Q344" t="s">
        <v>1250</v>
      </c>
      <c r="R344">
        <f t="shared" si="35"/>
        <v>51382580</v>
      </c>
      <c r="S344" t="str" cm="1">
        <f t="array" ref="S344">IF(C344="",IFERROR(INDEX($C$2:$C$1166,MATCH(MAX(COUNTIF($C$2:$C$1166,$C$2:$C$1166)),COUNTIF($C$2:$C$1166,$C$2:$C$1166),0)),"Unknown"),C344)</f>
        <v>Thomas Johnson</v>
      </c>
      <c r="T344" s="4" t="str" cm="1">
        <f t="array" ref="T344">IF(D344="",IFERROR(INDEX($D$2:$D$1000,MATCH(MAX(COUNTIF($D$2:$D$1166,$D$2:$D$1166)),COUNTIF($D$2:$D$1166,$D$2:$D$1166),0)),"Unknown"),D344)</f>
        <v>Nancy Smith</v>
      </c>
      <c r="U344" t="str">
        <f t="shared" si="36"/>
        <v>AUD</v>
      </c>
      <c r="V344" s="7" t="str">
        <f t="shared" si="36"/>
        <v>INR</v>
      </c>
      <c r="W344" s="7" t="str">
        <f t="shared" si="37"/>
        <v>Canada</v>
      </c>
      <c r="X344" s="7" t="str">
        <f t="shared" si="37"/>
        <v>UAE</v>
      </c>
      <c r="Y344" s="7" t="str" cm="1">
        <f t="array" ref="Y344">IF(H344="",IFERROR(INDEX($H$2:$H$1166,MATCH(MAX(COUNTIF($H$2:$H$1166,$H$2:$H$1166)),COUNTIF($H$2:$H$1166,$H$2:$H$1166),0)),"Unknown"),H344)</f>
        <v>KYC</v>
      </c>
      <c r="Z344" s="7" t="str">
        <f t="shared" si="38"/>
        <v>Inter-Transaction</v>
      </c>
      <c r="AA344" s="7">
        <f>IF(J344="",AVERAGE($J:$J),J344)</f>
        <v>12309.69</v>
      </c>
      <c r="AB344" s="7">
        <f>IF(N344="",AVERAGE($N:$N),N344)</f>
        <v>18</v>
      </c>
      <c r="AC344" s="7">
        <f t="shared" si="39"/>
        <v>2026</v>
      </c>
      <c r="AD344" s="7">
        <f t="shared" si="40"/>
        <v>8</v>
      </c>
      <c r="AE344" s="7">
        <f>COUNTIF(A:A,A344)</f>
        <v>1</v>
      </c>
      <c r="AF344" s="7" t="str">
        <f t="shared" si="41"/>
        <v>Yes</v>
      </c>
    </row>
    <row r="345" spans="1:32">
      <c r="A345" t="s">
        <v>1251</v>
      </c>
      <c r="B345">
        <v>93842238</v>
      </c>
      <c r="C345" t="s">
        <v>203</v>
      </c>
      <c r="D345" t="s">
        <v>678</v>
      </c>
      <c r="E345">
        <v>0</v>
      </c>
      <c r="F345" t="s">
        <v>35</v>
      </c>
      <c r="G345" t="s">
        <v>121</v>
      </c>
      <c r="H345" t="s">
        <v>56</v>
      </c>
      <c r="I345" t="s">
        <v>3371</v>
      </c>
      <c r="J345">
        <v>6887.05</v>
      </c>
      <c r="K345" t="s">
        <v>86</v>
      </c>
      <c r="L345" t="s">
        <v>75</v>
      </c>
      <c r="M345" s="1">
        <v>45659.90625</v>
      </c>
      <c r="N345">
        <v>75</v>
      </c>
      <c r="O345" t="s">
        <v>23</v>
      </c>
      <c r="P345" t="s">
        <v>93</v>
      </c>
      <c r="Q345" t="s">
        <v>1252</v>
      </c>
      <c r="R345">
        <f t="shared" si="35"/>
        <v>93842238</v>
      </c>
      <c r="S345" t="str" cm="1">
        <f t="array" ref="S345">IF(C345="",IFERROR(INDEX($C$2:$C$1166,MATCH(MAX(COUNTIF($C$2:$C$1166,$C$2:$C$1166)),COUNTIF($C$2:$C$1166,$C$2:$C$1166),0)),"Unknown"),C345)</f>
        <v>William Souza</v>
      </c>
      <c r="T345" s="4" t="str" cm="1">
        <f t="array" ref="T345">IF(D345="",IFERROR(INDEX($D$2:$D$1000,MATCH(MAX(COUNTIF($D$2:$D$1166,$D$2:$D$1166)),COUNTIF($D$2:$D$1166,$D$2:$D$1166),0)),"Unknown"),D345)</f>
        <v>Karen Gonzalez</v>
      </c>
      <c r="U345" t="str">
        <f t="shared" si="36"/>
        <v>EUR</v>
      </c>
      <c r="V345" s="7" t="str">
        <f t="shared" si="36"/>
        <v>INR</v>
      </c>
      <c r="W345" s="7" t="str">
        <f t="shared" si="37"/>
        <v>France</v>
      </c>
      <c r="X345" s="7" t="str">
        <f t="shared" si="37"/>
        <v>USA</v>
      </c>
      <c r="Y345" s="7" t="str" cm="1">
        <f t="array" ref="Y345">IF(H345="",IFERROR(INDEX($H$2:$H$1166,MATCH(MAX(COUNTIF($H$2:$H$1166,$H$2:$H$1166)),COUNTIF($H$2:$H$1166,$H$2:$H$1166),0)),"Unknown"),H345)</f>
        <v>Unverified</v>
      </c>
      <c r="Z345" s="7" t="str">
        <f t="shared" si="38"/>
        <v>Outer-Transaction</v>
      </c>
      <c r="AA345" s="7">
        <f>IF(J345="",AVERAGE($J:$J),J345)</f>
        <v>6887.05</v>
      </c>
      <c r="AB345" s="7">
        <f>IF(N345="",AVERAGE($N:$N),N345)</f>
        <v>75</v>
      </c>
      <c r="AC345" s="7">
        <f t="shared" si="39"/>
        <v>2025</v>
      </c>
      <c r="AD345" s="7">
        <f t="shared" si="40"/>
        <v>1</v>
      </c>
      <c r="AE345" s="7">
        <f>COUNTIF(A:A,A345)</f>
        <v>1</v>
      </c>
      <c r="AF345" s="7" t="str">
        <f t="shared" si="41"/>
        <v>No</v>
      </c>
    </row>
    <row r="346" spans="1:32">
      <c r="A346" t="s">
        <v>1253</v>
      </c>
      <c r="B346">
        <v>86397410</v>
      </c>
      <c r="C346" t="s">
        <v>300</v>
      </c>
      <c r="D346" t="s">
        <v>1254</v>
      </c>
      <c r="E346" t="s">
        <v>20</v>
      </c>
      <c r="F346" t="s">
        <v>45</v>
      </c>
      <c r="G346" t="s">
        <v>22</v>
      </c>
      <c r="I346" t="s">
        <v>3378</v>
      </c>
      <c r="J346">
        <v>14670.54</v>
      </c>
      <c r="K346" t="s">
        <v>39</v>
      </c>
      <c r="L346" t="s">
        <v>28</v>
      </c>
      <c r="M346" s="1">
        <v>44309.68472222222</v>
      </c>
      <c r="N346">
        <v>18</v>
      </c>
      <c r="O346" t="s">
        <v>37</v>
      </c>
      <c r="P346" t="s">
        <v>37</v>
      </c>
      <c r="Q346" t="s">
        <v>1255</v>
      </c>
      <c r="R346">
        <f t="shared" si="35"/>
        <v>86397410</v>
      </c>
      <c r="S346" t="str" cm="1">
        <f t="array" ref="S346">IF(C346="",IFERROR(INDEX($C$2:$C$1166,MATCH(MAX(COUNTIF($C$2:$C$1166,$C$2:$C$1166)),COUNTIF($C$2:$C$1166,$C$2:$C$1166),0)),"Unknown"),C346)</f>
        <v>Linda Rodriguez</v>
      </c>
      <c r="T346" s="4" t="str" cm="1">
        <f t="array" ref="T346">IF(D346="",IFERROR(INDEX($D$2:$D$1000,MATCH(MAX(COUNTIF($D$2:$D$1166,$D$2:$D$1166)),COUNTIF($D$2:$D$1166,$D$2:$D$1166),0)),"Unknown"),D346)</f>
        <v>Patricia Martin</v>
      </c>
      <c r="U346" t="str">
        <f t="shared" si="36"/>
        <v>ZAR</v>
      </c>
      <c r="V346" s="7" t="str">
        <f t="shared" si="36"/>
        <v>BRL</v>
      </c>
      <c r="W346" s="7" t="str">
        <f t="shared" si="37"/>
        <v>South Africa</v>
      </c>
      <c r="X346" s="7" t="str">
        <f t="shared" si="37"/>
        <v>South Africa</v>
      </c>
      <c r="Y346" s="7" t="str" cm="1">
        <f t="array" ref="Y346">IF(H346="",IFERROR(INDEX($H$2:$H$1166,MATCH(MAX(COUNTIF($H$2:$H$1166,$H$2:$H$1166)),COUNTIF($H$2:$H$1166,$H$2:$H$1166),0)),"Unknown"),H346)</f>
        <v>Pending</v>
      </c>
      <c r="Z346" s="7" t="str">
        <f t="shared" si="38"/>
        <v>Inter-Transaction</v>
      </c>
      <c r="AA346" s="7">
        <f>IF(J346="",AVERAGE($J:$J),J346)</f>
        <v>14670.54</v>
      </c>
      <c r="AB346" s="7">
        <f>IF(N346="",AVERAGE($N:$N),N346)</f>
        <v>18</v>
      </c>
      <c r="AC346" s="7">
        <f t="shared" si="39"/>
        <v>2021</v>
      </c>
      <c r="AD346" s="7">
        <f t="shared" si="40"/>
        <v>4</v>
      </c>
      <c r="AE346" s="7">
        <f>COUNTIF(A:A,A346)</f>
        <v>1</v>
      </c>
      <c r="AF346" s="7" t="str">
        <f t="shared" si="41"/>
        <v>No</v>
      </c>
    </row>
    <row r="347" spans="1:32">
      <c r="A347" t="s">
        <v>1256</v>
      </c>
      <c r="B347">
        <v>11783979</v>
      </c>
      <c r="C347" t="s">
        <v>1257</v>
      </c>
      <c r="D347" t="s">
        <v>1258</v>
      </c>
      <c r="E347" t="s">
        <v>20</v>
      </c>
      <c r="F347" t="s">
        <v>53</v>
      </c>
      <c r="G347" t="s">
        <v>121</v>
      </c>
      <c r="H347" t="s">
        <v>103</v>
      </c>
      <c r="I347" t="s">
        <v>3371</v>
      </c>
      <c r="J347">
        <v>2283.54</v>
      </c>
      <c r="K347" t="s">
        <v>47</v>
      </c>
      <c r="L347" t="s">
        <v>28</v>
      </c>
      <c r="M347" s="1">
        <v>44662.522222222222</v>
      </c>
      <c r="N347">
        <v>51</v>
      </c>
      <c r="O347" t="s">
        <v>24</v>
      </c>
      <c r="P347" t="s">
        <v>62</v>
      </c>
      <c r="Q347" t="s">
        <v>1259</v>
      </c>
      <c r="R347">
        <f t="shared" si="35"/>
        <v>11783979</v>
      </c>
      <c r="S347" t="str" cm="1">
        <f t="array" ref="S347">IF(C347="",IFERROR(INDEX($C$2:$C$1166,MATCH(MAX(COUNTIF($C$2:$C$1166,$C$2:$C$1166)),COUNTIF($C$2:$C$1166,$C$2:$C$1166),0)),"Unknown"),C347)</f>
        <v xml:space="preserve">  ELIZABETH SMITH </v>
      </c>
      <c r="T347" s="4" t="str" cm="1">
        <f t="array" ref="T347">IF(D347="",IFERROR(INDEX($D$2:$D$1000,MATCH(MAX(COUNTIF($D$2:$D$1166,$D$2:$D$1166)),COUNTIF($D$2:$D$1166,$D$2:$D$1166),0)),"Unknown"),D347)</f>
        <v>Nancy Dubois</v>
      </c>
      <c r="U347" t="str">
        <f t="shared" si="36"/>
        <v>AED</v>
      </c>
      <c r="V347" s="7" t="str">
        <f t="shared" si="36"/>
        <v>INR</v>
      </c>
      <c r="W347" s="7" t="str">
        <f t="shared" si="37"/>
        <v>Brazil</v>
      </c>
      <c r="X347" s="7" t="str">
        <f t="shared" si="37"/>
        <v>Australia</v>
      </c>
      <c r="Y347" s="7" t="str" cm="1">
        <f t="array" ref="Y347">IF(H347="",IFERROR(INDEX($H$2:$H$1166,MATCH(MAX(COUNTIF($H$2:$H$1166,$H$2:$H$1166)),COUNTIF($H$2:$H$1166,$H$2:$H$1166),0)),"Unknown"),H347)</f>
        <v>Verified</v>
      </c>
      <c r="Z347" s="7" t="str">
        <f t="shared" si="38"/>
        <v>Outer-Transaction</v>
      </c>
      <c r="AA347" s="7">
        <f>IF(J347="",AVERAGE($J:$J),J347)</f>
        <v>2283.54</v>
      </c>
      <c r="AB347" s="7">
        <f>IF(N347="",AVERAGE($N:$N),N347)</f>
        <v>51</v>
      </c>
      <c r="AC347" s="7">
        <f t="shared" si="39"/>
        <v>2022</v>
      </c>
      <c r="AD347" s="7">
        <f t="shared" si="40"/>
        <v>4</v>
      </c>
      <c r="AE347" s="7">
        <f>COUNTIF(A:A,A347)</f>
        <v>1</v>
      </c>
      <c r="AF347" s="7" t="str">
        <f t="shared" si="41"/>
        <v>No</v>
      </c>
    </row>
    <row r="348" spans="1:32">
      <c r="A348" t="s">
        <v>1260</v>
      </c>
      <c r="B348">
        <v>15316025</v>
      </c>
      <c r="C348" t="s">
        <v>1261</v>
      </c>
      <c r="D348" t="s">
        <v>1262</v>
      </c>
      <c r="E348" t="s">
        <v>20</v>
      </c>
      <c r="F348" t="s">
        <v>80</v>
      </c>
      <c r="G348" t="s">
        <v>121</v>
      </c>
      <c r="I348" t="s">
        <v>3371</v>
      </c>
      <c r="J348">
        <v>12023.76</v>
      </c>
      <c r="K348" t="s">
        <v>47</v>
      </c>
      <c r="L348" t="s">
        <v>81</v>
      </c>
      <c r="M348" s="1">
        <v>45445.184027777781</v>
      </c>
      <c r="N348">
        <v>65</v>
      </c>
      <c r="O348" t="s">
        <v>62</v>
      </c>
      <c r="P348" t="s">
        <v>54</v>
      </c>
      <c r="Q348" t="s">
        <v>1263</v>
      </c>
      <c r="R348">
        <f t="shared" si="35"/>
        <v>15316025</v>
      </c>
      <c r="S348" t="str" cm="1">
        <f t="array" ref="S348">IF(C348="",IFERROR(INDEX($C$2:$C$1166,MATCH(MAX(COUNTIF($C$2:$C$1166,$C$2:$C$1166)),COUNTIF($C$2:$C$1166,$C$2:$C$1166),0)),"Unknown"),C348)</f>
        <v>Charles Silva</v>
      </c>
      <c r="T348" s="4" t="str" cm="1">
        <f t="array" ref="T348">IF(D348="",IFERROR(INDEX($D$2:$D$1000,MATCH(MAX(COUNTIF($D$2:$D$1166,$D$2:$D$1166)),COUNTIF($D$2:$D$1166,$D$2:$D$1166),0)),"Unknown"),D348)</f>
        <v>Jessica Nair</v>
      </c>
      <c r="U348" t="str">
        <f t="shared" si="36"/>
        <v>USD</v>
      </c>
      <c r="V348" s="7" t="str">
        <f t="shared" si="36"/>
        <v>INR</v>
      </c>
      <c r="W348" s="7" t="str">
        <f t="shared" si="37"/>
        <v>Australia</v>
      </c>
      <c r="X348" s="7" t="str">
        <f t="shared" si="37"/>
        <v>India</v>
      </c>
      <c r="Y348" s="7" t="str" cm="1">
        <f t="array" ref="Y348">IF(H348="",IFERROR(INDEX($H$2:$H$1166,MATCH(MAX(COUNTIF($H$2:$H$1166,$H$2:$H$1166)),COUNTIF($H$2:$H$1166,$H$2:$H$1166),0)),"Unknown"),H348)</f>
        <v>Pending</v>
      </c>
      <c r="Z348" s="7" t="str">
        <f t="shared" si="38"/>
        <v>Outer-Transaction</v>
      </c>
      <c r="AA348" s="7">
        <f>IF(J348="",AVERAGE($J:$J),J348)</f>
        <v>12023.76</v>
      </c>
      <c r="AB348" s="7">
        <f>IF(N348="",AVERAGE($N:$N),N348)</f>
        <v>65</v>
      </c>
      <c r="AC348" s="7">
        <f t="shared" si="39"/>
        <v>2024</v>
      </c>
      <c r="AD348" s="7">
        <f t="shared" si="40"/>
        <v>6</v>
      </c>
      <c r="AE348" s="7">
        <f>COUNTIF(A:A,A348)</f>
        <v>1</v>
      </c>
      <c r="AF348" s="7" t="str">
        <f t="shared" si="41"/>
        <v>No</v>
      </c>
    </row>
    <row r="349" spans="1:32">
      <c r="A349" t="s">
        <v>1264</v>
      </c>
      <c r="B349">
        <v>37409946</v>
      </c>
      <c r="C349" t="s">
        <v>212</v>
      </c>
      <c r="D349" t="s">
        <v>1265</v>
      </c>
      <c r="E349" t="s">
        <v>20</v>
      </c>
      <c r="F349" t="s">
        <v>121</v>
      </c>
      <c r="G349" t="s">
        <v>121</v>
      </c>
      <c r="H349" t="s">
        <v>56</v>
      </c>
      <c r="I349" t="s">
        <v>3371</v>
      </c>
      <c r="J349">
        <v>9091.7099999999991</v>
      </c>
      <c r="K349" t="s">
        <v>57</v>
      </c>
      <c r="L349" t="s">
        <v>75</v>
      </c>
      <c r="M349" s="1">
        <v>44512.518055555556</v>
      </c>
      <c r="N349">
        <v>18</v>
      </c>
      <c r="O349" t="s">
        <v>23</v>
      </c>
      <c r="P349" t="s">
        <v>54</v>
      </c>
      <c r="Q349" t="s">
        <v>1266</v>
      </c>
      <c r="R349">
        <f t="shared" si="35"/>
        <v>37409946</v>
      </c>
      <c r="S349" t="str" cm="1">
        <f t="array" ref="S349">IF(C349="",IFERROR(INDEX($C$2:$C$1166,MATCH(MAX(COUNTIF($C$2:$C$1166,$C$2:$C$1166)),COUNTIF($C$2:$C$1166,$C$2:$C$1166),0)),"Unknown"),C349)</f>
        <v>Michael Williams</v>
      </c>
      <c r="T349" s="4" t="str" cm="1">
        <f t="array" ref="T349">IF(D349="",IFERROR(INDEX($D$2:$D$1000,MATCH(MAX(COUNTIF($D$2:$D$1166,$D$2:$D$1166)),COUNTIF($D$2:$D$1166,$D$2:$D$1166),0)),"Unknown"),D349)</f>
        <v>Linda Jackson</v>
      </c>
      <c r="U349" t="str">
        <f t="shared" si="36"/>
        <v>INR</v>
      </c>
      <c r="V349" s="7" t="str">
        <f t="shared" si="36"/>
        <v>INR</v>
      </c>
      <c r="W349" s="7" t="str">
        <f t="shared" si="37"/>
        <v>France</v>
      </c>
      <c r="X349" s="7" t="str">
        <f t="shared" si="37"/>
        <v>India</v>
      </c>
      <c r="Y349" s="7" t="str" cm="1">
        <f t="array" ref="Y349">IF(H349="",IFERROR(INDEX($H$2:$H$1166,MATCH(MAX(COUNTIF($H$2:$H$1166,$H$2:$H$1166)),COUNTIF($H$2:$H$1166,$H$2:$H$1166),0)),"Unknown"),H349)</f>
        <v>Unverified</v>
      </c>
      <c r="Z349" s="7" t="str">
        <f t="shared" si="38"/>
        <v>Outer-Transaction</v>
      </c>
      <c r="AA349" s="7">
        <f>IF(J349="",AVERAGE($J:$J),J349)</f>
        <v>9091.7099999999991</v>
      </c>
      <c r="AB349" s="7">
        <f>IF(N349="",AVERAGE($N:$N),N349)</f>
        <v>18</v>
      </c>
      <c r="AC349" s="7">
        <f t="shared" si="39"/>
        <v>2021</v>
      </c>
      <c r="AD349" s="7">
        <f t="shared" si="40"/>
        <v>11</v>
      </c>
      <c r="AE349" s="7">
        <f>COUNTIF(A:A,A349)</f>
        <v>1</v>
      </c>
      <c r="AF349" s="7" t="str">
        <f t="shared" si="41"/>
        <v>No</v>
      </c>
    </row>
    <row r="350" spans="1:32">
      <c r="A350" t="s">
        <v>1267</v>
      </c>
      <c r="B350">
        <v>69240493</v>
      </c>
      <c r="C350" t="s">
        <v>1268</v>
      </c>
      <c r="D350" t="s">
        <v>1269</v>
      </c>
      <c r="E350" t="b">
        <v>0</v>
      </c>
      <c r="F350" t="s">
        <v>91</v>
      </c>
      <c r="G350" t="s">
        <v>44</v>
      </c>
      <c r="H350" t="s">
        <v>38</v>
      </c>
      <c r="I350" t="s">
        <v>3376</v>
      </c>
      <c r="J350">
        <v>2300.4499999999998</v>
      </c>
      <c r="K350" t="s">
        <v>47</v>
      </c>
      <c r="L350" t="s">
        <v>75</v>
      </c>
      <c r="M350" s="1">
        <v>45154.557638888888</v>
      </c>
      <c r="N350">
        <v>33</v>
      </c>
      <c r="O350" t="s">
        <v>55</v>
      </c>
      <c r="P350" t="s">
        <v>54</v>
      </c>
      <c r="Q350" t="s">
        <v>1270</v>
      </c>
      <c r="R350">
        <f t="shared" si="35"/>
        <v>69240493</v>
      </c>
      <c r="S350" t="str" cm="1">
        <f t="array" ref="S350">IF(C350="",IFERROR(INDEX($C$2:$C$1166,MATCH(MAX(COUNTIF($C$2:$C$1166,$C$2:$C$1166)),COUNTIF($C$2:$C$1166,$C$2:$C$1166),0)),"Unknown"),C350)</f>
        <v>Jessica Taylor</v>
      </c>
      <c r="T350" s="4" t="str" cm="1">
        <f t="array" ref="T350">IF(D350="",IFERROR(INDEX($D$2:$D$1000,MATCH(MAX(COUNTIF($D$2:$D$1166,$D$2:$D$1166)),COUNTIF($D$2:$D$1166,$D$2:$D$1166),0)),"Unknown"),D350)</f>
        <v>Nancy Al-Sayed</v>
      </c>
      <c r="U350" t="str">
        <f t="shared" si="36"/>
        <v>gbp</v>
      </c>
      <c r="V350" s="7" t="str">
        <f t="shared" si="36"/>
        <v>SGD</v>
      </c>
      <c r="W350" s="7" t="str">
        <f t="shared" si="37"/>
        <v>UK</v>
      </c>
      <c r="X350" s="7" t="str">
        <f t="shared" si="37"/>
        <v>India</v>
      </c>
      <c r="Y350" s="7" t="str" cm="1">
        <f t="array" ref="Y350">IF(H350="",IFERROR(INDEX($H$2:$H$1166,MATCH(MAX(COUNTIF($H$2:$H$1166,$H$2:$H$1166)),COUNTIF($H$2:$H$1166,$H$2:$H$1166),0)),"Unknown"),H350)</f>
        <v>Pending</v>
      </c>
      <c r="Z350" s="7" t="str">
        <f t="shared" si="38"/>
        <v>Internal</v>
      </c>
      <c r="AA350" s="7">
        <f>IF(J350="",AVERAGE($J:$J),J350)</f>
        <v>2300.4499999999998</v>
      </c>
      <c r="AB350" s="7">
        <f>IF(N350="",AVERAGE($N:$N),N350)</f>
        <v>33</v>
      </c>
      <c r="AC350" s="7">
        <f t="shared" si="39"/>
        <v>2023</v>
      </c>
      <c r="AD350" s="7">
        <f t="shared" si="40"/>
        <v>8</v>
      </c>
      <c r="AE350" s="7">
        <f>COUNTIF(A:A,A350)</f>
        <v>1</v>
      </c>
      <c r="AF350" s="7" t="str">
        <f t="shared" si="41"/>
        <v>No</v>
      </c>
    </row>
    <row r="351" spans="1:32">
      <c r="A351" t="s">
        <v>1271</v>
      </c>
      <c r="B351">
        <v>30766764</v>
      </c>
      <c r="C351" t="s">
        <v>1272</v>
      </c>
      <c r="D351" t="s">
        <v>1117</v>
      </c>
      <c r="E351" t="s">
        <v>3375</v>
      </c>
      <c r="F351" t="s">
        <v>22</v>
      </c>
      <c r="G351" t="s">
        <v>22</v>
      </c>
      <c r="H351" t="s">
        <v>56</v>
      </c>
      <c r="I351" t="s">
        <v>3372</v>
      </c>
      <c r="J351">
        <v>4624.08</v>
      </c>
      <c r="K351" t="s">
        <v>27</v>
      </c>
      <c r="L351" t="s">
        <v>28</v>
      </c>
      <c r="M351" s="1">
        <v>43912.115277777775</v>
      </c>
      <c r="N351">
        <v>78</v>
      </c>
      <c r="O351" t="s">
        <v>62</v>
      </c>
      <c r="P351" t="s">
        <v>68</v>
      </c>
      <c r="Q351" t="s">
        <v>1273</v>
      </c>
      <c r="R351">
        <f t="shared" si="35"/>
        <v>30766764</v>
      </c>
      <c r="S351" t="str" cm="1">
        <f t="array" ref="S351">IF(C351="",IFERROR(INDEX($C$2:$C$1166,MATCH(MAX(COUNTIF($C$2:$C$1166,$C$2:$C$1166)),COUNTIF($C$2:$C$1166,$C$2:$C$1166),0)),"Unknown"),C351)</f>
        <v>Priya Miller</v>
      </c>
      <c r="T351" s="4" t="str" cm="1">
        <f t="array" ref="T351">IF(D351="",IFERROR(INDEX($D$2:$D$1000,MATCH(MAX(COUNTIF($D$2:$D$1166,$D$2:$D$1166)),COUNTIF($D$2:$D$1166,$D$2:$D$1166),0)),"Unknown"),D351)</f>
        <v>John Smith</v>
      </c>
      <c r="U351" t="str">
        <f t="shared" si="36"/>
        <v>BRL</v>
      </c>
      <c r="V351" s="7" t="str">
        <f t="shared" si="36"/>
        <v>BRL</v>
      </c>
      <c r="W351" s="7" t="str">
        <f t="shared" si="37"/>
        <v>Australia</v>
      </c>
      <c r="X351" s="7" t="str">
        <f t="shared" si="37"/>
        <v>UAE</v>
      </c>
      <c r="Y351" s="7" t="str" cm="1">
        <f t="array" ref="Y351">IF(H351="",IFERROR(INDEX($H$2:$H$1166,MATCH(MAX(COUNTIF($H$2:$H$1166,$H$2:$H$1166)),COUNTIF($H$2:$H$1166,$H$2:$H$1166),0)),"Unknown"),H351)</f>
        <v>Unverified</v>
      </c>
      <c r="Z351" s="7" t="str">
        <f t="shared" si="38"/>
        <v>Outer-Transaction</v>
      </c>
      <c r="AA351" s="7">
        <f>IF(J351="",AVERAGE($J:$J),J351)</f>
        <v>4624.08</v>
      </c>
      <c r="AB351" s="7">
        <f>IF(N351="",AVERAGE($N:$N),N351)</f>
        <v>78</v>
      </c>
      <c r="AC351" s="7">
        <f t="shared" si="39"/>
        <v>2020</v>
      </c>
      <c r="AD351" s="7">
        <f t="shared" si="40"/>
        <v>3</v>
      </c>
      <c r="AE351" s="7">
        <f>COUNTIF(A:A,A351)</f>
        <v>1</v>
      </c>
      <c r="AF351" s="7" t="str">
        <f t="shared" si="41"/>
        <v>No</v>
      </c>
    </row>
    <row r="352" spans="1:32">
      <c r="A352" t="s">
        <v>1274</v>
      </c>
      <c r="B352">
        <v>56785439</v>
      </c>
      <c r="C352" t="s">
        <v>1219</v>
      </c>
      <c r="D352" t="s">
        <v>1275</v>
      </c>
      <c r="E352" t="s">
        <v>20</v>
      </c>
      <c r="F352" t="s">
        <v>22</v>
      </c>
      <c r="G352" t="s">
        <v>80</v>
      </c>
      <c r="H352" t="s">
        <v>103</v>
      </c>
      <c r="I352" t="s">
        <v>3374</v>
      </c>
      <c r="J352">
        <v>10601.32</v>
      </c>
      <c r="K352" t="s">
        <v>86</v>
      </c>
      <c r="L352" t="s">
        <v>48</v>
      </c>
      <c r="M352" s="1">
        <v>43917.783333333333</v>
      </c>
      <c r="N352">
        <v>81</v>
      </c>
      <c r="O352" t="s">
        <v>36</v>
      </c>
      <c r="P352" t="s">
        <v>55</v>
      </c>
      <c r="Q352" t="s">
        <v>1276</v>
      </c>
      <c r="R352">
        <f t="shared" si="35"/>
        <v>56785439</v>
      </c>
      <c r="S352" t="str" cm="1">
        <f t="array" ref="S352">IF(C352="",IFERROR(INDEX($C$2:$C$1166,MATCH(MAX(COUNTIF($C$2:$C$1166,$C$2:$C$1166)),COUNTIF($C$2:$C$1166,$C$2:$C$1166),0)),"Unknown"),C352)</f>
        <v>Charles Rostova</v>
      </c>
      <c r="T352" s="4" t="str" cm="1">
        <f t="array" ref="T352">IF(D352="",IFERROR(INDEX($D$2:$D$1000,MATCH(MAX(COUNTIF($D$2:$D$1166,$D$2:$D$1166)),COUNTIF($D$2:$D$1166,$D$2:$D$1166),0)),"Unknown"),D352)</f>
        <v xml:space="preserve"> sarah nair   </v>
      </c>
      <c r="U352" t="str">
        <f t="shared" si="36"/>
        <v>BRL</v>
      </c>
      <c r="V352" s="7" t="str">
        <f t="shared" si="36"/>
        <v>USD</v>
      </c>
      <c r="W352" s="7" t="str">
        <f t="shared" si="37"/>
        <v>Germany</v>
      </c>
      <c r="X352" s="7" t="str">
        <f t="shared" si="37"/>
        <v>UK</v>
      </c>
      <c r="Y352" s="7" t="str" cm="1">
        <f t="array" ref="Y352">IF(H352="",IFERROR(INDEX($H$2:$H$1166,MATCH(MAX(COUNTIF($H$2:$H$1166,$H$2:$H$1166)),COUNTIF($H$2:$H$1166,$H$2:$H$1166),0)),"Unknown"),H352)</f>
        <v>Verified</v>
      </c>
      <c r="Z352" s="7" t="str">
        <f t="shared" si="38"/>
        <v>External</v>
      </c>
      <c r="AA352" s="7">
        <f>IF(J352="",AVERAGE($J:$J),J352)</f>
        <v>10601.32</v>
      </c>
      <c r="AB352" s="7">
        <f>IF(N352="",AVERAGE($N:$N),N352)</f>
        <v>81</v>
      </c>
      <c r="AC352" s="7">
        <f t="shared" si="39"/>
        <v>2020</v>
      </c>
      <c r="AD352" s="7">
        <f t="shared" si="40"/>
        <v>3</v>
      </c>
      <c r="AE352" s="7">
        <f>COUNTIF(A:A,A352)</f>
        <v>1</v>
      </c>
      <c r="AF352" s="7" t="str">
        <f t="shared" si="41"/>
        <v>No</v>
      </c>
    </row>
    <row r="353" spans="1:32">
      <c r="A353" t="s">
        <v>1277</v>
      </c>
      <c r="B353">
        <v>25667321</v>
      </c>
      <c r="C353" t="s">
        <v>1278</v>
      </c>
      <c r="D353" t="s">
        <v>1279</v>
      </c>
      <c r="E353" t="s">
        <v>3375</v>
      </c>
      <c r="F353" t="s">
        <v>92</v>
      </c>
      <c r="G353" t="s">
        <v>22</v>
      </c>
      <c r="H353" t="s">
        <v>56</v>
      </c>
      <c r="I353" t="s">
        <v>3378</v>
      </c>
      <c r="J353">
        <v>10380.629999999999</v>
      </c>
      <c r="K353" t="s">
        <v>27</v>
      </c>
      <c r="L353" t="s">
        <v>81</v>
      </c>
      <c r="M353" s="1">
        <v>46103.115972222222</v>
      </c>
      <c r="N353">
        <v>80</v>
      </c>
      <c r="O353" t="s">
        <v>36</v>
      </c>
      <c r="P353" t="s">
        <v>93</v>
      </c>
      <c r="Q353" t="s">
        <v>1280</v>
      </c>
      <c r="R353">
        <f t="shared" si="35"/>
        <v>25667321</v>
      </c>
      <c r="S353" t="str" cm="1">
        <f t="array" ref="S353">IF(C353="",IFERROR(INDEX($C$2:$C$1166,MATCH(MAX(COUNTIF($C$2:$C$1166,$C$2:$C$1166)),COUNTIF($C$2:$C$1166,$C$2:$C$1166),0)),"Unknown"),C353)</f>
        <v>Jean-Pierre Williams</v>
      </c>
      <c r="T353" s="4" t="str" cm="1">
        <f t="array" ref="T353">IF(D353="",IFERROR(INDEX($D$2:$D$1000,MATCH(MAX(COUNTIF($D$2:$D$1166,$D$2:$D$1166)),COUNTIF($D$2:$D$1166,$D$2:$D$1166),0)),"Unknown"),D353)</f>
        <v>Sanjay Rostova</v>
      </c>
      <c r="U353" t="str">
        <f t="shared" si="36"/>
        <v>AUD</v>
      </c>
      <c r="V353" s="7" t="str">
        <f t="shared" si="36"/>
        <v>BRL</v>
      </c>
      <c r="W353" s="7" t="str">
        <f t="shared" si="37"/>
        <v>Germany</v>
      </c>
      <c r="X353" s="7" t="str">
        <f t="shared" si="37"/>
        <v>USA</v>
      </c>
      <c r="Y353" s="7" t="str" cm="1">
        <f t="array" ref="Y353">IF(H353="",IFERROR(INDEX($H$2:$H$1166,MATCH(MAX(COUNTIF($H$2:$H$1166,$H$2:$H$1166)),COUNTIF($H$2:$H$1166,$H$2:$H$1166),0)),"Unknown"),H353)</f>
        <v>Unverified</v>
      </c>
      <c r="Z353" s="7" t="str">
        <f t="shared" si="38"/>
        <v>Inter-Transaction</v>
      </c>
      <c r="AA353" s="7">
        <f>IF(J353="",AVERAGE($J:$J),J353)</f>
        <v>10380.629999999999</v>
      </c>
      <c r="AB353" s="7">
        <f>IF(N353="",AVERAGE($N:$N),N353)</f>
        <v>80</v>
      </c>
      <c r="AC353" s="7">
        <f t="shared" si="39"/>
        <v>2026</v>
      </c>
      <c r="AD353" s="7">
        <f t="shared" si="40"/>
        <v>3</v>
      </c>
      <c r="AE353" s="7">
        <f>COUNTIF(A:A,A353)</f>
        <v>1</v>
      </c>
      <c r="AF353" s="7" t="str">
        <f t="shared" si="41"/>
        <v>No</v>
      </c>
    </row>
    <row r="354" spans="1:32">
      <c r="A354" t="s">
        <v>1281</v>
      </c>
      <c r="B354">
        <v>29154679</v>
      </c>
      <c r="C354" t="s">
        <v>1096</v>
      </c>
      <c r="D354" t="s">
        <v>203</v>
      </c>
      <c r="E354" t="s">
        <v>20</v>
      </c>
      <c r="F354" t="s">
        <v>392</v>
      </c>
      <c r="G354" t="s">
        <v>53</v>
      </c>
      <c r="H354" t="s">
        <v>56</v>
      </c>
      <c r="I354" t="s">
        <v>3376</v>
      </c>
      <c r="J354">
        <v>6258.47</v>
      </c>
      <c r="K354" t="s">
        <v>57</v>
      </c>
      <c r="L354" t="s">
        <v>81</v>
      </c>
      <c r="M354" s="1">
        <v>45894.549305555556</v>
      </c>
      <c r="N354">
        <v>39</v>
      </c>
      <c r="O354" t="s">
        <v>54</v>
      </c>
      <c r="P354" t="s">
        <v>54</v>
      </c>
      <c r="Q354" t="s">
        <v>1282</v>
      </c>
      <c r="R354">
        <f t="shared" si="35"/>
        <v>29154679</v>
      </c>
      <c r="S354" t="str" cm="1">
        <f t="array" ref="S354">IF(C354="",IFERROR(INDEX($C$2:$C$1166,MATCH(MAX(COUNTIF($C$2:$C$1166,$C$2:$C$1166)),COUNTIF($C$2:$C$1166,$C$2:$C$1166),0)),"Unknown"),C354)</f>
        <v>David Al-Sayed</v>
      </c>
      <c r="T354" s="4" t="str" cm="1">
        <f t="array" ref="T354">IF(D354="",IFERROR(INDEX($D$2:$D$1000,MATCH(MAX(COUNTIF($D$2:$D$1166,$D$2:$D$1166)),COUNTIF($D$2:$D$1166,$D$2:$D$1166),0)),"Unknown"),D354)</f>
        <v>William Souza</v>
      </c>
      <c r="U354" t="str">
        <f t="shared" si="36"/>
        <v>brl</v>
      </c>
      <c r="V354" s="7" t="str">
        <f t="shared" si="36"/>
        <v>AED</v>
      </c>
      <c r="W354" s="7" t="str">
        <f t="shared" si="37"/>
        <v>India</v>
      </c>
      <c r="X354" s="7" t="str">
        <f t="shared" si="37"/>
        <v>India</v>
      </c>
      <c r="Y354" s="7" t="str" cm="1">
        <f t="array" ref="Y354">IF(H354="",IFERROR(INDEX($H$2:$H$1166,MATCH(MAX(COUNTIF($H$2:$H$1166,$H$2:$H$1166)),COUNTIF($H$2:$H$1166,$H$2:$H$1166),0)),"Unknown"),H354)</f>
        <v>Unverified</v>
      </c>
      <c r="Z354" s="7" t="str">
        <f t="shared" si="38"/>
        <v>Internal</v>
      </c>
      <c r="AA354" s="7">
        <f>IF(J354="",AVERAGE($J:$J),J354)</f>
        <v>6258.47</v>
      </c>
      <c r="AB354" s="7">
        <f>IF(N354="",AVERAGE($N:$N),N354)</f>
        <v>39</v>
      </c>
      <c r="AC354" s="7">
        <f t="shared" si="39"/>
        <v>2025</v>
      </c>
      <c r="AD354" s="7">
        <f t="shared" si="40"/>
        <v>8</v>
      </c>
      <c r="AE354" s="7">
        <f>COUNTIF(A:A,A354)</f>
        <v>1</v>
      </c>
      <c r="AF354" s="7" t="str">
        <f t="shared" si="41"/>
        <v>No</v>
      </c>
    </row>
    <row r="355" spans="1:32">
      <c r="A355" t="s">
        <v>1283</v>
      </c>
      <c r="B355">
        <v>38531115</v>
      </c>
      <c r="C355" t="s">
        <v>1284</v>
      </c>
      <c r="D355" t="s">
        <v>951</v>
      </c>
      <c r="E355" t="s">
        <v>20</v>
      </c>
      <c r="F355" t="s">
        <v>121</v>
      </c>
      <c r="G355" t="s">
        <v>53</v>
      </c>
      <c r="I355" t="s">
        <v>3371</v>
      </c>
      <c r="J355">
        <v>1206.3499999999999</v>
      </c>
      <c r="K355" t="s">
        <v>86</v>
      </c>
      <c r="L355" t="s">
        <v>81</v>
      </c>
      <c r="M355" s="1">
        <v>44652.477777777778</v>
      </c>
      <c r="N355">
        <v>84</v>
      </c>
      <c r="O355" t="s">
        <v>68</v>
      </c>
      <c r="P355" t="s">
        <v>23</v>
      </c>
      <c r="Q355" t="s">
        <v>1285</v>
      </c>
      <c r="R355">
        <f t="shared" si="35"/>
        <v>38531115</v>
      </c>
      <c r="S355" t="str" cm="1">
        <f t="array" ref="S355">IF(C355="",IFERROR(INDEX($C$2:$C$1166,MATCH(MAX(COUNTIF($C$2:$C$1166,$C$2:$C$1166)),COUNTIF($C$2:$C$1166,$C$2:$C$1166),0)),"Unknown"),C355)</f>
        <v>Linda Miller</v>
      </c>
      <c r="T355" s="4" t="str" cm="1">
        <f t="array" ref="T355">IF(D355="",IFERROR(INDEX($D$2:$D$1000,MATCH(MAX(COUNTIF($D$2:$D$1166,$D$2:$D$1166)),COUNTIF($D$2:$D$1166,$D$2:$D$1166),0)),"Unknown"),D355)</f>
        <v>Mary Al-Sayed</v>
      </c>
      <c r="U355" t="str">
        <f t="shared" si="36"/>
        <v>INR</v>
      </c>
      <c r="V355" s="7" t="str">
        <f t="shared" si="36"/>
        <v>AED</v>
      </c>
      <c r="W355" s="7" t="str">
        <f t="shared" si="37"/>
        <v>UAE</v>
      </c>
      <c r="X355" s="7" t="str">
        <f t="shared" si="37"/>
        <v>France</v>
      </c>
      <c r="Y355" s="7" t="str" cm="1">
        <f t="array" ref="Y355">IF(H355="",IFERROR(INDEX($H$2:$H$1166,MATCH(MAX(COUNTIF($H$2:$H$1166,$H$2:$H$1166)),COUNTIF($H$2:$H$1166,$H$2:$H$1166),0)),"Unknown"),H355)</f>
        <v>Pending</v>
      </c>
      <c r="Z355" s="7" t="str">
        <f t="shared" si="38"/>
        <v>Outer-Transaction</v>
      </c>
      <c r="AA355" s="7">
        <f>IF(J355="",AVERAGE($J:$J),J355)</f>
        <v>1206.3499999999999</v>
      </c>
      <c r="AB355" s="7">
        <f>IF(N355="",AVERAGE($N:$N),N355)</f>
        <v>84</v>
      </c>
      <c r="AC355" s="7">
        <f t="shared" si="39"/>
        <v>2022</v>
      </c>
      <c r="AD355" s="7">
        <f t="shared" si="40"/>
        <v>4</v>
      </c>
      <c r="AE355" s="7">
        <f>COUNTIF(A:A,A355)</f>
        <v>1</v>
      </c>
      <c r="AF355" s="7" t="str">
        <f t="shared" si="41"/>
        <v>No</v>
      </c>
    </row>
    <row r="356" spans="1:32">
      <c r="A356" t="s">
        <v>1286</v>
      </c>
      <c r="B356">
        <v>10969945</v>
      </c>
      <c r="C356" t="s">
        <v>1287</v>
      </c>
      <c r="D356" t="s">
        <v>882</v>
      </c>
      <c r="E356" t="s">
        <v>20</v>
      </c>
      <c r="F356" t="s">
        <v>98</v>
      </c>
      <c r="G356" t="s">
        <v>80</v>
      </c>
      <c r="H356" t="s">
        <v>103</v>
      </c>
      <c r="I356" t="s">
        <v>3376</v>
      </c>
      <c r="J356">
        <v>6447.51</v>
      </c>
      <c r="K356" t="s">
        <v>57</v>
      </c>
      <c r="L356" t="s">
        <v>75</v>
      </c>
      <c r="M356" s="1">
        <v>43993.427777777775</v>
      </c>
      <c r="N356">
        <v>43</v>
      </c>
      <c r="O356" t="s">
        <v>54</v>
      </c>
      <c r="P356" t="s">
        <v>37</v>
      </c>
      <c r="Q356" t="s">
        <v>1288</v>
      </c>
      <c r="R356">
        <f t="shared" si="35"/>
        <v>10969945</v>
      </c>
      <c r="S356" t="str" cm="1">
        <f t="array" ref="S356">IF(C356="",IFERROR(INDEX($C$2:$C$1166,MATCH(MAX(COUNTIF($C$2:$C$1166,$C$2:$C$1166)),COUNTIF($C$2:$C$1166,$C$2:$C$1166),0)),"Unknown"),C356)</f>
        <v>Marta Jackson</v>
      </c>
      <c r="T356" s="4" t="str" cm="1">
        <f t="array" ref="T356">IF(D356="",IFERROR(INDEX($D$2:$D$1000,MATCH(MAX(COUNTIF($D$2:$D$1166,$D$2:$D$1166)),COUNTIF($D$2:$D$1166,$D$2:$D$1166),0)),"Unknown"),D356)</f>
        <v>Lucas Johnson</v>
      </c>
      <c r="U356" t="str">
        <f t="shared" si="36"/>
        <v>JPY</v>
      </c>
      <c r="V356" s="7" t="str">
        <f t="shared" si="36"/>
        <v>USD</v>
      </c>
      <c r="W356" s="7" t="str">
        <f t="shared" si="37"/>
        <v>India</v>
      </c>
      <c r="X356" s="7" t="str">
        <f t="shared" si="37"/>
        <v>South Africa</v>
      </c>
      <c r="Y356" s="7" t="str" cm="1">
        <f t="array" ref="Y356">IF(H356="",IFERROR(INDEX($H$2:$H$1166,MATCH(MAX(COUNTIF($H$2:$H$1166,$H$2:$H$1166)),COUNTIF($H$2:$H$1166,$H$2:$H$1166),0)),"Unknown"),H356)</f>
        <v>Verified</v>
      </c>
      <c r="Z356" s="7" t="str">
        <f t="shared" si="38"/>
        <v>Internal</v>
      </c>
      <c r="AA356" s="7">
        <f>IF(J356="",AVERAGE($J:$J),J356)</f>
        <v>6447.51</v>
      </c>
      <c r="AB356" s="7">
        <f>IF(N356="",AVERAGE($N:$N),N356)</f>
        <v>43</v>
      </c>
      <c r="AC356" s="7">
        <f t="shared" si="39"/>
        <v>2020</v>
      </c>
      <c r="AD356" s="7">
        <f t="shared" si="40"/>
        <v>6</v>
      </c>
      <c r="AE356" s="7">
        <f>COUNTIF(A:A,A356)</f>
        <v>1</v>
      </c>
      <c r="AF356" s="7" t="str">
        <f t="shared" si="41"/>
        <v>No</v>
      </c>
    </row>
    <row r="357" spans="1:32">
      <c r="A357" t="s">
        <v>1289</v>
      </c>
      <c r="B357">
        <v>71326664</v>
      </c>
      <c r="C357" t="s">
        <v>1290</v>
      </c>
      <c r="E357" t="s">
        <v>20</v>
      </c>
      <c r="F357" t="s">
        <v>21</v>
      </c>
      <c r="G357" t="s">
        <v>80</v>
      </c>
      <c r="H357" t="s">
        <v>103</v>
      </c>
      <c r="I357" t="s">
        <v>3372</v>
      </c>
      <c r="J357">
        <v>9279.09</v>
      </c>
      <c r="K357" t="s">
        <v>39</v>
      </c>
      <c r="L357" t="s">
        <v>81</v>
      </c>
      <c r="M357" s="1">
        <v>46228.324999999997</v>
      </c>
      <c r="N357">
        <v>33</v>
      </c>
      <c r="O357" t="s">
        <v>37</v>
      </c>
      <c r="P357" t="s">
        <v>127</v>
      </c>
      <c r="Q357" t="s">
        <v>1291</v>
      </c>
      <c r="R357">
        <f t="shared" si="35"/>
        <v>71326664</v>
      </c>
      <c r="S357" t="str" cm="1">
        <f t="array" ref="S357">IF(C357="",IFERROR(INDEX($C$2:$C$1166,MATCH(MAX(COUNTIF($C$2:$C$1166,$C$2:$C$1166)),COUNTIF($C$2:$C$1166,$C$2:$C$1166),0)),"Unknown"),C357)</f>
        <v>Zayn Rostova</v>
      </c>
      <c r="T357" s="4" t="str" cm="1">
        <f t="array" ref="T357">IF(D357="",IFERROR(INDEX($D$2:$D$1000,MATCH(MAX(COUNTIF($D$2:$D$1166,$D$2:$D$1166)),COUNTIF($D$2:$D$1166,$D$2:$D$1166),0)),"Unknown"),D357)</f>
        <v>Patricia Smith</v>
      </c>
      <c r="U357" t="str">
        <f t="shared" si="36"/>
        <v>GBP</v>
      </c>
      <c r="V357" s="7" t="str">
        <f t="shared" si="36"/>
        <v>USD</v>
      </c>
      <c r="W357" s="7" t="str">
        <f t="shared" si="37"/>
        <v>South Africa</v>
      </c>
      <c r="X357" s="7" t="str">
        <f t="shared" si="37"/>
        <v>Canada</v>
      </c>
      <c r="Y357" s="7" t="str" cm="1">
        <f t="array" ref="Y357">IF(H357="",IFERROR(INDEX($H$2:$H$1166,MATCH(MAX(COUNTIF($H$2:$H$1166,$H$2:$H$1166)),COUNTIF($H$2:$H$1166,$H$2:$H$1166),0)),"Unknown"),H357)</f>
        <v>Verified</v>
      </c>
      <c r="Z357" s="7" t="str">
        <f t="shared" si="38"/>
        <v>Outer-Transaction</v>
      </c>
      <c r="AA357" s="7">
        <f>IF(J357="",AVERAGE($J:$J),J357)</f>
        <v>9279.09</v>
      </c>
      <c r="AB357" s="7">
        <f>IF(N357="",AVERAGE($N:$N),N357)</f>
        <v>33</v>
      </c>
      <c r="AC357" s="7">
        <f t="shared" si="39"/>
        <v>2026</v>
      </c>
      <c r="AD357" s="7">
        <f t="shared" si="40"/>
        <v>7</v>
      </c>
      <c r="AE357" s="7">
        <f>COUNTIF(A:A,A357)</f>
        <v>1</v>
      </c>
      <c r="AF357" s="7" t="str">
        <f t="shared" si="41"/>
        <v>No</v>
      </c>
    </row>
    <row r="358" spans="1:32">
      <c r="A358" t="s">
        <v>1292</v>
      </c>
      <c r="B358">
        <v>53691252</v>
      </c>
      <c r="C358" t="s">
        <v>1293</v>
      </c>
      <c r="D358" t="s">
        <v>741</v>
      </c>
      <c r="E358" t="s">
        <v>20</v>
      </c>
      <c r="F358" t="s">
        <v>22</v>
      </c>
      <c r="G358" t="s">
        <v>116</v>
      </c>
      <c r="I358" t="s">
        <v>3374</v>
      </c>
      <c r="J358">
        <v>13578.99</v>
      </c>
      <c r="K358" t="s">
        <v>39</v>
      </c>
      <c r="L358" t="s">
        <v>75</v>
      </c>
      <c r="M358" s="1">
        <v>45763.87222222222</v>
      </c>
      <c r="N358">
        <v>68</v>
      </c>
      <c r="O358" t="s">
        <v>62</v>
      </c>
      <c r="P358" t="s">
        <v>23</v>
      </c>
      <c r="Q358" t="s">
        <v>1294</v>
      </c>
      <c r="R358">
        <f t="shared" si="35"/>
        <v>53691252</v>
      </c>
      <c r="S358" t="str" cm="1">
        <f t="array" ref="S358">IF(C358="",IFERROR(INDEX($C$2:$C$1166,MATCH(MAX(COUNTIF($C$2:$C$1166,$C$2:$C$1166)),COUNTIF($C$2:$C$1166,$C$2:$C$1166),0)),"Unknown"),C358)</f>
        <v>Marta Anderson</v>
      </c>
      <c r="T358" s="4" t="str" cm="1">
        <f t="array" ref="T358">IF(D358="",IFERROR(INDEX($D$2:$D$1000,MATCH(MAX(COUNTIF($D$2:$D$1166,$D$2:$D$1166)),COUNTIF($D$2:$D$1166,$D$2:$D$1166),0)),"Unknown"),D358)</f>
        <v>Elizabeth Martin</v>
      </c>
      <c r="U358" t="str">
        <f t="shared" si="36"/>
        <v>BRL</v>
      </c>
      <c r="V358" s="7" t="str">
        <f t="shared" si="36"/>
        <v>CHF</v>
      </c>
      <c r="W358" s="7" t="str">
        <f t="shared" si="37"/>
        <v>Australia</v>
      </c>
      <c r="X358" s="7" t="str">
        <f t="shared" si="37"/>
        <v>France</v>
      </c>
      <c r="Y358" s="7" t="str" cm="1">
        <f t="array" ref="Y358">IF(H358="",IFERROR(INDEX($H$2:$H$1166,MATCH(MAX(COUNTIF($H$2:$H$1166,$H$2:$H$1166)),COUNTIF($H$2:$H$1166,$H$2:$H$1166),0)),"Unknown"),H358)</f>
        <v>Pending</v>
      </c>
      <c r="Z358" s="7" t="str">
        <f t="shared" si="38"/>
        <v>External</v>
      </c>
      <c r="AA358" s="7">
        <f>IF(J358="",AVERAGE($J:$J),J358)</f>
        <v>13578.99</v>
      </c>
      <c r="AB358" s="7">
        <f>IF(N358="",AVERAGE($N:$N),N358)</f>
        <v>68</v>
      </c>
      <c r="AC358" s="7">
        <f t="shared" si="39"/>
        <v>2025</v>
      </c>
      <c r="AD358" s="7">
        <f t="shared" si="40"/>
        <v>4</v>
      </c>
      <c r="AE358" s="7">
        <f>COUNTIF(A:A,A358)</f>
        <v>1</v>
      </c>
      <c r="AF358" s="7" t="str">
        <f t="shared" si="41"/>
        <v>No</v>
      </c>
    </row>
    <row r="359" spans="1:32">
      <c r="A359" t="s">
        <v>1295</v>
      </c>
      <c r="B359">
        <v>21689007</v>
      </c>
      <c r="C359" t="s">
        <v>1296</v>
      </c>
      <c r="D359" t="s">
        <v>1297</v>
      </c>
      <c r="E359" t="s">
        <v>33</v>
      </c>
      <c r="F359" t="s">
        <v>44</v>
      </c>
      <c r="G359" t="s">
        <v>21</v>
      </c>
      <c r="H359" t="s">
        <v>74</v>
      </c>
      <c r="I359" t="s">
        <v>3374</v>
      </c>
      <c r="J359">
        <v>10501.64</v>
      </c>
      <c r="K359" t="s">
        <v>86</v>
      </c>
      <c r="L359" t="s">
        <v>81</v>
      </c>
      <c r="M359" s="1">
        <v>45681.929861111108</v>
      </c>
      <c r="N359">
        <v>74</v>
      </c>
      <c r="O359" t="s">
        <v>68</v>
      </c>
      <c r="P359" t="s">
        <v>93</v>
      </c>
      <c r="Q359" t="s">
        <v>1298</v>
      </c>
      <c r="R359">
        <f t="shared" si="35"/>
        <v>21689007</v>
      </c>
      <c r="S359" t="str" cm="1">
        <f t="array" ref="S359">IF(C359="",IFERROR(INDEX($C$2:$C$1166,MATCH(MAX(COUNTIF($C$2:$C$1166,$C$2:$C$1166)),COUNTIF($C$2:$C$1166,$C$2:$C$1166),0)),"Unknown"),C359)</f>
        <v>Barbara Khan</v>
      </c>
      <c r="T359" s="4" t="str" cm="1">
        <f t="array" ref="T359">IF(D359="",IFERROR(INDEX($D$2:$D$1000,MATCH(MAX(COUNTIF($D$2:$D$1166,$D$2:$D$1166)),COUNTIF($D$2:$D$1166,$D$2:$D$1166),0)),"Unknown"),D359)</f>
        <v>Marta Moore</v>
      </c>
      <c r="U359" t="str">
        <f t="shared" si="36"/>
        <v>SGD</v>
      </c>
      <c r="V359" s="7" t="str">
        <f t="shared" si="36"/>
        <v>GBP</v>
      </c>
      <c r="W359" s="7" t="str">
        <f t="shared" si="37"/>
        <v>UAE</v>
      </c>
      <c r="X359" s="7" t="str">
        <f t="shared" si="37"/>
        <v>USA</v>
      </c>
      <c r="Y359" s="7" t="str" cm="1">
        <f t="array" ref="Y359">IF(H359="",IFERROR(INDEX($H$2:$H$1166,MATCH(MAX(COUNTIF($H$2:$H$1166,$H$2:$H$1166)),COUNTIF($H$2:$H$1166,$H$2:$H$1166),0)),"Unknown"),H359)</f>
        <v>Non-KYC</v>
      </c>
      <c r="Z359" s="7" t="str">
        <f t="shared" si="38"/>
        <v>External</v>
      </c>
      <c r="AA359" s="7">
        <f>IF(J359="",AVERAGE($J:$J),J359)</f>
        <v>10501.64</v>
      </c>
      <c r="AB359" s="7">
        <f>IF(N359="",AVERAGE($N:$N),N359)</f>
        <v>74</v>
      </c>
      <c r="AC359" s="7">
        <f t="shared" si="39"/>
        <v>2025</v>
      </c>
      <c r="AD359" s="7">
        <f t="shared" si="40"/>
        <v>1</v>
      </c>
      <c r="AE359" s="7">
        <f>COUNTIF(A:A,A359)</f>
        <v>1</v>
      </c>
      <c r="AF359" s="7" t="str">
        <f t="shared" si="41"/>
        <v>Yes</v>
      </c>
    </row>
    <row r="360" spans="1:32">
      <c r="A360" t="s">
        <v>1299</v>
      </c>
      <c r="B360">
        <v>26521948</v>
      </c>
      <c r="C360" t="s">
        <v>290</v>
      </c>
      <c r="D360" t="s">
        <v>1300</v>
      </c>
      <c r="E360" t="s">
        <v>20</v>
      </c>
      <c r="F360" t="s">
        <v>44</v>
      </c>
      <c r="G360" t="s">
        <v>35</v>
      </c>
      <c r="H360" t="s">
        <v>25</v>
      </c>
      <c r="I360" t="s">
        <v>3374</v>
      </c>
      <c r="J360">
        <v>5154.95</v>
      </c>
      <c r="K360" t="s">
        <v>39</v>
      </c>
      <c r="L360" t="s">
        <v>81</v>
      </c>
      <c r="M360" s="1">
        <v>45691.455555555556</v>
      </c>
      <c r="N360">
        <v>46</v>
      </c>
      <c r="O360" t="s">
        <v>24</v>
      </c>
      <c r="P360" t="s">
        <v>68</v>
      </c>
      <c r="Q360" t="s">
        <v>1301</v>
      </c>
      <c r="R360">
        <f t="shared" si="35"/>
        <v>26521948</v>
      </c>
      <c r="S360" t="str" cm="1">
        <f t="array" ref="S360">IF(C360="",IFERROR(INDEX($C$2:$C$1166,MATCH(MAX(COUNTIF($C$2:$C$1166,$C$2:$C$1166)),COUNTIF($C$2:$C$1166,$C$2:$C$1166),0)),"Unknown"),C360)</f>
        <v>Marta Jones</v>
      </c>
      <c r="T360" s="4" t="str" cm="1">
        <f t="array" ref="T360">IF(D360="",IFERROR(INDEX($D$2:$D$1000,MATCH(MAX(COUNTIF($D$2:$D$1166,$D$2:$D$1166)),COUNTIF($D$2:$D$1166,$D$2:$D$1166),0)),"Unknown"),D360)</f>
        <v>Priya Moore</v>
      </c>
      <c r="U360" t="str">
        <f t="shared" si="36"/>
        <v>SGD</v>
      </c>
      <c r="V360" s="7" t="str">
        <f t="shared" si="36"/>
        <v>EUR</v>
      </c>
      <c r="W360" s="7" t="str">
        <f t="shared" si="37"/>
        <v>Brazil</v>
      </c>
      <c r="X360" s="7" t="str">
        <f t="shared" si="37"/>
        <v>UAE</v>
      </c>
      <c r="Y360" s="7" t="str" cm="1">
        <f t="array" ref="Y360">IF(H360="",IFERROR(INDEX($H$2:$H$1166,MATCH(MAX(COUNTIF($H$2:$H$1166,$H$2:$H$1166)),COUNTIF($H$2:$H$1166,$H$2:$H$1166),0)),"Unknown"),H360)</f>
        <v>KYC</v>
      </c>
      <c r="Z360" s="7" t="str">
        <f t="shared" si="38"/>
        <v>External</v>
      </c>
      <c r="AA360" s="7">
        <f>IF(J360="",AVERAGE($J:$J),J360)</f>
        <v>5154.95</v>
      </c>
      <c r="AB360" s="7">
        <f>IF(N360="",AVERAGE($N:$N),N360)</f>
        <v>46</v>
      </c>
      <c r="AC360" s="7">
        <f t="shared" si="39"/>
        <v>2025</v>
      </c>
      <c r="AD360" s="7">
        <f t="shared" si="40"/>
        <v>2</v>
      </c>
      <c r="AE360" s="7">
        <f>COUNTIF(A:A,A360)</f>
        <v>1</v>
      </c>
      <c r="AF360" s="7" t="str">
        <f t="shared" si="41"/>
        <v>No</v>
      </c>
    </row>
    <row r="361" spans="1:32">
      <c r="A361" t="s">
        <v>1302</v>
      </c>
      <c r="B361">
        <v>25583513</v>
      </c>
      <c r="C361" t="s">
        <v>701</v>
      </c>
      <c r="D361" t="s">
        <v>1303</v>
      </c>
      <c r="E361" t="s">
        <v>3375</v>
      </c>
      <c r="F361" t="s">
        <v>92</v>
      </c>
      <c r="G361" t="s">
        <v>116</v>
      </c>
      <c r="H361" t="s">
        <v>56</v>
      </c>
      <c r="I361" t="s">
        <v>3378</v>
      </c>
      <c r="J361">
        <v>11571.5</v>
      </c>
      <c r="K361" t="s">
        <v>47</v>
      </c>
      <c r="L361" t="s">
        <v>48</v>
      </c>
      <c r="M361" s="1">
        <v>44946.04791666667</v>
      </c>
      <c r="N361">
        <v>64</v>
      </c>
      <c r="O361" t="s">
        <v>55</v>
      </c>
      <c r="P361" t="s">
        <v>93</v>
      </c>
      <c r="Q361" t="s">
        <v>1304</v>
      </c>
      <c r="R361">
        <f t="shared" si="35"/>
        <v>25583513</v>
      </c>
      <c r="S361" t="str" cm="1">
        <f t="array" ref="S361">IF(C361="",IFERROR(INDEX($C$2:$C$1166,MATCH(MAX(COUNTIF($C$2:$C$1166,$C$2:$C$1166)),COUNTIF($C$2:$C$1166,$C$2:$C$1166),0)),"Unknown"),C361)</f>
        <v>Christopher Lopez</v>
      </c>
      <c r="T361" s="4" t="str" cm="1">
        <f t="array" ref="T361">IF(D361="",IFERROR(INDEX($D$2:$D$1000,MATCH(MAX(COUNTIF($D$2:$D$1166,$D$2:$D$1166)),COUNTIF($D$2:$D$1166,$D$2:$D$1166),0)),"Unknown"),D361)</f>
        <v>Michael Malik</v>
      </c>
      <c r="U361" t="str">
        <f t="shared" si="36"/>
        <v>AUD</v>
      </c>
      <c r="V361" s="7" t="str">
        <f t="shared" si="36"/>
        <v>CHF</v>
      </c>
      <c r="W361" s="7" t="str">
        <f t="shared" si="37"/>
        <v>UK</v>
      </c>
      <c r="X361" s="7" t="str">
        <f t="shared" si="37"/>
        <v>USA</v>
      </c>
      <c r="Y361" s="7" t="str" cm="1">
        <f t="array" ref="Y361">IF(H361="",IFERROR(INDEX($H$2:$H$1166,MATCH(MAX(COUNTIF($H$2:$H$1166,$H$2:$H$1166)),COUNTIF($H$2:$H$1166,$H$2:$H$1166),0)),"Unknown"),H361)</f>
        <v>Unverified</v>
      </c>
      <c r="Z361" s="7" t="str">
        <f t="shared" si="38"/>
        <v>Inter-Transaction</v>
      </c>
      <c r="AA361" s="7">
        <f>IF(J361="",AVERAGE($J:$J),J361)</f>
        <v>11571.5</v>
      </c>
      <c r="AB361" s="7">
        <f>IF(N361="",AVERAGE($N:$N),N361)</f>
        <v>64</v>
      </c>
      <c r="AC361" s="7">
        <f t="shared" si="39"/>
        <v>2023</v>
      </c>
      <c r="AD361" s="7">
        <f t="shared" si="40"/>
        <v>1</v>
      </c>
      <c r="AE361" s="7">
        <f>COUNTIF(A:A,A361)</f>
        <v>1</v>
      </c>
      <c r="AF361" s="7" t="str">
        <f t="shared" si="41"/>
        <v>No</v>
      </c>
    </row>
    <row r="362" spans="1:32">
      <c r="A362" t="s">
        <v>1305</v>
      </c>
      <c r="B362">
        <v>71174364</v>
      </c>
      <c r="C362" t="s">
        <v>357</v>
      </c>
      <c r="D362" t="s">
        <v>1306</v>
      </c>
      <c r="E362" t="s">
        <v>20</v>
      </c>
      <c r="F362" t="s">
        <v>22</v>
      </c>
      <c r="G362" t="s">
        <v>80</v>
      </c>
      <c r="I362" t="s">
        <v>3376</v>
      </c>
      <c r="J362">
        <v>7179.46</v>
      </c>
      <c r="K362" t="s">
        <v>47</v>
      </c>
      <c r="L362" t="s">
        <v>81</v>
      </c>
      <c r="M362" s="1">
        <v>46059.404166666667</v>
      </c>
      <c r="N362">
        <v>79</v>
      </c>
      <c r="O362" t="s">
        <v>62</v>
      </c>
      <c r="P362" t="s">
        <v>127</v>
      </c>
      <c r="Q362" t="s">
        <v>1307</v>
      </c>
      <c r="R362">
        <f t="shared" si="35"/>
        <v>71174364</v>
      </c>
      <c r="S362" t="str" cm="1">
        <f t="array" ref="S362">IF(C362="",IFERROR(INDEX($C$2:$C$1166,MATCH(MAX(COUNTIF($C$2:$C$1166,$C$2:$C$1166)),COUNTIF($C$2:$C$1166,$C$2:$C$1166),0)),"Unknown"),C362)</f>
        <v>Michael Martin</v>
      </c>
      <c r="T362" s="4" t="str" cm="1">
        <f t="array" ref="T362">IF(D362="",IFERROR(INDEX($D$2:$D$1000,MATCH(MAX(COUNTIF($D$2:$D$1166,$D$2:$D$1166)),COUNTIF($D$2:$D$1166,$D$2:$D$1166),0)),"Unknown"),D362)</f>
        <v>Barbara Jones</v>
      </c>
      <c r="U362" t="str">
        <f t="shared" si="36"/>
        <v>BRL</v>
      </c>
      <c r="V362" s="7" t="str">
        <f t="shared" si="36"/>
        <v>USD</v>
      </c>
      <c r="W362" s="7" t="str">
        <f t="shared" si="37"/>
        <v>Australia</v>
      </c>
      <c r="X362" s="7" t="str">
        <f t="shared" si="37"/>
        <v>Canada</v>
      </c>
      <c r="Y362" s="7" t="str" cm="1">
        <f t="array" ref="Y362">IF(H362="",IFERROR(INDEX($H$2:$H$1166,MATCH(MAX(COUNTIF($H$2:$H$1166,$H$2:$H$1166)),COUNTIF($H$2:$H$1166,$H$2:$H$1166),0)),"Unknown"),H362)</f>
        <v>Pending</v>
      </c>
      <c r="Z362" s="7" t="str">
        <f t="shared" si="38"/>
        <v>Internal</v>
      </c>
      <c r="AA362" s="7">
        <f>IF(J362="",AVERAGE($J:$J),J362)</f>
        <v>7179.46</v>
      </c>
      <c r="AB362" s="7">
        <f>IF(N362="",AVERAGE($N:$N),N362)</f>
        <v>79</v>
      </c>
      <c r="AC362" s="7">
        <f t="shared" si="39"/>
        <v>2026</v>
      </c>
      <c r="AD362" s="7">
        <f t="shared" si="40"/>
        <v>2</v>
      </c>
      <c r="AE362" s="7">
        <f>COUNTIF(A:A,A362)</f>
        <v>1</v>
      </c>
      <c r="AF362" s="7" t="str">
        <f t="shared" si="41"/>
        <v>No</v>
      </c>
    </row>
    <row r="363" spans="1:32">
      <c r="A363" t="s">
        <v>1308</v>
      </c>
      <c r="B363">
        <v>40208616</v>
      </c>
      <c r="C363" t="s">
        <v>335</v>
      </c>
      <c r="D363" t="s">
        <v>1309</v>
      </c>
      <c r="E363" t="s">
        <v>20</v>
      </c>
      <c r="F363" t="s">
        <v>21</v>
      </c>
      <c r="G363" t="s">
        <v>44</v>
      </c>
      <c r="H363" t="s">
        <v>25</v>
      </c>
      <c r="I363" t="s">
        <v>3376</v>
      </c>
      <c r="J363">
        <v>5890.36</v>
      </c>
      <c r="K363" t="s">
        <v>39</v>
      </c>
      <c r="L363" t="s">
        <v>81</v>
      </c>
      <c r="M363" s="1">
        <v>45713.232638888891</v>
      </c>
      <c r="N363">
        <v>33</v>
      </c>
      <c r="O363" t="s">
        <v>54</v>
      </c>
      <c r="P363" t="s">
        <v>37</v>
      </c>
      <c r="Q363" t="s">
        <v>1310</v>
      </c>
      <c r="R363">
        <f t="shared" si="35"/>
        <v>40208616</v>
      </c>
      <c r="S363" t="str" cm="1">
        <f t="array" ref="S363">IF(C363="",IFERROR(INDEX($C$2:$C$1166,MATCH(MAX(COUNTIF($C$2:$C$1166,$C$2:$C$1166)),COUNTIF($C$2:$C$1166,$C$2:$C$1166),0)),"Unknown"),C363)</f>
        <v>Elena Al-Sayed</v>
      </c>
      <c r="T363" s="4" t="str" cm="1">
        <f t="array" ref="T363">IF(D363="",IFERROR(INDEX($D$2:$D$1000,MATCH(MAX(COUNTIF($D$2:$D$1166,$D$2:$D$1166)),COUNTIF($D$2:$D$1166,$D$2:$D$1166),0)),"Unknown"),D363)</f>
        <v>Mary Souza</v>
      </c>
      <c r="U363" t="str">
        <f t="shared" si="36"/>
        <v>GBP</v>
      </c>
      <c r="V363" s="7" t="str">
        <f t="shared" si="36"/>
        <v>SGD</v>
      </c>
      <c r="W363" s="7" t="str">
        <f t="shared" si="37"/>
        <v>India</v>
      </c>
      <c r="X363" s="7" t="str">
        <f t="shared" si="37"/>
        <v>South Africa</v>
      </c>
      <c r="Y363" s="7" t="str" cm="1">
        <f t="array" ref="Y363">IF(H363="",IFERROR(INDEX($H$2:$H$1166,MATCH(MAX(COUNTIF($H$2:$H$1166,$H$2:$H$1166)),COUNTIF($H$2:$H$1166,$H$2:$H$1166),0)),"Unknown"),H363)</f>
        <v>KYC</v>
      </c>
      <c r="Z363" s="7" t="str">
        <f t="shared" si="38"/>
        <v>Internal</v>
      </c>
      <c r="AA363" s="7">
        <f>IF(J363="",AVERAGE($J:$J),J363)</f>
        <v>5890.36</v>
      </c>
      <c r="AB363" s="7">
        <f>IF(N363="",AVERAGE($N:$N),N363)</f>
        <v>33</v>
      </c>
      <c r="AC363" s="7">
        <f t="shared" si="39"/>
        <v>2025</v>
      </c>
      <c r="AD363" s="7">
        <f t="shared" si="40"/>
        <v>2</v>
      </c>
      <c r="AE363" s="7">
        <f>COUNTIF(A:A,A363)</f>
        <v>1</v>
      </c>
      <c r="AF363" s="7" t="str">
        <f t="shared" si="41"/>
        <v>No</v>
      </c>
    </row>
    <row r="364" spans="1:32">
      <c r="A364" t="s">
        <v>1311</v>
      </c>
      <c r="B364">
        <v>23062011</v>
      </c>
      <c r="C364" t="s">
        <v>983</v>
      </c>
      <c r="D364" t="s">
        <v>1039</v>
      </c>
      <c r="E364" t="s">
        <v>33</v>
      </c>
      <c r="F364" t="s">
        <v>80</v>
      </c>
      <c r="G364" t="s">
        <v>22</v>
      </c>
      <c r="H364" t="s">
        <v>74</v>
      </c>
      <c r="I364" t="s">
        <v>3371</v>
      </c>
      <c r="J364">
        <v>3279.87</v>
      </c>
      <c r="K364" t="s">
        <v>47</v>
      </c>
      <c r="L364" t="s">
        <v>28</v>
      </c>
      <c r="M364" s="1">
        <v>46371.96597222222</v>
      </c>
      <c r="N364">
        <v>65</v>
      </c>
      <c r="O364" t="s">
        <v>93</v>
      </c>
      <c r="P364" t="s">
        <v>127</v>
      </c>
      <c r="Q364" t="s">
        <v>1312</v>
      </c>
      <c r="R364">
        <f t="shared" si="35"/>
        <v>23062011</v>
      </c>
      <c r="S364" t="str" cm="1">
        <f t="array" ref="S364">IF(C364="",IFERROR(INDEX($C$2:$C$1166,MATCH(MAX(COUNTIF($C$2:$C$1166,$C$2:$C$1166)),COUNTIF($C$2:$C$1166,$C$2:$C$1166),0)),"Unknown"),C364)</f>
        <v>Michael Hernandez</v>
      </c>
      <c r="T364" s="4" t="str" cm="1">
        <f t="array" ref="T364">IF(D364="",IFERROR(INDEX($D$2:$D$1000,MATCH(MAX(COUNTIF($D$2:$D$1166,$D$2:$D$1166)),COUNTIF($D$2:$D$1166,$D$2:$D$1166),0)),"Unknown"),D364)</f>
        <v>Jean-Pierre Silva</v>
      </c>
      <c r="U364" t="str">
        <f t="shared" si="36"/>
        <v>USD</v>
      </c>
      <c r="V364" s="7" t="str">
        <f t="shared" si="36"/>
        <v>BRL</v>
      </c>
      <c r="W364" s="7" t="str">
        <f t="shared" si="37"/>
        <v>USA</v>
      </c>
      <c r="X364" s="7" t="str">
        <f t="shared" si="37"/>
        <v>Canada</v>
      </c>
      <c r="Y364" s="7" t="str" cm="1">
        <f t="array" ref="Y364">IF(H364="",IFERROR(INDEX($H$2:$H$1166,MATCH(MAX(COUNTIF($H$2:$H$1166,$H$2:$H$1166)),COUNTIF($H$2:$H$1166,$H$2:$H$1166),0)),"Unknown"),H364)</f>
        <v>Non-KYC</v>
      </c>
      <c r="Z364" s="7" t="str">
        <f t="shared" si="38"/>
        <v>Outer-Transaction</v>
      </c>
      <c r="AA364" s="7">
        <f>IF(J364="",AVERAGE($J:$J),J364)</f>
        <v>3279.87</v>
      </c>
      <c r="AB364" s="7">
        <f>IF(N364="",AVERAGE($N:$N),N364)</f>
        <v>65</v>
      </c>
      <c r="AC364" s="7">
        <f t="shared" si="39"/>
        <v>2026</v>
      </c>
      <c r="AD364" s="7">
        <f t="shared" si="40"/>
        <v>12</v>
      </c>
      <c r="AE364" s="7">
        <f>COUNTIF(A:A,A364)</f>
        <v>1</v>
      </c>
      <c r="AF364" s="7" t="str">
        <f t="shared" si="41"/>
        <v>Yes</v>
      </c>
    </row>
    <row r="365" spans="1:32">
      <c r="A365" t="s">
        <v>1313</v>
      </c>
      <c r="B365">
        <v>32578497</v>
      </c>
      <c r="C365" t="s">
        <v>885</v>
      </c>
      <c r="D365" t="s">
        <v>1314</v>
      </c>
      <c r="E365">
        <v>0</v>
      </c>
      <c r="F365" t="s">
        <v>21</v>
      </c>
      <c r="G365" t="s">
        <v>80</v>
      </c>
      <c r="I365" t="s">
        <v>3372</v>
      </c>
      <c r="J365">
        <v>3682.57</v>
      </c>
      <c r="K365" t="s">
        <v>86</v>
      </c>
      <c r="L365" t="s">
        <v>48</v>
      </c>
      <c r="M365" s="1">
        <v>44753.45416666667</v>
      </c>
      <c r="N365">
        <v>56</v>
      </c>
      <c r="O365" t="s">
        <v>68</v>
      </c>
      <c r="P365" t="s">
        <v>24</v>
      </c>
      <c r="Q365" t="s">
        <v>1315</v>
      </c>
      <c r="R365">
        <f t="shared" si="35"/>
        <v>32578497</v>
      </c>
      <c r="S365" t="str" cm="1">
        <f t="array" ref="S365">IF(C365="",IFERROR(INDEX($C$2:$C$1166,MATCH(MAX(COUNTIF($C$2:$C$1166,$C$2:$C$1166)),COUNTIF($C$2:$C$1166,$C$2:$C$1166),0)),"Unknown"),C365)</f>
        <v>Priya Johnson</v>
      </c>
      <c r="T365" s="4" t="str" cm="1">
        <f t="array" ref="T365">IF(D365="",IFERROR(INDEX($D$2:$D$1000,MATCH(MAX(COUNTIF($D$2:$D$1166,$D$2:$D$1166)),COUNTIF($D$2:$D$1166,$D$2:$D$1166),0)),"Unknown"),D365)</f>
        <v>Patricia Lopez</v>
      </c>
      <c r="U365" t="str">
        <f t="shared" si="36"/>
        <v>GBP</v>
      </c>
      <c r="V365" s="7" t="str">
        <f t="shared" si="36"/>
        <v>USD</v>
      </c>
      <c r="W365" s="7" t="str">
        <f t="shared" si="37"/>
        <v>UAE</v>
      </c>
      <c r="X365" s="7" t="str">
        <f t="shared" si="37"/>
        <v>Brazil</v>
      </c>
      <c r="Y365" s="7" t="str" cm="1">
        <f t="array" ref="Y365">IF(H365="",IFERROR(INDEX($H$2:$H$1166,MATCH(MAX(COUNTIF($H$2:$H$1166,$H$2:$H$1166)),COUNTIF($H$2:$H$1166,$H$2:$H$1166),0)),"Unknown"),H365)</f>
        <v>Pending</v>
      </c>
      <c r="Z365" s="7" t="str">
        <f t="shared" si="38"/>
        <v>Outer-Transaction</v>
      </c>
      <c r="AA365" s="7">
        <f>IF(J365="",AVERAGE($J:$J),J365)</f>
        <v>3682.57</v>
      </c>
      <c r="AB365" s="7">
        <f>IF(N365="",AVERAGE($N:$N),N365)</f>
        <v>56</v>
      </c>
      <c r="AC365" s="7">
        <f t="shared" si="39"/>
        <v>2022</v>
      </c>
      <c r="AD365" s="7">
        <f t="shared" si="40"/>
        <v>7</v>
      </c>
      <c r="AE365" s="7">
        <f>COUNTIF(A:A,A365)</f>
        <v>1</v>
      </c>
      <c r="AF365" s="7" t="str">
        <f t="shared" si="41"/>
        <v>No</v>
      </c>
    </row>
    <row r="366" spans="1:32">
      <c r="A366" t="s">
        <v>1316</v>
      </c>
      <c r="B366">
        <v>98384904</v>
      </c>
      <c r="C366" t="s">
        <v>61</v>
      </c>
      <c r="D366" t="s">
        <v>401</v>
      </c>
      <c r="E366">
        <v>1</v>
      </c>
      <c r="F366" t="s">
        <v>92</v>
      </c>
      <c r="G366" t="s">
        <v>176</v>
      </c>
      <c r="I366" t="s">
        <v>3374</v>
      </c>
      <c r="J366">
        <v>13628.09</v>
      </c>
      <c r="K366" t="s">
        <v>47</v>
      </c>
      <c r="L366" t="s">
        <v>28</v>
      </c>
      <c r="M366" s="1">
        <v>46006.93472222222</v>
      </c>
      <c r="N366">
        <v>50</v>
      </c>
      <c r="O366" t="s">
        <v>68</v>
      </c>
      <c r="P366" t="s">
        <v>37</v>
      </c>
      <c r="Q366" t="s">
        <v>1317</v>
      </c>
      <c r="R366">
        <f t="shared" si="35"/>
        <v>98384904</v>
      </c>
      <c r="S366" t="str" cm="1">
        <f t="array" ref="S366">IF(C366="",IFERROR(INDEX($C$2:$C$1166,MATCH(MAX(COUNTIF($C$2:$C$1166,$C$2:$C$1166)),COUNTIF($C$2:$C$1166,$C$2:$C$1166),0)),"Unknown"),C366)</f>
        <v>Robert Dubois</v>
      </c>
      <c r="T366" s="4" t="str" cm="1">
        <f t="array" ref="T366">IF(D366="",IFERROR(INDEX($D$2:$D$1000,MATCH(MAX(COUNTIF($D$2:$D$1166,$D$2:$D$1166)),COUNTIF($D$2:$D$1166,$D$2:$D$1166),0)),"Unknown"),D366)</f>
        <v>Thomas Malik</v>
      </c>
      <c r="U366" t="str">
        <f t="shared" si="36"/>
        <v>AUD</v>
      </c>
      <c r="V366" s="7" t="str">
        <f t="shared" si="36"/>
        <v>aed</v>
      </c>
      <c r="W366" s="7" t="str">
        <f t="shared" si="37"/>
        <v>UAE</v>
      </c>
      <c r="X366" s="7" t="str">
        <f t="shared" si="37"/>
        <v>South Africa</v>
      </c>
      <c r="Y366" s="7" t="str" cm="1">
        <f t="array" ref="Y366">IF(H366="",IFERROR(INDEX($H$2:$H$1166,MATCH(MAX(COUNTIF($H$2:$H$1166,$H$2:$H$1166)),COUNTIF($H$2:$H$1166,$H$2:$H$1166),0)),"Unknown"),H366)</f>
        <v>Pending</v>
      </c>
      <c r="Z366" s="7" t="str">
        <f t="shared" si="38"/>
        <v>External</v>
      </c>
      <c r="AA366" s="7">
        <f>IF(J366="",AVERAGE($J:$J),J366)</f>
        <v>13628.09</v>
      </c>
      <c r="AB366" s="7">
        <f>IF(N366="",AVERAGE($N:$N),N366)</f>
        <v>50</v>
      </c>
      <c r="AC366" s="7">
        <f t="shared" si="39"/>
        <v>2025</v>
      </c>
      <c r="AD366" s="7">
        <f t="shared" si="40"/>
        <v>12</v>
      </c>
      <c r="AE366" s="7">
        <f>COUNTIF(A:A,A366)</f>
        <v>1</v>
      </c>
      <c r="AF366" s="7" t="str">
        <f t="shared" si="41"/>
        <v>Yes</v>
      </c>
    </row>
    <row r="367" spans="1:32">
      <c r="A367" t="s">
        <v>1318</v>
      </c>
      <c r="B367">
        <v>86695110</v>
      </c>
      <c r="C367" t="s">
        <v>970</v>
      </c>
      <c r="D367" t="s">
        <v>1319</v>
      </c>
      <c r="E367" t="s">
        <v>20</v>
      </c>
      <c r="F367" t="s">
        <v>98</v>
      </c>
      <c r="G367" t="s">
        <v>21</v>
      </c>
      <c r="I367" t="s">
        <v>3372</v>
      </c>
      <c r="J367">
        <v>968.34</v>
      </c>
      <c r="K367" t="s">
        <v>27</v>
      </c>
      <c r="L367" t="s">
        <v>28</v>
      </c>
      <c r="M367" s="1">
        <v>45280.525000000001</v>
      </c>
      <c r="N367">
        <v>40</v>
      </c>
      <c r="O367" t="s">
        <v>55</v>
      </c>
      <c r="P367" t="s">
        <v>93</v>
      </c>
      <c r="Q367" t="s">
        <v>1320</v>
      </c>
      <c r="R367">
        <f t="shared" si="35"/>
        <v>86695110</v>
      </c>
      <c r="S367" t="str" cm="1">
        <f t="array" ref="S367">IF(C367="",IFERROR(INDEX($C$2:$C$1166,MATCH(MAX(COUNTIF($C$2:$C$1166,$C$2:$C$1166)),COUNTIF($C$2:$C$1166,$C$2:$C$1166),0)),"Unknown"),C367)</f>
        <v>Michael Brown</v>
      </c>
      <c r="T367" s="4" t="str" cm="1">
        <f t="array" ref="T367">IF(D367="",IFERROR(INDEX($D$2:$D$1000,MATCH(MAX(COUNTIF($D$2:$D$1166,$D$2:$D$1166)),COUNTIF($D$2:$D$1166,$D$2:$D$1166),0)),"Unknown"),D367)</f>
        <v>Richard Williams</v>
      </c>
      <c r="U367" t="str">
        <f t="shared" si="36"/>
        <v>JPY</v>
      </c>
      <c r="V367" s="7" t="str">
        <f t="shared" si="36"/>
        <v>GBP</v>
      </c>
      <c r="W367" s="7" t="str">
        <f t="shared" si="37"/>
        <v>UK</v>
      </c>
      <c r="X367" s="7" t="str">
        <f t="shared" si="37"/>
        <v>USA</v>
      </c>
      <c r="Y367" s="7" t="str" cm="1">
        <f t="array" ref="Y367">IF(H367="",IFERROR(INDEX($H$2:$H$1166,MATCH(MAX(COUNTIF($H$2:$H$1166,$H$2:$H$1166)),COUNTIF($H$2:$H$1166,$H$2:$H$1166),0)),"Unknown"),H367)</f>
        <v>Pending</v>
      </c>
      <c r="Z367" s="7" t="str">
        <f t="shared" si="38"/>
        <v>Outer-Transaction</v>
      </c>
      <c r="AA367" s="7">
        <f>IF(J367="",AVERAGE($J:$J),J367)</f>
        <v>968.34</v>
      </c>
      <c r="AB367" s="7">
        <f>IF(N367="",AVERAGE($N:$N),N367)</f>
        <v>40</v>
      </c>
      <c r="AC367" s="7">
        <f t="shared" si="39"/>
        <v>2023</v>
      </c>
      <c r="AD367" s="7">
        <f t="shared" si="40"/>
        <v>12</v>
      </c>
      <c r="AE367" s="7">
        <f>COUNTIF(A:A,A367)</f>
        <v>1</v>
      </c>
      <c r="AF367" s="7" t="str">
        <f t="shared" si="41"/>
        <v>No</v>
      </c>
    </row>
    <row r="368" spans="1:32">
      <c r="A368" t="s">
        <v>1321</v>
      </c>
      <c r="B368">
        <v>15253706</v>
      </c>
      <c r="C368" t="s">
        <v>700</v>
      </c>
      <c r="D368" t="s">
        <v>1322</v>
      </c>
      <c r="E368" t="s">
        <v>20</v>
      </c>
      <c r="F368" t="s">
        <v>98</v>
      </c>
      <c r="G368" t="s">
        <v>53</v>
      </c>
      <c r="H368" t="s">
        <v>38</v>
      </c>
      <c r="I368" t="s">
        <v>3371</v>
      </c>
      <c r="J368">
        <v>6351.54</v>
      </c>
      <c r="K368" t="s">
        <v>86</v>
      </c>
      <c r="L368" t="s">
        <v>48</v>
      </c>
      <c r="M368" s="1">
        <v>45413.208333333336</v>
      </c>
      <c r="N368">
        <v>27</v>
      </c>
      <c r="O368" t="s">
        <v>127</v>
      </c>
      <c r="P368" t="s">
        <v>54</v>
      </c>
      <c r="Q368" t="s">
        <v>1323</v>
      </c>
      <c r="R368">
        <f t="shared" si="35"/>
        <v>15253706</v>
      </c>
      <c r="S368" t="str" cm="1">
        <f t="array" ref="S368">IF(C368="",IFERROR(INDEX($C$2:$C$1166,MATCH(MAX(COUNTIF($C$2:$C$1166,$C$2:$C$1166)),COUNTIF($C$2:$C$1166,$C$2:$C$1166),0)),"Unknown"),C368)</f>
        <v>Michael Jackson</v>
      </c>
      <c r="T368" s="4" t="str" cm="1">
        <f t="array" ref="T368">IF(D368="",IFERROR(INDEX($D$2:$D$1000,MATCH(MAX(COUNTIF($D$2:$D$1166,$D$2:$D$1166)),COUNTIF($D$2:$D$1166,$D$2:$D$1166),0)),"Unknown"),D368)</f>
        <v>William Nair</v>
      </c>
      <c r="U368" t="str">
        <f t="shared" si="36"/>
        <v>JPY</v>
      </c>
      <c r="V368" s="7" t="str">
        <f t="shared" si="36"/>
        <v>AED</v>
      </c>
      <c r="W368" s="7" t="str">
        <f t="shared" si="37"/>
        <v>Canada</v>
      </c>
      <c r="X368" s="7" t="str">
        <f t="shared" si="37"/>
        <v>India</v>
      </c>
      <c r="Y368" s="7" t="str" cm="1">
        <f t="array" ref="Y368">IF(H368="",IFERROR(INDEX($H$2:$H$1166,MATCH(MAX(COUNTIF($H$2:$H$1166,$H$2:$H$1166)),COUNTIF($H$2:$H$1166,$H$2:$H$1166),0)),"Unknown"),H368)</f>
        <v>Pending</v>
      </c>
      <c r="Z368" s="7" t="str">
        <f t="shared" si="38"/>
        <v>Outer-Transaction</v>
      </c>
      <c r="AA368" s="7">
        <f>IF(J368="",AVERAGE($J:$J),J368)</f>
        <v>6351.54</v>
      </c>
      <c r="AB368" s="7">
        <f>IF(N368="",AVERAGE($N:$N),N368)</f>
        <v>27</v>
      </c>
      <c r="AC368" s="7">
        <f t="shared" si="39"/>
        <v>2024</v>
      </c>
      <c r="AD368" s="7">
        <f t="shared" si="40"/>
        <v>5</v>
      </c>
      <c r="AE368" s="7">
        <f>COUNTIF(A:A,A368)</f>
        <v>1</v>
      </c>
      <c r="AF368" s="7" t="str">
        <f t="shared" si="41"/>
        <v>No</v>
      </c>
    </row>
    <row r="369" spans="1:32">
      <c r="A369" t="s">
        <v>1324</v>
      </c>
      <c r="B369">
        <v>57260360</v>
      </c>
      <c r="C369" t="s">
        <v>151</v>
      </c>
      <c r="D369" t="s">
        <v>1029</v>
      </c>
      <c r="E369" t="s">
        <v>20</v>
      </c>
      <c r="F369" t="s">
        <v>45</v>
      </c>
      <c r="G369" t="s">
        <v>80</v>
      </c>
      <c r="H369" t="s">
        <v>38</v>
      </c>
      <c r="I369" t="s">
        <v>3376</v>
      </c>
      <c r="J369">
        <v>3248.44</v>
      </c>
      <c r="K369" t="s">
        <v>57</v>
      </c>
      <c r="L369" t="s">
        <v>75</v>
      </c>
      <c r="M369" s="1">
        <v>44395.242361111108</v>
      </c>
      <c r="N369">
        <v>51</v>
      </c>
      <c r="O369" t="s">
        <v>36</v>
      </c>
      <c r="P369" t="s">
        <v>93</v>
      </c>
      <c r="Q369" t="s">
        <v>1325</v>
      </c>
      <c r="R369">
        <f t="shared" si="35"/>
        <v>57260360</v>
      </c>
      <c r="S369" t="str" cm="1">
        <f t="array" ref="S369">IF(C369="",IFERROR(INDEX($C$2:$C$1166,MATCH(MAX(COUNTIF($C$2:$C$1166,$C$2:$C$1166)),COUNTIF($C$2:$C$1166,$C$2:$C$1166),0)),"Unknown"),C369)</f>
        <v>Nancy Moore</v>
      </c>
      <c r="T369" s="4" t="str" cm="1">
        <f t="array" ref="T369">IF(D369="",IFERROR(INDEX($D$2:$D$1000,MATCH(MAX(COUNTIF($D$2:$D$1166,$D$2:$D$1166)),COUNTIF($D$2:$D$1166,$D$2:$D$1166),0)),"Unknown"),D369)</f>
        <v>Charles Miller</v>
      </c>
      <c r="U369" t="str">
        <f t="shared" si="36"/>
        <v>ZAR</v>
      </c>
      <c r="V369" s="7" t="str">
        <f t="shared" si="36"/>
        <v>USD</v>
      </c>
      <c r="W369" s="7" t="str">
        <f t="shared" si="37"/>
        <v>Germany</v>
      </c>
      <c r="X369" s="7" t="str">
        <f t="shared" si="37"/>
        <v>USA</v>
      </c>
      <c r="Y369" s="7" t="str" cm="1">
        <f t="array" ref="Y369">IF(H369="",IFERROR(INDEX($H$2:$H$1166,MATCH(MAX(COUNTIF($H$2:$H$1166,$H$2:$H$1166)),COUNTIF($H$2:$H$1166,$H$2:$H$1166),0)),"Unknown"),H369)</f>
        <v>Pending</v>
      </c>
      <c r="Z369" s="7" t="str">
        <f t="shared" si="38"/>
        <v>Internal</v>
      </c>
      <c r="AA369" s="7">
        <f>IF(J369="",AVERAGE($J:$J),J369)</f>
        <v>3248.44</v>
      </c>
      <c r="AB369" s="7">
        <f>IF(N369="",AVERAGE($N:$N),N369)</f>
        <v>51</v>
      </c>
      <c r="AC369" s="7">
        <f t="shared" si="39"/>
        <v>2021</v>
      </c>
      <c r="AD369" s="7">
        <f t="shared" si="40"/>
        <v>7</v>
      </c>
      <c r="AE369" s="7">
        <f>COUNTIF(A:A,A369)</f>
        <v>1</v>
      </c>
      <c r="AF369" s="7" t="str">
        <f t="shared" si="41"/>
        <v>No</v>
      </c>
    </row>
    <row r="370" spans="1:32">
      <c r="A370" t="s">
        <v>1326</v>
      </c>
      <c r="B370">
        <v>44115380</v>
      </c>
      <c r="C370" t="s">
        <v>1327</v>
      </c>
      <c r="E370" t="s">
        <v>20</v>
      </c>
      <c r="F370" t="s">
        <v>35</v>
      </c>
      <c r="G370" t="s">
        <v>45</v>
      </c>
      <c r="I370" t="s">
        <v>3374</v>
      </c>
      <c r="J370">
        <v>12309.42</v>
      </c>
      <c r="K370" t="s">
        <v>27</v>
      </c>
      <c r="L370" t="s">
        <v>48</v>
      </c>
      <c r="M370" s="1">
        <v>46331.902777777781</v>
      </c>
      <c r="N370">
        <v>69</v>
      </c>
      <c r="O370" t="s">
        <v>36</v>
      </c>
      <c r="P370" t="s">
        <v>93</v>
      </c>
      <c r="Q370" t="s">
        <v>1328</v>
      </c>
      <c r="R370">
        <f t="shared" si="35"/>
        <v>44115380</v>
      </c>
      <c r="S370" t="str" cm="1">
        <f t="array" ref="S370">IF(C370="",IFERROR(INDEX($C$2:$C$1166,MATCH(MAX(COUNTIF($C$2:$C$1166,$C$2:$C$1166)),COUNTIF($C$2:$C$1166,$C$2:$C$1166),0)),"Unknown"),C370)</f>
        <v>Marta Wilson</v>
      </c>
      <c r="T370" s="4" t="str" cm="1">
        <f t="array" ref="T370">IF(D370="",IFERROR(INDEX($D$2:$D$1000,MATCH(MAX(COUNTIF($D$2:$D$1166,$D$2:$D$1166)),COUNTIF($D$2:$D$1166,$D$2:$D$1166),0)),"Unknown"),D370)</f>
        <v>Patricia Smith</v>
      </c>
      <c r="U370" t="str">
        <f t="shared" si="36"/>
        <v>EUR</v>
      </c>
      <c r="V370" s="7" t="str">
        <f t="shared" si="36"/>
        <v>ZAR</v>
      </c>
      <c r="W370" s="7" t="str">
        <f t="shared" si="37"/>
        <v>Germany</v>
      </c>
      <c r="X370" s="7" t="str">
        <f t="shared" si="37"/>
        <v>USA</v>
      </c>
      <c r="Y370" s="7" t="str" cm="1">
        <f t="array" ref="Y370">IF(H370="",IFERROR(INDEX($H$2:$H$1166,MATCH(MAX(COUNTIF($H$2:$H$1166,$H$2:$H$1166)),COUNTIF($H$2:$H$1166,$H$2:$H$1166),0)),"Unknown"),H370)</f>
        <v>Pending</v>
      </c>
      <c r="Z370" s="7" t="str">
        <f t="shared" si="38"/>
        <v>External</v>
      </c>
      <c r="AA370" s="7">
        <f>IF(J370="",AVERAGE($J:$J),J370)</f>
        <v>12309.42</v>
      </c>
      <c r="AB370" s="7">
        <f>IF(N370="",AVERAGE($N:$N),N370)</f>
        <v>69</v>
      </c>
      <c r="AC370" s="7">
        <f t="shared" si="39"/>
        <v>2026</v>
      </c>
      <c r="AD370" s="7">
        <f t="shared" si="40"/>
        <v>11</v>
      </c>
      <c r="AE370" s="7">
        <f>COUNTIF(A:A,A370)</f>
        <v>1</v>
      </c>
      <c r="AF370" s="7" t="str">
        <f t="shared" si="41"/>
        <v>No</v>
      </c>
    </row>
    <row r="371" spans="1:32">
      <c r="A371" t="s">
        <v>1329</v>
      </c>
      <c r="B371">
        <v>24762625</v>
      </c>
      <c r="C371" t="s">
        <v>1297</v>
      </c>
      <c r="D371" t="s">
        <v>1200</v>
      </c>
      <c r="E371">
        <v>0</v>
      </c>
      <c r="F371" t="s">
        <v>35</v>
      </c>
      <c r="G371" t="s">
        <v>34</v>
      </c>
      <c r="H371" t="s">
        <v>25</v>
      </c>
      <c r="I371" t="s">
        <v>3372</v>
      </c>
      <c r="J371">
        <v>14692.48</v>
      </c>
      <c r="K371" t="s">
        <v>47</v>
      </c>
      <c r="L371" t="s">
        <v>81</v>
      </c>
      <c r="M371" s="1">
        <v>44301.974999999999</v>
      </c>
      <c r="N371">
        <v>27</v>
      </c>
      <c r="O371" t="s">
        <v>93</v>
      </c>
      <c r="P371" t="s">
        <v>37</v>
      </c>
      <c r="Q371" t="s">
        <v>1330</v>
      </c>
      <c r="R371">
        <f t="shared" si="35"/>
        <v>24762625</v>
      </c>
      <c r="S371" t="str" cm="1">
        <f t="array" ref="S371">IF(C371="",IFERROR(INDEX($C$2:$C$1166,MATCH(MAX(COUNTIF($C$2:$C$1166,$C$2:$C$1166)),COUNTIF($C$2:$C$1166,$C$2:$C$1166),0)),"Unknown"),C371)</f>
        <v>Marta Moore</v>
      </c>
      <c r="T371" s="4" t="str" cm="1">
        <f t="array" ref="T371">IF(D371="",IFERROR(INDEX($D$2:$D$1000,MATCH(MAX(COUNTIF($D$2:$D$1166,$D$2:$D$1166)),COUNTIF($D$2:$D$1166,$D$2:$D$1166),0)),"Unknown"),D371)</f>
        <v>Jessica Williams</v>
      </c>
      <c r="U371" t="str">
        <f t="shared" si="36"/>
        <v>EUR</v>
      </c>
      <c r="V371" s="7" t="str">
        <f t="shared" si="36"/>
        <v>CAD</v>
      </c>
      <c r="W371" s="7" t="str">
        <f t="shared" si="37"/>
        <v>USA</v>
      </c>
      <c r="X371" s="7" t="str">
        <f t="shared" si="37"/>
        <v>South Africa</v>
      </c>
      <c r="Y371" s="7" t="str" cm="1">
        <f t="array" ref="Y371">IF(H371="",IFERROR(INDEX($H$2:$H$1166,MATCH(MAX(COUNTIF($H$2:$H$1166,$H$2:$H$1166)),COUNTIF($H$2:$H$1166,$H$2:$H$1166),0)),"Unknown"),H371)</f>
        <v>KYC</v>
      </c>
      <c r="Z371" s="7" t="str">
        <f t="shared" si="38"/>
        <v>Outer-Transaction</v>
      </c>
      <c r="AA371" s="7">
        <f>IF(J371="",AVERAGE($J:$J),J371)</f>
        <v>14692.48</v>
      </c>
      <c r="AB371" s="7">
        <f>IF(N371="",AVERAGE($N:$N),N371)</f>
        <v>27</v>
      </c>
      <c r="AC371" s="7">
        <f t="shared" si="39"/>
        <v>2021</v>
      </c>
      <c r="AD371" s="7">
        <f t="shared" si="40"/>
        <v>4</v>
      </c>
      <c r="AE371" s="7">
        <f>COUNTIF(A:A,A371)</f>
        <v>1</v>
      </c>
      <c r="AF371" s="7" t="str">
        <f t="shared" si="41"/>
        <v>No</v>
      </c>
    </row>
    <row r="372" spans="1:32">
      <c r="A372" t="s">
        <v>1331</v>
      </c>
      <c r="B372">
        <v>86793756</v>
      </c>
      <c r="C372" t="s">
        <v>1332</v>
      </c>
      <c r="D372" t="s">
        <v>1333</v>
      </c>
      <c r="E372" t="s">
        <v>20</v>
      </c>
      <c r="F372" t="s">
        <v>80</v>
      </c>
      <c r="G372" t="s">
        <v>21</v>
      </c>
      <c r="H372" t="s">
        <v>38</v>
      </c>
      <c r="I372" t="s">
        <v>3376</v>
      </c>
      <c r="J372">
        <v>8923.31</v>
      </c>
      <c r="K372" t="s">
        <v>39</v>
      </c>
      <c r="L372" t="s">
        <v>81</v>
      </c>
      <c r="M372" s="1">
        <v>44818.600694444445</v>
      </c>
      <c r="N372">
        <v>36</v>
      </c>
      <c r="O372" t="s">
        <v>37</v>
      </c>
      <c r="P372" t="s">
        <v>24</v>
      </c>
      <c r="Q372" t="s">
        <v>1334</v>
      </c>
      <c r="R372">
        <f t="shared" si="35"/>
        <v>86793756</v>
      </c>
      <c r="S372" t="str" cm="1">
        <f t="array" ref="S372">IF(C372="",IFERROR(INDEX($C$2:$C$1166,MATCH(MAX(COUNTIF($C$2:$C$1166,$C$2:$C$1166)),COUNTIF($C$2:$C$1166,$C$2:$C$1166),0)),"Unknown"),C372)</f>
        <v>Zayn Martinez</v>
      </c>
      <c r="T372" s="4" t="str" cm="1">
        <f t="array" ref="T372">IF(D372="",IFERROR(INDEX($D$2:$D$1000,MATCH(MAX(COUNTIF($D$2:$D$1166,$D$2:$D$1166)),COUNTIF($D$2:$D$1166,$D$2:$D$1166),0)),"Unknown"),D372)</f>
        <v>Karen Rodriguez</v>
      </c>
      <c r="U372" t="str">
        <f t="shared" si="36"/>
        <v>USD</v>
      </c>
      <c r="V372" s="7" t="str">
        <f t="shared" si="36"/>
        <v>GBP</v>
      </c>
      <c r="W372" s="7" t="str">
        <f t="shared" si="37"/>
        <v>South Africa</v>
      </c>
      <c r="X372" s="7" t="str">
        <f t="shared" si="37"/>
        <v>Brazil</v>
      </c>
      <c r="Y372" s="7" t="str" cm="1">
        <f t="array" ref="Y372">IF(H372="",IFERROR(INDEX($H$2:$H$1166,MATCH(MAX(COUNTIF($H$2:$H$1166,$H$2:$H$1166)),COUNTIF($H$2:$H$1166,$H$2:$H$1166),0)),"Unknown"),H372)</f>
        <v>Pending</v>
      </c>
      <c r="Z372" s="7" t="str">
        <f t="shared" si="38"/>
        <v>Internal</v>
      </c>
      <c r="AA372" s="7">
        <f>IF(J372="",AVERAGE($J:$J),J372)</f>
        <v>8923.31</v>
      </c>
      <c r="AB372" s="7">
        <f>IF(N372="",AVERAGE($N:$N),N372)</f>
        <v>36</v>
      </c>
      <c r="AC372" s="7">
        <f t="shared" si="39"/>
        <v>2022</v>
      </c>
      <c r="AD372" s="7">
        <f t="shared" si="40"/>
        <v>9</v>
      </c>
      <c r="AE372" s="7">
        <f>COUNTIF(A:A,A372)</f>
        <v>1</v>
      </c>
      <c r="AF372" s="7" t="str">
        <f t="shared" si="41"/>
        <v>No</v>
      </c>
    </row>
    <row r="373" spans="1:32">
      <c r="A373" t="s">
        <v>1335</v>
      </c>
      <c r="B373">
        <v>95791097</v>
      </c>
      <c r="C373" t="s">
        <v>1100</v>
      </c>
      <c r="D373" t="s">
        <v>143</v>
      </c>
      <c r="E373" t="s">
        <v>20</v>
      </c>
      <c r="F373" t="s">
        <v>92</v>
      </c>
      <c r="G373" t="s">
        <v>22</v>
      </c>
      <c r="H373" t="s">
        <v>56</v>
      </c>
      <c r="I373" t="s">
        <v>3376</v>
      </c>
      <c r="J373">
        <v>14125.74</v>
      </c>
      <c r="K373" t="s">
        <v>47</v>
      </c>
      <c r="L373" t="s">
        <v>75</v>
      </c>
      <c r="M373" s="1">
        <v>45765.326388888891</v>
      </c>
      <c r="N373">
        <v>75</v>
      </c>
      <c r="O373" t="s">
        <v>37</v>
      </c>
      <c r="P373" t="s">
        <v>93</v>
      </c>
      <c r="Q373" t="s">
        <v>1336</v>
      </c>
      <c r="R373">
        <f t="shared" si="35"/>
        <v>95791097</v>
      </c>
      <c r="S373" t="str" cm="1">
        <f t="array" ref="S373">IF(C373="",IFERROR(INDEX($C$2:$C$1166,MATCH(MAX(COUNTIF($C$2:$C$1166,$C$2:$C$1166)),COUNTIF($C$2:$C$1166,$C$2:$C$1166),0)),"Unknown"),C373)</f>
        <v>Susan Rostova</v>
      </c>
      <c r="T373" s="4" t="str" cm="1">
        <f t="array" ref="T373">IF(D373="",IFERROR(INDEX($D$2:$D$1000,MATCH(MAX(COUNTIF($D$2:$D$1166,$D$2:$D$1166)),COUNTIF($D$2:$D$1166,$D$2:$D$1166),0)),"Unknown"),D373)</f>
        <v>Jean-Pierre Davis</v>
      </c>
      <c r="U373" t="str">
        <f t="shared" si="36"/>
        <v>AUD</v>
      </c>
      <c r="V373" s="7" t="str">
        <f t="shared" si="36"/>
        <v>BRL</v>
      </c>
      <c r="W373" s="7" t="str">
        <f t="shared" si="37"/>
        <v>South Africa</v>
      </c>
      <c r="X373" s="7" t="str">
        <f t="shared" si="37"/>
        <v>USA</v>
      </c>
      <c r="Y373" s="7" t="str" cm="1">
        <f t="array" ref="Y373">IF(H373="",IFERROR(INDEX($H$2:$H$1166,MATCH(MAX(COUNTIF($H$2:$H$1166,$H$2:$H$1166)),COUNTIF($H$2:$H$1166,$H$2:$H$1166),0)),"Unknown"),H373)</f>
        <v>Unverified</v>
      </c>
      <c r="Z373" s="7" t="str">
        <f t="shared" si="38"/>
        <v>Internal</v>
      </c>
      <c r="AA373" s="7">
        <f>IF(J373="",AVERAGE($J:$J),J373)</f>
        <v>14125.74</v>
      </c>
      <c r="AB373" s="7">
        <f>IF(N373="",AVERAGE($N:$N),N373)</f>
        <v>75</v>
      </c>
      <c r="AC373" s="7">
        <f t="shared" si="39"/>
        <v>2025</v>
      </c>
      <c r="AD373" s="7">
        <f t="shared" si="40"/>
        <v>4</v>
      </c>
      <c r="AE373" s="7">
        <f>COUNTIF(A:A,A373)</f>
        <v>1</v>
      </c>
      <c r="AF373" s="7" t="str">
        <f t="shared" si="41"/>
        <v>No</v>
      </c>
    </row>
    <row r="374" spans="1:32">
      <c r="A374" t="s">
        <v>1337</v>
      </c>
      <c r="B374">
        <v>87217700</v>
      </c>
      <c r="C374" t="s">
        <v>1025</v>
      </c>
      <c r="E374" t="s">
        <v>20</v>
      </c>
      <c r="F374" t="s">
        <v>44</v>
      </c>
      <c r="G374" t="s">
        <v>80</v>
      </c>
      <c r="H374" t="s">
        <v>38</v>
      </c>
      <c r="I374" t="s">
        <v>3374</v>
      </c>
      <c r="J374">
        <v>14969.34</v>
      </c>
      <c r="K374" t="s">
        <v>27</v>
      </c>
      <c r="L374" t="s">
        <v>28</v>
      </c>
      <c r="M374" s="1">
        <v>44054.990972222222</v>
      </c>
      <c r="N374">
        <v>18</v>
      </c>
      <c r="O374" t="s">
        <v>24</v>
      </c>
      <c r="P374" t="s">
        <v>23</v>
      </c>
      <c r="Q374" t="s">
        <v>1338</v>
      </c>
      <c r="R374">
        <f t="shared" si="35"/>
        <v>87217700</v>
      </c>
      <c r="S374" t="str" cm="1">
        <f t="array" ref="S374">IF(C374="",IFERROR(INDEX($C$2:$C$1166,MATCH(MAX(COUNTIF($C$2:$C$1166,$C$2:$C$1166)),COUNTIF($C$2:$C$1166,$C$2:$C$1166),0)),"Unknown"),C374)</f>
        <v>Mary Williams</v>
      </c>
      <c r="T374" s="4" t="str" cm="1">
        <f t="array" ref="T374">IF(D374="",IFERROR(INDEX($D$2:$D$1000,MATCH(MAX(COUNTIF($D$2:$D$1166,$D$2:$D$1166)),COUNTIF($D$2:$D$1166,$D$2:$D$1166),0)),"Unknown"),D374)</f>
        <v>Patricia Smith</v>
      </c>
      <c r="U374" t="str">
        <f t="shared" si="36"/>
        <v>SGD</v>
      </c>
      <c r="V374" s="7" t="str">
        <f t="shared" si="36"/>
        <v>USD</v>
      </c>
      <c r="W374" s="7" t="str">
        <f t="shared" si="37"/>
        <v>Brazil</v>
      </c>
      <c r="X374" s="7" t="str">
        <f t="shared" si="37"/>
        <v>France</v>
      </c>
      <c r="Y374" s="7" t="str" cm="1">
        <f t="array" ref="Y374">IF(H374="",IFERROR(INDEX($H$2:$H$1166,MATCH(MAX(COUNTIF($H$2:$H$1166,$H$2:$H$1166)),COUNTIF($H$2:$H$1166,$H$2:$H$1166),0)),"Unknown"),H374)</f>
        <v>Pending</v>
      </c>
      <c r="Z374" s="7" t="str">
        <f t="shared" si="38"/>
        <v>External</v>
      </c>
      <c r="AA374" s="7">
        <f>IF(J374="",AVERAGE($J:$J),J374)</f>
        <v>14969.34</v>
      </c>
      <c r="AB374" s="7">
        <f>IF(N374="",AVERAGE($N:$N),N374)</f>
        <v>18</v>
      </c>
      <c r="AC374" s="7">
        <f t="shared" si="39"/>
        <v>2020</v>
      </c>
      <c r="AD374" s="7">
        <f t="shared" si="40"/>
        <v>8</v>
      </c>
      <c r="AE374" s="7">
        <f>COUNTIF(A:A,A374)</f>
        <v>1</v>
      </c>
      <c r="AF374" s="7" t="str">
        <f t="shared" si="41"/>
        <v>No</v>
      </c>
    </row>
    <row r="375" spans="1:32">
      <c r="A375" t="s">
        <v>1339</v>
      </c>
      <c r="B375">
        <v>98741286</v>
      </c>
      <c r="C375" t="s">
        <v>304</v>
      </c>
      <c r="D375" t="s">
        <v>358</v>
      </c>
      <c r="E375" t="s">
        <v>33</v>
      </c>
      <c r="F375" t="s">
        <v>80</v>
      </c>
      <c r="G375" t="s">
        <v>116</v>
      </c>
      <c r="H375" t="s">
        <v>74</v>
      </c>
      <c r="I375" t="s">
        <v>3377</v>
      </c>
      <c r="J375">
        <v>5512.09</v>
      </c>
      <c r="K375" t="s">
        <v>47</v>
      </c>
      <c r="L375" t="s">
        <v>75</v>
      </c>
      <c r="M375" s="1">
        <v>46032.211805555555</v>
      </c>
      <c r="N375">
        <v>21</v>
      </c>
      <c r="O375" t="s">
        <v>62</v>
      </c>
      <c r="P375" t="s">
        <v>62</v>
      </c>
      <c r="Q375" t="s">
        <v>1340</v>
      </c>
      <c r="R375">
        <f t="shared" si="35"/>
        <v>98741286</v>
      </c>
      <c r="S375" t="str" cm="1">
        <f t="array" ref="S375">IF(C375="",IFERROR(INDEX($C$2:$C$1166,MATCH(MAX(COUNTIF($C$2:$C$1166,$C$2:$C$1166)),COUNTIF($C$2:$C$1166,$C$2:$C$1166),0)),"Unknown"),C375)</f>
        <v>Priya Khan</v>
      </c>
      <c r="T375" s="4" t="str" cm="1">
        <f t="array" ref="T375">IF(D375="",IFERROR(INDEX($D$2:$D$1000,MATCH(MAX(COUNTIF($D$2:$D$1166,$D$2:$D$1166)),COUNTIF($D$2:$D$1166,$D$2:$D$1166),0)),"Unknown"),D375)</f>
        <v>Carlos Taylor</v>
      </c>
      <c r="U375" t="str">
        <f t="shared" si="36"/>
        <v>USD</v>
      </c>
      <c r="V375" s="7" t="str">
        <f t="shared" si="36"/>
        <v>CHF</v>
      </c>
      <c r="W375" s="7" t="str">
        <f t="shared" si="37"/>
        <v>Australia</v>
      </c>
      <c r="X375" s="7" t="str">
        <f t="shared" si="37"/>
        <v>Australia</v>
      </c>
      <c r="Y375" s="7" t="str" cm="1">
        <f t="array" ref="Y375">IF(H375="",IFERROR(INDEX($H$2:$H$1166,MATCH(MAX(COUNTIF($H$2:$H$1166,$H$2:$H$1166)),COUNTIF($H$2:$H$1166,$H$2:$H$1166),0)),"Unknown"),H375)</f>
        <v>Non-KYC</v>
      </c>
      <c r="Z375" s="7" t="str">
        <f t="shared" si="38"/>
        <v>Inter-Transaction</v>
      </c>
      <c r="AA375" s="7">
        <f>IF(J375="",AVERAGE($J:$J),J375)</f>
        <v>5512.09</v>
      </c>
      <c r="AB375" s="7">
        <f>IF(N375="",AVERAGE($N:$N),N375)</f>
        <v>21</v>
      </c>
      <c r="AC375" s="7">
        <f t="shared" si="39"/>
        <v>2026</v>
      </c>
      <c r="AD375" s="7">
        <f t="shared" si="40"/>
        <v>1</v>
      </c>
      <c r="AE375" s="7">
        <f>COUNTIF(A:A,A375)</f>
        <v>1</v>
      </c>
      <c r="AF375" s="7" t="str">
        <f t="shared" si="41"/>
        <v>Yes</v>
      </c>
    </row>
    <row r="376" spans="1:32">
      <c r="A376" t="s">
        <v>1341</v>
      </c>
      <c r="B376">
        <v>25819626</v>
      </c>
      <c r="C376" t="s">
        <v>573</v>
      </c>
      <c r="D376" t="s">
        <v>1342</v>
      </c>
      <c r="E376" t="s">
        <v>20</v>
      </c>
      <c r="F376" t="s">
        <v>80</v>
      </c>
      <c r="G376" t="s">
        <v>22</v>
      </c>
      <c r="I376" t="s">
        <v>3377</v>
      </c>
      <c r="J376">
        <v>14031.86</v>
      </c>
      <c r="K376" t="s">
        <v>27</v>
      </c>
      <c r="L376" t="s">
        <v>81</v>
      </c>
      <c r="M376" s="1">
        <v>44181.898611111108</v>
      </c>
      <c r="N376">
        <v>33</v>
      </c>
      <c r="O376" t="s">
        <v>23</v>
      </c>
      <c r="P376" t="s">
        <v>36</v>
      </c>
      <c r="Q376" t="s">
        <v>1343</v>
      </c>
      <c r="R376">
        <f t="shared" si="35"/>
        <v>25819626</v>
      </c>
      <c r="S376" t="str" cm="1">
        <f t="array" ref="S376">IF(C376="",IFERROR(INDEX($C$2:$C$1166,MATCH(MAX(COUNTIF($C$2:$C$1166,$C$2:$C$1166)),COUNTIF($C$2:$C$1166,$C$2:$C$1166),0)),"Unknown"),C376)</f>
        <v>Barbara Martinez</v>
      </c>
      <c r="T376" s="4" t="str" cm="1">
        <f t="array" ref="T376">IF(D376="",IFERROR(INDEX($D$2:$D$1000,MATCH(MAX(COUNTIF($D$2:$D$1166,$D$2:$D$1166)),COUNTIF($D$2:$D$1166,$D$2:$D$1166),0)),"Unknown"),D376)</f>
        <v>Sarah Martinez</v>
      </c>
      <c r="U376" t="str">
        <f t="shared" si="36"/>
        <v>USD</v>
      </c>
      <c r="V376" s="7" t="str">
        <f t="shared" si="36"/>
        <v>BRL</v>
      </c>
      <c r="W376" s="7" t="str">
        <f t="shared" si="37"/>
        <v>France</v>
      </c>
      <c r="X376" s="7" t="str">
        <f t="shared" si="37"/>
        <v>Germany</v>
      </c>
      <c r="Y376" s="7" t="str" cm="1">
        <f t="array" ref="Y376">IF(H376="",IFERROR(INDEX($H$2:$H$1166,MATCH(MAX(COUNTIF($H$2:$H$1166,$H$2:$H$1166)),COUNTIF($H$2:$H$1166,$H$2:$H$1166),0)),"Unknown"),H376)</f>
        <v>Pending</v>
      </c>
      <c r="Z376" s="7" t="str">
        <f t="shared" si="38"/>
        <v>Inter-Transaction</v>
      </c>
      <c r="AA376" s="7">
        <f>IF(J376="",AVERAGE($J:$J),J376)</f>
        <v>14031.86</v>
      </c>
      <c r="AB376" s="7">
        <f>IF(N376="",AVERAGE($N:$N),N376)</f>
        <v>33</v>
      </c>
      <c r="AC376" s="7">
        <f t="shared" si="39"/>
        <v>2020</v>
      </c>
      <c r="AD376" s="7">
        <f t="shared" si="40"/>
        <v>12</v>
      </c>
      <c r="AE376" s="7">
        <f>COUNTIF(A:A,A376)</f>
        <v>1</v>
      </c>
      <c r="AF376" s="7" t="str">
        <f t="shared" si="41"/>
        <v>No</v>
      </c>
    </row>
    <row r="377" spans="1:32">
      <c r="A377" t="s">
        <v>1344</v>
      </c>
      <c r="B377">
        <v>57584523</v>
      </c>
      <c r="C377" t="s">
        <v>1345</v>
      </c>
      <c r="D377" t="s">
        <v>1346</v>
      </c>
      <c r="E377" t="s">
        <v>20</v>
      </c>
      <c r="F377" t="s">
        <v>98</v>
      </c>
      <c r="G377" t="s">
        <v>98</v>
      </c>
      <c r="H377" t="s">
        <v>103</v>
      </c>
      <c r="I377" t="s">
        <v>3371</v>
      </c>
      <c r="J377">
        <v>7065.77</v>
      </c>
      <c r="K377" t="s">
        <v>57</v>
      </c>
      <c r="L377" t="s">
        <v>75</v>
      </c>
      <c r="M377" s="1">
        <v>45759.375</v>
      </c>
      <c r="N377">
        <v>41</v>
      </c>
      <c r="O377" t="s">
        <v>127</v>
      </c>
      <c r="P377" t="s">
        <v>36</v>
      </c>
      <c r="Q377" t="s">
        <v>1347</v>
      </c>
      <c r="R377">
        <f t="shared" si="35"/>
        <v>57584523</v>
      </c>
      <c r="S377" t="str" cm="1">
        <f t="array" ref="S377">IF(C377="",IFERROR(INDEX($C$2:$C$1166,MATCH(MAX(COUNTIF($C$2:$C$1166,$C$2:$C$1166)),COUNTIF($C$2:$C$1166,$C$2:$C$1166),0)),"Unknown"),C377)</f>
        <v xml:space="preserve">  JOHN BROWN </v>
      </c>
      <c r="T377" s="4" t="str" cm="1">
        <f t="array" ref="T377">IF(D377="",IFERROR(INDEX($D$2:$D$1000,MATCH(MAX(COUNTIF($D$2:$D$1166,$D$2:$D$1166)),COUNTIF($D$2:$D$1166,$D$2:$D$1166),0)),"Unknown"),D377)</f>
        <v>Jessica Thomas</v>
      </c>
      <c r="U377" t="str">
        <f t="shared" si="36"/>
        <v>JPY</v>
      </c>
      <c r="V377" s="7" t="str">
        <f t="shared" si="36"/>
        <v>JPY</v>
      </c>
      <c r="W377" s="7" t="str">
        <f t="shared" si="37"/>
        <v>Canada</v>
      </c>
      <c r="X377" s="7" t="str">
        <f t="shared" si="37"/>
        <v>Germany</v>
      </c>
      <c r="Y377" s="7" t="str" cm="1">
        <f t="array" ref="Y377">IF(H377="",IFERROR(INDEX($H$2:$H$1166,MATCH(MAX(COUNTIF($H$2:$H$1166,$H$2:$H$1166)),COUNTIF($H$2:$H$1166,$H$2:$H$1166),0)),"Unknown"),H377)</f>
        <v>Verified</v>
      </c>
      <c r="Z377" s="7" t="str">
        <f t="shared" si="38"/>
        <v>Outer-Transaction</v>
      </c>
      <c r="AA377" s="7">
        <f>IF(J377="",AVERAGE($J:$J),J377)</f>
        <v>7065.77</v>
      </c>
      <c r="AB377" s="7">
        <f>IF(N377="",AVERAGE($N:$N),N377)</f>
        <v>41</v>
      </c>
      <c r="AC377" s="7">
        <f t="shared" si="39"/>
        <v>2025</v>
      </c>
      <c r="AD377" s="7">
        <f t="shared" si="40"/>
        <v>4</v>
      </c>
      <c r="AE377" s="7">
        <f>COUNTIF(A:A,A377)</f>
        <v>1</v>
      </c>
      <c r="AF377" s="7" t="str">
        <f t="shared" si="41"/>
        <v>No</v>
      </c>
    </row>
    <row r="378" spans="1:32">
      <c r="A378" t="s">
        <v>1348</v>
      </c>
      <c r="B378">
        <v>57477880</v>
      </c>
      <c r="C378" t="s">
        <v>1349</v>
      </c>
      <c r="D378" t="s">
        <v>1350</v>
      </c>
      <c r="E378" t="s">
        <v>20</v>
      </c>
      <c r="F378" t="s">
        <v>22</v>
      </c>
      <c r="G378" t="s">
        <v>121</v>
      </c>
      <c r="H378" t="s">
        <v>25</v>
      </c>
      <c r="I378" t="s">
        <v>3371</v>
      </c>
      <c r="J378">
        <v>9996.41</v>
      </c>
      <c r="K378" t="s">
        <v>39</v>
      </c>
      <c r="L378" t="s">
        <v>75</v>
      </c>
      <c r="M378" s="1">
        <v>44179.565972222219</v>
      </c>
      <c r="N378">
        <v>19</v>
      </c>
      <c r="O378" t="s">
        <v>54</v>
      </c>
      <c r="P378" t="s">
        <v>93</v>
      </c>
      <c r="Q378" t="s">
        <v>1351</v>
      </c>
      <c r="R378">
        <f t="shared" si="35"/>
        <v>57477880</v>
      </c>
      <c r="S378" t="str" cm="1">
        <f t="array" ref="S378">IF(C378="",IFERROR(INDEX($C$2:$C$1166,MATCH(MAX(COUNTIF($C$2:$C$1166,$C$2:$C$1166)),COUNTIF($C$2:$C$1166,$C$2:$C$1166),0)),"Unknown"),C378)</f>
        <v>Fatima Wilson</v>
      </c>
      <c r="T378" s="4" t="str" cm="1">
        <f t="array" ref="T378">IF(D378="",IFERROR(INDEX($D$2:$D$1000,MATCH(MAX(COUNTIF($D$2:$D$1166,$D$2:$D$1166)),COUNTIF($D$2:$D$1166,$D$2:$D$1166),0)),"Unknown"),D378)</f>
        <v>John Lopez</v>
      </c>
      <c r="U378" t="str">
        <f t="shared" si="36"/>
        <v>BRL</v>
      </c>
      <c r="V378" s="7" t="str">
        <f t="shared" si="36"/>
        <v>INR</v>
      </c>
      <c r="W378" s="7" t="str">
        <f t="shared" si="37"/>
        <v>India</v>
      </c>
      <c r="X378" s="7" t="str">
        <f t="shared" si="37"/>
        <v>USA</v>
      </c>
      <c r="Y378" s="7" t="str" cm="1">
        <f t="array" ref="Y378">IF(H378="",IFERROR(INDEX($H$2:$H$1166,MATCH(MAX(COUNTIF($H$2:$H$1166,$H$2:$H$1166)),COUNTIF($H$2:$H$1166,$H$2:$H$1166),0)),"Unknown"),H378)</f>
        <v>KYC</v>
      </c>
      <c r="Z378" s="7" t="str">
        <f t="shared" si="38"/>
        <v>Outer-Transaction</v>
      </c>
      <c r="AA378" s="7">
        <f>IF(J378="",AVERAGE($J:$J),J378)</f>
        <v>9996.41</v>
      </c>
      <c r="AB378" s="7">
        <f>IF(N378="",AVERAGE($N:$N),N378)</f>
        <v>19</v>
      </c>
      <c r="AC378" s="7">
        <f t="shared" si="39"/>
        <v>2020</v>
      </c>
      <c r="AD378" s="7">
        <f t="shared" si="40"/>
        <v>12</v>
      </c>
      <c r="AE378" s="7">
        <f>COUNTIF(A:A,A378)</f>
        <v>1</v>
      </c>
      <c r="AF378" s="7" t="str">
        <f t="shared" si="41"/>
        <v>No</v>
      </c>
    </row>
    <row r="379" spans="1:32">
      <c r="A379" t="s">
        <v>1352</v>
      </c>
      <c r="B379">
        <v>77358318</v>
      </c>
      <c r="C379" t="s">
        <v>1353</v>
      </c>
      <c r="D379" t="s">
        <v>1354</v>
      </c>
      <c r="E379" t="s">
        <v>20</v>
      </c>
      <c r="F379" t="s">
        <v>21</v>
      </c>
      <c r="G379" t="s">
        <v>35</v>
      </c>
      <c r="I379" t="s">
        <v>3371</v>
      </c>
      <c r="J379">
        <v>790.08</v>
      </c>
      <c r="K379" t="s">
        <v>57</v>
      </c>
      <c r="L379" t="s">
        <v>81</v>
      </c>
      <c r="M379" s="1">
        <v>44012.484027777777</v>
      </c>
      <c r="N379">
        <v>49</v>
      </c>
      <c r="O379" t="s">
        <v>23</v>
      </c>
      <c r="P379" t="s">
        <v>23</v>
      </c>
      <c r="Q379" t="s">
        <v>1355</v>
      </c>
      <c r="R379">
        <f t="shared" si="35"/>
        <v>77358318</v>
      </c>
      <c r="S379" t="str" cm="1">
        <f t="array" ref="S379">IF(C379="",IFERROR(INDEX($C$2:$C$1166,MATCH(MAX(COUNTIF($C$2:$C$1166,$C$2:$C$1166)),COUNTIF($C$2:$C$1166,$C$2:$C$1166),0)),"Unknown"),C379)</f>
        <v>Fatima Souza</v>
      </c>
      <c r="T379" s="4" t="str" cm="1">
        <f t="array" ref="T379">IF(D379="",IFERROR(INDEX($D$2:$D$1000,MATCH(MAX(COUNTIF($D$2:$D$1166,$D$2:$D$1166)),COUNTIF($D$2:$D$1166,$D$2:$D$1166),0)),"Unknown"),D379)</f>
        <v xml:space="preserve"> fatima khan   </v>
      </c>
      <c r="U379" t="str">
        <f t="shared" si="36"/>
        <v>GBP</v>
      </c>
      <c r="V379" s="7" t="str">
        <f t="shared" si="36"/>
        <v>EUR</v>
      </c>
      <c r="W379" s="7" t="str">
        <f t="shared" si="37"/>
        <v>France</v>
      </c>
      <c r="X379" s="7" t="str">
        <f t="shared" si="37"/>
        <v>France</v>
      </c>
      <c r="Y379" s="7" t="str" cm="1">
        <f t="array" ref="Y379">IF(H379="",IFERROR(INDEX($H$2:$H$1166,MATCH(MAX(COUNTIF($H$2:$H$1166,$H$2:$H$1166)),COUNTIF($H$2:$H$1166,$H$2:$H$1166),0)),"Unknown"),H379)</f>
        <v>Pending</v>
      </c>
      <c r="Z379" s="7" t="str">
        <f t="shared" si="38"/>
        <v>Outer-Transaction</v>
      </c>
      <c r="AA379" s="7">
        <f>IF(J379="",AVERAGE($J:$J),J379)</f>
        <v>790.08</v>
      </c>
      <c r="AB379" s="7">
        <f>IF(N379="",AVERAGE($N:$N),N379)</f>
        <v>49</v>
      </c>
      <c r="AC379" s="7">
        <f t="shared" si="39"/>
        <v>2020</v>
      </c>
      <c r="AD379" s="7">
        <f t="shared" si="40"/>
        <v>6</v>
      </c>
      <c r="AE379" s="7">
        <f>COUNTIF(A:A,A379)</f>
        <v>1</v>
      </c>
      <c r="AF379" s="7" t="str">
        <f t="shared" si="41"/>
        <v>No</v>
      </c>
    </row>
    <row r="380" spans="1:32">
      <c r="A380" t="s">
        <v>1356</v>
      </c>
      <c r="B380">
        <v>43482865</v>
      </c>
      <c r="C380" t="s">
        <v>1357</v>
      </c>
      <c r="D380" t="s">
        <v>1358</v>
      </c>
      <c r="E380" t="s">
        <v>20</v>
      </c>
      <c r="G380" t="s">
        <v>121</v>
      </c>
      <c r="I380" t="s">
        <v>3376</v>
      </c>
      <c r="J380">
        <v>9170.4</v>
      </c>
      <c r="K380" t="s">
        <v>47</v>
      </c>
      <c r="L380" t="s">
        <v>48</v>
      </c>
      <c r="M380" s="1">
        <v>44467.424305555556</v>
      </c>
      <c r="N380">
        <v>41</v>
      </c>
      <c r="O380" t="s">
        <v>23</v>
      </c>
      <c r="P380" t="s">
        <v>54</v>
      </c>
      <c r="Q380" t="s">
        <v>1359</v>
      </c>
      <c r="R380">
        <f t="shared" si="35"/>
        <v>43482865</v>
      </c>
      <c r="S380" t="str" cm="1">
        <f t="array" ref="S380">IF(C380="",IFERROR(INDEX($C$2:$C$1166,MATCH(MAX(COUNTIF($C$2:$C$1166,$C$2:$C$1166)),COUNTIF($C$2:$C$1166,$C$2:$C$1166),0)),"Unknown"),C380)</f>
        <v>David Dubois</v>
      </c>
      <c r="T380" s="4" t="str" cm="1">
        <f t="array" ref="T380">IF(D380="",IFERROR(INDEX($D$2:$D$1000,MATCH(MAX(COUNTIF($D$2:$D$1166,$D$2:$D$1166)),COUNTIF($D$2:$D$1166,$D$2:$D$1166),0)),"Unknown"),D380)</f>
        <v>Patricia Malik</v>
      </c>
      <c r="U380" t="str">
        <f t="shared" si="36"/>
        <v/>
      </c>
      <c r="V380" s="7" t="str">
        <f t="shared" si="36"/>
        <v>INR</v>
      </c>
      <c r="W380" s="7" t="str">
        <f t="shared" si="37"/>
        <v>France</v>
      </c>
      <c r="X380" s="7" t="str">
        <f t="shared" si="37"/>
        <v>India</v>
      </c>
      <c r="Y380" s="7" t="str" cm="1">
        <f t="array" ref="Y380">IF(H380="",IFERROR(INDEX($H$2:$H$1166,MATCH(MAX(COUNTIF($H$2:$H$1166,$H$2:$H$1166)),COUNTIF($H$2:$H$1166,$H$2:$H$1166),0)),"Unknown"),H380)</f>
        <v>Pending</v>
      </c>
      <c r="Z380" s="7" t="str">
        <f t="shared" si="38"/>
        <v>Internal</v>
      </c>
      <c r="AA380" s="7">
        <f>IF(J380="",AVERAGE($J:$J),J380)</f>
        <v>9170.4</v>
      </c>
      <c r="AB380" s="7">
        <f>IF(N380="",AVERAGE($N:$N),N380)</f>
        <v>41</v>
      </c>
      <c r="AC380" s="7">
        <f t="shared" si="39"/>
        <v>2021</v>
      </c>
      <c r="AD380" s="7">
        <f t="shared" si="40"/>
        <v>9</v>
      </c>
      <c r="AE380" s="7">
        <f>COUNTIF(A:A,A380)</f>
        <v>1</v>
      </c>
      <c r="AF380" s="7" t="str">
        <f t="shared" si="41"/>
        <v>No</v>
      </c>
    </row>
    <row r="381" spans="1:32">
      <c r="A381" t="s">
        <v>1360</v>
      </c>
      <c r="B381">
        <v>16839113</v>
      </c>
      <c r="C381" t="s">
        <v>622</v>
      </c>
      <c r="D381" t="s">
        <v>1361</v>
      </c>
      <c r="E381" t="b">
        <v>0</v>
      </c>
      <c r="F381" t="s">
        <v>121</v>
      </c>
      <c r="G381" t="s">
        <v>121</v>
      </c>
      <c r="H381" t="s">
        <v>103</v>
      </c>
      <c r="I381" t="s">
        <v>3378</v>
      </c>
      <c r="J381">
        <v>4215.53</v>
      </c>
      <c r="K381" t="s">
        <v>57</v>
      </c>
      <c r="L381" t="s">
        <v>81</v>
      </c>
      <c r="M381" s="1">
        <v>44848.40902777778</v>
      </c>
      <c r="N381">
        <v>29</v>
      </c>
      <c r="O381" t="s">
        <v>68</v>
      </c>
      <c r="P381" t="s">
        <v>68</v>
      </c>
      <c r="Q381" t="s">
        <v>1362</v>
      </c>
      <c r="R381">
        <f t="shared" si="35"/>
        <v>16839113</v>
      </c>
      <c r="S381" t="str" cm="1">
        <f t="array" ref="S381">IF(C381="",IFERROR(INDEX($C$2:$C$1166,MATCH(MAX(COUNTIF($C$2:$C$1166,$C$2:$C$1166)),COUNTIF($C$2:$C$1166,$C$2:$C$1166),0)),"Unknown"),C381)</f>
        <v>Joseph Wilson</v>
      </c>
      <c r="T381" s="4" t="str" cm="1">
        <f t="array" ref="T381">IF(D381="",IFERROR(INDEX($D$2:$D$1000,MATCH(MAX(COUNTIF($D$2:$D$1166,$D$2:$D$1166)),COUNTIF($D$2:$D$1166,$D$2:$D$1166),0)),"Unknown"),D381)</f>
        <v>Charles Martinez</v>
      </c>
      <c r="U381" t="str">
        <f t="shared" si="36"/>
        <v>INR</v>
      </c>
      <c r="V381" s="7" t="str">
        <f t="shared" si="36"/>
        <v>INR</v>
      </c>
      <c r="W381" s="7" t="str">
        <f t="shared" si="37"/>
        <v>UAE</v>
      </c>
      <c r="X381" s="7" t="str">
        <f t="shared" si="37"/>
        <v>UAE</v>
      </c>
      <c r="Y381" s="7" t="str" cm="1">
        <f t="array" ref="Y381">IF(H381="",IFERROR(INDEX($H$2:$H$1166,MATCH(MAX(COUNTIF($H$2:$H$1166,$H$2:$H$1166)),COUNTIF($H$2:$H$1166,$H$2:$H$1166),0)),"Unknown"),H381)</f>
        <v>Verified</v>
      </c>
      <c r="Z381" s="7" t="str">
        <f t="shared" si="38"/>
        <v>Inter-Transaction</v>
      </c>
      <c r="AA381" s="7">
        <f>IF(J381="",AVERAGE($J:$J),J381)</f>
        <v>4215.53</v>
      </c>
      <c r="AB381" s="7">
        <f>IF(N381="",AVERAGE($N:$N),N381)</f>
        <v>29</v>
      </c>
      <c r="AC381" s="7">
        <f t="shared" si="39"/>
        <v>2022</v>
      </c>
      <c r="AD381" s="7">
        <f t="shared" si="40"/>
        <v>10</v>
      </c>
      <c r="AE381" s="7">
        <f>COUNTIF(A:A,A381)</f>
        <v>1</v>
      </c>
      <c r="AF381" s="7" t="str">
        <f t="shared" si="41"/>
        <v>No</v>
      </c>
    </row>
    <row r="382" spans="1:32">
      <c r="A382" t="s">
        <v>1363</v>
      </c>
      <c r="B382">
        <v>91405981</v>
      </c>
      <c r="C382" t="s">
        <v>1364</v>
      </c>
      <c r="D382" t="s">
        <v>300</v>
      </c>
      <c r="E382" t="s">
        <v>20</v>
      </c>
      <c r="F382" t="s">
        <v>34</v>
      </c>
      <c r="G382" t="s">
        <v>393</v>
      </c>
      <c r="H382" t="s">
        <v>103</v>
      </c>
      <c r="I382" t="s">
        <v>3378</v>
      </c>
      <c r="J382">
        <v>11121.97</v>
      </c>
      <c r="K382" t="s">
        <v>57</v>
      </c>
      <c r="L382" t="s">
        <v>75</v>
      </c>
      <c r="M382" s="1">
        <v>46057.254166666666</v>
      </c>
      <c r="N382">
        <v>67</v>
      </c>
      <c r="O382" t="s">
        <v>93</v>
      </c>
      <c r="P382" t="s">
        <v>68</v>
      </c>
      <c r="Q382" t="s">
        <v>1365</v>
      </c>
      <c r="R382">
        <f t="shared" si="35"/>
        <v>91405981</v>
      </c>
      <c r="S382" t="str" cm="1">
        <f t="array" ref="S382">IF(C382="",IFERROR(INDEX($C$2:$C$1166,MATCH(MAX(COUNTIF($C$2:$C$1166,$C$2:$C$1166)),COUNTIF($C$2:$C$1166,$C$2:$C$1166),0)),"Unknown"),C382)</f>
        <v>Patricia Wilson</v>
      </c>
      <c r="T382" s="4" t="str" cm="1">
        <f t="array" ref="T382">IF(D382="",IFERROR(INDEX($D$2:$D$1000,MATCH(MAX(COUNTIF($D$2:$D$1166,$D$2:$D$1166)),COUNTIF($D$2:$D$1166,$D$2:$D$1166),0)),"Unknown"),D382)</f>
        <v>Linda Rodriguez</v>
      </c>
      <c r="U382" t="str">
        <f t="shared" si="36"/>
        <v>CAD</v>
      </c>
      <c r="V382" s="7" t="str">
        <f t="shared" si="36"/>
        <v>cad</v>
      </c>
      <c r="W382" s="7" t="str">
        <f t="shared" si="37"/>
        <v>USA</v>
      </c>
      <c r="X382" s="7" t="str">
        <f t="shared" si="37"/>
        <v>UAE</v>
      </c>
      <c r="Y382" s="7" t="str" cm="1">
        <f t="array" ref="Y382">IF(H382="",IFERROR(INDEX($H$2:$H$1166,MATCH(MAX(COUNTIF($H$2:$H$1166,$H$2:$H$1166)),COUNTIF($H$2:$H$1166,$H$2:$H$1166),0)),"Unknown"),H382)</f>
        <v>Verified</v>
      </c>
      <c r="Z382" s="7" t="str">
        <f t="shared" si="38"/>
        <v>Inter-Transaction</v>
      </c>
      <c r="AA382" s="7">
        <f>IF(J382="",AVERAGE($J:$J),J382)</f>
        <v>11121.97</v>
      </c>
      <c r="AB382" s="7">
        <f>IF(N382="",AVERAGE($N:$N),N382)</f>
        <v>67</v>
      </c>
      <c r="AC382" s="7">
        <f t="shared" si="39"/>
        <v>2026</v>
      </c>
      <c r="AD382" s="7">
        <f t="shared" si="40"/>
        <v>2</v>
      </c>
      <c r="AE382" s="7">
        <f>COUNTIF(A:A,A382)</f>
        <v>1</v>
      </c>
      <c r="AF382" s="7" t="str">
        <f t="shared" si="41"/>
        <v>No</v>
      </c>
    </row>
    <row r="383" spans="1:32">
      <c r="A383" t="s">
        <v>1366</v>
      </c>
      <c r="B383">
        <v>88726945</v>
      </c>
      <c r="C383" t="s">
        <v>1159</v>
      </c>
      <c r="D383" t="s">
        <v>685</v>
      </c>
      <c r="E383" t="s">
        <v>20</v>
      </c>
      <c r="F383" t="s">
        <v>22</v>
      </c>
      <c r="G383" t="s">
        <v>44</v>
      </c>
      <c r="H383" t="s">
        <v>74</v>
      </c>
      <c r="I383" t="s">
        <v>3376</v>
      </c>
      <c r="J383">
        <v>10814.33</v>
      </c>
      <c r="K383" t="s">
        <v>86</v>
      </c>
      <c r="L383" t="s">
        <v>48</v>
      </c>
      <c r="M383" s="1">
        <v>44602.440972222219</v>
      </c>
      <c r="N383">
        <v>52</v>
      </c>
      <c r="O383" t="s">
        <v>36</v>
      </c>
      <c r="P383" t="s">
        <v>37</v>
      </c>
      <c r="Q383" t="s">
        <v>1367</v>
      </c>
      <c r="R383">
        <f t="shared" si="35"/>
        <v>88726945</v>
      </c>
      <c r="S383" t="str" cm="1">
        <f t="array" ref="S383">IF(C383="",IFERROR(INDEX($C$2:$C$1166,MATCH(MAX(COUNTIF($C$2:$C$1166,$C$2:$C$1166)),COUNTIF($C$2:$C$1166,$C$2:$C$1166),0)),"Unknown"),C383)</f>
        <v>Priya Volkov</v>
      </c>
      <c r="T383" s="4" t="str" cm="1">
        <f t="array" ref="T383">IF(D383="",IFERROR(INDEX($D$2:$D$1000,MATCH(MAX(COUNTIF($D$2:$D$1166,$D$2:$D$1166)),COUNTIF($D$2:$D$1166,$D$2:$D$1166),0)),"Unknown"),D383)</f>
        <v>Sanjay Khan</v>
      </c>
      <c r="U383" t="str">
        <f t="shared" si="36"/>
        <v>BRL</v>
      </c>
      <c r="V383" s="7" t="str">
        <f t="shared" si="36"/>
        <v>SGD</v>
      </c>
      <c r="W383" s="7" t="str">
        <f t="shared" si="37"/>
        <v>Germany</v>
      </c>
      <c r="X383" s="7" t="str">
        <f t="shared" si="37"/>
        <v>South Africa</v>
      </c>
      <c r="Y383" s="7" t="str" cm="1">
        <f t="array" ref="Y383">IF(H383="",IFERROR(INDEX($H$2:$H$1166,MATCH(MAX(COUNTIF($H$2:$H$1166,$H$2:$H$1166)),COUNTIF($H$2:$H$1166,$H$2:$H$1166),0)),"Unknown"),H383)</f>
        <v>Non-KYC</v>
      </c>
      <c r="Z383" s="7" t="str">
        <f t="shared" si="38"/>
        <v>Internal</v>
      </c>
      <c r="AA383" s="7">
        <f>IF(J383="",AVERAGE($J:$J),J383)</f>
        <v>10814.33</v>
      </c>
      <c r="AB383" s="7">
        <f>IF(N383="",AVERAGE($N:$N),N383)</f>
        <v>52</v>
      </c>
      <c r="AC383" s="7">
        <f t="shared" si="39"/>
        <v>2022</v>
      </c>
      <c r="AD383" s="7">
        <f t="shared" si="40"/>
        <v>2</v>
      </c>
      <c r="AE383" s="7">
        <f>COUNTIF(A:A,A383)</f>
        <v>1</v>
      </c>
      <c r="AF383" s="7" t="str">
        <f t="shared" si="41"/>
        <v>No</v>
      </c>
    </row>
    <row r="384" spans="1:32">
      <c r="A384" t="s">
        <v>1368</v>
      </c>
      <c r="B384">
        <v>59125302</v>
      </c>
      <c r="C384" t="s">
        <v>1369</v>
      </c>
      <c r="D384" t="s">
        <v>652</v>
      </c>
      <c r="E384" t="s">
        <v>3373</v>
      </c>
      <c r="F384" t="s">
        <v>35</v>
      </c>
      <c r="G384" t="s">
        <v>44</v>
      </c>
      <c r="I384" t="s">
        <v>3371</v>
      </c>
      <c r="J384">
        <v>4351.95</v>
      </c>
      <c r="K384" t="s">
        <v>27</v>
      </c>
      <c r="L384" t="s">
        <v>28</v>
      </c>
      <c r="M384" s="1">
        <v>44846.8125</v>
      </c>
      <c r="N384">
        <v>50</v>
      </c>
      <c r="O384" t="s">
        <v>24</v>
      </c>
      <c r="P384" t="s">
        <v>36</v>
      </c>
      <c r="Q384" t="s">
        <v>1370</v>
      </c>
      <c r="R384">
        <f t="shared" si="35"/>
        <v>59125302</v>
      </c>
      <c r="S384" t="str" cm="1">
        <f t="array" ref="S384">IF(C384="",IFERROR(INDEX($C$2:$C$1166,MATCH(MAX(COUNTIF($C$2:$C$1166,$C$2:$C$1166)),COUNTIF($C$2:$C$1166,$C$2:$C$1166),0)),"Unknown"),C384)</f>
        <v xml:space="preserve">  THOMAS NAIR </v>
      </c>
      <c r="T384" s="4" t="str" cm="1">
        <f t="array" ref="T384">IF(D384="",IFERROR(INDEX($D$2:$D$1000,MATCH(MAX(COUNTIF($D$2:$D$1166,$D$2:$D$1166)),COUNTIF($D$2:$D$1166,$D$2:$D$1166),0)),"Unknown"),D384)</f>
        <v>Elena Brown</v>
      </c>
      <c r="U384" t="str">
        <f t="shared" si="36"/>
        <v>EUR</v>
      </c>
      <c r="V384" s="7" t="str">
        <f t="shared" si="36"/>
        <v>SGD</v>
      </c>
      <c r="W384" s="7" t="str">
        <f t="shared" si="37"/>
        <v>Brazil</v>
      </c>
      <c r="X384" s="7" t="str">
        <f t="shared" si="37"/>
        <v>Germany</v>
      </c>
      <c r="Y384" s="7" t="str" cm="1">
        <f t="array" ref="Y384">IF(H384="",IFERROR(INDEX($H$2:$H$1166,MATCH(MAX(COUNTIF($H$2:$H$1166,$H$2:$H$1166)),COUNTIF($H$2:$H$1166,$H$2:$H$1166),0)),"Unknown"),H384)</f>
        <v>Pending</v>
      </c>
      <c r="Z384" s="7" t="str">
        <f t="shared" si="38"/>
        <v>Outer-Transaction</v>
      </c>
      <c r="AA384" s="7">
        <f>IF(J384="",AVERAGE($J:$J),J384)</f>
        <v>4351.95</v>
      </c>
      <c r="AB384" s="7">
        <f>IF(N384="",AVERAGE($N:$N),N384)</f>
        <v>50</v>
      </c>
      <c r="AC384" s="7">
        <f t="shared" si="39"/>
        <v>2022</v>
      </c>
      <c r="AD384" s="7">
        <f t="shared" si="40"/>
        <v>10</v>
      </c>
      <c r="AE384" s="7">
        <f>COUNTIF(A:A,A384)</f>
        <v>1</v>
      </c>
      <c r="AF384" s="7" t="str">
        <f t="shared" si="41"/>
        <v>Yes</v>
      </c>
    </row>
    <row r="385" spans="1:32">
      <c r="A385" t="s">
        <v>1371</v>
      </c>
      <c r="B385">
        <v>61559796</v>
      </c>
      <c r="C385" t="s">
        <v>1372</v>
      </c>
      <c r="D385" t="s">
        <v>935</v>
      </c>
      <c r="E385" t="s">
        <v>20</v>
      </c>
      <c r="F385" t="s">
        <v>126</v>
      </c>
      <c r="G385" t="s">
        <v>21</v>
      </c>
      <c r="H385" t="s">
        <v>38</v>
      </c>
      <c r="I385" t="s">
        <v>3372</v>
      </c>
      <c r="J385">
        <v>7562.23</v>
      </c>
      <c r="K385" t="s">
        <v>27</v>
      </c>
      <c r="L385" t="s">
        <v>75</v>
      </c>
      <c r="M385" s="1">
        <v>45942.008333333331</v>
      </c>
      <c r="N385">
        <v>50</v>
      </c>
      <c r="O385" t="s">
        <v>37</v>
      </c>
      <c r="P385" t="s">
        <v>93</v>
      </c>
      <c r="Q385" t="s">
        <v>1373</v>
      </c>
      <c r="R385">
        <f t="shared" si="35"/>
        <v>61559796</v>
      </c>
      <c r="S385" t="str" cm="1">
        <f t="array" ref="S385">IF(C385="",IFERROR(INDEX($C$2:$C$1166,MATCH(MAX(COUNTIF($C$2:$C$1166,$C$2:$C$1166)),COUNTIF($C$2:$C$1166,$C$2:$C$1166),0)),"Unknown"),C385)</f>
        <v xml:space="preserve">  KAREN DUBOIS </v>
      </c>
      <c r="T385" s="4" t="str" cm="1">
        <f t="array" ref="T385">IF(D385="",IFERROR(INDEX($D$2:$D$1000,MATCH(MAX(COUNTIF($D$2:$D$1166,$D$2:$D$1166)),COUNTIF($D$2:$D$1166,$D$2:$D$1166),0)),"Unknown"),D385)</f>
        <v>Joseph Gonzalez</v>
      </c>
      <c r="U385" t="str">
        <f t="shared" si="36"/>
        <v>inr</v>
      </c>
      <c r="V385" s="7" t="str">
        <f t="shared" si="36"/>
        <v>GBP</v>
      </c>
      <c r="W385" s="7" t="str">
        <f t="shared" si="37"/>
        <v>South Africa</v>
      </c>
      <c r="X385" s="7" t="str">
        <f t="shared" si="37"/>
        <v>USA</v>
      </c>
      <c r="Y385" s="7" t="str" cm="1">
        <f t="array" ref="Y385">IF(H385="",IFERROR(INDEX($H$2:$H$1166,MATCH(MAX(COUNTIF($H$2:$H$1166,$H$2:$H$1166)),COUNTIF($H$2:$H$1166,$H$2:$H$1166),0)),"Unknown"),H385)</f>
        <v>Pending</v>
      </c>
      <c r="Z385" s="7" t="str">
        <f t="shared" si="38"/>
        <v>Outer-Transaction</v>
      </c>
      <c r="AA385" s="7">
        <f>IF(J385="",AVERAGE($J:$J),J385)</f>
        <v>7562.23</v>
      </c>
      <c r="AB385" s="7">
        <f>IF(N385="",AVERAGE($N:$N),N385)</f>
        <v>50</v>
      </c>
      <c r="AC385" s="7">
        <f t="shared" si="39"/>
        <v>2025</v>
      </c>
      <c r="AD385" s="7">
        <f t="shared" si="40"/>
        <v>10</v>
      </c>
      <c r="AE385" s="7">
        <f>COUNTIF(A:A,A385)</f>
        <v>1</v>
      </c>
      <c r="AF385" s="7" t="str">
        <f t="shared" si="41"/>
        <v>No</v>
      </c>
    </row>
    <row r="386" spans="1:32">
      <c r="A386" t="s">
        <v>1374</v>
      </c>
      <c r="B386">
        <v>29882943</v>
      </c>
      <c r="C386" t="s">
        <v>1375</v>
      </c>
      <c r="D386" t="s">
        <v>150</v>
      </c>
      <c r="E386" t="s">
        <v>20</v>
      </c>
      <c r="F386" t="s">
        <v>80</v>
      </c>
      <c r="G386" t="s">
        <v>45</v>
      </c>
      <c r="I386" t="s">
        <v>3376</v>
      </c>
      <c r="J386">
        <v>14583.56</v>
      </c>
      <c r="K386" t="s">
        <v>57</v>
      </c>
      <c r="L386" t="s">
        <v>28</v>
      </c>
      <c r="M386" s="1">
        <v>43859.736111111109</v>
      </c>
      <c r="N386">
        <v>78</v>
      </c>
      <c r="O386" t="s">
        <v>93</v>
      </c>
      <c r="P386" t="s">
        <v>68</v>
      </c>
      <c r="Q386" t="s">
        <v>1376</v>
      </c>
      <c r="R386">
        <f t="shared" ref="R386:R449" si="42">IF(B386="",0,B386)</f>
        <v>29882943</v>
      </c>
      <c r="S386" t="str" cm="1">
        <f t="array" ref="S386">IF(C386="",IFERROR(INDEX($C$2:$C$1166,MATCH(MAX(COUNTIF($C$2:$C$1166,$C$2:$C$1166)),COUNTIF($C$2:$C$1166,$C$2:$C$1166),0)),"Unknown"),C386)</f>
        <v>Carlos Rodriguez</v>
      </c>
      <c r="T386" s="4" t="str" cm="1">
        <f t="array" ref="T386">IF(D386="",IFERROR(INDEX($D$2:$D$1000,MATCH(MAX(COUNTIF($D$2:$D$1166,$D$2:$D$1166)),COUNTIF($D$2:$D$1166,$D$2:$D$1166),0)),"Unknown"),D386)</f>
        <v>Priya Jones</v>
      </c>
      <c r="U386" t="str">
        <f t="shared" ref="U386:V449" si="43">TRIM(F386)</f>
        <v>USD</v>
      </c>
      <c r="V386" s="7" t="str">
        <f t="shared" si="43"/>
        <v>ZAR</v>
      </c>
      <c r="W386" s="7" t="str">
        <f t="shared" ref="W386:X449" si="44">TRIM(O386)</f>
        <v>USA</v>
      </c>
      <c r="X386" s="7" t="str">
        <f t="shared" si="44"/>
        <v>UAE</v>
      </c>
      <c r="Y386" s="7" t="str" cm="1">
        <f t="array" ref="Y386">IF(H386="",IFERROR(INDEX($H$2:$H$1166,MATCH(MAX(COUNTIF($H$2:$H$1166,$H$2:$H$1166)),COUNTIF($H$2:$H$1166,$H$2:$H$1166),0)),"Unknown"),H386)</f>
        <v>Pending</v>
      </c>
      <c r="Z386" s="7" t="str">
        <f t="shared" ref="Z386:Z449" si="45">PROPER(I386)</f>
        <v>Internal</v>
      </c>
      <c r="AA386" s="7">
        <f>IF(J386="",AVERAGE($J:$J),J386)</f>
        <v>14583.56</v>
      </c>
      <c r="AB386" s="7">
        <f>IF(N386="",AVERAGE($N:$N),N386)</f>
        <v>78</v>
      </c>
      <c r="AC386" s="7">
        <f t="shared" ref="AC386:AC449" si="46">YEAR(M386)</f>
        <v>2020</v>
      </c>
      <c r="AD386" s="7">
        <f t="shared" ref="AD386:AD449" si="47">MONTH(M386)</f>
        <v>1</v>
      </c>
      <c r="AE386" s="7">
        <f>COUNTIF(A:A,A386)</f>
        <v>2</v>
      </c>
      <c r="AF386" s="7" t="str">
        <f t="shared" ref="AF386:AF449" si="48">IF(E386="","",IF(OR(E386="Yes",E386="Y",E386="TRUE",E386=1),"Yes","No"))</f>
        <v>No</v>
      </c>
    </row>
    <row r="387" spans="1:32">
      <c r="A387" t="s">
        <v>1377</v>
      </c>
      <c r="B387">
        <v>39431208</v>
      </c>
      <c r="C387" t="s">
        <v>490</v>
      </c>
      <c r="D387" t="s">
        <v>300</v>
      </c>
      <c r="E387" t="s">
        <v>20</v>
      </c>
      <c r="F387" t="s">
        <v>98</v>
      </c>
      <c r="G387" t="s">
        <v>45</v>
      </c>
      <c r="H387" t="s">
        <v>56</v>
      </c>
      <c r="I387" t="s">
        <v>3374</v>
      </c>
      <c r="J387">
        <v>3867.6</v>
      </c>
      <c r="K387" t="s">
        <v>27</v>
      </c>
      <c r="L387" t="s">
        <v>48</v>
      </c>
      <c r="M387" s="1">
        <v>46250.974305555559</v>
      </c>
      <c r="N387">
        <v>68</v>
      </c>
      <c r="O387" t="s">
        <v>68</v>
      </c>
      <c r="P387" t="s">
        <v>93</v>
      </c>
      <c r="Q387" t="s">
        <v>1378</v>
      </c>
      <c r="R387">
        <f t="shared" si="42"/>
        <v>39431208</v>
      </c>
      <c r="S387" t="str" cm="1">
        <f t="array" ref="S387">IF(C387="",IFERROR(INDEX($C$2:$C$1166,MATCH(MAX(COUNTIF($C$2:$C$1166,$C$2:$C$1166)),COUNTIF($C$2:$C$1166,$C$2:$C$1166),0)),"Unknown"),C387)</f>
        <v>Fatima Rodriguez</v>
      </c>
      <c r="T387" s="4" t="str" cm="1">
        <f t="array" ref="T387">IF(D387="",IFERROR(INDEX($D$2:$D$1000,MATCH(MAX(COUNTIF($D$2:$D$1166,$D$2:$D$1166)),COUNTIF($D$2:$D$1166,$D$2:$D$1166),0)),"Unknown"),D387)</f>
        <v>Linda Rodriguez</v>
      </c>
      <c r="U387" t="str">
        <f t="shared" si="43"/>
        <v>JPY</v>
      </c>
      <c r="V387" s="7" t="str">
        <f t="shared" si="43"/>
        <v>ZAR</v>
      </c>
      <c r="W387" s="7" t="str">
        <f t="shared" si="44"/>
        <v>UAE</v>
      </c>
      <c r="X387" s="7" t="str">
        <f t="shared" si="44"/>
        <v>USA</v>
      </c>
      <c r="Y387" s="7" t="str" cm="1">
        <f t="array" ref="Y387">IF(H387="",IFERROR(INDEX($H$2:$H$1166,MATCH(MAX(COUNTIF($H$2:$H$1166,$H$2:$H$1166)),COUNTIF($H$2:$H$1166,$H$2:$H$1166),0)),"Unknown"),H387)</f>
        <v>Unverified</v>
      </c>
      <c r="Z387" s="7" t="str">
        <f t="shared" si="45"/>
        <v>External</v>
      </c>
      <c r="AA387" s="7">
        <f>IF(J387="",AVERAGE($J:$J),J387)</f>
        <v>3867.6</v>
      </c>
      <c r="AB387" s="7">
        <f>IF(N387="",AVERAGE($N:$N),N387)</f>
        <v>68</v>
      </c>
      <c r="AC387" s="7">
        <f t="shared" si="46"/>
        <v>2026</v>
      </c>
      <c r="AD387" s="7">
        <f t="shared" si="47"/>
        <v>8</v>
      </c>
      <c r="AE387" s="7">
        <f>COUNTIF(A:A,A387)</f>
        <v>1</v>
      </c>
      <c r="AF387" s="7" t="str">
        <f t="shared" si="48"/>
        <v>No</v>
      </c>
    </row>
    <row r="388" spans="1:32">
      <c r="A388" t="s">
        <v>1379</v>
      </c>
      <c r="B388">
        <v>68237550</v>
      </c>
      <c r="C388" t="s">
        <v>995</v>
      </c>
      <c r="D388" t="s">
        <v>1380</v>
      </c>
      <c r="E388" t="s">
        <v>20</v>
      </c>
      <c r="F388" t="s">
        <v>21</v>
      </c>
      <c r="G388" t="s">
        <v>44</v>
      </c>
      <c r="I388" t="s">
        <v>3378</v>
      </c>
      <c r="J388">
        <v>325.5</v>
      </c>
      <c r="K388" t="s">
        <v>47</v>
      </c>
      <c r="L388" t="s">
        <v>48</v>
      </c>
      <c r="M388" s="1">
        <v>45975.354166666664</v>
      </c>
      <c r="N388">
        <v>60</v>
      </c>
      <c r="O388" t="s">
        <v>54</v>
      </c>
      <c r="P388" t="s">
        <v>37</v>
      </c>
      <c r="Q388" t="s">
        <v>1381</v>
      </c>
      <c r="R388">
        <f t="shared" si="42"/>
        <v>68237550</v>
      </c>
      <c r="S388" t="str" cm="1">
        <f t="array" ref="S388">IF(C388="",IFERROR(INDEX($C$2:$C$1166,MATCH(MAX(COUNTIF($C$2:$C$1166,$C$2:$C$1166)),COUNTIF($C$2:$C$1166,$C$2:$C$1166),0)),"Unknown"),C388)</f>
        <v>Susan Jones</v>
      </c>
      <c r="T388" s="4" t="str" cm="1">
        <f t="array" ref="T388">IF(D388="",IFERROR(INDEX($D$2:$D$1000,MATCH(MAX(COUNTIF($D$2:$D$1166,$D$2:$D$1166)),COUNTIF($D$2:$D$1166,$D$2:$D$1166),0)),"Unknown"),D388)</f>
        <v>Carlos Thomas</v>
      </c>
      <c r="U388" t="str">
        <f t="shared" si="43"/>
        <v>GBP</v>
      </c>
      <c r="V388" s="7" t="str">
        <f t="shared" si="43"/>
        <v>SGD</v>
      </c>
      <c r="W388" s="7" t="str">
        <f t="shared" si="44"/>
        <v>India</v>
      </c>
      <c r="X388" s="7" t="str">
        <f t="shared" si="44"/>
        <v>South Africa</v>
      </c>
      <c r="Y388" s="7" t="str" cm="1">
        <f t="array" ref="Y388">IF(H388="",IFERROR(INDEX($H$2:$H$1166,MATCH(MAX(COUNTIF($H$2:$H$1166,$H$2:$H$1166)),COUNTIF($H$2:$H$1166,$H$2:$H$1166),0)),"Unknown"),H388)</f>
        <v>Pending</v>
      </c>
      <c r="Z388" s="7" t="str">
        <f t="shared" si="45"/>
        <v>Inter-Transaction</v>
      </c>
      <c r="AA388" s="7">
        <f>IF(J388="",AVERAGE($J:$J),J388)</f>
        <v>325.5</v>
      </c>
      <c r="AB388" s="7">
        <f>IF(N388="",AVERAGE($N:$N),N388)</f>
        <v>60</v>
      </c>
      <c r="AC388" s="7">
        <f t="shared" si="46"/>
        <v>2025</v>
      </c>
      <c r="AD388" s="7">
        <f t="shared" si="47"/>
        <v>11</v>
      </c>
      <c r="AE388" s="7">
        <f>COUNTIF(A:A,A388)</f>
        <v>1</v>
      </c>
      <c r="AF388" s="7" t="str">
        <f t="shared" si="48"/>
        <v>No</v>
      </c>
    </row>
    <row r="389" spans="1:32">
      <c r="A389" t="s">
        <v>1382</v>
      </c>
      <c r="B389">
        <v>80703020</v>
      </c>
      <c r="C389" t="s">
        <v>264</v>
      </c>
      <c r="D389" t="s">
        <v>1039</v>
      </c>
      <c r="E389" t="s">
        <v>20</v>
      </c>
      <c r="F389" t="s">
        <v>35</v>
      </c>
      <c r="G389" t="s">
        <v>160</v>
      </c>
      <c r="H389" t="s">
        <v>74</v>
      </c>
      <c r="I389" t="s">
        <v>3371</v>
      </c>
      <c r="J389">
        <v>11554.06</v>
      </c>
      <c r="K389" t="s">
        <v>57</v>
      </c>
      <c r="L389" t="s">
        <v>48</v>
      </c>
      <c r="M389" s="1">
        <v>45724.944444444445</v>
      </c>
      <c r="N389">
        <v>29</v>
      </c>
      <c r="O389" t="s">
        <v>24</v>
      </c>
      <c r="P389" t="s">
        <v>36</v>
      </c>
      <c r="Q389" t="s">
        <v>1383</v>
      </c>
      <c r="R389">
        <f t="shared" si="42"/>
        <v>80703020</v>
      </c>
      <c r="S389" t="str" cm="1">
        <f t="array" ref="S389">IF(C389="",IFERROR(INDEX($C$2:$C$1166,MATCH(MAX(COUNTIF($C$2:$C$1166,$C$2:$C$1166)),COUNTIF($C$2:$C$1166,$C$2:$C$1166),0)),"Unknown"),C389)</f>
        <v>Michael Al-Sayed</v>
      </c>
      <c r="T389" s="4" t="str" cm="1">
        <f t="array" ref="T389">IF(D389="",IFERROR(INDEX($D$2:$D$1000,MATCH(MAX(COUNTIF($D$2:$D$1166,$D$2:$D$1166)),COUNTIF($D$2:$D$1166,$D$2:$D$1166),0)),"Unknown"),D389)</f>
        <v>Jean-Pierre Silva</v>
      </c>
      <c r="U389" t="str">
        <f t="shared" si="43"/>
        <v>EUR</v>
      </c>
      <c r="V389" s="7" t="str">
        <f t="shared" si="43"/>
        <v>aud</v>
      </c>
      <c r="W389" s="7" t="str">
        <f t="shared" si="44"/>
        <v>Brazil</v>
      </c>
      <c r="X389" s="7" t="str">
        <f t="shared" si="44"/>
        <v>Germany</v>
      </c>
      <c r="Y389" s="7" t="str" cm="1">
        <f t="array" ref="Y389">IF(H389="",IFERROR(INDEX($H$2:$H$1166,MATCH(MAX(COUNTIF($H$2:$H$1166,$H$2:$H$1166)),COUNTIF($H$2:$H$1166,$H$2:$H$1166),0)),"Unknown"),H389)</f>
        <v>Non-KYC</v>
      </c>
      <c r="Z389" s="7" t="str">
        <f t="shared" si="45"/>
        <v>Outer-Transaction</v>
      </c>
      <c r="AA389" s="7">
        <f>IF(J389="",AVERAGE($J:$J),J389)</f>
        <v>11554.06</v>
      </c>
      <c r="AB389" s="7">
        <f>IF(N389="",AVERAGE($N:$N),N389)</f>
        <v>29</v>
      </c>
      <c r="AC389" s="7">
        <f t="shared" si="46"/>
        <v>2025</v>
      </c>
      <c r="AD389" s="7">
        <f t="shared" si="47"/>
        <v>3</v>
      </c>
      <c r="AE389" s="7">
        <f>COUNTIF(A:A,A389)</f>
        <v>1</v>
      </c>
      <c r="AF389" s="7" t="str">
        <f t="shared" si="48"/>
        <v>No</v>
      </c>
    </row>
    <row r="390" spans="1:32">
      <c r="A390" t="s">
        <v>1384</v>
      </c>
      <c r="B390">
        <v>85544613</v>
      </c>
      <c r="C390" t="s">
        <v>853</v>
      </c>
      <c r="D390" t="s">
        <v>1385</v>
      </c>
      <c r="E390" t="s">
        <v>20</v>
      </c>
      <c r="F390" t="s">
        <v>44</v>
      </c>
      <c r="G390" t="s">
        <v>21</v>
      </c>
      <c r="H390" t="s">
        <v>25</v>
      </c>
      <c r="I390" t="s">
        <v>3377</v>
      </c>
      <c r="J390">
        <v>8174.19</v>
      </c>
      <c r="K390" t="s">
        <v>86</v>
      </c>
      <c r="L390" t="s">
        <v>81</v>
      </c>
      <c r="M390" s="1">
        <v>45296.415972222225</v>
      </c>
      <c r="N390">
        <v>84</v>
      </c>
      <c r="O390" t="s">
        <v>68</v>
      </c>
      <c r="P390" t="s">
        <v>127</v>
      </c>
      <c r="Q390" t="s">
        <v>1386</v>
      </c>
      <c r="R390">
        <f t="shared" si="42"/>
        <v>85544613</v>
      </c>
      <c r="S390" t="str" cm="1">
        <f t="array" ref="S390">IF(C390="",IFERROR(INDEX($C$2:$C$1166,MATCH(MAX(COUNTIF($C$2:$C$1166,$C$2:$C$1166)),COUNTIF($C$2:$C$1166,$C$2:$C$1166),0)),"Unknown"),C390)</f>
        <v>Carlos Anderson</v>
      </c>
      <c r="T390" s="4" t="str" cm="1">
        <f t="array" ref="T390">IF(D390="",IFERROR(INDEX($D$2:$D$1000,MATCH(MAX(COUNTIF($D$2:$D$1166,$D$2:$D$1166)),COUNTIF($D$2:$D$1166,$D$2:$D$1166),0)),"Unknown"),D390)</f>
        <v xml:space="preserve"> amir garcia   </v>
      </c>
      <c r="U390" t="str">
        <f t="shared" si="43"/>
        <v>SGD</v>
      </c>
      <c r="V390" s="7" t="str">
        <f t="shared" si="43"/>
        <v>GBP</v>
      </c>
      <c r="W390" s="7" t="str">
        <f t="shared" si="44"/>
        <v>UAE</v>
      </c>
      <c r="X390" s="7" t="str">
        <f t="shared" si="44"/>
        <v>Canada</v>
      </c>
      <c r="Y390" s="7" t="str" cm="1">
        <f t="array" ref="Y390">IF(H390="",IFERROR(INDEX($H$2:$H$1166,MATCH(MAX(COUNTIF($H$2:$H$1166,$H$2:$H$1166)),COUNTIF($H$2:$H$1166,$H$2:$H$1166),0)),"Unknown"),H390)</f>
        <v>KYC</v>
      </c>
      <c r="Z390" s="7" t="str">
        <f t="shared" si="45"/>
        <v>Inter-Transaction</v>
      </c>
      <c r="AA390" s="7">
        <f>IF(J390="",AVERAGE($J:$J),J390)</f>
        <v>8174.19</v>
      </c>
      <c r="AB390" s="7">
        <f>IF(N390="",AVERAGE($N:$N),N390)</f>
        <v>84</v>
      </c>
      <c r="AC390" s="7">
        <f t="shared" si="46"/>
        <v>2024</v>
      </c>
      <c r="AD390" s="7">
        <f t="shared" si="47"/>
        <v>1</v>
      </c>
      <c r="AE390" s="7">
        <f>COUNTIF(A:A,A390)</f>
        <v>1</v>
      </c>
      <c r="AF390" s="7" t="str">
        <f t="shared" si="48"/>
        <v>No</v>
      </c>
    </row>
    <row r="391" spans="1:32">
      <c r="A391" t="s">
        <v>1387</v>
      </c>
      <c r="B391">
        <v>61639439</v>
      </c>
      <c r="C391" t="s">
        <v>1388</v>
      </c>
      <c r="D391" t="s">
        <v>1389</v>
      </c>
      <c r="E391" t="s">
        <v>20</v>
      </c>
      <c r="F391" t="s">
        <v>44</v>
      </c>
      <c r="G391" t="s">
        <v>21</v>
      </c>
      <c r="H391" t="s">
        <v>103</v>
      </c>
      <c r="I391" t="s">
        <v>3377</v>
      </c>
      <c r="J391">
        <v>5413.8</v>
      </c>
      <c r="K391" t="s">
        <v>86</v>
      </c>
      <c r="L391" t="s">
        <v>28</v>
      </c>
      <c r="M391" s="1">
        <v>45057.067361111112</v>
      </c>
      <c r="N391">
        <v>82</v>
      </c>
      <c r="O391" t="s">
        <v>36</v>
      </c>
      <c r="P391" t="s">
        <v>62</v>
      </c>
      <c r="Q391" t="s">
        <v>1390</v>
      </c>
      <c r="R391">
        <f t="shared" si="42"/>
        <v>61639439</v>
      </c>
      <c r="S391" t="str" cm="1">
        <f t="array" ref="S391">IF(C391="",IFERROR(INDEX($C$2:$C$1166,MATCH(MAX(COUNTIF($C$2:$C$1166,$C$2:$C$1166)),COUNTIF($C$2:$C$1166,$C$2:$C$1166),0)),"Unknown"),C391)</f>
        <v>Marta Volkov</v>
      </c>
      <c r="T391" s="4" t="str" cm="1">
        <f t="array" ref="T391">IF(D391="",IFERROR(INDEX($D$2:$D$1000,MATCH(MAX(COUNTIF($D$2:$D$1166,$D$2:$D$1166)),COUNTIF($D$2:$D$1166,$D$2:$D$1166),0)),"Unknown"),D391)</f>
        <v>Elena Khan</v>
      </c>
      <c r="U391" t="str">
        <f t="shared" si="43"/>
        <v>SGD</v>
      </c>
      <c r="V391" s="7" t="str">
        <f t="shared" si="43"/>
        <v>GBP</v>
      </c>
      <c r="W391" s="7" t="str">
        <f t="shared" si="44"/>
        <v>Germany</v>
      </c>
      <c r="X391" s="7" t="str">
        <f t="shared" si="44"/>
        <v>Australia</v>
      </c>
      <c r="Y391" s="7" t="str" cm="1">
        <f t="array" ref="Y391">IF(H391="",IFERROR(INDEX($H$2:$H$1166,MATCH(MAX(COUNTIF($H$2:$H$1166,$H$2:$H$1166)),COUNTIF($H$2:$H$1166,$H$2:$H$1166),0)),"Unknown"),H391)</f>
        <v>Verified</v>
      </c>
      <c r="Z391" s="7" t="str">
        <f t="shared" si="45"/>
        <v>Inter-Transaction</v>
      </c>
      <c r="AA391" s="7">
        <f>IF(J391="",AVERAGE($J:$J),J391)</f>
        <v>5413.8</v>
      </c>
      <c r="AB391" s="7">
        <f>IF(N391="",AVERAGE($N:$N),N391)</f>
        <v>82</v>
      </c>
      <c r="AC391" s="7">
        <f t="shared" si="46"/>
        <v>2023</v>
      </c>
      <c r="AD391" s="7">
        <f t="shared" si="47"/>
        <v>5</v>
      </c>
      <c r="AE391" s="7">
        <f>COUNTIF(A:A,A391)</f>
        <v>1</v>
      </c>
      <c r="AF391" s="7" t="str">
        <f t="shared" si="48"/>
        <v>No</v>
      </c>
    </row>
    <row r="392" spans="1:32">
      <c r="A392" t="s">
        <v>1391</v>
      </c>
      <c r="B392">
        <v>48521233</v>
      </c>
      <c r="C392" t="s">
        <v>501</v>
      </c>
      <c r="D392" t="s">
        <v>1392</v>
      </c>
      <c r="E392" t="s">
        <v>20</v>
      </c>
      <c r="F392" t="s">
        <v>45</v>
      </c>
      <c r="G392" t="s">
        <v>34</v>
      </c>
      <c r="H392" t="s">
        <v>74</v>
      </c>
      <c r="I392" t="s">
        <v>3374</v>
      </c>
      <c r="J392">
        <v>2207.37</v>
      </c>
      <c r="K392" t="s">
        <v>47</v>
      </c>
      <c r="L392" t="s">
        <v>81</v>
      </c>
      <c r="M392" s="1">
        <v>45899.584722222222</v>
      </c>
      <c r="N392">
        <v>50</v>
      </c>
      <c r="O392" t="s">
        <v>36</v>
      </c>
      <c r="P392" t="s">
        <v>62</v>
      </c>
      <c r="Q392" t="s">
        <v>1393</v>
      </c>
      <c r="R392">
        <f t="shared" si="42"/>
        <v>48521233</v>
      </c>
      <c r="S392" t="str" cm="1">
        <f t="array" ref="S392">IF(C392="",IFERROR(INDEX($C$2:$C$1166,MATCH(MAX(COUNTIF($C$2:$C$1166,$C$2:$C$1166)),COUNTIF($C$2:$C$1166,$C$2:$C$1166),0)),"Unknown"),C392)</f>
        <v>Susan Volkov</v>
      </c>
      <c r="T392" s="4" t="str" cm="1">
        <f t="array" ref="T392">IF(D392="",IFERROR(INDEX($D$2:$D$1000,MATCH(MAX(COUNTIF($D$2:$D$1166,$D$2:$D$1166)),COUNTIF($D$2:$D$1166,$D$2:$D$1166),0)),"Unknown"),D392)</f>
        <v xml:space="preserve"> patricia rodriguez   </v>
      </c>
      <c r="U392" t="str">
        <f t="shared" si="43"/>
        <v>ZAR</v>
      </c>
      <c r="V392" s="7" t="str">
        <f t="shared" si="43"/>
        <v>CAD</v>
      </c>
      <c r="W392" s="7" t="str">
        <f t="shared" si="44"/>
        <v>Germany</v>
      </c>
      <c r="X392" s="7" t="str">
        <f t="shared" si="44"/>
        <v>Australia</v>
      </c>
      <c r="Y392" s="7" t="str" cm="1">
        <f t="array" ref="Y392">IF(H392="",IFERROR(INDEX($H$2:$H$1166,MATCH(MAX(COUNTIF($H$2:$H$1166,$H$2:$H$1166)),COUNTIF($H$2:$H$1166,$H$2:$H$1166),0)),"Unknown"),H392)</f>
        <v>Non-KYC</v>
      </c>
      <c r="Z392" s="7" t="str">
        <f t="shared" si="45"/>
        <v>External</v>
      </c>
      <c r="AA392" s="7">
        <f>IF(J392="",AVERAGE($J:$J),J392)</f>
        <v>2207.37</v>
      </c>
      <c r="AB392" s="7">
        <f>IF(N392="",AVERAGE($N:$N),N392)</f>
        <v>50</v>
      </c>
      <c r="AC392" s="7">
        <f t="shared" si="46"/>
        <v>2025</v>
      </c>
      <c r="AD392" s="7">
        <f t="shared" si="47"/>
        <v>8</v>
      </c>
      <c r="AE392" s="7">
        <f>COUNTIF(A:A,A392)</f>
        <v>1</v>
      </c>
      <c r="AF392" s="7" t="str">
        <f t="shared" si="48"/>
        <v>No</v>
      </c>
    </row>
    <row r="393" spans="1:32">
      <c r="A393" t="s">
        <v>1394</v>
      </c>
      <c r="B393">
        <v>22139593</v>
      </c>
      <c r="C393" t="s">
        <v>1395</v>
      </c>
      <c r="D393" t="s">
        <v>857</v>
      </c>
      <c r="E393" t="s">
        <v>3373</v>
      </c>
      <c r="F393" t="s">
        <v>34</v>
      </c>
      <c r="G393" t="s">
        <v>44</v>
      </c>
      <c r="I393" t="s">
        <v>3371</v>
      </c>
      <c r="J393">
        <v>5753.95</v>
      </c>
      <c r="K393" t="s">
        <v>27</v>
      </c>
      <c r="L393" t="s">
        <v>81</v>
      </c>
      <c r="M393" s="1">
        <v>44956.4375</v>
      </c>
      <c r="N393">
        <v>57</v>
      </c>
      <c r="O393" t="s">
        <v>36</v>
      </c>
      <c r="P393" t="s">
        <v>68</v>
      </c>
      <c r="Q393" t="s">
        <v>1396</v>
      </c>
      <c r="R393">
        <f t="shared" si="42"/>
        <v>22139593</v>
      </c>
      <c r="S393" t="str" cm="1">
        <f t="array" ref="S393">IF(C393="",IFERROR(INDEX($C$2:$C$1166,MATCH(MAX(COUNTIF($C$2:$C$1166,$C$2:$C$1166)),COUNTIF($C$2:$C$1166,$C$2:$C$1166),0)),"Unknown"),C393)</f>
        <v>Richard Jones</v>
      </c>
      <c r="T393" s="4" t="str" cm="1">
        <f t="array" ref="T393">IF(D393="",IFERROR(INDEX($D$2:$D$1000,MATCH(MAX(COUNTIF($D$2:$D$1166,$D$2:$D$1166)),COUNTIF($D$2:$D$1166,$D$2:$D$1166),0)),"Unknown"),D393)</f>
        <v>Linda Dubois</v>
      </c>
      <c r="U393" t="str">
        <f t="shared" si="43"/>
        <v>CAD</v>
      </c>
      <c r="V393" s="7" t="str">
        <f t="shared" si="43"/>
        <v>SGD</v>
      </c>
      <c r="W393" s="7" t="str">
        <f t="shared" si="44"/>
        <v>Germany</v>
      </c>
      <c r="X393" s="7" t="str">
        <f t="shared" si="44"/>
        <v>UAE</v>
      </c>
      <c r="Y393" s="7" t="str" cm="1">
        <f t="array" ref="Y393">IF(H393="",IFERROR(INDEX($H$2:$H$1166,MATCH(MAX(COUNTIF($H$2:$H$1166,$H$2:$H$1166)),COUNTIF($H$2:$H$1166,$H$2:$H$1166),0)),"Unknown"),H393)</f>
        <v>Pending</v>
      </c>
      <c r="Z393" s="7" t="str">
        <f t="shared" si="45"/>
        <v>Outer-Transaction</v>
      </c>
      <c r="AA393" s="7">
        <f>IF(J393="",AVERAGE($J:$J),J393)</f>
        <v>5753.95</v>
      </c>
      <c r="AB393" s="7">
        <f>IF(N393="",AVERAGE($N:$N),N393)</f>
        <v>57</v>
      </c>
      <c r="AC393" s="7">
        <f t="shared" si="46"/>
        <v>2023</v>
      </c>
      <c r="AD393" s="7">
        <f t="shared" si="47"/>
        <v>1</v>
      </c>
      <c r="AE393" s="7">
        <f>COUNTIF(A:A,A393)</f>
        <v>1</v>
      </c>
      <c r="AF393" s="7" t="str">
        <f t="shared" si="48"/>
        <v>Yes</v>
      </c>
    </row>
    <row r="394" spans="1:32">
      <c r="A394" t="s">
        <v>1397</v>
      </c>
      <c r="B394">
        <v>39438509</v>
      </c>
      <c r="C394" t="s">
        <v>1398</v>
      </c>
      <c r="D394" t="s">
        <v>614</v>
      </c>
      <c r="E394" t="s">
        <v>20</v>
      </c>
      <c r="F394" t="s">
        <v>80</v>
      </c>
      <c r="G394" t="s">
        <v>34</v>
      </c>
      <c r="H394" t="s">
        <v>74</v>
      </c>
      <c r="I394" t="s">
        <v>3378</v>
      </c>
      <c r="J394">
        <v>6911.22</v>
      </c>
      <c r="K394" t="s">
        <v>27</v>
      </c>
      <c r="L394" t="s">
        <v>81</v>
      </c>
      <c r="M394" s="1">
        <v>43896.209722222222</v>
      </c>
      <c r="N394">
        <v>60</v>
      </c>
      <c r="O394" t="s">
        <v>93</v>
      </c>
      <c r="P394" t="s">
        <v>62</v>
      </c>
      <c r="Q394" t="s">
        <v>1399</v>
      </c>
      <c r="R394">
        <f t="shared" si="42"/>
        <v>39438509</v>
      </c>
      <c r="S394" t="str" cm="1">
        <f t="array" ref="S394">IF(C394="",IFERROR(INDEX($C$2:$C$1166,MATCH(MAX(COUNTIF($C$2:$C$1166,$C$2:$C$1166)),COUNTIF($C$2:$C$1166,$C$2:$C$1166),0)),"Unknown"),C394)</f>
        <v xml:space="preserve">  ELENA WILLIAMS </v>
      </c>
      <c r="T394" s="4" t="str" cm="1">
        <f t="array" ref="T394">IF(D394="",IFERROR(INDEX($D$2:$D$1000,MATCH(MAX(COUNTIF($D$2:$D$1166,$D$2:$D$1166)),COUNTIF($D$2:$D$1166,$D$2:$D$1166),0)),"Unknown"),D394)</f>
        <v>Elizabeth Lopez</v>
      </c>
      <c r="U394" t="str">
        <f t="shared" si="43"/>
        <v>USD</v>
      </c>
      <c r="V394" s="7" t="str">
        <f t="shared" si="43"/>
        <v>CAD</v>
      </c>
      <c r="W394" s="7" t="str">
        <f t="shared" si="44"/>
        <v>USA</v>
      </c>
      <c r="X394" s="7" t="str">
        <f t="shared" si="44"/>
        <v>Australia</v>
      </c>
      <c r="Y394" s="7" t="str" cm="1">
        <f t="array" ref="Y394">IF(H394="",IFERROR(INDEX($H$2:$H$1166,MATCH(MAX(COUNTIF($H$2:$H$1166,$H$2:$H$1166)),COUNTIF($H$2:$H$1166,$H$2:$H$1166),0)),"Unknown"),H394)</f>
        <v>Non-KYC</v>
      </c>
      <c r="Z394" s="7" t="str">
        <f t="shared" si="45"/>
        <v>Inter-Transaction</v>
      </c>
      <c r="AA394" s="7">
        <f>IF(J394="",AVERAGE($J:$J),J394)</f>
        <v>6911.22</v>
      </c>
      <c r="AB394" s="7">
        <f>IF(N394="",AVERAGE($N:$N),N394)</f>
        <v>60</v>
      </c>
      <c r="AC394" s="7">
        <f t="shared" si="46"/>
        <v>2020</v>
      </c>
      <c r="AD394" s="7">
        <f t="shared" si="47"/>
        <v>3</v>
      </c>
      <c r="AE394" s="7">
        <f>COUNTIF(A:A,A394)</f>
        <v>1</v>
      </c>
      <c r="AF394" s="7" t="str">
        <f t="shared" si="48"/>
        <v>No</v>
      </c>
    </row>
    <row r="395" spans="1:32">
      <c r="A395" t="s">
        <v>1400</v>
      </c>
      <c r="B395">
        <v>67003442</v>
      </c>
      <c r="C395" t="s">
        <v>1401</v>
      </c>
      <c r="D395" t="s">
        <v>652</v>
      </c>
      <c r="E395" t="s">
        <v>20</v>
      </c>
      <c r="F395" t="s">
        <v>35</v>
      </c>
      <c r="G395" t="s">
        <v>686</v>
      </c>
      <c r="H395" t="s">
        <v>25</v>
      </c>
      <c r="I395" t="s">
        <v>3377</v>
      </c>
      <c r="J395">
        <v>8542.06</v>
      </c>
      <c r="K395" t="s">
        <v>39</v>
      </c>
      <c r="L395" t="s">
        <v>48</v>
      </c>
      <c r="M395" s="1">
        <v>44965.965277777781</v>
      </c>
      <c r="N395">
        <v>61</v>
      </c>
      <c r="O395" t="s">
        <v>93</v>
      </c>
      <c r="P395" t="s">
        <v>127</v>
      </c>
      <c r="Q395" t="s">
        <v>1402</v>
      </c>
      <c r="R395">
        <f t="shared" si="42"/>
        <v>67003442</v>
      </c>
      <c r="S395" t="str" cm="1">
        <f t="array" ref="S395">IF(C395="",IFERROR(INDEX($C$2:$C$1166,MATCH(MAX(COUNTIF($C$2:$C$1166,$C$2:$C$1166)),COUNTIF($C$2:$C$1166,$C$2:$C$1166),0)),"Unknown"),C395)</f>
        <v>Susan Johnson</v>
      </c>
      <c r="T395" s="4" t="str" cm="1">
        <f t="array" ref="T395">IF(D395="",IFERROR(INDEX($D$2:$D$1000,MATCH(MAX(COUNTIF($D$2:$D$1166,$D$2:$D$1166)),COUNTIF($D$2:$D$1166,$D$2:$D$1166),0)),"Unknown"),D395)</f>
        <v>Elena Brown</v>
      </c>
      <c r="U395" t="str">
        <f t="shared" si="43"/>
        <v>EUR</v>
      </c>
      <c r="V395" s="7" t="str">
        <f t="shared" si="43"/>
        <v>sgd</v>
      </c>
      <c r="W395" s="7" t="str">
        <f t="shared" si="44"/>
        <v>USA</v>
      </c>
      <c r="X395" s="7" t="str">
        <f t="shared" si="44"/>
        <v>Canada</v>
      </c>
      <c r="Y395" s="7" t="str" cm="1">
        <f t="array" ref="Y395">IF(H395="",IFERROR(INDEX($H$2:$H$1166,MATCH(MAX(COUNTIF($H$2:$H$1166,$H$2:$H$1166)),COUNTIF($H$2:$H$1166,$H$2:$H$1166),0)),"Unknown"),H395)</f>
        <v>KYC</v>
      </c>
      <c r="Z395" s="7" t="str">
        <f t="shared" si="45"/>
        <v>Inter-Transaction</v>
      </c>
      <c r="AA395" s="7">
        <f>IF(J395="",AVERAGE($J:$J),J395)</f>
        <v>8542.06</v>
      </c>
      <c r="AB395" s="7">
        <f>IF(N395="",AVERAGE($N:$N),N395)</f>
        <v>61</v>
      </c>
      <c r="AC395" s="7">
        <f t="shared" si="46"/>
        <v>2023</v>
      </c>
      <c r="AD395" s="7">
        <f t="shared" si="47"/>
        <v>2</v>
      </c>
      <c r="AE395" s="7">
        <f>COUNTIF(A:A,A395)</f>
        <v>1</v>
      </c>
      <c r="AF395" s="7" t="str">
        <f t="shared" si="48"/>
        <v>No</v>
      </c>
    </row>
    <row r="396" spans="1:32">
      <c r="A396" t="s">
        <v>1403</v>
      </c>
      <c r="B396">
        <v>96549919</v>
      </c>
      <c r="C396" t="s">
        <v>1404</v>
      </c>
      <c r="D396" t="s">
        <v>1405</v>
      </c>
      <c r="E396" t="s">
        <v>20</v>
      </c>
      <c r="F396" t="s">
        <v>45</v>
      </c>
      <c r="G396" t="s">
        <v>80</v>
      </c>
      <c r="H396" t="s">
        <v>56</v>
      </c>
      <c r="I396" t="s">
        <v>3376</v>
      </c>
      <c r="J396">
        <v>10673.99</v>
      </c>
      <c r="K396" t="s">
        <v>57</v>
      </c>
      <c r="L396" t="s">
        <v>75</v>
      </c>
      <c r="M396" s="1">
        <v>44168.613888888889</v>
      </c>
      <c r="N396">
        <v>46</v>
      </c>
      <c r="O396" t="s">
        <v>37</v>
      </c>
      <c r="P396" t="s">
        <v>93</v>
      </c>
      <c r="Q396" t="s">
        <v>1406</v>
      </c>
      <c r="R396">
        <f t="shared" si="42"/>
        <v>96549919</v>
      </c>
      <c r="S396" t="str" cm="1">
        <f t="array" ref="S396">IF(C396="",IFERROR(INDEX($C$2:$C$1166,MATCH(MAX(COUNTIF($C$2:$C$1166,$C$2:$C$1166)),COUNTIF($C$2:$C$1166,$C$2:$C$1166),0)),"Unknown"),C396)</f>
        <v>Elena Smith</v>
      </c>
      <c r="T396" s="4" t="str" cm="1">
        <f t="array" ref="T396">IF(D396="",IFERROR(INDEX($D$2:$D$1000,MATCH(MAX(COUNTIF($D$2:$D$1166,$D$2:$D$1166)),COUNTIF($D$2:$D$1166,$D$2:$D$1166),0)),"Unknown"),D396)</f>
        <v>Barbara Brown</v>
      </c>
      <c r="U396" t="str">
        <f t="shared" si="43"/>
        <v>ZAR</v>
      </c>
      <c r="V396" s="7" t="str">
        <f t="shared" si="43"/>
        <v>USD</v>
      </c>
      <c r="W396" s="7" t="str">
        <f t="shared" si="44"/>
        <v>South Africa</v>
      </c>
      <c r="X396" s="7" t="str">
        <f t="shared" si="44"/>
        <v>USA</v>
      </c>
      <c r="Y396" s="7" t="str" cm="1">
        <f t="array" ref="Y396">IF(H396="",IFERROR(INDEX($H$2:$H$1166,MATCH(MAX(COUNTIF($H$2:$H$1166,$H$2:$H$1166)),COUNTIF($H$2:$H$1166,$H$2:$H$1166),0)),"Unknown"),H396)</f>
        <v>Unverified</v>
      </c>
      <c r="Z396" s="7" t="str">
        <f t="shared" si="45"/>
        <v>Internal</v>
      </c>
      <c r="AA396" s="7">
        <f>IF(J396="",AVERAGE($J:$J),J396)</f>
        <v>10673.99</v>
      </c>
      <c r="AB396" s="7">
        <f>IF(N396="",AVERAGE($N:$N),N396)</f>
        <v>46</v>
      </c>
      <c r="AC396" s="7">
        <f t="shared" si="46"/>
        <v>2020</v>
      </c>
      <c r="AD396" s="7">
        <f t="shared" si="47"/>
        <v>12</v>
      </c>
      <c r="AE396" s="7">
        <f>COUNTIF(A:A,A396)</f>
        <v>1</v>
      </c>
      <c r="AF396" s="7" t="str">
        <f t="shared" si="48"/>
        <v>No</v>
      </c>
    </row>
    <row r="397" spans="1:32">
      <c r="A397" t="s">
        <v>1407</v>
      </c>
      <c r="B397">
        <v>93086647</v>
      </c>
      <c r="C397" t="s">
        <v>1408</v>
      </c>
      <c r="D397" t="s">
        <v>1409</v>
      </c>
      <c r="E397" t="s">
        <v>20</v>
      </c>
      <c r="F397" t="s">
        <v>98</v>
      </c>
      <c r="G397" t="s">
        <v>116</v>
      </c>
      <c r="H397" t="s">
        <v>56</v>
      </c>
      <c r="I397" t="s">
        <v>3371</v>
      </c>
      <c r="J397">
        <v>829.53</v>
      </c>
      <c r="K397" t="s">
        <v>57</v>
      </c>
      <c r="L397" t="s">
        <v>81</v>
      </c>
      <c r="M397" s="1">
        <v>46001.810416666667</v>
      </c>
      <c r="N397">
        <v>30</v>
      </c>
      <c r="O397" t="s">
        <v>37</v>
      </c>
      <c r="P397" t="s">
        <v>37</v>
      </c>
      <c r="Q397" t="s">
        <v>1410</v>
      </c>
      <c r="R397">
        <f t="shared" si="42"/>
        <v>93086647</v>
      </c>
      <c r="S397" t="str" cm="1">
        <f t="array" ref="S397">IF(C397="",IFERROR(INDEX($C$2:$C$1166,MATCH(MAX(COUNTIF($C$2:$C$1166,$C$2:$C$1166)),COUNTIF($C$2:$C$1166,$C$2:$C$1166),0)),"Unknown"),C397)</f>
        <v>Mary Davis</v>
      </c>
      <c r="T397" s="4" t="str" cm="1">
        <f t="array" ref="T397">IF(D397="",IFERROR(INDEX($D$2:$D$1000,MATCH(MAX(COUNTIF($D$2:$D$1166,$D$2:$D$1166)),COUNTIF($D$2:$D$1166,$D$2:$D$1166),0)),"Unknown"),D397)</f>
        <v>Joseph Garcia</v>
      </c>
      <c r="U397" t="str">
        <f t="shared" si="43"/>
        <v>JPY</v>
      </c>
      <c r="V397" s="7" t="str">
        <f t="shared" si="43"/>
        <v>CHF</v>
      </c>
      <c r="W397" s="7" t="str">
        <f t="shared" si="44"/>
        <v>South Africa</v>
      </c>
      <c r="X397" s="7" t="str">
        <f t="shared" si="44"/>
        <v>South Africa</v>
      </c>
      <c r="Y397" s="7" t="str" cm="1">
        <f t="array" ref="Y397">IF(H397="",IFERROR(INDEX($H$2:$H$1166,MATCH(MAX(COUNTIF($H$2:$H$1166,$H$2:$H$1166)),COUNTIF($H$2:$H$1166,$H$2:$H$1166),0)),"Unknown"),H397)</f>
        <v>Unverified</v>
      </c>
      <c r="Z397" s="7" t="str">
        <f t="shared" si="45"/>
        <v>Outer-Transaction</v>
      </c>
      <c r="AA397" s="7">
        <f>IF(J397="",AVERAGE($J:$J),J397)</f>
        <v>829.53</v>
      </c>
      <c r="AB397" s="7">
        <f>IF(N397="",AVERAGE($N:$N),N397)</f>
        <v>30</v>
      </c>
      <c r="AC397" s="7">
        <f t="shared" si="46"/>
        <v>2025</v>
      </c>
      <c r="AD397" s="7">
        <f t="shared" si="47"/>
        <v>12</v>
      </c>
      <c r="AE397" s="7">
        <f>COUNTIF(A:A,A397)</f>
        <v>1</v>
      </c>
      <c r="AF397" s="7" t="str">
        <f t="shared" si="48"/>
        <v>No</v>
      </c>
    </row>
    <row r="398" spans="1:32">
      <c r="A398" t="s">
        <v>1411</v>
      </c>
      <c r="B398">
        <v>24289429</v>
      </c>
      <c r="D398" t="s">
        <v>874</v>
      </c>
      <c r="E398" t="s">
        <v>20</v>
      </c>
      <c r="F398" t="s">
        <v>53</v>
      </c>
      <c r="G398" t="s">
        <v>126</v>
      </c>
      <c r="H398" t="s">
        <v>38</v>
      </c>
      <c r="I398" t="s">
        <v>3377</v>
      </c>
      <c r="J398">
        <v>8460.4500000000007</v>
      </c>
      <c r="K398" t="s">
        <v>39</v>
      </c>
      <c r="L398" t="s">
        <v>28</v>
      </c>
      <c r="M398" s="1">
        <v>45559.400694444441</v>
      </c>
      <c r="N398">
        <v>29</v>
      </c>
      <c r="O398" t="s">
        <v>54</v>
      </c>
      <c r="P398" t="s">
        <v>127</v>
      </c>
      <c r="Q398" t="s">
        <v>1412</v>
      </c>
      <c r="R398">
        <f t="shared" si="42"/>
        <v>24289429</v>
      </c>
      <c r="S398" t="str" cm="1">
        <f t="array" ref="S398">IF(C398="",IFERROR(INDEX($C$2:$C$1166,MATCH(MAX(COUNTIF($C$2:$C$1166,$C$2:$C$1166)),COUNTIF($C$2:$C$1166,$C$2:$C$1166),0)),"Unknown"),C398)</f>
        <v>Fatima Brown</v>
      </c>
      <c r="T398" s="4" t="str" cm="1">
        <f t="array" ref="T398">IF(D398="",IFERROR(INDEX($D$2:$D$1000,MATCH(MAX(COUNTIF($D$2:$D$1166,$D$2:$D$1166)),COUNTIF($D$2:$D$1166,$D$2:$D$1166),0)),"Unknown"),D398)</f>
        <v>Nancy Smith</v>
      </c>
      <c r="U398" t="str">
        <f t="shared" si="43"/>
        <v>AED</v>
      </c>
      <c r="V398" s="7" t="str">
        <f t="shared" si="43"/>
        <v>inr</v>
      </c>
      <c r="W398" s="7" t="str">
        <f t="shared" si="44"/>
        <v>India</v>
      </c>
      <c r="X398" s="7" t="str">
        <f t="shared" si="44"/>
        <v>Canada</v>
      </c>
      <c r="Y398" s="7" t="str" cm="1">
        <f t="array" ref="Y398">IF(H398="",IFERROR(INDEX($H$2:$H$1166,MATCH(MAX(COUNTIF($H$2:$H$1166,$H$2:$H$1166)),COUNTIF($H$2:$H$1166,$H$2:$H$1166),0)),"Unknown"),H398)</f>
        <v>Pending</v>
      </c>
      <c r="Z398" s="7" t="str">
        <f t="shared" si="45"/>
        <v>Inter-Transaction</v>
      </c>
      <c r="AA398" s="7">
        <f>IF(J398="",AVERAGE($J:$J),J398)</f>
        <v>8460.4500000000007</v>
      </c>
      <c r="AB398" s="7">
        <f>IF(N398="",AVERAGE($N:$N),N398)</f>
        <v>29</v>
      </c>
      <c r="AC398" s="7">
        <f t="shared" si="46"/>
        <v>2024</v>
      </c>
      <c r="AD398" s="7">
        <f t="shared" si="47"/>
        <v>9</v>
      </c>
      <c r="AE398" s="7">
        <f>COUNTIF(A:A,A398)</f>
        <v>1</v>
      </c>
      <c r="AF398" s="7" t="str">
        <f t="shared" si="48"/>
        <v>No</v>
      </c>
    </row>
    <row r="399" spans="1:32">
      <c r="A399" t="s">
        <v>1413</v>
      </c>
      <c r="B399">
        <v>62430988</v>
      </c>
      <c r="C399" t="s">
        <v>1414</v>
      </c>
      <c r="D399" t="s">
        <v>1415</v>
      </c>
      <c r="E399" t="s">
        <v>20</v>
      </c>
      <c r="F399" t="s">
        <v>34</v>
      </c>
      <c r="G399" t="s">
        <v>92</v>
      </c>
      <c r="H399" t="s">
        <v>56</v>
      </c>
      <c r="I399" t="s">
        <v>3372</v>
      </c>
      <c r="J399">
        <v>8799.51</v>
      </c>
      <c r="K399" t="s">
        <v>86</v>
      </c>
      <c r="L399" t="s">
        <v>75</v>
      </c>
      <c r="M399" s="1">
        <v>44277.62222222222</v>
      </c>
      <c r="N399">
        <v>63</v>
      </c>
      <c r="O399" t="s">
        <v>24</v>
      </c>
      <c r="P399" t="s">
        <v>37</v>
      </c>
      <c r="Q399" t="s">
        <v>1416</v>
      </c>
      <c r="R399">
        <f t="shared" si="42"/>
        <v>62430988</v>
      </c>
      <c r="S399" t="str" cm="1">
        <f t="array" ref="S399">IF(C399="",IFERROR(INDEX($C$2:$C$1166,MATCH(MAX(COUNTIF($C$2:$C$1166,$C$2:$C$1166)),COUNTIF($C$2:$C$1166,$C$2:$C$1166),0)),"Unknown"),C399)</f>
        <v>Fatima Lopez</v>
      </c>
      <c r="T399" s="4" t="str" cm="1">
        <f t="array" ref="T399">IF(D399="",IFERROR(INDEX($D$2:$D$1000,MATCH(MAX(COUNTIF($D$2:$D$1166,$D$2:$D$1166)),COUNTIF($D$2:$D$1166,$D$2:$D$1166),0)),"Unknown"),D399)</f>
        <v xml:space="preserve"> michael rostova   </v>
      </c>
      <c r="U399" t="str">
        <f t="shared" si="43"/>
        <v>CAD</v>
      </c>
      <c r="V399" s="7" t="str">
        <f t="shared" si="43"/>
        <v>AUD</v>
      </c>
      <c r="W399" s="7" t="str">
        <f t="shared" si="44"/>
        <v>Brazil</v>
      </c>
      <c r="X399" s="7" t="str">
        <f t="shared" si="44"/>
        <v>South Africa</v>
      </c>
      <c r="Y399" s="7" t="str" cm="1">
        <f t="array" ref="Y399">IF(H399="",IFERROR(INDEX($H$2:$H$1166,MATCH(MAX(COUNTIF($H$2:$H$1166,$H$2:$H$1166)),COUNTIF($H$2:$H$1166,$H$2:$H$1166),0)),"Unknown"),H399)</f>
        <v>Unverified</v>
      </c>
      <c r="Z399" s="7" t="str">
        <f t="shared" si="45"/>
        <v>Outer-Transaction</v>
      </c>
      <c r="AA399" s="7">
        <f>IF(J399="",AVERAGE($J:$J),J399)</f>
        <v>8799.51</v>
      </c>
      <c r="AB399" s="7">
        <f>IF(N399="",AVERAGE($N:$N),N399)</f>
        <v>63</v>
      </c>
      <c r="AC399" s="7">
        <f t="shared" si="46"/>
        <v>2021</v>
      </c>
      <c r="AD399" s="7">
        <f t="shared" si="47"/>
        <v>3</v>
      </c>
      <c r="AE399" s="7">
        <f>COUNTIF(A:A,A399)</f>
        <v>1</v>
      </c>
      <c r="AF399" s="7" t="str">
        <f t="shared" si="48"/>
        <v>No</v>
      </c>
    </row>
    <row r="400" spans="1:32">
      <c r="A400" t="s">
        <v>1417</v>
      </c>
      <c r="B400">
        <v>97807942</v>
      </c>
      <c r="C400" t="s">
        <v>819</v>
      </c>
      <c r="D400" t="s">
        <v>1418</v>
      </c>
      <c r="E400" t="s">
        <v>20</v>
      </c>
      <c r="F400" t="s">
        <v>98</v>
      </c>
      <c r="G400" t="s">
        <v>98</v>
      </c>
      <c r="H400" t="s">
        <v>74</v>
      </c>
      <c r="I400" t="s">
        <v>3378</v>
      </c>
      <c r="J400">
        <v>4369.72</v>
      </c>
      <c r="K400" t="s">
        <v>27</v>
      </c>
      <c r="L400" t="s">
        <v>81</v>
      </c>
      <c r="M400" s="1">
        <v>44111.742361111108</v>
      </c>
      <c r="N400">
        <v>19</v>
      </c>
      <c r="O400" t="s">
        <v>55</v>
      </c>
      <c r="P400" t="s">
        <v>37</v>
      </c>
      <c r="Q400" t="s">
        <v>1419</v>
      </c>
      <c r="R400">
        <f t="shared" si="42"/>
        <v>97807942</v>
      </c>
      <c r="S400" t="str" cm="1">
        <f t="array" ref="S400">IF(C400="",IFERROR(INDEX($C$2:$C$1166,MATCH(MAX(COUNTIF($C$2:$C$1166,$C$2:$C$1166)),COUNTIF($C$2:$C$1166,$C$2:$C$1166),0)),"Unknown"),C400)</f>
        <v>Michael Dubois</v>
      </c>
      <c r="T400" s="4" t="str" cm="1">
        <f t="array" ref="T400">IF(D400="",IFERROR(INDEX($D$2:$D$1000,MATCH(MAX(COUNTIF($D$2:$D$1166,$D$2:$D$1166)),COUNTIF($D$2:$D$1166,$D$2:$D$1166),0)),"Unknown"),D400)</f>
        <v>Elena Garcia</v>
      </c>
      <c r="U400" t="str">
        <f t="shared" si="43"/>
        <v>JPY</v>
      </c>
      <c r="V400" s="7" t="str">
        <f t="shared" si="43"/>
        <v>JPY</v>
      </c>
      <c r="W400" s="7" t="str">
        <f t="shared" si="44"/>
        <v>UK</v>
      </c>
      <c r="X400" s="7" t="str">
        <f t="shared" si="44"/>
        <v>South Africa</v>
      </c>
      <c r="Y400" s="7" t="str" cm="1">
        <f t="array" ref="Y400">IF(H400="",IFERROR(INDEX($H$2:$H$1166,MATCH(MAX(COUNTIF($H$2:$H$1166,$H$2:$H$1166)),COUNTIF($H$2:$H$1166,$H$2:$H$1166),0)),"Unknown"),H400)</f>
        <v>Non-KYC</v>
      </c>
      <c r="Z400" s="7" t="str">
        <f t="shared" si="45"/>
        <v>Inter-Transaction</v>
      </c>
      <c r="AA400" s="7">
        <f>IF(J400="",AVERAGE($J:$J),J400)</f>
        <v>4369.72</v>
      </c>
      <c r="AB400" s="7">
        <f>IF(N400="",AVERAGE($N:$N),N400)</f>
        <v>19</v>
      </c>
      <c r="AC400" s="7">
        <f t="shared" si="46"/>
        <v>2020</v>
      </c>
      <c r="AD400" s="7">
        <f t="shared" si="47"/>
        <v>10</v>
      </c>
      <c r="AE400" s="7">
        <f>COUNTIF(A:A,A400)</f>
        <v>1</v>
      </c>
      <c r="AF400" s="7" t="str">
        <f t="shared" si="48"/>
        <v>No</v>
      </c>
    </row>
    <row r="401" spans="1:32">
      <c r="A401" t="s">
        <v>1420</v>
      </c>
      <c r="B401">
        <v>76776383</v>
      </c>
      <c r="C401" t="s">
        <v>957</v>
      </c>
      <c r="D401" t="s">
        <v>1421</v>
      </c>
      <c r="E401" t="s">
        <v>20</v>
      </c>
      <c r="F401" t="s">
        <v>53</v>
      </c>
      <c r="G401" t="s">
        <v>98</v>
      </c>
      <c r="H401" t="s">
        <v>74</v>
      </c>
      <c r="I401" t="s">
        <v>3378</v>
      </c>
      <c r="J401">
        <v>2430.4699999999998</v>
      </c>
      <c r="K401" t="s">
        <v>57</v>
      </c>
      <c r="L401" t="s">
        <v>75</v>
      </c>
      <c r="M401" s="1">
        <v>44426.259722222225</v>
      </c>
      <c r="N401">
        <v>52</v>
      </c>
      <c r="O401" t="s">
        <v>55</v>
      </c>
      <c r="P401" t="s">
        <v>36</v>
      </c>
      <c r="Q401" t="s">
        <v>1422</v>
      </c>
      <c r="R401">
        <f t="shared" si="42"/>
        <v>76776383</v>
      </c>
      <c r="S401" t="str" cm="1">
        <f t="array" ref="S401">IF(C401="",IFERROR(INDEX($C$2:$C$1166,MATCH(MAX(COUNTIF($C$2:$C$1166,$C$2:$C$1166)),COUNTIF($C$2:$C$1166,$C$2:$C$1166),0)),"Unknown"),C401)</f>
        <v>Patricia Silva</v>
      </c>
      <c r="T401" s="4" t="str" cm="1">
        <f t="array" ref="T401">IF(D401="",IFERROR(INDEX($D$2:$D$1000,MATCH(MAX(COUNTIF($D$2:$D$1166,$D$2:$D$1166)),COUNTIF($D$2:$D$1166,$D$2:$D$1166),0)),"Unknown"),D401)</f>
        <v>John Jones</v>
      </c>
      <c r="U401" t="str">
        <f t="shared" si="43"/>
        <v>AED</v>
      </c>
      <c r="V401" s="7" t="str">
        <f t="shared" si="43"/>
        <v>JPY</v>
      </c>
      <c r="W401" s="7" t="str">
        <f t="shared" si="44"/>
        <v>UK</v>
      </c>
      <c r="X401" s="7" t="str">
        <f t="shared" si="44"/>
        <v>Germany</v>
      </c>
      <c r="Y401" s="7" t="str" cm="1">
        <f t="array" ref="Y401">IF(H401="",IFERROR(INDEX($H$2:$H$1166,MATCH(MAX(COUNTIF($H$2:$H$1166,$H$2:$H$1166)),COUNTIF($H$2:$H$1166,$H$2:$H$1166),0)),"Unknown"),H401)</f>
        <v>Non-KYC</v>
      </c>
      <c r="Z401" s="7" t="str">
        <f t="shared" si="45"/>
        <v>Inter-Transaction</v>
      </c>
      <c r="AA401" s="7">
        <f>IF(J401="",AVERAGE($J:$J),J401)</f>
        <v>2430.4699999999998</v>
      </c>
      <c r="AB401" s="7">
        <f>IF(N401="",AVERAGE($N:$N),N401)</f>
        <v>52</v>
      </c>
      <c r="AC401" s="7">
        <f t="shared" si="46"/>
        <v>2021</v>
      </c>
      <c r="AD401" s="7">
        <f t="shared" si="47"/>
        <v>8</v>
      </c>
      <c r="AE401" s="7">
        <f>COUNTIF(A:A,A401)</f>
        <v>1</v>
      </c>
      <c r="AF401" s="7" t="str">
        <f t="shared" si="48"/>
        <v>No</v>
      </c>
    </row>
    <row r="402" spans="1:32">
      <c r="A402" t="s">
        <v>1423</v>
      </c>
      <c r="B402">
        <v>97280725</v>
      </c>
      <c r="C402" t="s">
        <v>150</v>
      </c>
      <c r="D402" t="s">
        <v>158</v>
      </c>
      <c r="E402" t="s">
        <v>3373</v>
      </c>
      <c r="F402" t="s">
        <v>34</v>
      </c>
      <c r="H402" t="s">
        <v>38</v>
      </c>
      <c r="I402" t="s">
        <v>3378</v>
      </c>
      <c r="J402">
        <v>5611.51</v>
      </c>
      <c r="K402" t="s">
        <v>39</v>
      </c>
      <c r="L402" t="s">
        <v>81</v>
      </c>
      <c r="M402" s="1">
        <v>45817.720138888886</v>
      </c>
      <c r="N402">
        <v>25</v>
      </c>
      <c r="O402" t="s">
        <v>68</v>
      </c>
      <c r="P402" t="s">
        <v>93</v>
      </c>
      <c r="Q402" t="s">
        <v>1424</v>
      </c>
      <c r="R402">
        <f t="shared" si="42"/>
        <v>97280725</v>
      </c>
      <c r="S402" t="str" cm="1">
        <f t="array" ref="S402">IF(C402="",IFERROR(INDEX($C$2:$C$1166,MATCH(MAX(COUNTIF($C$2:$C$1166,$C$2:$C$1166)),COUNTIF($C$2:$C$1166,$C$2:$C$1166),0)),"Unknown"),C402)</f>
        <v>Priya Jones</v>
      </c>
      <c r="T402" s="4" t="str" cm="1">
        <f t="array" ref="T402">IF(D402="",IFERROR(INDEX($D$2:$D$1000,MATCH(MAX(COUNTIF($D$2:$D$1166,$D$2:$D$1166)),COUNTIF($D$2:$D$1166,$D$2:$D$1166),0)),"Unknown"),D402)</f>
        <v>Patricia Jackson</v>
      </c>
      <c r="U402" t="str">
        <f t="shared" si="43"/>
        <v>CAD</v>
      </c>
      <c r="V402" s="7" t="str">
        <f t="shared" si="43"/>
        <v/>
      </c>
      <c r="W402" s="7" t="str">
        <f t="shared" si="44"/>
        <v>UAE</v>
      </c>
      <c r="X402" s="7" t="str">
        <f t="shared" si="44"/>
        <v>USA</v>
      </c>
      <c r="Y402" s="7" t="str" cm="1">
        <f t="array" ref="Y402">IF(H402="",IFERROR(INDEX($H$2:$H$1166,MATCH(MAX(COUNTIF($H$2:$H$1166,$H$2:$H$1166)),COUNTIF($H$2:$H$1166,$H$2:$H$1166),0)),"Unknown"),H402)</f>
        <v>Pending</v>
      </c>
      <c r="Z402" s="7" t="str">
        <f t="shared" si="45"/>
        <v>Inter-Transaction</v>
      </c>
      <c r="AA402" s="7">
        <f>IF(J402="",AVERAGE($J:$J),J402)</f>
        <v>5611.51</v>
      </c>
      <c r="AB402" s="7">
        <f>IF(N402="",AVERAGE($N:$N),N402)</f>
        <v>25</v>
      </c>
      <c r="AC402" s="7">
        <f t="shared" si="46"/>
        <v>2025</v>
      </c>
      <c r="AD402" s="7">
        <f t="shared" si="47"/>
        <v>6</v>
      </c>
      <c r="AE402" s="7">
        <f>COUNTIF(A:A,A402)</f>
        <v>1</v>
      </c>
      <c r="AF402" s="7" t="str">
        <f t="shared" si="48"/>
        <v>Yes</v>
      </c>
    </row>
    <row r="403" spans="1:32">
      <c r="A403" t="s">
        <v>1425</v>
      </c>
      <c r="B403">
        <v>24132859</v>
      </c>
      <c r="C403" t="s">
        <v>334</v>
      </c>
      <c r="D403" t="s">
        <v>1265</v>
      </c>
      <c r="E403" t="s">
        <v>20</v>
      </c>
      <c r="F403" t="s">
        <v>35</v>
      </c>
      <c r="G403" t="s">
        <v>121</v>
      </c>
      <c r="H403" t="s">
        <v>56</v>
      </c>
      <c r="I403" t="s">
        <v>3377</v>
      </c>
      <c r="J403">
        <v>1296.48</v>
      </c>
      <c r="K403" t="s">
        <v>86</v>
      </c>
      <c r="L403" t="s">
        <v>81</v>
      </c>
      <c r="M403" s="1">
        <v>44905.819444444445</v>
      </c>
      <c r="N403">
        <v>43</v>
      </c>
      <c r="O403" t="s">
        <v>36</v>
      </c>
      <c r="P403" t="s">
        <v>23</v>
      </c>
      <c r="Q403" t="s">
        <v>1426</v>
      </c>
      <c r="R403">
        <f t="shared" si="42"/>
        <v>24132859</v>
      </c>
      <c r="S403" t="str" cm="1">
        <f t="array" ref="S403">IF(C403="",IFERROR(INDEX($C$2:$C$1166,MATCH(MAX(COUNTIF($C$2:$C$1166,$C$2:$C$1166)),COUNTIF($C$2:$C$1166,$C$2:$C$1166),0)),"Unknown"),C403)</f>
        <v>Barbara Gonzalez</v>
      </c>
      <c r="T403" s="4" t="str" cm="1">
        <f t="array" ref="T403">IF(D403="",IFERROR(INDEX($D$2:$D$1000,MATCH(MAX(COUNTIF($D$2:$D$1166,$D$2:$D$1166)),COUNTIF($D$2:$D$1166,$D$2:$D$1166),0)),"Unknown"),D403)</f>
        <v>Linda Jackson</v>
      </c>
      <c r="U403" t="str">
        <f t="shared" si="43"/>
        <v>EUR</v>
      </c>
      <c r="V403" s="7" t="str">
        <f t="shared" si="43"/>
        <v>INR</v>
      </c>
      <c r="W403" s="7" t="str">
        <f t="shared" si="44"/>
        <v>Germany</v>
      </c>
      <c r="X403" s="7" t="str">
        <f t="shared" si="44"/>
        <v>France</v>
      </c>
      <c r="Y403" s="7" t="str" cm="1">
        <f t="array" ref="Y403">IF(H403="",IFERROR(INDEX($H$2:$H$1166,MATCH(MAX(COUNTIF($H$2:$H$1166,$H$2:$H$1166)),COUNTIF($H$2:$H$1166,$H$2:$H$1166),0)),"Unknown"),H403)</f>
        <v>Unverified</v>
      </c>
      <c r="Z403" s="7" t="str">
        <f t="shared" si="45"/>
        <v>Inter-Transaction</v>
      </c>
      <c r="AA403" s="7">
        <f>IF(J403="",AVERAGE($J:$J),J403)</f>
        <v>1296.48</v>
      </c>
      <c r="AB403" s="7">
        <f>IF(N403="",AVERAGE($N:$N),N403)</f>
        <v>43</v>
      </c>
      <c r="AC403" s="7">
        <f t="shared" si="46"/>
        <v>2022</v>
      </c>
      <c r="AD403" s="7">
        <f t="shared" si="47"/>
        <v>12</v>
      </c>
      <c r="AE403" s="7">
        <f>COUNTIF(A:A,A403)</f>
        <v>1</v>
      </c>
      <c r="AF403" s="7" t="str">
        <f t="shared" si="48"/>
        <v>No</v>
      </c>
    </row>
    <row r="404" spans="1:32">
      <c r="A404" t="s">
        <v>1427</v>
      </c>
      <c r="B404">
        <v>47362868</v>
      </c>
      <c r="C404" t="s">
        <v>281</v>
      </c>
      <c r="D404" t="s">
        <v>1428</v>
      </c>
      <c r="E404" t="b">
        <v>1</v>
      </c>
      <c r="F404" t="s">
        <v>21</v>
      </c>
      <c r="G404" t="s">
        <v>45</v>
      </c>
      <c r="H404" t="s">
        <v>103</v>
      </c>
      <c r="I404" t="s">
        <v>3372</v>
      </c>
      <c r="J404">
        <v>14678.63</v>
      </c>
      <c r="K404" t="s">
        <v>47</v>
      </c>
      <c r="L404" t="s">
        <v>28</v>
      </c>
      <c r="M404" s="1">
        <v>44040.959027777775</v>
      </c>
      <c r="N404">
        <v>51</v>
      </c>
      <c r="O404" t="s">
        <v>24</v>
      </c>
      <c r="P404" t="s">
        <v>62</v>
      </c>
      <c r="Q404" t="s">
        <v>1429</v>
      </c>
      <c r="R404">
        <f t="shared" si="42"/>
        <v>47362868</v>
      </c>
      <c r="S404" t="str" cm="1">
        <f t="array" ref="S404">IF(C404="",IFERROR(INDEX($C$2:$C$1166,MATCH(MAX(COUNTIF($C$2:$C$1166,$C$2:$C$1166)),COUNTIF($C$2:$C$1166,$C$2:$C$1166),0)),"Unknown"),C404)</f>
        <v>Thomas Johnson</v>
      </c>
      <c r="T404" s="4" t="str" cm="1">
        <f t="array" ref="T404">IF(D404="",IFERROR(INDEX($D$2:$D$1000,MATCH(MAX(COUNTIF($D$2:$D$1166,$D$2:$D$1166)),COUNTIF($D$2:$D$1166,$D$2:$D$1166),0)),"Unknown"),D404)</f>
        <v xml:space="preserve"> karen jones   </v>
      </c>
      <c r="U404" t="str">
        <f t="shared" si="43"/>
        <v>GBP</v>
      </c>
      <c r="V404" s="7" t="str">
        <f t="shared" si="43"/>
        <v>ZAR</v>
      </c>
      <c r="W404" s="7" t="str">
        <f t="shared" si="44"/>
        <v>Brazil</v>
      </c>
      <c r="X404" s="7" t="str">
        <f t="shared" si="44"/>
        <v>Australia</v>
      </c>
      <c r="Y404" s="7" t="str" cm="1">
        <f t="array" ref="Y404">IF(H404="",IFERROR(INDEX($H$2:$H$1166,MATCH(MAX(COUNTIF($H$2:$H$1166,$H$2:$H$1166)),COUNTIF($H$2:$H$1166,$H$2:$H$1166),0)),"Unknown"),H404)</f>
        <v>Verified</v>
      </c>
      <c r="Z404" s="7" t="str">
        <f t="shared" si="45"/>
        <v>Outer-Transaction</v>
      </c>
      <c r="AA404" s="7">
        <f>IF(J404="",AVERAGE($J:$J),J404)</f>
        <v>14678.63</v>
      </c>
      <c r="AB404" s="7">
        <f>IF(N404="",AVERAGE($N:$N),N404)</f>
        <v>51</v>
      </c>
      <c r="AC404" s="7">
        <f t="shared" si="46"/>
        <v>2020</v>
      </c>
      <c r="AD404" s="7">
        <f t="shared" si="47"/>
        <v>7</v>
      </c>
      <c r="AE404" s="7">
        <f>COUNTIF(A:A,A404)</f>
        <v>1</v>
      </c>
      <c r="AF404" s="7" t="str">
        <f t="shared" si="48"/>
        <v>No</v>
      </c>
    </row>
    <row r="405" spans="1:32">
      <c r="A405" t="s">
        <v>1430</v>
      </c>
      <c r="B405">
        <v>50042087</v>
      </c>
      <c r="C405" t="s">
        <v>1290</v>
      </c>
      <c r="D405" t="s">
        <v>401</v>
      </c>
      <c r="E405" t="s">
        <v>20</v>
      </c>
      <c r="F405" t="s">
        <v>121</v>
      </c>
      <c r="G405" t="s">
        <v>180</v>
      </c>
      <c r="H405" t="s">
        <v>103</v>
      </c>
      <c r="I405" t="s">
        <v>3371</v>
      </c>
      <c r="J405">
        <v>2987.09</v>
      </c>
      <c r="K405" t="s">
        <v>39</v>
      </c>
      <c r="L405" t="s">
        <v>81</v>
      </c>
      <c r="M405" s="1">
        <v>43956.304861111108</v>
      </c>
      <c r="N405">
        <v>24</v>
      </c>
      <c r="O405" t="s">
        <v>23</v>
      </c>
      <c r="P405" t="s">
        <v>23</v>
      </c>
      <c r="Q405" t="s">
        <v>1431</v>
      </c>
      <c r="R405">
        <f t="shared" si="42"/>
        <v>50042087</v>
      </c>
      <c r="S405" t="str" cm="1">
        <f t="array" ref="S405">IF(C405="",IFERROR(INDEX($C$2:$C$1166,MATCH(MAX(COUNTIF($C$2:$C$1166,$C$2:$C$1166)),COUNTIF($C$2:$C$1166,$C$2:$C$1166),0)),"Unknown"),C405)</f>
        <v>Zayn Rostova</v>
      </c>
      <c r="T405" s="4" t="str" cm="1">
        <f t="array" ref="T405">IF(D405="",IFERROR(INDEX($D$2:$D$1000,MATCH(MAX(COUNTIF($D$2:$D$1166,$D$2:$D$1166)),COUNTIF($D$2:$D$1166,$D$2:$D$1166),0)),"Unknown"),D405)</f>
        <v>Thomas Malik</v>
      </c>
      <c r="U405" t="str">
        <f t="shared" si="43"/>
        <v>INR</v>
      </c>
      <c r="V405" s="7" t="str">
        <f t="shared" si="43"/>
        <v>zar</v>
      </c>
      <c r="W405" s="7" t="str">
        <f t="shared" si="44"/>
        <v>France</v>
      </c>
      <c r="X405" s="7" t="str">
        <f t="shared" si="44"/>
        <v>France</v>
      </c>
      <c r="Y405" s="7" t="str" cm="1">
        <f t="array" ref="Y405">IF(H405="",IFERROR(INDEX($H$2:$H$1166,MATCH(MAX(COUNTIF($H$2:$H$1166,$H$2:$H$1166)),COUNTIF($H$2:$H$1166,$H$2:$H$1166),0)),"Unknown"),H405)</f>
        <v>Verified</v>
      </c>
      <c r="Z405" s="7" t="str">
        <f t="shared" si="45"/>
        <v>Outer-Transaction</v>
      </c>
      <c r="AA405" s="7">
        <f>IF(J405="",AVERAGE($J:$J),J405)</f>
        <v>2987.09</v>
      </c>
      <c r="AB405" s="7">
        <f>IF(N405="",AVERAGE($N:$N),N405)</f>
        <v>24</v>
      </c>
      <c r="AC405" s="7">
        <f t="shared" si="46"/>
        <v>2020</v>
      </c>
      <c r="AD405" s="7">
        <f t="shared" si="47"/>
        <v>5</v>
      </c>
      <c r="AE405" s="7">
        <f>COUNTIF(A:A,A405)</f>
        <v>1</v>
      </c>
      <c r="AF405" s="7" t="str">
        <f t="shared" si="48"/>
        <v>No</v>
      </c>
    </row>
    <row r="406" spans="1:32">
      <c r="A406" t="s">
        <v>1432</v>
      </c>
      <c r="B406">
        <v>85283856</v>
      </c>
      <c r="C406" t="s">
        <v>1433</v>
      </c>
      <c r="D406" t="s">
        <v>1130</v>
      </c>
      <c r="E406" t="s">
        <v>3375</v>
      </c>
      <c r="F406" t="s">
        <v>45</v>
      </c>
      <c r="G406" t="s">
        <v>116</v>
      </c>
      <c r="I406" t="s">
        <v>3374</v>
      </c>
      <c r="J406">
        <v>4754.5600000000004</v>
      </c>
      <c r="K406" t="s">
        <v>47</v>
      </c>
      <c r="L406" t="s">
        <v>81</v>
      </c>
      <c r="M406" s="1">
        <v>44322.070833333331</v>
      </c>
      <c r="N406">
        <v>85</v>
      </c>
      <c r="O406" t="s">
        <v>93</v>
      </c>
      <c r="P406" t="s">
        <v>36</v>
      </c>
      <c r="Q406" t="s">
        <v>1434</v>
      </c>
      <c r="R406">
        <f t="shared" si="42"/>
        <v>85283856</v>
      </c>
      <c r="S406" t="str" cm="1">
        <f t="array" ref="S406">IF(C406="",IFERROR(INDEX($C$2:$C$1166,MATCH(MAX(COUNTIF($C$2:$C$1166,$C$2:$C$1166)),COUNTIF($C$2:$C$1166,$C$2:$C$1166),0)),"Unknown"),C406)</f>
        <v>Lucas Volkov</v>
      </c>
      <c r="T406" s="4" t="str" cm="1">
        <f t="array" ref="T406">IF(D406="",IFERROR(INDEX($D$2:$D$1000,MATCH(MAX(COUNTIF($D$2:$D$1166,$D$2:$D$1166)),COUNTIF($D$2:$D$1166,$D$2:$D$1166),0)),"Unknown"),D406)</f>
        <v>Nancy Miller</v>
      </c>
      <c r="U406" t="str">
        <f t="shared" si="43"/>
        <v>ZAR</v>
      </c>
      <c r="V406" s="7" t="str">
        <f t="shared" si="43"/>
        <v>CHF</v>
      </c>
      <c r="W406" s="7" t="str">
        <f t="shared" si="44"/>
        <v>USA</v>
      </c>
      <c r="X406" s="7" t="str">
        <f t="shared" si="44"/>
        <v>Germany</v>
      </c>
      <c r="Y406" s="7" t="str" cm="1">
        <f t="array" ref="Y406">IF(H406="",IFERROR(INDEX($H$2:$H$1166,MATCH(MAX(COUNTIF($H$2:$H$1166,$H$2:$H$1166)),COUNTIF($H$2:$H$1166,$H$2:$H$1166),0)),"Unknown"),H406)</f>
        <v>Pending</v>
      </c>
      <c r="Z406" s="7" t="str">
        <f t="shared" si="45"/>
        <v>External</v>
      </c>
      <c r="AA406" s="7">
        <f>IF(J406="",AVERAGE($J:$J),J406)</f>
        <v>4754.5600000000004</v>
      </c>
      <c r="AB406" s="7">
        <f>IF(N406="",AVERAGE($N:$N),N406)</f>
        <v>85</v>
      </c>
      <c r="AC406" s="7">
        <f t="shared" si="46"/>
        <v>2021</v>
      </c>
      <c r="AD406" s="7">
        <f t="shared" si="47"/>
        <v>5</v>
      </c>
      <c r="AE406" s="7">
        <f>COUNTIF(A:A,A406)</f>
        <v>1</v>
      </c>
      <c r="AF406" s="7" t="str">
        <f t="shared" si="48"/>
        <v>No</v>
      </c>
    </row>
    <row r="407" spans="1:32">
      <c r="A407" t="s">
        <v>1435</v>
      </c>
      <c r="B407">
        <v>26873477</v>
      </c>
      <c r="C407" t="s">
        <v>1079</v>
      </c>
      <c r="D407" t="s">
        <v>1436</v>
      </c>
      <c r="E407" t="s">
        <v>3375</v>
      </c>
      <c r="F407" t="s">
        <v>121</v>
      </c>
      <c r="G407" t="s">
        <v>22</v>
      </c>
      <c r="H407" t="s">
        <v>103</v>
      </c>
      <c r="I407" t="s">
        <v>3371</v>
      </c>
      <c r="J407">
        <v>14286.13</v>
      </c>
      <c r="K407" t="s">
        <v>27</v>
      </c>
      <c r="L407" t="s">
        <v>28</v>
      </c>
      <c r="M407" s="1">
        <v>44800.275694444441</v>
      </c>
      <c r="N407">
        <v>75</v>
      </c>
      <c r="O407" t="s">
        <v>62</v>
      </c>
      <c r="P407" t="s">
        <v>37</v>
      </c>
      <c r="Q407" t="s">
        <v>1437</v>
      </c>
      <c r="R407">
        <f t="shared" si="42"/>
        <v>26873477</v>
      </c>
      <c r="S407" t="str" cm="1">
        <f t="array" ref="S407">IF(C407="",IFERROR(INDEX($C$2:$C$1166,MATCH(MAX(COUNTIF($C$2:$C$1166,$C$2:$C$1166)),COUNTIF($C$2:$C$1166,$C$2:$C$1166),0)),"Unknown"),C407)</f>
        <v>Sanjay Anderson</v>
      </c>
      <c r="T407" s="4" t="str" cm="1">
        <f t="array" ref="T407">IF(D407="",IFERROR(INDEX($D$2:$D$1000,MATCH(MAX(COUNTIF($D$2:$D$1166,$D$2:$D$1166)),COUNTIF($D$2:$D$1166,$D$2:$D$1166),0)),"Unknown"),D407)</f>
        <v>Sanjay Jackson</v>
      </c>
      <c r="U407" t="str">
        <f t="shared" si="43"/>
        <v>INR</v>
      </c>
      <c r="V407" s="7" t="str">
        <f t="shared" si="43"/>
        <v>BRL</v>
      </c>
      <c r="W407" s="7" t="str">
        <f t="shared" si="44"/>
        <v>Australia</v>
      </c>
      <c r="X407" s="7" t="str">
        <f t="shared" si="44"/>
        <v>South Africa</v>
      </c>
      <c r="Y407" s="7" t="str" cm="1">
        <f t="array" ref="Y407">IF(H407="",IFERROR(INDEX($H$2:$H$1166,MATCH(MAX(COUNTIF($H$2:$H$1166,$H$2:$H$1166)),COUNTIF($H$2:$H$1166,$H$2:$H$1166),0)),"Unknown"),H407)</f>
        <v>Verified</v>
      </c>
      <c r="Z407" s="7" t="str">
        <f t="shared" si="45"/>
        <v>Outer-Transaction</v>
      </c>
      <c r="AA407" s="7">
        <f>IF(J407="",AVERAGE($J:$J),J407)</f>
        <v>14286.13</v>
      </c>
      <c r="AB407" s="7">
        <f>IF(N407="",AVERAGE($N:$N),N407)</f>
        <v>75</v>
      </c>
      <c r="AC407" s="7">
        <f t="shared" si="46"/>
        <v>2022</v>
      </c>
      <c r="AD407" s="7">
        <f t="shared" si="47"/>
        <v>8</v>
      </c>
      <c r="AE407" s="7">
        <f>COUNTIF(A:A,A407)</f>
        <v>1</v>
      </c>
      <c r="AF407" s="7" t="str">
        <f t="shared" si="48"/>
        <v>No</v>
      </c>
    </row>
    <row r="408" spans="1:32">
      <c r="A408" t="s">
        <v>1438</v>
      </c>
      <c r="B408">
        <v>65573350</v>
      </c>
      <c r="C408" t="s">
        <v>163</v>
      </c>
      <c r="E408" t="s">
        <v>20</v>
      </c>
      <c r="F408" t="s">
        <v>98</v>
      </c>
      <c r="G408" t="s">
        <v>34</v>
      </c>
      <c r="H408" t="s">
        <v>38</v>
      </c>
      <c r="I408" t="s">
        <v>3372</v>
      </c>
      <c r="J408">
        <v>5729.63</v>
      </c>
      <c r="K408" t="s">
        <v>39</v>
      </c>
      <c r="L408" t="s">
        <v>75</v>
      </c>
      <c r="M408" s="1">
        <v>44411.37777777778</v>
      </c>
      <c r="N408">
        <v>46</v>
      </c>
      <c r="O408" t="s">
        <v>127</v>
      </c>
      <c r="P408" t="s">
        <v>68</v>
      </c>
      <c r="Q408" t="s">
        <v>1439</v>
      </c>
      <c r="R408">
        <f t="shared" si="42"/>
        <v>65573350</v>
      </c>
      <c r="S408" t="str" cm="1">
        <f t="array" ref="S408">IF(C408="",IFERROR(INDEX($C$2:$C$1166,MATCH(MAX(COUNTIF($C$2:$C$1166,$C$2:$C$1166)),COUNTIF($C$2:$C$1166,$C$2:$C$1166),0)),"Unknown"),C408)</f>
        <v>Jessica Lopez</v>
      </c>
      <c r="T408" s="4" t="str" cm="1">
        <f t="array" ref="T408">IF(D408="",IFERROR(INDEX($D$2:$D$1000,MATCH(MAX(COUNTIF($D$2:$D$1166,$D$2:$D$1166)),COUNTIF($D$2:$D$1166,$D$2:$D$1166),0)),"Unknown"),D408)</f>
        <v>Patricia Smith</v>
      </c>
      <c r="U408" t="str">
        <f t="shared" si="43"/>
        <v>JPY</v>
      </c>
      <c r="V408" s="7" t="str">
        <f t="shared" si="43"/>
        <v>CAD</v>
      </c>
      <c r="W408" s="7" t="str">
        <f t="shared" si="44"/>
        <v>Canada</v>
      </c>
      <c r="X408" s="7" t="str">
        <f t="shared" si="44"/>
        <v>UAE</v>
      </c>
      <c r="Y408" s="7" t="str" cm="1">
        <f t="array" ref="Y408">IF(H408="",IFERROR(INDEX($H$2:$H$1166,MATCH(MAX(COUNTIF($H$2:$H$1166,$H$2:$H$1166)),COUNTIF($H$2:$H$1166,$H$2:$H$1166),0)),"Unknown"),H408)</f>
        <v>Pending</v>
      </c>
      <c r="Z408" s="7" t="str">
        <f t="shared" si="45"/>
        <v>Outer-Transaction</v>
      </c>
      <c r="AA408" s="7">
        <f>IF(J408="",AVERAGE($J:$J),J408)</f>
        <v>5729.63</v>
      </c>
      <c r="AB408" s="7">
        <f>IF(N408="",AVERAGE($N:$N),N408)</f>
        <v>46</v>
      </c>
      <c r="AC408" s="7">
        <f t="shared" si="46"/>
        <v>2021</v>
      </c>
      <c r="AD408" s="7">
        <f t="shared" si="47"/>
        <v>8</v>
      </c>
      <c r="AE408" s="7">
        <f>COUNTIF(A:A,A408)</f>
        <v>1</v>
      </c>
      <c r="AF408" s="7" t="str">
        <f t="shared" si="48"/>
        <v>No</v>
      </c>
    </row>
    <row r="409" spans="1:32">
      <c r="A409" t="s">
        <v>1440</v>
      </c>
      <c r="B409">
        <v>93728466</v>
      </c>
      <c r="C409" t="s">
        <v>1300</v>
      </c>
      <c r="D409" t="s">
        <v>1441</v>
      </c>
      <c r="E409" t="s">
        <v>20</v>
      </c>
      <c r="F409" t="s">
        <v>116</v>
      </c>
      <c r="G409" t="s">
        <v>80</v>
      </c>
      <c r="I409" t="s">
        <v>3371</v>
      </c>
      <c r="J409">
        <v>12846.58</v>
      </c>
      <c r="K409" t="s">
        <v>86</v>
      </c>
      <c r="L409" t="s">
        <v>75</v>
      </c>
      <c r="M409" s="1">
        <v>46136.416666666664</v>
      </c>
      <c r="N409">
        <v>53</v>
      </c>
      <c r="O409" t="s">
        <v>54</v>
      </c>
      <c r="P409" t="s">
        <v>62</v>
      </c>
      <c r="Q409" t="s">
        <v>1442</v>
      </c>
      <c r="R409">
        <f t="shared" si="42"/>
        <v>93728466</v>
      </c>
      <c r="S409" t="str" cm="1">
        <f t="array" ref="S409">IF(C409="",IFERROR(INDEX($C$2:$C$1166,MATCH(MAX(COUNTIF($C$2:$C$1166,$C$2:$C$1166)),COUNTIF($C$2:$C$1166,$C$2:$C$1166),0)),"Unknown"),C409)</f>
        <v>Priya Moore</v>
      </c>
      <c r="T409" s="4" t="str" cm="1">
        <f t="array" ref="T409">IF(D409="",IFERROR(INDEX($D$2:$D$1000,MATCH(MAX(COUNTIF($D$2:$D$1166,$D$2:$D$1166)),COUNTIF($D$2:$D$1166,$D$2:$D$1166),0)),"Unknown"),D409)</f>
        <v>Patricia Nair</v>
      </c>
      <c r="U409" t="str">
        <f t="shared" si="43"/>
        <v>CHF</v>
      </c>
      <c r="V409" s="7" t="str">
        <f t="shared" si="43"/>
        <v>USD</v>
      </c>
      <c r="W409" s="7" t="str">
        <f t="shared" si="44"/>
        <v>India</v>
      </c>
      <c r="X409" s="7" t="str">
        <f t="shared" si="44"/>
        <v>Australia</v>
      </c>
      <c r="Y409" s="7" t="str" cm="1">
        <f t="array" ref="Y409">IF(H409="",IFERROR(INDEX($H$2:$H$1166,MATCH(MAX(COUNTIF($H$2:$H$1166,$H$2:$H$1166)),COUNTIF($H$2:$H$1166,$H$2:$H$1166),0)),"Unknown"),H409)</f>
        <v>Pending</v>
      </c>
      <c r="Z409" s="7" t="str">
        <f t="shared" si="45"/>
        <v>Outer-Transaction</v>
      </c>
      <c r="AA409" s="7">
        <f>IF(J409="",AVERAGE($J:$J),J409)</f>
        <v>12846.58</v>
      </c>
      <c r="AB409" s="7">
        <f>IF(N409="",AVERAGE($N:$N),N409)</f>
        <v>53</v>
      </c>
      <c r="AC409" s="7">
        <f t="shared" si="46"/>
        <v>2026</v>
      </c>
      <c r="AD409" s="7">
        <f t="shared" si="47"/>
        <v>4</v>
      </c>
      <c r="AE409" s="7">
        <f>COUNTIF(A:A,A409)</f>
        <v>1</v>
      </c>
      <c r="AF409" s="7" t="str">
        <f t="shared" si="48"/>
        <v>No</v>
      </c>
    </row>
    <row r="410" spans="1:32">
      <c r="A410" t="s">
        <v>1443</v>
      </c>
      <c r="B410">
        <v>48064741</v>
      </c>
      <c r="C410" t="s">
        <v>1444</v>
      </c>
      <c r="D410" t="s">
        <v>1445</v>
      </c>
      <c r="E410" t="s">
        <v>20</v>
      </c>
      <c r="F410" t="s">
        <v>92</v>
      </c>
      <c r="G410" t="s">
        <v>45</v>
      </c>
      <c r="H410" t="s">
        <v>103</v>
      </c>
      <c r="I410" t="s">
        <v>3376</v>
      </c>
      <c r="J410">
        <v>12302.32</v>
      </c>
      <c r="K410" t="s">
        <v>27</v>
      </c>
      <c r="L410" t="s">
        <v>75</v>
      </c>
      <c r="M410" s="1">
        <v>45042.079861111109</v>
      </c>
      <c r="N410">
        <v>38</v>
      </c>
      <c r="O410" t="s">
        <v>36</v>
      </c>
      <c r="P410" t="s">
        <v>62</v>
      </c>
      <c r="Q410" t="s">
        <v>1446</v>
      </c>
      <c r="R410">
        <f t="shared" si="42"/>
        <v>48064741</v>
      </c>
      <c r="S410" t="str" cm="1">
        <f t="array" ref="S410">IF(C410="",IFERROR(INDEX($C$2:$C$1166,MATCH(MAX(COUNTIF($C$2:$C$1166,$C$2:$C$1166)),COUNTIF($C$2:$C$1166,$C$2:$C$1166),0)),"Unknown"),C410)</f>
        <v xml:space="preserve">  DAVID VOLKOV </v>
      </c>
      <c r="T410" s="4" t="str" cm="1">
        <f t="array" ref="T410">IF(D410="",IFERROR(INDEX($D$2:$D$1000,MATCH(MAX(COUNTIF($D$2:$D$1166,$D$2:$D$1166)),COUNTIF($D$2:$D$1166,$D$2:$D$1166),0)),"Unknown"),D410)</f>
        <v>Marta Rodriguez</v>
      </c>
      <c r="U410" t="str">
        <f t="shared" si="43"/>
        <v>AUD</v>
      </c>
      <c r="V410" s="7" t="str">
        <f t="shared" si="43"/>
        <v>ZAR</v>
      </c>
      <c r="W410" s="7" t="str">
        <f t="shared" si="44"/>
        <v>Germany</v>
      </c>
      <c r="X410" s="7" t="str">
        <f t="shared" si="44"/>
        <v>Australia</v>
      </c>
      <c r="Y410" s="7" t="str" cm="1">
        <f t="array" ref="Y410">IF(H410="",IFERROR(INDEX($H$2:$H$1166,MATCH(MAX(COUNTIF($H$2:$H$1166,$H$2:$H$1166)),COUNTIF($H$2:$H$1166,$H$2:$H$1166),0)),"Unknown"),H410)</f>
        <v>Verified</v>
      </c>
      <c r="Z410" s="7" t="str">
        <f t="shared" si="45"/>
        <v>Internal</v>
      </c>
      <c r="AA410" s="7">
        <f>IF(J410="",AVERAGE($J:$J),J410)</f>
        <v>12302.32</v>
      </c>
      <c r="AB410" s="7">
        <f>IF(N410="",AVERAGE($N:$N),N410)</f>
        <v>38</v>
      </c>
      <c r="AC410" s="7">
        <f t="shared" si="46"/>
        <v>2023</v>
      </c>
      <c r="AD410" s="7">
        <f t="shared" si="47"/>
        <v>4</v>
      </c>
      <c r="AE410" s="7">
        <f>COUNTIF(A:A,A410)</f>
        <v>1</v>
      </c>
      <c r="AF410" s="7" t="str">
        <f t="shared" si="48"/>
        <v>No</v>
      </c>
    </row>
    <row r="411" spans="1:32">
      <c r="A411" t="s">
        <v>1447</v>
      </c>
      <c r="B411">
        <v>87558199</v>
      </c>
      <c r="E411" t="s">
        <v>20</v>
      </c>
      <c r="F411" t="s">
        <v>21</v>
      </c>
      <c r="G411" t="s">
        <v>92</v>
      </c>
      <c r="H411" t="s">
        <v>38</v>
      </c>
      <c r="I411" t="s">
        <v>3377</v>
      </c>
      <c r="J411">
        <v>9475.2999999999993</v>
      </c>
      <c r="K411" t="s">
        <v>39</v>
      </c>
      <c r="L411" t="s">
        <v>75</v>
      </c>
      <c r="M411" s="1">
        <v>44060.012499999997</v>
      </c>
      <c r="N411">
        <v>53</v>
      </c>
      <c r="O411" t="s">
        <v>36</v>
      </c>
      <c r="P411" t="s">
        <v>93</v>
      </c>
      <c r="Q411" t="s">
        <v>1448</v>
      </c>
      <c r="R411">
        <f t="shared" si="42"/>
        <v>87558199</v>
      </c>
      <c r="S411" t="str" cm="1">
        <f t="array" ref="S411">IF(C411="",IFERROR(INDEX($C$2:$C$1166,MATCH(MAX(COUNTIF($C$2:$C$1166,$C$2:$C$1166)),COUNTIF($C$2:$C$1166,$C$2:$C$1166),0)),"Unknown"),C411)</f>
        <v>Fatima Brown</v>
      </c>
      <c r="T411" s="4" t="str" cm="1">
        <f t="array" ref="T411">IF(D411="",IFERROR(INDEX($D$2:$D$1000,MATCH(MAX(COUNTIF($D$2:$D$1166,$D$2:$D$1166)),COUNTIF($D$2:$D$1166,$D$2:$D$1166),0)),"Unknown"),D411)</f>
        <v>Patricia Smith</v>
      </c>
      <c r="U411" t="str">
        <f t="shared" si="43"/>
        <v>GBP</v>
      </c>
      <c r="V411" s="7" t="str">
        <f t="shared" si="43"/>
        <v>AUD</v>
      </c>
      <c r="W411" s="7" t="str">
        <f t="shared" si="44"/>
        <v>Germany</v>
      </c>
      <c r="X411" s="7" t="str">
        <f t="shared" si="44"/>
        <v>USA</v>
      </c>
      <c r="Y411" s="7" t="str" cm="1">
        <f t="array" ref="Y411">IF(H411="",IFERROR(INDEX($H$2:$H$1166,MATCH(MAX(COUNTIF($H$2:$H$1166,$H$2:$H$1166)),COUNTIF($H$2:$H$1166,$H$2:$H$1166),0)),"Unknown"),H411)</f>
        <v>Pending</v>
      </c>
      <c r="Z411" s="7" t="str">
        <f t="shared" si="45"/>
        <v>Inter-Transaction</v>
      </c>
      <c r="AA411" s="7">
        <f>IF(J411="",AVERAGE($J:$J),J411)</f>
        <v>9475.2999999999993</v>
      </c>
      <c r="AB411" s="7">
        <f>IF(N411="",AVERAGE($N:$N),N411)</f>
        <v>53</v>
      </c>
      <c r="AC411" s="7">
        <f t="shared" si="46"/>
        <v>2020</v>
      </c>
      <c r="AD411" s="7">
        <f t="shared" si="47"/>
        <v>8</v>
      </c>
      <c r="AE411" s="7">
        <f>COUNTIF(A:A,A411)</f>
        <v>1</v>
      </c>
      <c r="AF411" s="7" t="str">
        <f t="shared" si="48"/>
        <v>No</v>
      </c>
    </row>
    <row r="412" spans="1:32">
      <c r="A412" t="s">
        <v>1449</v>
      </c>
      <c r="B412">
        <v>82970485</v>
      </c>
      <c r="C412" t="s">
        <v>950</v>
      </c>
      <c r="D412" t="s">
        <v>207</v>
      </c>
      <c r="E412" t="s">
        <v>20</v>
      </c>
      <c r="F412" t="s">
        <v>22</v>
      </c>
      <c r="G412" t="s">
        <v>21</v>
      </c>
      <c r="H412" t="s">
        <v>74</v>
      </c>
      <c r="I412" t="s">
        <v>3378</v>
      </c>
      <c r="J412">
        <v>2915.5</v>
      </c>
      <c r="K412" t="s">
        <v>47</v>
      </c>
      <c r="L412" t="s">
        <v>81</v>
      </c>
      <c r="M412" s="1">
        <v>44019.055555555555</v>
      </c>
      <c r="N412">
        <v>27</v>
      </c>
      <c r="O412" t="s">
        <v>36</v>
      </c>
      <c r="P412" t="s">
        <v>24</v>
      </c>
      <c r="Q412" t="s">
        <v>1450</v>
      </c>
      <c r="R412">
        <f t="shared" si="42"/>
        <v>82970485</v>
      </c>
      <c r="S412" t="str" cm="1">
        <f t="array" ref="S412">IF(C412="",IFERROR(INDEX($C$2:$C$1166,MATCH(MAX(COUNTIF($C$2:$C$1166,$C$2:$C$1166)),COUNTIF($C$2:$C$1166,$C$2:$C$1166),0)),"Unknown"),C412)</f>
        <v>Priya Williams</v>
      </c>
      <c r="T412" s="4" t="str" cm="1">
        <f t="array" ref="T412">IF(D412="",IFERROR(INDEX($D$2:$D$1000,MATCH(MAX(COUNTIF($D$2:$D$1166,$D$2:$D$1166)),COUNTIF($D$2:$D$1166,$D$2:$D$1166),0)),"Unknown"),D412)</f>
        <v>Christopher Gonzalez</v>
      </c>
      <c r="U412" t="str">
        <f t="shared" si="43"/>
        <v>BRL</v>
      </c>
      <c r="V412" s="7" t="str">
        <f t="shared" si="43"/>
        <v>GBP</v>
      </c>
      <c r="W412" s="7" t="str">
        <f t="shared" si="44"/>
        <v>Germany</v>
      </c>
      <c r="X412" s="7" t="str">
        <f t="shared" si="44"/>
        <v>Brazil</v>
      </c>
      <c r="Y412" s="7" t="str" cm="1">
        <f t="array" ref="Y412">IF(H412="",IFERROR(INDEX($H$2:$H$1166,MATCH(MAX(COUNTIF($H$2:$H$1166,$H$2:$H$1166)),COUNTIF($H$2:$H$1166,$H$2:$H$1166),0)),"Unknown"),H412)</f>
        <v>Non-KYC</v>
      </c>
      <c r="Z412" s="7" t="str">
        <f t="shared" si="45"/>
        <v>Inter-Transaction</v>
      </c>
      <c r="AA412" s="7">
        <f>IF(J412="",AVERAGE($J:$J),J412)</f>
        <v>2915.5</v>
      </c>
      <c r="AB412" s="7">
        <f>IF(N412="",AVERAGE($N:$N),N412)</f>
        <v>27</v>
      </c>
      <c r="AC412" s="7">
        <f t="shared" si="46"/>
        <v>2020</v>
      </c>
      <c r="AD412" s="7">
        <f t="shared" si="47"/>
        <v>7</v>
      </c>
      <c r="AE412" s="7">
        <f>COUNTIF(A:A,A412)</f>
        <v>1</v>
      </c>
      <c r="AF412" s="7" t="str">
        <f t="shared" si="48"/>
        <v>No</v>
      </c>
    </row>
    <row r="413" spans="1:32">
      <c r="A413" t="s">
        <v>1451</v>
      </c>
      <c r="B413">
        <v>71623079</v>
      </c>
      <c r="C413" t="s">
        <v>1452</v>
      </c>
      <c r="D413" t="s">
        <v>768</v>
      </c>
      <c r="E413">
        <v>1</v>
      </c>
      <c r="F413" t="s">
        <v>53</v>
      </c>
      <c r="H413" t="s">
        <v>56</v>
      </c>
      <c r="I413" t="s">
        <v>3377</v>
      </c>
      <c r="J413">
        <v>6212.04</v>
      </c>
      <c r="K413" t="s">
        <v>39</v>
      </c>
      <c r="L413" t="s">
        <v>28</v>
      </c>
      <c r="M413" s="1">
        <v>45888.806944444441</v>
      </c>
      <c r="N413">
        <v>41</v>
      </c>
      <c r="O413" t="s">
        <v>93</v>
      </c>
      <c r="P413" t="s">
        <v>55</v>
      </c>
      <c r="Q413" t="s">
        <v>1453</v>
      </c>
      <c r="R413">
        <f t="shared" si="42"/>
        <v>71623079</v>
      </c>
      <c r="S413" t="str" cm="1">
        <f t="array" ref="S413">IF(C413="",IFERROR(INDEX($C$2:$C$1166,MATCH(MAX(COUNTIF($C$2:$C$1166,$C$2:$C$1166)),COUNTIF($C$2:$C$1166,$C$2:$C$1166),0)),"Unknown"),C413)</f>
        <v>Priya Martin</v>
      </c>
      <c r="T413" s="4" t="str" cm="1">
        <f t="array" ref="T413">IF(D413="",IFERROR(INDEX($D$2:$D$1000,MATCH(MAX(COUNTIF($D$2:$D$1166,$D$2:$D$1166)),COUNTIF($D$2:$D$1166,$D$2:$D$1166),0)),"Unknown"),D413)</f>
        <v>Patricia Brown</v>
      </c>
      <c r="U413" t="str">
        <f t="shared" si="43"/>
        <v>AED</v>
      </c>
      <c r="V413" s="7" t="str">
        <f t="shared" si="43"/>
        <v/>
      </c>
      <c r="W413" s="7" t="str">
        <f t="shared" si="44"/>
        <v>USA</v>
      </c>
      <c r="X413" s="7" t="str">
        <f t="shared" si="44"/>
        <v>UK</v>
      </c>
      <c r="Y413" s="7" t="str" cm="1">
        <f t="array" ref="Y413">IF(H413="",IFERROR(INDEX($H$2:$H$1166,MATCH(MAX(COUNTIF($H$2:$H$1166,$H$2:$H$1166)),COUNTIF($H$2:$H$1166,$H$2:$H$1166),0)),"Unknown"),H413)</f>
        <v>Unverified</v>
      </c>
      <c r="Z413" s="7" t="str">
        <f t="shared" si="45"/>
        <v>Inter-Transaction</v>
      </c>
      <c r="AA413" s="7">
        <f>IF(J413="",AVERAGE($J:$J),J413)</f>
        <v>6212.04</v>
      </c>
      <c r="AB413" s="7">
        <f>IF(N413="",AVERAGE($N:$N),N413)</f>
        <v>41</v>
      </c>
      <c r="AC413" s="7">
        <f t="shared" si="46"/>
        <v>2025</v>
      </c>
      <c r="AD413" s="7">
        <f t="shared" si="47"/>
        <v>8</v>
      </c>
      <c r="AE413" s="7">
        <f>COUNTIF(A:A,A413)</f>
        <v>1</v>
      </c>
      <c r="AF413" s="7" t="str">
        <f t="shared" si="48"/>
        <v>Yes</v>
      </c>
    </row>
    <row r="414" spans="1:32">
      <c r="A414" t="s">
        <v>1454</v>
      </c>
      <c r="B414">
        <v>33981630</v>
      </c>
      <c r="C414" t="s">
        <v>1287</v>
      </c>
      <c r="D414" t="s">
        <v>1455</v>
      </c>
      <c r="E414" t="s">
        <v>20</v>
      </c>
      <c r="F414" t="s">
        <v>35</v>
      </c>
      <c r="G414" t="s">
        <v>34</v>
      </c>
      <c r="I414" t="s">
        <v>3378</v>
      </c>
      <c r="J414">
        <v>13899.48</v>
      </c>
      <c r="K414" t="s">
        <v>47</v>
      </c>
      <c r="L414" t="s">
        <v>28</v>
      </c>
      <c r="M414" s="1">
        <v>44332.849305555559</v>
      </c>
      <c r="N414">
        <v>81</v>
      </c>
      <c r="O414" t="s">
        <v>93</v>
      </c>
      <c r="P414" t="s">
        <v>55</v>
      </c>
      <c r="Q414" t="s">
        <v>1456</v>
      </c>
      <c r="R414">
        <f t="shared" si="42"/>
        <v>33981630</v>
      </c>
      <c r="S414" t="str" cm="1">
        <f t="array" ref="S414">IF(C414="",IFERROR(INDEX($C$2:$C$1166,MATCH(MAX(COUNTIF($C$2:$C$1166,$C$2:$C$1166)),COUNTIF($C$2:$C$1166,$C$2:$C$1166),0)),"Unknown"),C414)</f>
        <v>Marta Jackson</v>
      </c>
      <c r="T414" s="4" t="str" cm="1">
        <f t="array" ref="T414">IF(D414="",IFERROR(INDEX($D$2:$D$1000,MATCH(MAX(COUNTIF($D$2:$D$1166,$D$2:$D$1166)),COUNTIF($D$2:$D$1166,$D$2:$D$1166),0)),"Unknown"),D414)</f>
        <v>Sanjay Martin</v>
      </c>
      <c r="U414" t="str">
        <f t="shared" si="43"/>
        <v>EUR</v>
      </c>
      <c r="V414" s="7" t="str">
        <f t="shared" si="43"/>
        <v>CAD</v>
      </c>
      <c r="W414" s="7" t="str">
        <f t="shared" si="44"/>
        <v>USA</v>
      </c>
      <c r="X414" s="7" t="str">
        <f t="shared" si="44"/>
        <v>UK</v>
      </c>
      <c r="Y414" s="7" t="str" cm="1">
        <f t="array" ref="Y414">IF(H414="",IFERROR(INDEX($H$2:$H$1166,MATCH(MAX(COUNTIF($H$2:$H$1166,$H$2:$H$1166)),COUNTIF($H$2:$H$1166,$H$2:$H$1166),0)),"Unknown"),H414)</f>
        <v>Pending</v>
      </c>
      <c r="Z414" s="7" t="str">
        <f t="shared" si="45"/>
        <v>Inter-Transaction</v>
      </c>
      <c r="AA414" s="7">
        <f>IF(J414="",AVERAGE($J:$J),J414)</f>
        <v>13899.48</v>
      </c>
      <c r="AB414" s="7">
        <f>IF(N414="",AVERAGE($N:$N),N414)</f>
        <v>81</v>
      </c>
      <c r="AC414" s="7">
        <f t="shared" si="46"/>
        <v>2021</v>
      </c>
      <c r="AD414" s="7">
        <f t="shared" si="47"/>
        <v>5</v>
      </c>
      <c r="AE414" s="7">
        <f>COUNTIF(A:A,A414)</f>
        <v>1</v>
      </c>
      <c r="AF414" s="7" t="str">
        <f t="shared" si="48"/>
        <v>No</v>
      </c>
    </row>
    <row r="415" spans="1:32">
      <c r="A415" t="s">
        <v>1457</v>
      </c>
      <c r="B415">
        <v>21199497</v>
      </c>
      <c r="C415" t="s">
        <v>1458</v>
      </c>
      <c r="D415" t="s">
        <v>405</v>
      </c>
      <c r="E415" t="s">
        <v>20</v>
      </c>
      <c r="F415" t="s">
        <v>121</v>
      </c>
      <c r="G415" t="s">
        <v>35</v>
      </c>
      <c r="H415" t="s">
        <v>38</v>
      </c>
      <c r="I415" t="s">
        <v>3372</v>
      </c>
      <c r="J415">
        <v>13836</v>
      </c>
      <c r="K415" t="s">
        <v>57</v>
      </c>
      <c r="L415" t="s">
        <v>48</v>
      </c>
      <c r="M415" s="1">
        <v>45963.132638888892</v>
      </c>
      <c r="N415">
        <v>66</v>
      </c>
      <c r="O415" t="s">
        <v>127</v>
      </c>
      <c r="P415" t="s">
        <v>55</v>
      </c>
      <c r="Q415" t="s">
        <v>1459</v>
      </c>
      <c r="R415">
        <f t="shared" si="42"/>
        <v>21199497</v>
      </c>
      <c r="S415" t="str" cm="1">
        <f t="array" ref="S415">IF(C415="",IFERROR(INDEX($C$2:$C$1166,MATCH(MAX(COUNTIF($C$2:$C$1166,$C$2:$C$1166)),COUNTIF($C$2:$C$1166,$C$2:$C$1166),0)),"Unknown"),C415)</f>
        <v>Fatima Rostova</v>
      </c>
      <c r="T415" s="4" t="str" cm="1">
        <f t="array" ref="T415">IF(D415="",IFERROR(INDEX($D$2:$D$1000,MATCH(MAX(COUNTIF($D$2:$D$1166,$D$2:$D$1166)),COUNTIF($D$2:$D$1166,$D$2:$D$1166),0)),"Unknown"),D415)</f>
        <v>Michael Rodriguez</v>
      </c>
      <c r="U415" t="str">
        <f t="shared" si="43"/>
        <v>INR</v>
      </c>
      <c r="V415" s="7" t="str">
        <f t="shared" si="43"/>
        <v>EUR</v>
      </c>
      <c r="W415" s="7" t="str">
        <f t="shared" si="44"/>
        <v>Canada</v>
      </c>
      <c r="X415" s="7" t="str">
        <f t="shared" si="44"/>
        <v>UK</v>
      </c>
      <c r="Y415" s="7" t="str" cm="1">
        <f t="array" ref="Y415">IF(H415="",IFERROR(INDEX($H$2:$H$1166,MATCH(MAX(COUNTIF($H$2:$H$1166,$H$2:$H$1166)),COUNTIF($H$2:$H$1166,$H$2:$H$1166),0)),"Unknown"),H415)</f>
        <v>Pending</v>
      </c>
      <c r="Z415" s="7" t="str">
        <f t="shared" si="45"/>
        <v>Outer-Transaction</v>
      </c>
      <c r="AA415" s="7">
        <f>IF(J415="",AVERAGE($J:$J),J415)</f>
        <v>13836</v>
      </c>
      <c r="AB415" s="7">
        <f>IF(N415="",AVERAGE($N:$N),N415)</f>
        <v>66</v>
      </c>
      <c r="AC415" s="7">
        <f t="shared" si="46"/>
        <v>2025</v>
      </c>
      <c r="AD415" s="7">
        <f t="shared" si="47"/>
        <v>11</v>
      </c>
      <c r="AE415" s="7">
        <f>COUNTIF(A:A,A415)</f>
        <v>1</v>
      </c>
      <c r="AF415" s="7" t="str">
        <f t="shared" si="48"/>
        <v>No</v>
      </c>
    </row>
    <row r="416" spans="1:32">
      <c r="A416" t="s">
        <v>1460</v>
      </c>
      <c r="B416">
        <v>37626276</v>
      </c>
      <c r="C416" t="s">
        <v>1461</v>
      </c>
      <c r="D416" t="s">
        <v>1462</v>
      </c>
      <c r="E416" t="s">
        <v>20</v>
      </c>
      <c r="F416" t="s">
        <v>116</v>
      </c>
      <c r="G416" t="s">
        <v>22</v>
      </c>
      <c r="H416" t="s">
        <v>103</v>
      </c>
      <c r="I416" t="s">
        <v>3378</v>
      </c>
      <c r="J416">
        <v>13469.44</v>
      </c>
      <c r="K416" t="s">
        <v>86</v>
      </c>
      <c r="L416" t="s">
        <v>81</v>
      </c>
      <c r="M416" s="1">
        <v>43879.888194444444</v>
      </c>
      <c r="N416">
        <v>53</v>
      </c>
      <c r="O416" t="s">
        <v>23</v>
      </c>
      <c r="P416" t="s">
        <v>24</v>
      </c>
      <c r="Q416" t="s">
        <v>1463</v>
      </c>
      <c r="R416">
        <f t="shared" si="42"/>
        <v>37626276</v>
      </c>
      <c r="S416" t="str" cm="1">
        <f t="array" ref="S416">IF(C416="",IFERROR(INDEX($C$2:$C$1166,MATCH(MAX(COUNTIF($C$2:$C$1166,$C$2:$C$1166)),COUNTIF($C$2:$C$1166,$C$2:$C$1166),0)),"Unknown"),C416)</f>
        <v>Fatima Thomas</v>
      </c>
      <c r="T416" s="4" t="str" cm="1">
        <f t="array" ref="T416">IF(D416="",IFERROR(INDEX($D$2:$D$1000,MATCH(MAX(COUNTIF($D$2:$D$1166,$D$2:$D$1166)),COUNTIF($D$2:$D$1166,$D$2:$D$1166),0)),"Unknown"),D416)</f>
        <v>Jessica Volkov</v>
      </c>
      <c r="U416" t="str">
        <f t="shared" si="43"/>
        <v>CHF</v>
      </c>
      <c r="V416" s="7" t="str">
        <f t="shared" si="43"/>
        <v>BRL</v>
      </c>
      <c r="W416" s="7" t="str">
        <f t="shared" si="44"/>
        <v>France</v>
      </c>
      <c r="X416" s="7" t="str">
        <f t="shared" si="44"/>
        <v>Brazil</v>
      </c>
      <c r="Y416" s="7" t="str" cm="1">
        <f t="array" ref="Y416">IF(H416="",IFERROR(INDEX($H$2:$H$1166,MATCH(MAX(COUNTIF($H$2:$H$1166,$H$2:$H$1166)),COUNTIF($H$2:$H$1166,$H$2:$H$1166),0)),"Unknown"),H416)</f>
        <v>Verified</v>
      </c>
      <c r="Z416" s="7" t="str">
        <f t="shared" si="45"/>
        <v>Inter-Transaction</v>
      </c>
      <c r="AA416" s="7">
        <f>IF(J416="",AVERAGE($J:$J),J416)</f>
        <v>13469.44</v>
      </c>
      <c r="AB416" s="7">
        <f>IF(N416="",AVERAGE($N:$N),N416)</f>
        <v>53</v>
      </c>
      <c r="AC416" s="7">
        <f t="shared" si="46"/>
        <v>2020</v>
      </c>
      <c r="AD416" s="7">
        <f t="shared" si="47"/>
        <v>2</v>
      </c>
      <c r="AE416" s="7">
        <f>COUNTIF(A:A,A416)</f>
        <v>1</v>
      </c>
      <c r="AF416" s="7" t="str">
        <f t="shared" si="48"/>
        <v>No</v>
      </c>
    </row>
    <row r="417" spans="1:32">
      <c r="A417" t="s">
        <v>1464</v>
      </c>
      <c r="B417">
        <v>63459816</v>
      </c>
      <c r="C417" t="s">
        <v>1465</v>
      </c>
      <c r="D417" t="s">
        <v>536</v>
      </c>
      <c r="E417" t="s">
        <v>3373</v>
      </c>
      <c r="F417" t="s">
        <v>21</v>
      </c>
      <c r="G417" t="s">
        <v>34</v>
      </c>
      <c r="H417" t="s">
        <v>25</v>
      </c>
      <c r="I417" t="s">
        <v>3378</v>
      </c>
      <c r="J417">
        <v>10327.5</v>
      </c>
      <c r="K417" t="s">
        <v>57</v>
      </c>
      <c r="L417" t="s">
        <v>48</v>
      </c>
      <c r="M417" s="1">
        <v>44519.708333333336</v>
      </c>
      <c r="N417">
        <v>41</v>
      </c>
      <c r="O417" t="s">
        <v>24</v>
      </c>
      <c r="P417" t="s">
        <v>93</v>
      </c>
      <c r="Q417" t="s">
        <v>1466</v>
      </c>
      <c r="R417">
        <f t="shared" si="42"/>
        <v>63459816</v>
      </c>
      <c r="S417" t="str" cm="1">
        <f t="array" ref="S417">IF(C417="",IFERROR(INDEX($C$2:$C$1166,MATCH(MAX(COUNTIF($C$2:$C$1166,$C$2:$C$1166)),COUNTIF($C$2:$C$1166,$C$2:$C$1166),0)),"Unknown"),C417)</f>
        <v>John Brown</v>
      </c>
      <c r="T417" s="4" t="str" cm="1">
        <f t="array" ref="T417">IF(D417="",IFERROR(INDEX($D$2:$D$1000,MATCH(MAX(COUNTIF($D$2:$D$1166,$D$2:$D$1166)),COUNTIF($D$2:$D$1166,$D$2:$D$1166),0)),"Unknown"),D417)</f>
        <v>Linda Silva</v>
      </c>
      <c r="U417" t="str">
        <f t="shared" si="43"/>
        <v>GBP</v>
      </c>
      <c r="V417" s="7" t="str">
        <f t="shared" si="43"/>
        <v>CAD</v>
      </c>
      <c r="W417" s="7" t="str">
        <f t="shared" si="44"/>
        <v>Brazil</v>
      </c>
      <c r="X417" s="7" t="str">
        <f t="shared" si="44"/>
        <v>USA</v>
      </c>
      <c r="Y417" s="7" t="str" cm="1">
        <f t="array" ref="Y417">IF(H417="",IFERROR(INDEX($H$2:$H$1166,MATCH(MAX(COUNTIF($H$2:$H$1166,$H$2:$H$1166)),COUNTIF($H$2:$H$1166,$H$2:$H$1166),0)),"Unknown"),H417)</f>
        <v>KYC</v>
      </c>
      <c r="Z417" s="7" t="str">
        <f t="shared" si="45"/>
        <v>Inter-Transaction</v>
      </c>
      <c r="AA417" s="7">
        <f>IF(J417="",AVERAGE($J:$J),J417)</f>
        <v>10327.5</v>
      </c>
      <c r="AB417" s="7">
        <f>IF(N417="",AVERAGE($N:$N),N417)</f>
        <v>41</v>
      </c>
      <c r="AC417" s="7">
        <f t="shared" si="46"/>
        <v>2021</v>
      </c>
      <c r="AD417" s="7">
        <f t="shared" si="47"/>
        <v>11</v>
      </c>
      <c r="AE417" s="7">
        <f>COUNTIF(A:A,A417)</f>
        <v>1</v>
      </c>
      <c r="AF417" s="7" t="str">
        <f t="shared" si="48"/>
        <v>Yes</v>
      </c>
    </row>
    <row r="418" spans="1:32">
      <c r="A418" t="s">
        <v>1467</v>
      </c>
      <c r="B418">
        <v>85290602</v>
      </c>
      <c r="C418" t="s">
        <v>1468</v>
      </c>
      <c r="D418" t="s">
        <v>1469</v>
      </c>
      <c r="E418" t="s">
        <v>20</v>
      </c>
      <c r="F418" t="s">
        <v>45</v>
      </c>
      <c r="G418" t="s">
        <v>35</v>
      </c>
      <c r="H418" t="s">
        <v>74</v>
      </c>
      <c r="I418" t="s">
        <v>3371</v>
      </c>
      <c r="J418">
        <v>754.4</v>
      </c>
      <c r="K418" t="s">
        <v>39</v>
      </c>
      <c r="L418" t="s">
        <v>81</v>
      </c>
      <c r="M418" s="1">
        <v>44217.015972222223</v>
      </c>
      <c r="N418">
        <v>40</v>
      </c>
      <c r="O418" t="s">
        <v>36</v>
      </c>
      <c r="P418" t="s">
        <v>24</v>
      </c>
      <c r="Q418" t="s">
        <v>1470</v>
      </c>
      <c r="R418">
        <f t="shared" si="42"/>
        <v>85290602</v>
      </c>
      <c r="S418" t="str" cm="1">
        <f t="array" ref="S418">IF(C418="",IFERROR(INDEX($C$2:$C$1166,MATCH(MAX(COUNTIF($C$2:$C$1166,$C$2:$C$1166)),COUNTIF($C$2:$C$1166,$C$2:$C$1166),0)),"Unknown"),C418)</f>
        <v>David Rostova</v>
      </c>
      <c r="T418" s="4" t="str" cm="1">
        <f t="array" ref="T418">IF(D418="",IFERROR(INDEX($D$2:$D$1000,MATCH(MAX(COUNTIF($D$2:$D$1166,$D$2:$D$1166)),COUNTIF($D$2:$D$1166,$D$2:$D$1166),0)),"Unknown"),D418)</f>
        <v>Nancy Volkov</v>
      </c>
      <c r="U418" t="str">
        <f t="shared" si="43"/>
        <v>ZAR</v>
      </c>
      <c r="V418" s="7" t="str">
        <f t="shared" si="43"/>
        <v>EUR</v>
      </c>
      <c r="W418" s="7" t="str">
        <f t="shared" si="44"/>
        <v>Germany</v>
      </c>
      <c r="X418" s="7" t="str">
        <f t="shared" si="44"/>
        <v>Brazil</v>
      </c>
      <c r="Y418" s="7" t="str" cm="1">
        <f t="array" ref="Y418">IF(H418="",IFERROR(INDEX($H$2:$H$1166,MATCH(MAX(COUNTIF($H$2:$H$1166,$H$2:$H$1166)),COUNTIF($H$2:$H$1166,$H$2:$H$1166),0)),"Unknown"),H418)</f>
        <v>Non-KYC</v>
      </c>
      <c r="Z418" s="7" t="str">
        <f t="shared" si="45"/>
        <v>Outer-Transaction</v>
      </c>
      <c r="AA418" s="7">
        <f>IF(J418="",AVERAGE($J:$J),J418)</f>
        <v>754.4</v>
      </c>
      <c r="AB418" s="7">
        <f>IF(N418="",AVERAGE($N:$N),N418)</f>
        <v>40</v>
      </c>
      <c r="AC418" s="7">
        <f t="shared" si="46"/>
        <v>2021</v>
      </c>
      <c r="AD418" s="7">
        <f t="shared" si="47"/>
        <v>1</v>
      </c>
      <c r="AE418" s="7">
        <f>COUNTIF(A:A,A418)</f>
        <v>1</v>
      </c>
      <c r="AF418" s="7" t="str">
        <f t="shared" si="48"/>
        <v>No</v>
      </c>
    </row>
    <row r="419" spans="1:32">
      <c r="A419" t="s">
        <v>1471</v>
      </c>
      <c r="B419">
        <v>12393947</v>
      </c>
      <c r="C419" t="s">
        <v>1472</v>
      </c>
      <c r="D419" t="s">
        <v>1473</v>
      </c>
      <c r="E419" t="s">
        <v>20</v>
      </c>
      <c r="F419" t="s">
        <v>44</v>
      </c>
      <c r="G419" t="s">
        <v>176</v>
      </c>
      <c r="H419" t="s">
        <v>103</v>
      </c>
      <c r="I419" t="s">
        <v>3374</v>
      </c>
      <c r="J419">
        <v>253.92</v>
      </c>
      <c r="K419" t="s">
        <v>39</v>
      </c>
      <c r="L419" t="s">
        <v>28</v>
      </c>
      <c r="M419" s="1">
        <v>44800.565972222219</v>
      </c>
      <c r="N419">
        <v>79</v>
      </c>
      <c r="O419" t="s">
        <v>55</v>
      </c>
      <c r="P419" t="s">
        <v>55</v>
      </c>
      <c r="Q419" t="s">
        <v>1474</v>
      </c>
      <c r="R419">
        <f t="shared" si="42"/>
        <v>12393947</v>
      </c>
      <c r="S419" t="str" cm="1">
        <f t="array" ref="S419">IF(C419="",IFERROR(INDEX($C$2:$C$1166,MATCH(MAX(COUNTIF($C$2:$C$1166,$C$2:$C$1166)),COUNTIF($C$2:$C$1166,$C$2:$C$1166),0)),"Unknown"),C419)</f>
        <v>Sanjay Silva</v>
      </c>
      <c r="T419" s="4" t="str" cm="1">
        <f t="array" ref="T419">IF(D419="",IFERROR(INDEX($D$2:$D$1000,MATCH(MAX(COUNTIF($D$2:$D$1166,$D$2:$D$1166)),COUNTIF($D$2:$D$1166,$D$2:$D$1166),0)),"Unknown"),D419)</f>
        <v>Zayn Jackson</v>
      </c>
      <c r="U419" t="str">
        <f t="shared" si="43"/>
        <v>SGD</v>
      </c>
      <c r="V419" s="7" t="str">
        <f t="shared" si="43"/>
        <v>aed</v>
      </c>
      <c r="W419" s="7" t="str">
        <f t="shared" si="44"/>
        <v>UK</v>
      </c>
      <c r="X419" s="7" t="str">
        <f t="shared" si="44"/>
        <v>UK</v>
      </c>
      <c r="Y419" s="7" t="str" cm="1">
        <f t="array" ref="Y419">IF(H419="",IFERROR(INDEX($H$2:$H$1166,MATCH(MAX(COUNTIF($H$2:$H$1166,$H$2:$H$1166)),COUNTIF($H$2:$H$1166,$H$2:$H$1166),0)),"Unknown"),H419)</f>
        <v>Verified</v>
      </c>
      <c r="Z419" s="7" t="str">
        <f t="shared" si="45"/>
        <v>External</v>
      </c>
      <c r="AA419" s="7">
        <f>IF(J419="",AVERAGE($J:$J),J419)</f>
        <v>253.92</v>
      </c>
      <c r="AB419" s="7">
        <f>IF(N419="",AVERAGE($N:$N),N419)</f>
        <v>79</v>
      </c>
      <c r="AC419" s="7">
        <f t="shared" si="46"/>
        <v>2022</v>
      </c>
      <c r="AD419" s="7">
        <f t="shared" si="47"/>
        <v>8</v>
      </c>
      <c r="AE419" s="7">
        <f>COUNTIF(A:A,A419)</f>
        <v>1</v>
      </c>
      <c r="AF419" s="7" t="str">
        <f t="shared" si="48"/>
        <v>No</v>
      </c>
    </row>
    <row r="420" spans="1:32">
      <c r="A420" t="s">
        <v>1475</v>
      </c>
      <c r="B420">
        <v>62791522</v>
      </c>
      <c r="C420" t="s">
        <v>1131</v>
      </c>
      <c r="D420" t="s">
        <v>1476</v>
      </c>
      <c r="E420" t="s">
        <v>20</v>
      </c>
      <c r="F420" t="s">
        <v>35</v>
      </c>
      <c r="G420" t="s">
        <v>34</v>
      </c>
      <c r="H420" t="s">
        <v>103</v>
      </c>
      <c r="I420" t="s">
        <v>3374</v>
      </c>
      <c r="J420">
        <v>10866.56</v>
      </c>
      <c r="K420" t="s">
        <v>47</v>
      </c>
      <c r="L420" t="s">
        <v>48</v>
      </c>
      <c r="M420" s="1">
        <v>44836.173611111109</v>
      </c>
      <c r="N420">
        <v>54</v>
      </c>
      <c r="O420" t="s">
        <v>37</v>
      </c>
      <c r="P420" t="s">
        <v>36</v>
      </c>
      <c r="Q420" t="s">
        <v>1477</v>
      </c>
      <c r="R420">
        <f t="shared" si="42"/>
        <v>62791522</v>
      </c>
      <c r="S420" t="str" cm="1">
        <f t="array" ref="S420">IF(C420="",IFERROR(INDEX($C$2:$C$1166,MATCH(MAX(COUNTIF($C$2:$C$1166,$C$2:$C$1166)),COUNTIF($C$2:$C$1166,$C$2:$C$1166),0)),"Unknown"),C420)</f>
        <v>Barbara Rostova</v>
      </c>
      <c r="T420" s="4" t="str" cm="1">
        <f t="array" ref="T420">IF(D420="",IFERROR(INDEX($D$2:$D$1000,MATCH(MAX(COUNTIF($D$2:$D$1166,$D$2:$D$1166)),COUNTIF($D$2:$D$1166,$D$2:$D$1166),0)),"Unknown"),D420)</f>
        <v>Thomas Thomas</v>
      </c>
      <c r="U420" t="str">
        <f t="shared" si="43"/>
        <v>EUR</v>
      </c>
      <c r="V420" s="7" t="str">
        <f t="shared" si="43"/>
        <v>CAD</v>
      </c>
      <c r="W420" s="7" t="str">
        <f t="shared" si="44"/>
        <v>South Africa</v>
      </c>
      <c r="X420" s="7" t="str">
        <f t="shared" si="44"/>
        <v>Germany</v>
      </c>
      <c r="Y420" s="7" t="str" cm="1">
        <f t="array" ref="Y420">IF(H420="",IFERROR(INDEX($H$2:$H$1166,MATCH(MAX(COUNTIF($H$2:$H$1166,$H$2:$H$1166)),COUNTIF($H$2:$H$1166,$H$2:$H$1166),0)),"Unknown"),H420)</f>
        <v>Verified</v>
      </c>
      <c r="Z420" s="7" t="str">
        <f t="shared" si="45"/>
        <v>External</v>
      </c>
      <c r="AA420" s="7">
        <f>IF(J420="",AVERAGE($J:$J),J420)</f>
        <v>10866.56</v>
      </c>
      <c r="AB420" s="7">
        <f>IF(N420="",AVERAGE($N:$N),N420)</f>
        <v>54</v>
      </c>
      <c r="AC420" s="7">
        <f t="shared" si="46"/>
        <v>2022</v>
      </c>
      <c r="AD420" s="7">
        <f t="shared" si="47"/>
        <v>10</v>
      </c>
      <c r="AE420" s="7">
        <f>COUNTIF(A:A,A420)</f>
        <v>1</v>
      </c>
      <c r="AF420" s="7" t="str">
        <f t="shared" si="48"/>
        <v>No</v>
      </c>
    </row>
    <row r="421" spans="1:32">
      <c r="A421" t="s">
        <v>1478</v>
      </c>
      <c r="B421">
        <v>44854691</v>
      </c>
      <c r="C421" t="s">
        <v>1479</v>
      </c>
      <c r="D421" t="s">
        <v>1480</v>
      </c>
      <c r="E421" t="s">
        <v>33</v>
      </c>
      <c r="F421" t="s">
        <v>53</v>
      </c>
      <c r="G421" t="s">
        <v>35</v>
      </c>
      <c r="H421" t="s">
        <v>74</v>
      </c>
      <c r="I421" t="s">
        <v>3376</v>
      </c>
      <c r="J421">
        <v>6915.8</v>
      </c>
      <c r="K421" t="s">
        <v>47</v>
      </c>
      <c r="L421" t="s">
        <v>75</v>
      </c>
      <c r="M421" s="1">
        <v>46096.999305555553</v>
      </c>
      <c r="N421">
        <v>29</v>
      </c>
      <c r="O421" t="s">
        <v>55</v>
      </c>
      <c r="P421" t="s">
        <v>127</v>
      </c>
      <c r="Q421" t="s">
        <v>1481</v>
      </c>
      <c r="R421">
        <f t="shared" si="42"/>
        <v>44854691</v>
      </c>
      <c r="S421" t="str" cm="1">
        <f t="array" ref="S421">IF(C421="",IFERROR(INDEX($C$2:$C$1166,MATCH(MAX(COUNTIF($C$2:$C$1166,$C$2:$C$1166)),COUNTIF($C$2:$C$1166,$C$2:$C$1166),0)),"Unknown"),C421)</f>
        <v>Carlos Silva</v>
      </c>
      <c r="T421" s="4" t="str" cm="1">
        <f t="array" ref="T421">IF(D421="",IFERROR(INDEX($D$2:$D$1000,MATCH(MAX(COUNTIF($D$2:$D$1166,$D$2:$D$1166)),COUNTIF($D$2:$D$1166,$D$2:$D$1166),0)),"Unknown"),D421)</f>
        <v>Mary Brown</v>
      </c>
      <c r="U421" t="str">
        <f t="shared" si="43"/>
        <v>AED</v>
      </c>
      <c r="V421" s="7" t="str">
        <f t="shared" si="43"/>
        <v>EUR</v>
      </c>
      <c r="W421" s="7" t="str">
        <f t="shared" si="44"/>
        <v>UK</v>
      </c>
      <c r="X421" s="7" t="str">
        <f t="shared" si="44"/>
        <v>Canada</v>
      </c>
      <c r="Y421" s="7" t="str" cm="1">
        <f t="array" ref="Y421">IF(H421="",IFERROR(INDEX($H$2:$H$1166,MATCH(MAX(COUNTIF($H$2:$H$1166,$H$2:$H$1166)),COUNTIF($H$2:$H$1166,$H$2:$H$1166),0)),"Unknown"),H421)</f>
        <v>Non-KYC</v>
      </c>
      <c r="Z421" s="7" t="str">
        <f t="shared" si="45"/>
        <v>Internal</v>
      </c>
      <c r="AA421" s="7">
        <f>IF(J421="",AVERAGE($J:$J),J421)</f>
        <v>6915.8</v>
      </c>
      <c r="AB421" s="7">
        <f>IF(N421="",AVERAGE($N:$N),N421)</f>
        <v>29</v>
      </c>
      <c r="AC421" s="7">
        <f t="shared" si="46"/>
        <v>2026</v>
      </c>
      <c r="AD421" s="7">
        <f t="shared" si="47"/>
        <v>3</v>
      </c>
      <c r="AE421" s="7">
        <f>COUNTIF(A:A,A421)</f>
        <v>1</v>
      </c>
      <c r="AF421" s="7" t="str">
        <f t="shared" si="48"/>
        <v>Yes</v>
      </c>
    </row>
    <row r="422" spans="1:32">
      <c r="A422" t="s">
        <v>1482</v>
      </c>
      <c r="B422">
        <v>74146251</v>
      </c>
      <c r="C422" t="s">
        <v>797</v>
      </c>
      <c r="D422" t="s">
        <v>1483</v>
      </c>
      <c r="E422" t="s">
        <v>20</v>
      </c>
      <c r="F422" t="s">
        <v>44</v>
      </c>
      <c r="G422" t="s">
        <v>121</v>
      </c>
      <c r="H422" t="s">
        <v>74</v>
      </c>
      <c r="I422" t="s">
        <v>3374</v>
      </c>
      <c r="J422">
        <v>9710.5400000000009</v>
      </c>
      <c r="K422" t="s">
        <v>47</v>
      </c>
      <c r="L422" t="s">
        <v>28</v>
      </c>
      <c r="M422" s="1">
        <v>45555.925000000003</v>
      </c>
      <c r="N422">
        <v>72</v>
      </c>
      <c r="O422" t="s">
        <v>68</v>
      </c>
      <c r="P422" t="s">
        <v>37</v>
      </c>
      <c r="Q422" t="s">
        <v>1484</v>
      </c>
      <c r="R422">
        <f t="shared" si="42"/>
        <v>74146251</v>
      </c>
      <c r="S422" t="str" cm="1">
        <f t="array" ref="S422">IF(C422="",IFERROR(INDEX($C$2:$C$1166,MATCH(MAX(COUNTIF($C$2:$C$1166,$C$2:$C$1166)),COUNTIF($C$2:$C$1166,$C$2:$C$1166),0)),"Unknown"),C422)</f>
        <v>Marta Thomas</v>
      </c>
      <c r="T422" s="4" t="str" cm="1">
        <f t="array" ref="T422">IF(D422="",IFERROR(INDEX($D$2:$D$1000,MATCH(MAX(COUNTIF($D$2:$D$1166,$D$2:$D$1166)),COUNTIF($D$2:$D$1166,$D$2:$D$1166),0)),"Unknown"),D422)</f>
        <v>David Hernandez</v>
      </c>
      <c r="U422" t="str">
        <f t="shared" si="43"/>
        <v>SGD</v>
      </c>
      <c r="V422" s="7" t="str">
        <f t="shared" si="43"/>
        <v>INR</v>
      </c>
      <c r="W422" s="7" t="str">
        <f t="shared" si="44"/>
        <v>UAE</v>
      </c>
      <c r="X422" s="7" t="str">
        <f t="shared" si="44"/>
        <v>South Africa</v>
      </c>
      <c r="Y422" s="7" t="str" cm="1">
        <f t="array" ref="Y422">IF(H422="",IFERROR(INDEX($H$2:$H$1166,MATCH(MAX(COUNTIF($H$2:$H$1166,$H$2:$H$1166)),COUNTIF($H$2:$H$1166,$H$2:$H$1166),0)),"Unknown"),H422)</f>
        <v>Non-KYC</v>
      </c>
      <c r="Z422" s="7" t="str">
        <f t="shared" si="45"/>
        <v>External</v>
      </c>
      <c r="AA422" s="7">
        <f>IF(J422="",AVERAGE($J:$J),J422)</f>
        <v>9710.5400000000009</v>
      </c>
      <c r="AB422" s="7">
        <f>IF(N422="",AVERAGE($N:$N),N422)</f>
        <v>72</v>
      </c>
      <c r="AC422" s="7">
        <f t="shared" si="46"/>
        <v>2024</v>
      </c>
      <c r="AD422" s="7">
        <f t="shared" si="47"/>
        <v>9</v>
      </c>
      <c r="AE422" s="7">
        <f>COUNTIF(A:A,A422)</f>
        <v>1</v>
      </c>
      <c r="AF422" s="7" t="str">
        <f t="shared" si="48"/>
        <v>No</v>
      </c>
    </row>
    <row r="423" spans="1:32">
      <c r="A423" t="s">
        <v>1485</v>
      </c>
      <c r="B423">
        <v>89258668</v>
      </c>
      <c r="C423" t="s">
        <v>174</v>
      </c>
      <c r="D423" t="s">
        <v>843</v>
      </c>
      <c r="E423" t="b">
        <v>1</v>
      </c>
      <c r="F423" t="s">
        <v>53</v>
      </c>
      <c r="G423" t="s">
        <v>22</v>
      </c>
      <c r="H423" t="s">
        <v>103</v>
      </c>
      <c r="I423" t="s">
        <v>3372</v>
      </c>
      <c r="J423">
        <v>14626.22</v>
      </c>
      <c r="K423" t="s">
        <v>27</v>
      </c>
      <c r="L423" t="s">
        <v>48</v>
      </c>
      <c r="M423" s="1">
        <v>45835.640972222223</v>
      </c>
      <c r="N423">
        <v>30</v>
      </c>
      <c r="O423" t="s">
        <v>55</v>
      </c>
      <c r="P423" t="s">
        <v>24</v>
      </c>
      <c r="Q423" t="s">
        <v>1486</v>
      </c>
      <c r="R423">
        <f t="shared" si="42"/>
        <v>89258668</v>
      </c>
      <c r="S423" t="str" cm="1">
        <f t="array" ref="S423">IF(C423="",IFERROR(INDEX($C$2:$C$1166,MATCH(MAX(COUNTIF($C$2:$C$1166,$C$2:$C$1166)),COUNTIF($C$2:$C$1166,$C$2:$C$1166),0)),"Unknown"),C423)</f>
        <v>Jean-Pierre Taylor</v>
      </c>
      <c r="T423" s="4" t="str" cm="1">
        <f t="array" ref="T423">IF(D423="",IFERROR(INDEX($D$2:$D$1000,MATCH(MAX(COUNTIF($D$2:$D$1166,$D$2:$D$1166)),COUNTIF($D$2:$D$1166,$D$2:$D$1166),0)),"Unknown"),D423)</f>
        <v>Charles Malik</v>
      </c>
      <c r="U423" t="str">
        <f t="shared" si="43"/>
        <v>AED</v>
      </c>
      <c r="V423" s="7" t="str">
        <f t="shared" si="43"/>
        <v>BRL</v>
      </c>
      <c r="W423" s="7" t="str">
        <f t="shared" si="44"/>
        <v>UK</v>
      </c>
      <c r="X423" s="7" t="str">
        <f t="shared" si="44"/>
        <v>Brazil</v>
      </c>
      <c r="Y423" s="7" t="str" cm="1">
        <f t="array" ref="Y423">IF(H423="",IFERROR(INDEX($H$2:$H$1166,MATCH(MAX(COUNTIF($H$2:$H$1166,$H$2:$H$1166)),COUNTIF($H$2:$H$1166,$H$2:$H$1166),0)),"Unknown"),H423)</f>
        <v>Verified</v>
      </c>
      <c r="Z423" s="7" t="str">
        <f t="shared" si="45"/>
        <v>Outer-Transaction</v>
      </c>
      <c r="AA423" s="7">
        <f>IF(J423="",AVERAGE($J:$J),J423)</f>
        <v>14626.22</v>
      </c>
      <c r="AB423" s="7">
        <f>IF(N423="",AVERAGE($N:$N),N423)</f>
        <v>30</v>
      </c>
      <c r="AC423" s="7">
        <f t="shared" si="46"/>
        <v>2025</v>
      </c>
      <c r="AD423" s="7">
        <f t="shared" si="47"/>
        <v>6</v>
      </c>
      <c r="AE423" s="7">
        <f>COUNTIF(A:A,A423)</f>
        <v>1</v>
      </c>
      <c r="AF423" s="7" t="str">
        <f t="shared" si="48"/>
        <v>No</v>
      </c>
    </row>
    <row r="424" spans="1:32">
      <c r="A424" t="s">
        <v>1487</v>
      </c>
      <c r="B424">
        <v>24384568</v>
      </c>
      <c r="C424" t="s">
        <v>146</v>
      </c>
      <c r="D424" t="s">
        <v>79</v>
      </c>
      <c r="E424" t="s">
        <v>33</v>
      </c>
      <c r="F424" t="s">
        <v>91</v>
      </c>
      <c r="G424" t="s">
        <v>53</v>
      </c>
      <c r="H424" t="s">
        <v>25</v>
      </c>
      <c r="I424" t="s">
        <v>3378</v>
      </c>
      <c r="J424">
        <v>6477.79</v>
      </c>
      <c r="K424" t="s">
        <v>47</v>
      </c>
      <c r="L424" t="s">
        <v>81</v>
      </c>
      <c r="M424" s="1">
        <v>46133.515972222223</v>
      </c>
      <c r="N424">
        <v>40</v>
      </c>
      <c r="O424" t="s">
        <v>68</v>
      </c>
      <c r="P424" t="s">
        <v>93</v>
      </c>
      <c r="Q424" t="s">
        <v>1488</v>
      </c>
      <c r="R424">
        <f t="shared" si="42"/>
        <v>24384568</v>
      </c>
      <c r="S424" t="str" cm="1">
        <f t="array" ref="S424">IF(C424="",IFERROR(INDEX($C$2:$C$1166,MATCH(MAX(COUNTIF($C$2:$C$1166,$C$2:$C$1166)),COUNTIF($C$2:$C$1166,$C$2:$C$1166),0)),"Unknown"),C424)</f>
        <v>Fatima Brown</v>
      </c>
      <c r="T424" s="4" t="str" cm="1">
        <f t="array" ref="T424">IF(D424="",IFERROR(INDEX($D$2:$D$1000,MATCH(MAX(COUNTIF($D$2:$D$1166,$D$2:$D$1166)),COUNTIF($D$2:$D$1166,$D$2:$D$1166),0)),"Unknown"),D424)</f>
        <v>Elizabeth Smith</v>
      </c>
      <c r="U424" t="str">
        <f t="shared" si="43"/>
        <v>gbp</v>
      </c>
      <c r="V424" s="7" t="str">
        <f t="shared" si="43"/>
        <v>AED</v>
      </c>
      <c r="W424" s="7" t="str">
        <f t="shared" si="44"/>
        <v>UAE</v>
      </c>
      <c r="X424" s="7" t="str">
        <f t="shared" si="44"/>
        <v>USA</v>
      </c>
      <c r="Y424" s="7" t="str" cm="1">
        <f t="array" ref="Y424">IF(H424="",IFERROR(INDEX($H$2:$H$1166,MATCH(MAX(COUNTIF($H$2:$H$1166,$H$2:$H$1166)),COUNTIF($H$2:$H$1166,$H$2:$H$1166),0)),"Unknown"),H424)</f>
        <v>KYC</v>
      </c>
      <c r="Z424" s="7" t="str">
        <f t="shared" si="45"/>
        <v>Inter-Transaction</v>
      </c>
      <c r="AA424" s="7">
        <f>IF(J424="",AVERAGE($J:$J),J424)</f>
        <v>6477.79</v>
      </c>
      <c r="AB424" s="7">
        <f>IF(N424="",AVERAGE($N:$N),N424)</f>
        <v>40</v>
      </c>
      <c r="AC424" s="7">
        <f t="shared" si="46"/>
        <v>2026</v>
      </c>
      <c r="AD424" s="7">
        <f t="shared" si="47"/>
        <v>4</v>
      </c>
      <c r="AE424" s="7">
        <f>COUNTIF(A:A,A424)</f>
        <v>2</v>
      </c>
      <c r="AF424" s="7" t="str">
        <f t="shared" si="48"/>
        <v>Yes</v>
      </c>
    </row>
    <row r="425" spans="1:32">
      <c r="A425" t="s">
        <v>1489</v>
      </c>
      <c r="B425">
        <v>36029062</v>
      </c>
      <c r="C425" t="s">
        <v>1490</v>
      </c>
      <c r="D425" t="s">
        <v>1409</v>
      </c>
      <c r="E425" t="s">
        <v>20</v>
      </c>
      <c r="F425" t="s">
        <v>98</v>
      </c>
      <c r="G425" t="s">
        <v>116</v>
      </c>
      <c r="H425" t="s">
        <v>74</v>
      </c>
      <c r="I425" t="s">
        <v>3377</v>
      </c>
      <c r="J425">
        <v>806.54</v>
      </c>
      <c r="K425" t="s">
        <v>86</v>
      </c>
      <c r="L425" t="s">
        <v>75</v>
      </c>
      <c r="M425" s="1">
        <v>46114.892361111109</v>
      </c>
      <c r="N425">
        <v>47</v>
      </c>
      <c r="O425" t="s">
        <v>62</v>
      </c>
      <c r="P425" t="s">
        <v>93</v>
      </c>
      <c r="Q425" t="s">
        <v>1491</v>
      </c>
      <c r="R425">
        <f t="shared" si="42"/>
        <v>36029062</v>
      </c>
      <c r="S425" t="str" cm="1">
        <f t="array" ref="S425">IF(C425="",IFERROR(INDEX($C$2:$C$1166,MATCH(MAX(COUNTIF($C$2:$C$1166,$C$2:$C$1166)),COUNTIF($C$2:$C$1166,$C$2:$C$1166),0)),"Unknown"),C425)</f>
        <v>Barbara Miller</v>
      </c>
      <c r="T425" s="4" t="str" cm="1">
        <f t="array" ref="T425">IF(D425="",IFERROR(INDEX($D$2:$D$1000,MATCH(MAX(COUNTIF($D$2:$D$1166,$D$2:$D$1166)),COUNTIF($D$2:$D$1166,$D$2:$D$1166),0)),"Unknown"),D425)</f>
        <v>Joseph Garcia</v>
      </c>
      <c r="U425" t="str">
        <f t="shared" si="43"/>
        <v>JPY</v>
      </c>
      <c r="V425" s="7" t="str">
        <f t="shared" si="43"/>
        <v>CHF</v>
      </c>
      <c r="W425" s="7" t="str">
        <f t="shared" si="44"/>
        <v>Australia</v>
      </c>
      <c r="X425" s="7" t="str">
        <f t="shared" si="44"/>
        <v>USA</v>
      </c>
      <c r="Y425" s="7" t="str" cm="1">
        <f t="array" ref="Y425">IF(H425="",IFERROR(INDEX($H$2:$H$1166,MATCH(MAX(COUNTIF($H$2:$H$1166,$H$2:$H$1166)),COUNTIF($H$2:$H$1166,$H$2:$H$1166),0)),"Unknown"),H425)</f>
        <v>Non-KYC</v>
      </c>
      <c r="Z425" s="7" t="str">
        <f t="shared" si="45"/>
        <v>Inter-Transaction</v>
      </c>
      <c r="AA425" s="7">
        <f>IF(J425="",AVERAGE($J:$J),J425)</f>
        <v>806.54</v>
      </c>
      <c r="AB425" s="7">
        <f>IF(N425="",AVERAGE($N:$N),N425)</f>
        <v>47</v>
      </c>
      <c r="AC425" s="7">
        <f t="shared" si="46"/>
        <v>2026</v>
      </c>
      <c r="AD425" s="7">
        <f t="shared" si="47"/>
        <v>4</v>
      </c>
      <c r="AE425" s="7">
        <f>COUNTIF(A:A,A425)</f>
        <v>1</v>
      </c>
      <c r="AF425" s="7" t="str">
        <f t="shared" si="48"/>
        <v>No</v>
      </c>
    </row>
    <row r="426" spans="1:32">
      <c r="A426" t="s">
        <v>1492</v>
      </c>
      <c r="B426">
        <v>46006180</v>
      </c>
      <c r="C426" t="s">
        <v>89</v>
      </c>
      <c r="D426" t="s">
        <v>536</v>
      </c>
      <c r="E426" t="s">
        <v>3373</v>
      </c>
      <c r="F426" t="s">
        <v>45</v>
      </c>
      <c r="G426" t="s">
        <v>176</v>
      </c>
      <c r="H426" t="s">
        <v>38</v>
      </c>
      <c r="I426" t="s">
        <v>3372</v>
      </c>
      <c r="J426">
        <v>11088.97</v>
      </c>
      <c r="K426" t="s">
        <v>47</v>
      </c>
      <c r="L426" t="s">
        <v>48</v>
      </c>
      <c r="M426" s="1">
        <v>45438.052083333336</v>
      </c>
      <c r="N426">
        <v>34</v>
      </c>
      <c r="O426" t="s">
        <v>37</v>
      </c>
      <c r="P426" t="s">
        <v>23</v>
      </c>
      <c r="Q426" t="s">
        <v>1493</v>
      </c>
      <c r="R426">
        <f t="shared" si="42"/>
        <v>46006180</v>
      </c>
      <c r="S426" t="str" cm="1">
        <f t="array" ref="S426">IF(C426="",IFERROR(INDEX($C$2:$C$1166,MATCH(MAX(COUNTIF($C$2:$C$1166,$C$2:$C$1166)),COUNTIF($C$2:$C$1166,$C$2:$C$1166),0)),"Unknown"),C426)</f>
        <v>Sarah Miller</v>
      </c>
      <c r="T426" s="4" t="str" cm="1">
        <f t="array" ref="T426">IF(D426="",IFERROR(INDEX($D$2:$D$1000,MATCH(MAX(COUNTIF($D$2:$D$1166,$D$2:$D$1166)),COUNTIF($D$2:$D$1166,$D$2:$D$1166),0)),"Unknown"),D426)</f>
        <v>Linda Silva</v>
      </c>
      <c r="U426" t="str">
        <f t="shared" si="43"/>
        <v>ZAR</v>
      </c>
      <c r="V426" s="7" t="str">
        <f t="shared" si="43"/>
        <v>aed</v>
      </c>
      <c r="W426" s="7" t="str">
        <f t="shared" si="44"/>
        <v>South Africa</v>
      </c>
      <c r="X426" s="7" t="str">
        <f t="shared" si="44"/>
        <v>France</v>
      </c>
      <c r="Y426" s="7" t="str" cm="1">
        <f t="array" ref="Y426">IF(H426="",IFERROR(INDEX($H$2:$H$1166,MATCH(MAX(COUNTIF($H$2:$H$1166,$H$2:$H$1166)),COUNTIF($H$2:$H$1166,$H$2:$H$1166),0)),"Unknown"),H426)</f>
        <v>Pending</v>
      </c>
      <c r="Z426" s="7" t="str">
        <f t="shared" si="45"/>
        <v>Outer-Transaction</v>
      </c>
      <c r="AA426" s="7">
        <f>IF(J426="",AVERAGE($J:$J),J426)</f>
        <v>11088.97</v>
      </c>
      <c r="AB426" s="7">
        <f>IF(N426="",AVERAGE($N:$N),N426)</f>
        <v>34</v>
      </c>
      <c r="AC426" s="7">
        <f t="shared" si="46"/>
        <v>2024</v>
      </c>
      <c r="AD426" s="7">
        <f t="shared" si="47"/>
        <v>5</v>
      </c>
      <c r="AE426" s="7">
        <f>COUNTIF(A:A,A426)</f>
        <v>1</v>
      </c>
      <c r="AF426" s="7" t="str">
        <f t="shared" si="48"/>
        <v>Yes</v>
      </c>
    </row>
    <row r="427" spans="1:32">
      <c r="A427" t="s">
        <v>1494</v>
      </c>
      <c r="B427">
        <v>12795332</v>
      </c>
      <c r="C427" t="s">
        <v>300</v>
      </c>
      <c r="D427" t="s">
        <v>1066</v>
      </c>
      <c r="E427" t="s">
        <v>20</v>
      </c>
      <c r="F427" t="s">
        <v>80</v>
      </c>
      <c r="G427" t="s">
        <v>1084</v>
      </c>
      <c r="H427" t="s">
        <v>25</v>
      </c>
      <c r="I427" t="s">
        <v>3377</v>
      </c>
      <c r="J427">
        <v>8513.33</v>
      </c>
      <c r="K427" t="s">
        <v>57</v>
      </c>
      <c r="L427" t="s">
        <v>48</v>
      </c>
      <c r="M427" s="1">
        <v>45620.239583333336</v>
      </c>
      <c r="N427">
        <v>79</v>
      </c>
      <c r="O427" t="s">
        <v>55</v>
      </c>
      <c r="P427" t="s">
        <v>127</v>
      </c>
      <c r="Q427" t="s">
        <v>1495</v>
      </c>
      <c r="R427">
        <f t="shared" si="42"/>
        <v>12795332</v>
      </c>
      <c r="S427" t="str" cm="1">
        <f t="array" ref="S427">IF(C427="",IFERROR(INDEX($C$2:$C$1166,MATCH(MAX(COUNTIF($C$2:$C$1166,$C$2:$C$1166)),COUNTIF($C$2:$C$1166,$C$2:$C$1166),0)),"Unknown"),C427)</f>
        <v>Linda Rodriguez</v>
      </c>
      <c r="T427" s="4" t="str" cm="1">
        <f t="array" ref="T427">IF(D427="",IFERROR(INDEX($D$2:$D$1000,MATCH(MAX(COUNTIF($D$2:$D$1166,$D$2:$D$1166)),COUNTIF($D$2:$D$1166,$D$2:$D$1166),0)),"Unknown"),D427)</f>
        <v>Carlos Williams</v>
      </c>
      <c r="U427" t="str">
        <f t="shared" si="43"/>
        <v>USD</v>
      </c>
      <c r="V427" s="7" t="str">
        <f t="shared" si="43"/>
        <v>chf</v>
      </c>
      <c r="W427" s="7" t="str">
        <f t="shared" si="44"/>
        <v>UK</v>
      </c>
      <c r="X427" s="7" t="str">
        <f t="shared" si="44"/>
        <v>Canada</v>
      </c>
      <c r="Y427" s="7" t="str" cm="1">
        <f t="array" ref="Y427">IF(H427="",IFERROR(INDEX($H$2:$H$1166,MATCH(MAX(COUNTIF($H$2:$H$1166,$H$2:$H$1166)),COUNTIF($H$2:$H$1166,$H$2:$H$1166),0)),"Unknown"),H427)</f>
        <v>KYC</v>
      </c>
      <c r="Z427" s="7" t="str">
        <f t="shared" si="45"/>
        <v>Inter-Transaction</v>
      </c>
      <c r="AA427" s="7">
        <f>IF(J427="",AVERAGE($J:$J),J427)</f>
        <v>8513.33</v>
      </c>
      <c r="AB427" s="7">
        <f>IF(N427="",AVERAGE($N:$N),N427)</f>
        <v>79</v>
      </c>
      <c r="AC427" s="7">
        <f t="shared" si="46"/>
        <v>2024</v>
      </c>
      <c r="AD427" s="7">
        <f t="shared" si="47"/>
        <v>11</v>
      </c>
      <c r="AE427" s="7">
        <f>COUNTIF(A:A,A427)</f>
        <v>1</v>
      </c>
      <c r="AF427" s="7" t="str">
        <f t="shared" si="48"/>
        <v>No</v>
      </c>
    </row>
    <row r="428" spans="1:32">
      <c r="A428" t="s">
        <v>1496</v>
      </c>
      <c r="B428">
        <v>83244637</v>
      </c>
      <c r="C428" t="s">
        <v>219</v>
      </c>
      <c r="D428" t="s">
        <v>362</v>
      </c>
      <c r="E428" t="s">
        <v>20</v>
      </c>
      <c r="F428" t="s">
        <v>80</v>
      </c>
      <c r="G428" t="s">
        <v>34</v>
      </c>
      <c r="I428" t="s">
        <v>3372</v>
      </c>
      <c r="J428">
        <v>1700.29</v>
      </c>
      <c r="K428" t="s">
        <v>27</v>
      </c>
      <c r="L428" t="s">
        <v>28</v>
      </c>
      <c r="M428" s="1">
        <v>44101.033333333333</v>
      </c>
      <c r="N428">
        <v>30</v>
      </c>
      <c r="O428" t="s">
        <v>62</v>
      </c>
      <c r="P428" t="s">
        <v>68</v>
      </c>
      <c r="Q428" t="s">
        <v>1497</v>
      </c>
      <c r="R428">
        <f t="shared" si="42"/>
        <v>83244637</v>
      </c>
      <c r="S428" t="str" cm="1">
        <f t="array" ref="S428">IF(C428="",IFERROR(INDEX($C$2:$C$1166,MATCH(MAX(COUNTIF($C$2:$C$1166,$C$2:$C$1166)),COUNTIF($C$2:$C$1166,$C$2:$C$1166),0)),"Unknown"),C428)</f>
        <v>David Velez</v>
      </c>
      <c r="T428" s="4" t="str" cm="1">
        <f t="array" ref="T428">IF(D428="",IFERROR(INDEX($D$2:$D$1000,MATCH(MAX(COUNTIF($D$2:$D$1166,$D$2:$D$1166)),COUNTIF($D$2:$D$1166,$D$2:$D$1166),0)),"Unknown"),D428)</f>
        <v>Sarah Rodriguez</v>
      </c>
      <c r="U428" t="str">
        <f t="shared" si="43"/>
        <v>USD</v>
      </c>
      <c r="V428" s="7" t="str">
        <f t="shared" si="43"/>
        <v>CAD</v>
      </c>
      <c r="W428" s="7" t="str">
        <f t="shared" si="44"/>
        <v>Australia</v>
      </c>
      <c r="X428" s="7" t="str">
        <f t="shared" si="44"/>
        <v>UAE</v>
      </c>
      <c r="Y428" s="7" t="str" cm="1">
        <f t="array" ref="Y428">IF(H428="",IFERROR(INDEX($H$2:$H$1166,MATCH(MAX(COUNTIF($H$2:$H$1166,$H$2:$H$1166)),COUNTIF($H$2:$H$1166,$H$2:$H$1166),0)),"Unknown"),H428)</f>
        <v>Pending</v>
      </c>
      <c r="Z428" s="7" t="str">
        <f t="shared" si="45"/>
        <v>Outer-Transaction</v>
      </c>
      <c r="AA428" s="7">
        <f>IF(J428="",AVERAGE($J:$J),J428)</f>
        <v>1700.29</v>
      </c>
      <c r="AB428" s="7">
        <f>IF(N428="",AVERAGE($N:$N),N428)</f>
        <v>30</v>
      </c>
      <c r="AC428" s="7">
        <f t="shared" si="46"/>
        <v>2020</v>
      </c>
      <c r="AD428" s="7">
        <f t="shared" si="47"/>
        <v>9</v>
      </c>
      <c r="AE428" s="7">
        <f>COUNTIF(A:A,A428)</f>
        <v>1</v>
      </c>
      <c r="AF428" s="7" t="str">
        <f t="shared" si="48"/>
        <v>No</v>
      </c>
    </row>
    <row r="429" spans="1:32">
      <c r="A429" t="s">
        <v>1498</v>
      </c>
      <c r="B429">
        <v>67810328</v>
      </c>
      <c r="C429" t="s">
        <v>1499</v>
      </c>
      <c r="D429" t="s">
        <v>442</v>
      </c>
      <c r="E429" t="s">
        <v>20</v>
      </c>
      <c r="F429" t="s">
        <v>92</v>
      </c>
      <c r="G429" t="s">
        <v>45</v>
      </c>
      <c r="H429" t="s">
        <v>38</v>
      </c>
      <c r="I429" t="s">
        <v>3371</v>
      </c>
      <c r="J429">
        <v>3986.99</v>
      </c>
      <c r="K429" t="s">
        <v>57</v>
      </c>
      <c r="L429" t="s">
        <v>75</v>
      </c>
      <c r="M429" s="1">
        <v>43953.451388888891</v>
      </c>
      <c r="N429">
        <v>76</v>
      </c>
      <c r="O429" t="s">
        <v>54</v>
      </c>
      <c r="P429" t="s">
        <v>62</v>
      </c>
      <c r="Q429" t="s">
        <v>1500</v>
      </c>
      <c r="R429">
        <f t="shared" si="42"/>
        <v>67810328</v>
      </c>
      <c r="S429" t="str" cm="1">
        <f t="array" ref="S429">IF(C429="",IFERROR(INDEX($C$2:$C$1166,MATCH(MAX(COUNTIF($C$2:$C$1166,$C$2:$C$1166)),COUNTIF($C$2:$C$1166,$C$2:$C$1166),0)),"Unknown"),C429)</f>
        <v>Susan Miller</v>
      </c>
      <c r="T429" s="4" t="str" cm="1">
        <f t="array" ref="T429">IF(D429="",IFERROR(INDEX($D$2:$D$1000,MATCH(MAX(COUNTIF($D$2:$D$1166,$D$2:$D$1166)),COUNTIF($D$2:$D$1166,$D$2:$D$1166),0)),"Unknown"),D429)</f>
        <v>Fatima Williams</v>
      </c>
      <c r="U429" t="str">
        <f t="shared" si="43"/>
        <v>AUD</v>
      </c>
      <c r="V429" s="7" t="str">
        <f t="shared" si="43"/>
        <v>ZAR</v>
      </c>
      <c r="W429" s="7" t="str">
        <f t="shared" si="44"/>
        <v>India</v>
      </c>
      <c r="X429" s="7" t="str">
        <f t="shared" si="44"/>
        <v>Australia</v>
      </c>
      <c r="Y429" s="7" t="str" cm="1">
        <f t="array" ref="Y429">IF(H429="",IFERROR(INDEX($H$2:$H$1166,MATCH(MAX(COUNTIF($H$2:$H$1166,$H$2:$H$1166)),COUNTIF($H$2:$H$1166,$H$2:$H$1166),0)),"Unknown"),H429)</f>
        <v>Pending</v>
      </c>
      <c r="Z429" s="7" t="str">
        <f t="shared" si="45"/>
        <v>Outer-Transaction</v>
      </c>
      <c r="AA429" s="7">
        <f>IF(J429="",AVERAGE($J:$J),J429)</f>
        <v>3986.99</v>
      </c>
      <c r="AB429" s="7">
        <f>IF(N429="",AVERAGE($N:$N),N429)</f>
        <v>76</v>
      </c>
      <c r="AC429" s="7">
        <f t="shared" si="46"/>
        <v>2020</v>
      </c>
      <c r="AD429" s="7">
        <f t="shared" si="47"/>
        <v>5</v>
      </c>
      <c r="AE429" s="7">
        <f>COUNTIF(A:A,A429)</f>
        <v>1</v>
      </c>
      <c r="AF429" s="7" t="str">
        <f t="shared" si="48"/>
        <v>No</v>
      </c>
    </row>
    <row r="430" spans="1:32">
      <c r="A430" t="s">
        <v>1501</v>
      </c>
      <c r="B430">
        <v>26503581</v>
      </c>
      <c r="D430" t="s">
        <v>396</v>
      </c>
      <c r="E430" t="s">
        <v>20</v>
      </c>
      <c r="F430" t="s">
        <v>34</v>
      </c>
      <c r="G430" t="s">
        <v>53</v>
      </c>
      <c r="H430" t="s">
        <v>38</v>
      </c>
      <c r="I430" t="s">
        <v>3378</v>
      </c>
      <c r="J430">
        <v>9360.69</v>
      </c>
      <c r="K430" t="s">
        <v>47</v>
      </c>
      <c r="L430" t="s">
        <v>75</v>
      </c>
      <c r="M430" s="1">
        <v>45111.112500000003</v>
      </c>
      <c r="N430">
        <v>36</v>
      </c>
      <c r="O430" t="s">
        <v>24</v>
      </c>
      <c r="P430" t="s">
        <v>55</v>
      </c>
      <c r="Q430" t="s">
        <v>1502</v>
      </c>
      <c r="R430">
        <f t="shared" si="42"/>
        <v>26503581</v>
      </c>
      <c r="S430" t="str" cm="1">
        <f t="array" ref="S430">IF(C430="",IFERROR(INDEX($C$2:$C$1166,MATCH(MAX(COUNTIF($C$2:$C$1166,$C$2:$C$1166)),COUNTIF($C$2:$C$1166,$C$2:$C$1166),0)),"Unknown"),C430)</f>
        <v>Fatima Brown</v>
      </c>
      <c r="T430" s="4" t="str" cm="1">
        <f t="array" ref="T430">IF(D430="",IFERROR(INDEX($D$2:$D$1000,MATCH(MAX(COUNTIF($D$2:$D$1166,$D$2:$D$1166)),COUNTIF($D$2:$D$1166,$D$2:$D$1166),0)),"Unknown"),D430)</f>
        <v>Thomas Jackson</v>
      </c>
      <c r="U430" t="str">
        <f t="shared" si="43"/>
        <v>CAD</v>
      </c>
      <c r="V430" s="7" t="str">
        <f t="shared" si="43"/>
        <v>AED</v>
      </c>
      <c r="W430" s="7" t="str">
        <f t="shared" si="44"/>
        <v>Brazil</v>
      </c>
      <c r="X430" s="7" t="str">
        <f t="shared" si="44"/>
        <v>UK</v>
      </c>
      <c r="Y430" s="7" t="str" cm="1">
        <f t="array" ref="Y430">IF(H430="",IFERROR(INDEX($H$2:$H$1166,MATCH(MAX(COUNTIF($H$2:$H$1166,$H$2:$H$1166)),COUNTIF($H$2:$H$1166,$H$2:$H$1166),0)),"Unknown"),H430)</f>
        <v>Pending</v>
      </c>
      <c r="Z430" s="7" t="str">
        <f t="shared" si="45"/>
        <v>Inter-Transaction</v>
      </c>
      <c r="AA430" s="7">
        <f>IF(J430="",AVERAGE($J:$J),J430)</f>
        <v>9360.69</v>
      </c>
      <c r="AB430" s="7">
        <f>IF(N430="",AVERAGE($N:$N),N430)</f>
        <v>36</v>
      </c>
      <c r="AC430" s="7">
        <f t="shared" si="46"/>
        <v>2023</v>
      </c>
      <c r="AD430" s="7">
        <f t="shared" si="47"/>
        <v>7</v>
      </c>
      <c r="AE430" s="7">
        <f>COUNTIF(A:A,A430)</f>
        <v>1</v>
      </c>
      <c r="AF430" s="7" t="str">
        <f t="shared" si="48"/>
        <v>No</v>
      </c>
    </row>
    <row r="431" spans="1:32">
      <c r="A431" t="s">
        <v>1503</v>
      </c>
      <c r="B431">
        <v>51046667</v>
      </c>
      <c r="C431" t="s">
        <v>1504</v>
      </c>
      <c r="D431" t="s">
        <v>1505</v>
      </c>
      <c r="E431" t="s">
        <v>3375</v>
      </c>
      <c r="F431" t="s">
        <v>80</v>
      </c>
      <c r="G431" t="s">
        <v>53</v>
      </c>
      <c r="H431" t="s">
        <v>38</v>
      </c>
      <c r="I431" t="s">
        <v>3371</v>
      </c>
      <c r="J431">
        <v>14305.74</v>
      </c>
      <c r="K431" t="s">
        <v>57</v>
      </c>
      <c r="L431" t="s">
        <v>48</v>
      </c>
      <c r="M431" s="1">
        <v>45275.177777777775</v>
      </c>
      <c r="N431">
        <v>66</v>
      </c>
      <c r="O431" t="s">
        <v>62</v>
      </c>
      <c r="P431" t="s">
        <v>68</v>
      </c>
      <c r="Q431" t="s">
        <v>1506</v>
      </c>
      <c r="R431">
        <f t="shared" si="42"/>
        <v>51046667</v>
      </c>
      <c r="S431" t="str" cm="1">
        <f t="array" ref="S431">IF(C431="",IFERROR(INDEX($C$2:$C$1166,MATCH(MAX(COUNTIF($C$2:$C$1166,$C$2:$C$1166)),COUNTIF($C$2:$C$1166,$C$2:$C$1166),0)),"Unknown"),C431)</f>
        <v>John Wilson</v>
      </c>
      <c r="T431" s="4" t="str" cm="1">
        <f t="array" ref="T431">IF(D431="",IFERROR(INDEX($D$2:$D$1000,MATCH(MAX(COUNTIF($D$2:$D$1166,$D$2:$D$1166)),COUNTIF($D$2:$D$1166,$D$2:$D$1166),0)),"Unknown"),D431)</f>
        <v>Susan Velez</v>
      </c>
      <c r="U431" t="str">
        <f t="shared" si="43"/>
        <v>USD</v>
      </c>
      <c r="V431" s="7" t="str">
        <f t="shared" si="43"/>
        <v>AED</v>
      </c>
      <c r="W431" s="7" t="str">
        <f t="shared" si="44"/>
        <v>Australia</v>
      </c>
      <c r="X431" s="7" t="str">
        <f t="shared" si="44"/>
        <v>UAE</v>
      </c>
      <c r="Y431" s="7" t="str" cm="1">
        <f t="array" ref="Y431">IF(H431="",IFERROR(INDEX($H$2:$H$1166,MATCH(MAX(COUNTIF($H$2:$H$1166,$H$2:$H$1166)),COUNTIF($H$2:$H$1166,$H$2:$H$1166),0)),"Unknown"),H431)</f>
        <v>Pending</v>
      </c>
      <c r="Z431" s="7" t="str">
        <f t="shared" si="45"/>
        <v>Outer-Transaction</v>
      </c>
      <c r="AA431" s="7">
        <f>IF(J431="",AVERAGE($J:$J),J431)</f>
        <v>14305.74</v>
      </c>
      <c r="AB431" s="7">
        <f>IF(N431="",AVERAGE($N:$N),N431)</f>
        <v>66</v>
      </c>
      <c r="AC431" s="7">
        <f t="shared" si="46"/>
        <v>2023</v>
      </c>
      <c r="AD431" s="7">
        <f t="shared" si="47"/>
        <v>12</v>
      </c>
      <c r="AE431" s="7">
        <f>COUNTIF(A:A,A431)</f>
        <v>1</v>
      </c>
      <c r="AF431" s="7" t="str">
        <f t="shared" si="48"/>
        <v>No</v>
      </c>
    </row>
    <row r="432" spans="1:32">
      <c r="A432" t="s">
        <v>1507</v>
      </c>
      <c r="B432">
        <v>61840367</v>
      </c>
      <c r="C432" t="s">
        <v>847</v>
      </c>
      <c r="D432" t="s">
        <v>1508</v>
      </c>
      <c r="E432" t="s">
        <v>20</v>
      </c>
      <c r="F432" t="s">
        <v>53</v>
      </c>
      <c r="G432" t="s">
        <v>116</v>
      </c>
      <c r="I432" t="s">
        <v>3371</v>
      </c>
      <c r="J432">
        <v>3757.81</v>
      </c>
      <c r="K432" t="s">
        <v>39</v>
      </c>
      <c r="L432" t="s">
        <v>48</v>
      </c>
      <c r="M432" s="1">
        <v>44089.901388888888</v>
      </c>
      <c r="N432">
        <v>29</v>
      </c>
      <c r="O432" t="s">
        <v>24</v>
      </c>
      <c r="P432" t="s">
        <v>23</v>
      </c>
      <c r="Q432" t="s">
        <v>1509</v>
      </c>
      <c r="R432">
        <f t="shared" si="42"/>
        <v>61840367</v>
      </c>
      <c r="S432" t="str" cm="1">
        <f t="array" ref="S432">IF(C432="",IFERROR(INDEX($C$2:$C$1166,MATCH(MAX(COUNTIF($C$2:$C$1166,$C$2:$C$1166)),COUNTIF($C$2:$C$1166,$C$2:$C$1166),0)),"Unknown"),C432)</f>
        <v>Jessica Gonzalez</v>
      </c>
      <c r="T432" s="4" t="str" cm="1">
        <f t="array" ref="T432">IF(D432="",IFERROR(INDEX($D$2:$D$1000,MATCH(MAX(COUNTIF($D$2:$D$1166,$D$2:$D$1166)),COUNTIF($D$2:$D$1166,$D$2:$D$1166),0)),"Unknown"),D432)</f>
        <v>Carlos Brown</v>
      </c>
      <c r="U432" t="str">
        <f t="shared" si="43"/>
        <v>AED</v>
      </c>
      <c r="V432" s="7" t="str">
        <f t="shared" si="43"/>
        <v>CHF</v>
      </c>
      <c r="W432" s="7" t="str">
        <f t="shared" si="44"/>
        <v>Brazil</v>
      </c>
      <c r="X432" s="7" t="str">
        <f t="shared" si="44"/>
        <v>France</v>
      </c>
      <c r="Y432" s="7" t="str" cm="1">
        <f t="array" ref="Y432">IF(H432="",IFERROR(INDEX($H$2:$H$1166,MATCH(MAX(COUNTIF($H$2:$H$1166,$H$2:$H$1166)),COUNTIF($H$2:$H$1166,$H$2:$H$1166),0)),"Unknown"),H432)</f>
        <v>Pending</v>
      </c>
      <c r="Z432" s="7" t="str">
        <f t="shared" si="45"/>
        <v>Outer-Transaction</v>
      </c>
      <c r="AA432" s="7">
        <f>IF(J432="",AVERAGE($J:$J),J432)</f>
        <v>3757.81</v>
      </c>
      <c r="AB432" s="7">
        <f>IF(N432="",AVERAGE($N:$N),N432)</f>
        <v>29</v>
      </c>
      <c r="AC432" s="7">
        <f t="shared" si="46"/>
        <v>2020</v>
      </c>
      <c r="AD432" s="7">
        <f t="shared" si="47"/>
        <v>9</v>
      </c>
      <c r="AE432" s="7">
        <f>COUNTIF(A:A,A432)</f>
        <v>1</v>
      </c>
      <c r="AF432" s="7" t="str">
        <f t="shared" si="48"/>
        <v>No</v>
      </c>
    </row>
    <row r="433" spans="1:32">
      <c r="A433" t="s">
        <v>1510</v>
      </c>
      <c r="B433">
        <v>22890579</v>
      </c>
      <c r="C433" t="s">
        <v>408</v>
      </c>
      <c r="D433" t="s">
        <v>1511</v>
      </c>
      <c r="E433" t="s">
        <v>20</v>
      </c>
      <c r="F433" t="s">
        <v>45</v>
      </c>
      <c r="G433" t="s">
        <v>22</v>
      </c>
      <c r="H433" t="s">
        <v>38</v>
      </c>
      <c r="I433" t="s">
        <v>3377</v>
      </c>
      <c r="J433">
        <v>14362.8</v>
      </c>
      <c r="K433" t="s">
        <v>39</v>
      </c>
      <c r="L433" t="s">
        <v>28</v>
      </c>
      <c r="M433" s="1">
        <v>44778.393750000003</v>
      </c>
      <c r="N433">
        <v>78</v>
      </c>
      <c r="O433" t="s">
        <v>55</v>
      </c>
      <c r="P433" t="s">
        <v>55</v>
      </c>
      <c r="Q433" t="s">
        <v>1512</v>
      </c>
      <c r="R433">
        <f t="shared" si="42"/>
        <v>22890579</v>
      </c>
      <c r="S433" t="str" cm="1">
        <f t="array" ref="S433">IF(C433="",IFERROR(INDEX($C$2:$C$1166,MATCH(MAX(COUNTIF($C$2:$C$1166,$C$2:$C$1166)),COUNTIF($C$2:$C$1166,$C$2:$C$1166),0)),"Unknown"),C433)</f>
        <v>Michael Taylor</v>
      </c>
      <c r="T433" s="4" t="str" cm="1">
        <f t="array" ref="T433">IF(D433="",IFERROR(INDEX($D$2:$D$1000,MATCH(MAX(COUNTIF($D$2:$D$1166,$D$2:$D$1166)),COUNTIF($D$2:$D$1166,$D$2:$D$1166),0)),"Unknown"),D433)</f>
        <v>Thomas Rostova</v>
      </c>
      <c r="U433" t="str">
        <f t="shared" si="43"/>
        <v>ZAR</v>
      </c>
      <c r="V433" s="7" t="str">
        <f t="shared" si="43"/>
        <v>BRL</v>
      </c>
      <c r="W433" s="7" t="str">
        <f t="shared" si="44"/>
        <v>UK</v>
      </c>
      <c r="X433" s="7" t="str">
        <f t="shared" si="44"/>
        <v>UK</v>
      </c>
      <c r="Y433" s="7" t="str" cm="1">
        <f t="array" ref="Y433">IF(H433="",IFERROR(INDEX($H$2:$H$1166,MATCH(MAX(COUNTIF($H$2:$H$1166,$H$2:$H$1166)),COUNTIF($H$2:$H$1166,$H$2:$H$1166),0)),"Unknown"),H433)</f>
        <v>Pending</v>
      </c>
      <c r="Z433" s="7" t="str">
        <f t="shared" si="45"/>
        <v>Inter-Transaction</v>
      </c>
      <c r="AA433" s="7">
        <f>IF(J433="",AVERAGE($J:$J),J433)</f>
        <v>14362.8</v>
      </c>
      <c r="AB433" s="7">
        <f>IF(N433="",AVERAGE($N:$N),N433)</f>
        <v>78</v>
      </c>
      <c r="AC433" s="7">
        <f t="shared" si="46"/>
        <v>2022</v>
      </c>
      <c r="AD433" s="7">
        <f t="shared" si="47"/>
        <v>8</v>
      </c>
      <c r="AE433" s="7">
        <f>COUNTIF(A:A,A433)</f>
        <v>1</v>
      </c>
      <c r="AF433" s="7" t="str">
        <f t="shared" si="48"/>
        <v>No</v>
      </c>
    </row>
    <row r="434" spans="1:32">
      <c r="A434" t="s">
        <v>1513</v>
      </c>
      <c r="B434">
        <v>49371856</v>
      </c>
      <c r="C434" t="s">
        <v>1514</v>
      </c>
      <c r="D434" t="s">
        <v>90</v>
      </c>
      <c r="E434" t="s">
        <v>20</v>
      </c>
      <c r="F434" t="s">
        <v>45</v>
      </c>
      <c r="G434" t="s">
        <v>80</v>
      </c>
      <c r="H434" t="s">
        <v>103</v>
      </c>
      <c r="I434" t="s">
        <v>3374</v>
      </c>
      <c r="J434">
        <v>1614.66</v>
      </c>
      <c r="K434" t="s">
        <v>27</v>
      </c>
      <c r="L434" t="s">
        <v>28</v>
      </c>
      <c r="M434" s="1">
        <v>45925.418055555558</v>
      </c>
      <c r="N434">
        <v>36</v>
      </c>
      <c r="O434" t="s">
        <v>23</v>
      </c>
      <c r="P434" t="s">
        <v>127</v>
      </c>
      <c r="Q434" t="s">
        <v>1515</v>
      </c>
      <c r="R434">
        <f t="shared" si="42"/>
        <v>49371856</v>
      </c>
      <c r="S434" t="str" cm="1">
        <f t="array" ref="S434">IF(C434="",IFERROR(INDEX($C$2:$C$1166,MATCH(MAX(COUNTIF($C$2:$C$1166,$C$2:$C$1166)),COUNTIF($C$2:$C$1166,$C$2:$C$1166),0)),"Unknown"),C434)</f>
        <v>Mary Dubois</v>
      </c>
      <c r="T434" s="4" t="str" cm="1">
        <f t="array" ref="T434">IF(D434="",IFERROR(INDEX($D$2:$D$1000,MATCH(MAX(COUNTIF($D$2:$D$1166,$D$2:$D$1166)),COUNTIF($D$2:$D$1166,$D$2:$D$1166),0)),"Unknown"),D434)</f>
        <v>Zayn Gonzalez</v>
      </c>
      <c r="U434" t="str">
        <f t="shared" si="43"/>
        <v>ZAR</v>
      </c>
      <c r="V434" s="7" t="str">
        <f t="shared" si="43"/>
        <v>USD</v>
      </c>
      <c r="W434" s="7" t="str">
        <f t="shared" si="44"/>
        <v>France</v>
      </c>
      <c r="X434" s="7" t="str">
        <f t="shared" si="44"/>
        <v>Canada</v>
      </c>
      <c r="Y434" s="7" t="str" cm="1">
        <f t="array" ref="Y434">IF(H434="",IFERROR(INDEX($H$2:$H$1166,MATCH(MAX(COUNTIF($H$2:$H$1166,$H$2:$H$1166)),COUNTIF($H$2:$H$1166,$H$2:$H$1166),0)),"Unknown"),H434)</f>
        <v>Verified</v>
      </c>
      <c r="Z434" s="7" t="str">
        <f t="shared" si="45"/>
        <v>External</v>
      </c>
      <c r="AA434" s="7">
        <f>IF(J434="",AVERAGE($J:$J),J434)</f>
        <v>1614.66</v>
      </c>
      <c r="AB434" s="7">
        <f>IF(N434="",AVERAGE($N:$N),N434)</f>
        <v>36</v>
      </c>
      <c r="AC434" s="7">
        <f t="shared" si="46"/>
        <v>2025</v>
      </c>
      <c r="AD434" s="7">
        <f t="shared" si="47"/>
        <v>9</v>
      </c>
      <c r="AE434" s="7">
        <f>COUNTIF(A:A,A434)</f>
        <v>1</v>
      </c>
      <c r="AF434" s="7" t="str">
        <f t="shared" si="48"/>
        <v>No</v>
      </c>
    </row>
    <row r="435" spans="1:32">
      <c r="A435" t="s">
        <v>1516</v>
      </c>
      <c r="B435">
        <v>37523284</v>
      </c>
      <c r="C435" t="s">
        <v>1033</v>
      </c>
      <c r="D435" t="s">
        <v>682</v>
      </c>
      <c r="E435" t="s">
        <v>20</v>
      </c>
      <c r="F435" t="s">
        <v>21</v>
      </c>
      <c r="G435" t="s">
        <v>121</v>
      </c>
      <c r="H435" t="s">
        <v>25</v>
      </c>
      <c r="I435" t="s">
        <v>3372</v>
      </c>
      <c r="J435">
        <v>9358.7199999999993</v>
      </c>
      <c r="K435" t="s">
        <v>47</v>
      </c>
      <c r="L435" t="s">
        <v>28</v>
      </c>
      <c r="M435" s="1">
        <v>44693.79791666667</v>
      </c>
      <c r="N435">
        <v>26</v>
      </c>
      <c r="O435" t="s">
        <v>62</v>
      </c>
      <c r="P435" t="s">
        <v>23</v>
      </c>
      <c r="Q435" t="s">
        <v>1517</v>
      </c>
      <c r="R435">
        <f t="shared" si="42"/>
        <v>37523284</v>
      </c>
      <c r="S435" t="str" cm="1">
        <f t="array" ref="S435">IF(C435="",IFERROR(INDEX($C$2:$C$1166,MATCH(MAX(COUNTIF($C$2:$C$1166,$C$2:$C$1166)),COUNTIF($C$2:$C$1166,$C$2:$C$1166),0)),"Unknown"),C435)</f>
        <v>Charles Jones</v>
      </c>
      <c r="T435" s="4" t="str" cm="1">
        <f t="array" ref="T435">IF(D435="",IFERROR(INDEX($D$2:$D$1000,MATCH(MAX(COUNTIF($D$2:$D$1166,$D$2:$D$1166)),COUNTIF($D$2:$D$1166,$D$2:$D$1166),0)),"Unknown"),D435)</f>
        <v>Karen Al-Sayed</v>
      </c>
      <c r="U435" t="str">
        <f t="shared" si="43"/>
        <v>GBP</v>
      </c>
      <c r="V435" s="7" t="str">
        <f t="shared" si="43"/>
        <v>INR</v>
      </c>
      <c r="W435" s="7" t="str">
        <f t="shared" si="44"/>
        <v>Australia</v>
      </c>
      <c r="X435" s="7" t="str">
        <f t="shared" si="44"/>
        <v>France</v>
      </c>
      <c r="Y435" s="7" t="str" cm="1">
        <f t="array" ref="Y435">IF(H435="",IFERROR(INDEX($H$2:$H$1166,MATCH(MAX(COUNTIF($H$2:$H$1166,$H$2:$H$1166)),COUNTIF($H$2:$H$1166,$H$2:$H$1166),0)),"Unknown"),H435)</f>
        <v>KYC</v>
      </c>
      <c r="Z435" s="7" t="str">
        <f t="shared" si="45"/>
        <v>Outer-Transaction</v>
      </c>
      <c r="AA435" s="7">
        <f>IF(J435="",AVERAGE($J:$J),J435)</f>
        <v>9358.7199999999993</v>
      </c>
      <c r="AB435" s="7">
        <f>IF(N435="",AVERAGE($N:$N),N435)</f>
        <v>26</v>
      </c>
      <c r="AC435" s="7">
        <f t="shared" si="46"/>
        <v>2022</v>
      </c>
      <c r="AD435" s="7">
        <f t="shared" si="47"/>
        <v>5</v>
      </c>
      <c r="AE435" s="7">
        <f>COUNTIF(A:A,A435)</f>
        <v>1</v>
      </c>
      <c r="AF435" s="7" t="str">
        <f t="shared" si="48"/>
        <v>No</v>
      </c>
    </row>
    <row r="436" spans="1:32">
      <c r="A436" t="s">
        <v>1518</v>
      </c>
      <c r="B436">
        <v>69567958</v>
      </c>
      <c r="C436" t="s">
        <v>1519</v>
      </c>
      <c r="D436" t="s">
        <v>633</v>
      </c>
      <c r="E436" t="s">
        <v>20</v>
      </c>
      <c r="F436" t="s">
        <v>44</v>
      </c>
      <c r="G436" t="s">
        <v>21</v>
      </c>
      <c r="I436" t="s">
        <v>3376</v>
      </c>
      <c r="J436">
        <v>1856.72</v>
      </c>
      <c r="K436" t="s">
        <v>47</v>
      </c>
      <c r="L436" t="s">
        <v>28</v>
      </c>
      <c r="M436" s="1">
        <v>44355.384027777778</v>
      </c>
      <c r="N436">
        <v>45</v>
      </c>
      <c r="O436" t="s">
        <v>37</v>
      </c>
      <c r="P436" t="s">
        <v>55</v>
      </c>
      <c r="Q436" t="s">
        <v>1520</v>
      </c>
      <c r="R436">
        <f t="shared" si="42"/>
        <v>69567958</v>
      </c>
      <c r="S436" t="str" cm="1">
        <f t="array" ref="S436">IF(C436="",IFERROR(INDEX($C$2:$C$1166,MATCH(MAX(COUNTIF($C$2:$C$1166,$C$2:$C$1166)),COUNTIF($C$2:$C$1166,$C$2:$C$1166),0)),"Unknown"),C436)</f>
        <v>Joseph Johnson</v>
      </c>
      <c r="T436" s="4" t="str" cm="1">
        <f t="array" ref="T436">IF(D436="",IFERROR(INDEX($D$2:$D$1000,MATCH(MAX(COUNTIF($D$2:$D$1166,$D$2:$D$1166)),COUNTIF($D$2:$D$1166,$D$2:$D$1166),0)),"Unknown"),D436)</f>
        <v>Priya Brown</v>
      </c>
      <c r="U436" t="str">
        <f t="shared" si="43"/>
        <v>SGD</v>
      </c>
      <c r="V436" s="7" t="str">
        <f t="shared" si="43"/>
        <v>GBP</v>
      </c>
      <c r="W436" s="7" t="str">
        <f t="shared" si="44"/>
        <v>South Africa</v>
      </c>
      <c r="X436" s="7" t="str">
        <f t="shared" si="44"/>
        <v>UK</v>
      </c>
      <c r="Y436" s="7" t="str" cm="1">
        <f t="array" ref="Y436">IF(H436="",IFERROR(INDEX($H$2:$H$1166,MATCH(MAX(COUNTIF($H$2:$H$1166,$H$2:$H$1166)),COUNTIF($H$2:$H$1166,$H$2:$H$1166),0)),"Unknown"),H436)</f>
        <v>Pending</v>
      </c>
      <c r="Z436" s="7" t="str">
        <f t="shared" si="45"/>
        <v>Internal</v>
      </c>
      <c r="AA436" s="7">
        <f>IF(J436="",AVERAGE($J:$J),J436)</f>
        <v>1856.72</v>
      </c>
      <c r="AB436" s="7">
        <f>IF(N436="",AVERAGE($N:$N),N436)</f>
        <v>45</v>
      </c>
      <c r="AC436" s="7">
        <f t="shared" si="46"/>
        <v>2021</v>
      </c>
      <c r="AD436" s="7">
        <f t="shared" si="47"/>
        <v>6</v>
      </c>
      <c r="AE436" s="7">
        <f>COUNTIF(A:A,A436)</f>
        <v>1</v>
      </c>
      <c r="AF436" s="7" t="str">
        <f t="shared" si="48"/>
        <v>No</v>
      </c>
    </row>
    <row r="437" spans="1:32">
      <c r="A437" t="s">
        <v>1521</v>
      </c>
      <c r="B437">
        <v>48849191</v>
      </c>
      <c r="C437" t="s">
        <v>1036</v>
      </c>
      <c r="D437" t="s">
        <v>1013</v>
      </c>
      <c r="E437" t="s">
        <v>20</v>
      </c>
      <c r="F437" t="s">
        <v>53</v>
      </c>
      <c r="G437" t="s">
        <v>92</v>
      </c>
      <c r="H437" t="s">
        <v>103</v>
      </c>
      <c r="I437" t="s">
        <v>3372</v>
      </c>
      <c r="J437">
        <v>1810.7</v>
      </c>
      <c r="K437" t="s">
        <v>39</v>
      </c>
      <c r="L437" t="s">
        <v>28</v>
      </c>
      <c r="M437" s="1">
        <v>44718.490277777775</v>
      </c>
      <c r="N437">
        <v>69</v>
      </c>
      <c r="O437" t="s">
        <v>55</v>
      </c>
      <c r="P437" t="s">
        <v>127</v>
      </c>
      <c r="Q437" t="s">
        <v>1522</v>
      </c>
      <c r="R437">
        <f t="shared" si="42"/>
        <v>48849191</v>
      </c>
      <c r="S437" t="str" cm="1">
        <f t="array" ref="S437">IF(C437="",IFERROR(INDEX($C$2:$C$1166,MATCH(MAX(COUNTIF($C$2:$C$1166,$C$2:$C$1166)),COUNTIF($C$2:$C$1166,$C$2:$C$1166),0)),"Unknown"),C437)</f>
        <v>Marta Brown</v>
      </c>
      <c r="T437" s="4" t="str" cm="1">
        <f t="array" ref="T437">IF(D437="",IFERROR(INDEX($D$2:$D$1000,MATCH(MAX(COUNTIF($D$2:$D$1166,$D$2:$D$1166)),COUNTIF($D$2:$D$1166,$D$2:$D$1166),0)),"Unknown"),D437)</f>
        <v>Christopher Thomas</v>
      </c>
      <c r="U437" t="str">
        <f t="shared" si="43"/>
        <v>AED</v>
      </c>
      <c r="V437" s="7" t="str">
        <f t="shared" si="43"/>
        <v>AUD</v>
      </c>
      <c r="W437" s="7" t="str">
        <f t="shared" si="44"/>
        <v>UK</v>
      </c>
      <c r="X437" s="7" t="str">
        <f t="shared" si="44"/>
        <v>Canada</v>
      </c>
      <c r="Y437" s="7" t="str" cm="1">
        <f t="array" ref="Y437">IF(H437="",IFERROR(INDEX($H$2:$H$1166,MATCH(MAX(COUNTIF($H$2:$H$1166,$H$2:$H$1166)),COUNTIF($H$2:$H$1166,$H$2:$H$1166),0)),"Unknown"),H437)</f>
        <v>Verified</v>
      </c>
      <c r="Z437" s="7" t="str">
        <f t="shared" si="45"/>
        <v>Outer-Transaction</v>
      </c>
      <c r="AA437" s="7">
        <f>IF(J437="",AVERAGE($J:$J),J437)</f>
        <v>1810.7</v>
      </c>
      <c r="AB437" s="7">
        <f>IF(N437="",AVERAGE($N:$N),N437)</f>
        <v>69</v>
      </c>
      <c r="AC437" s="7">
        <f t="shared" si="46"/>
        <v>2022</v>
      </c>
      <c r="AD437" s="7">
        <f t="shared" si="47"/>
        <v>6</v>
      </c>
      <c r="AE437" s="7">
        <f>COUNTIF(A:A,A437)</f>
        <v>1</v>
      </c>
      <c r="AF437" s="7" t="str">
        <f t="shared" si="48"/>
        <v>No</v>
      </c>
    </row>
    <row r="438" spans="1:32">
      <c r="A438" t="s">
        <v>1523</v>
      </c>
      <c r="B438">
        <v>71518719</v>
      </c>
      <c r="C438" t="s">
        <v>1524</v>
      </c>
      <c r="D438" t="s">
        <v>1525</v>
      </c>
      <c r="E438" t="s">
        <v>20</v>
      </c>
      <c r="F438" t="s">
        <v>98</v>
      </c>
      <c r="G438" t="s">
        <v>121</v>
      </c>
      <c r="H438" t="s">
        <v>103</v>
      </c>
      <c r="I438" t="s">
        <v>3374</v>
      </c>
      <c r="J438">
        <v>10790.94</v>
      </c>
      <c r="K438" t="s">
        <v>57</v>
      </c>
      <c r="L438" t="s">
        <v>81</v>
      </c>
      <c r="M438" s="1">
        <v>44038.395138888889</v>
      </c>
      <c r="N438">
        <v>33</v>
      </c>
      <c r="O438" t="s">
        <v>36</v>
      </c>
      <c r="P438" t="s">
        <v>54</v>
      </c>
      <c r="Q438" t="s">
        <v>1526</v>
      </c>
      <c r="R438">
        <f t="shared" si="42"/>
        <v>71518719</v>
      </c>
      <c r="S438" t="str" cm="1">
        <f t="array" ref="S438">IF(C438="",IFERROR(INDEX($C$2:$C$1166,MATCH(MAX(COUNTIF($C$2:$C$1166,$C$2:$C$1166)),COUNTIF($C$2:$C$1166,$C$2:$C$1166),0)),"Unknown"),C438)</f>
        <v xml:space="preserve">  DAVID SMITH </v>
      </c>
      <c r="T438" s="4" t="str" cm="1">
        <f t="array" ref="T438">IF(D438="",IFERROR(INDEX($D$2:$D$1000,MATCH(MAX(COUNTIF($D$2:$D$1166,$D$2:$D$1166)),COUNTIF($D$2:$D$1166,$D$2:$D$1166),0)),"Unknown"),D438)</f>
        <v>Linda Lopez</v>
      </c>
      <c r="U438" t="str">
        <f t="shared" si="43"/>
        <v>JPY</v>
      </c>
      <c r="V438" s="7" t="str">
        <f t="shared" si="43"/>
        <v>INR</v>
      </c>
      <c r="W438" s="7" t="str">
        <f t="shared" si="44"/>
        <v>Germany</v>
      </c>
      <c r="X438" s="7" t="str">
        <f t="shared" si="44"/>
        <v>India</v>
      </c>
      <c r="Y438" s="7" t="str" cm="1">
        <f t="array" ref="Y438">IF(H438="",IFERROR(INDEX($H$2:$H$1166,MATCH(MAX(COUNTIF($H$2:$H$1166,$H$2:$H$1166)),COUNTIF($H$2:$H$1166,$H$2:$H$1166),0)),"Unknown"),H438)</f>
        <v>Verified</v>
      </c>
      <c r="Z438" s="7" t="str">
        <f t="shared" si="45"/>
        <v>External</v>
      </c>
      <c r="AA438" s="7">
        <f>IF(J438="",AVERAGE($J:$J),J438)</f>
        <v>10790.94</v>
      </c>
      <c r="AB438" s="7">
        <f>IF(N438="",AVERAGE($N:$N),N438)</f>
        <v>33</v>
      </c>
      <c r="AC438" s="7">
        <f t="shared" si="46"/>
        <v>2020</v>
      </c>
      <c r="AD438" s="7">
        <f t="shared" si="47"/>
        <v>7</v>
      </c>
      <c r="AE438" s="7">
        <f>COUNTIF(A:A,A438)</f>
        <v>1</v>
      </c>
      <c r="AF438" s="7" t="str">
        <f t="shared" si="48"/>
        <v>No</v>
      </c>
    </row>
    <row r="439" spans="1:32">
      <c r="A439" t="s">
        <v>1527</v>
      </c>
      <c r="B439">
        <v>73317523</v>
      </c>
      <c r="C439" t="s">
        <v>1164</v>
      </c>
      <c r="D439" t="s">
        <v>1265</v>
      </c>
      <c r="E439" t="s">
        <v>3375</v>
      </c>
      <c r="F439" t="s">
        <v>98</v>
      </c>
      <c r="G439" t="s">
        <v>45</v>
      </c>
      <c r="H439" t="s">
        <v>38</v>
      </c>
      <c r="I439" t="s">
        <v>3372</v>
      </c>
      <c r="J439">
        <v>1022.87</v>
      </c>
      <c r="K439" t="s">
        <v>86</v>
      </c>
      <c r="L439" t="s">
        <v>48</v>
      </c>
      <c r="M439" s="1">
        <v>43979.396527777775</v>
      </c>
      <c r="N439">
        <v>29</v>
      </c>
      <c r="O439" t="s">
        <v>93</v>
      </c>
      <c r="P439" t="s">
        <v>68</v>
      </c>
      <c r="Q439" t="s">
        <v>1528</v>
      </c>
      <c r="R439">
        <f t="shared" si="42"/>
        <v>73317523</v>
      </c>
      <c r="S439" t="str" cm="1">
        <f t="array" ref="S439">IF(C439="",IFERROR(INDEX($C$2:$C$1166,MATCH(MAX(COUNTIF($C$2:$C$1166,$C$2:$C$1166)),COUNTIF($C$2:$C$1166,$C$2:$C$1166),0)),"Unknown"),C439)</f>
        <v>Nancy Velez</v>
      </c>
      <c r="T439" s="4" t="str" cm="1">
        <f t="array" ref="T439">IF(D439="",IFERROR(INDEX($D$2:$D$1000,MATCH(MAX(COUNTIF($D$2:$D$1166,$D$2:$D$1166)),COUNTIF($D$2:$D$1166,$D$2:$D$1166),0)),"Unknown"),D439)</f>
        <v>Linda Jackson</v>
      </c>
      <c r="U439" t="str">
        <f t="shared" si="43"/>
        <v>JPY</v>
      </c>
      <c r="V439" s="7" t="str">
        <f t="shared" si="43"/>
        <v>ZAR</v>
      </c>
      <c r="W439" s="7" t="str">
        <f t="shared" si="44"/>
        <v>USA</v>
      </c>
      <c r="X439" s="7" t="str">
        <f t="shared" si="44"/>
        <v>UAE</v>
      </c>
      <c r="Y439" s="7" t="str" cm="1">
        <f t="array" ref="Y439">IF(H439="",IFERROR(INDEX($H$2:$H$1166,MATCH(MAX(COUNTIF($H$2:$H$1166,$H$2:$H$1166)),COUNTIF($H$2:$H$1166,$H$2:$H$1166),0)),"Unknown"),H439)</f>
        <v>Pending</v>
      </c>
      <c r="Z439" s="7" t="str">
        <f t="shared" si="45"/>
        <v>Outer-Transaction</v>
      </c>
      <c r="AA439" s="7">
        <f>IF(J439="",AVERAGE($J:$J),J439)</f>
        <v>1022.87</v>
      </c>
      <c r="AB439" s="7">
        <f>IF(N439="",AVERAGE($N:$N),N439)</f>
        <v>29</v>
      </c>
      <c r="AC439" s="7">
        <f t="shared" si="46"/>
        <v>2020</v>
      </c>
      <c r="AD439" s="7">
        <f t="shared" si="47"/>
        <v>5</v>
      </c>
      <c r="AE439" s="7">
        <f>COUNTIF(A:A,A439)</f>
        <v>2</v>
      </c>
      <c r="AF439" s="7" t="str">
        <f t="shared" si="48"/>
        <v>No</v>
      </c>
    </row>
    <row r="440" spans="1:32">
      <c r="A440" t="s">
        <v>1529</v>
      </c>
      <c r="B440">
        <v>41758221</v>
      </c>
      <c r="C440" t="s">
        <v>1530</v>
      </c>
      <c r="D440" t="s">
        <v>1531</v>
      </c>
      <c r="E440" t="s">
        <v>20</v>
      </c>
      <c r="F440" t="s">
        <v>92</v>
      </c>
      <c r="G440" t="s">
        <v>92</v>
      </c>
      <c r="H440" t="s">
        <v>56</v>
      </c>
      <c r="I440" t="s">
        <v>3378</v>
      </c>
      <c r="J440">
        <v>9101.93</v>
      </c>
      <c r="K440" t="s">
        <v>86</v>
      </c>
      <c r="L440" t="s">
        <v>48</v>
      </c>
      <c r="M440" s="1">
        <v>44268.75</v>
      </c>
      <c r="N440">
        <v>42</v>
      </c>
      <c r="O440" t="s">
        <v>62</v>
      </c>
      <c r="P440" t="s">
        <v>68</v>
      </c>
      <c r="Q440" t="s">
        <v>1532</v>
      </c>
      <c r="R440">
        <f t="shared" si="42"/>
        <v>41758221</v>
      </c>
      <c r="S440" t="str" cm="1">
        <f t="array" ref="S440">IF(C440="",IFERROR(INDEX($C$2:$C$1166,MATCH(MAX(COUNTIF($C$2:$C$1166,$C$2:$C$1166)),COUNTIF($C$2:$C$1166,$C$2:$C$1166),0)),"Unknown"),C440)</f>
        <v xml:space="preserve">  PATRICIA VOLKOV </v>
      </c>
      <c r="T440" s="4" t="str" cm="1">
        <f t="array" ref="T440">IF(D440="",IFERROR(INDEX($D$2:$D$1000,MATCH(MAX(COUNTIF($D$2:$D$1166,$D$2:$D$1166)),COUNTIF($D$2:$D$1166,$D$2:$D$1166),0)),"Unknown"),D440)</f>
        <v>Carlos Garcia</v>
      </c>
      <c r="U440" t="str">
        <f t="shared" si="43"/>
        <v>AUD</v>
      </c>
      <c r="V440" s="7" t="str">
        <f t="shared" si="43"/>
        <v>AUD</v>
      </c>
      <c r="W440" s="7" t="str">
        <f t="shared" si="44"/>
        <v>Australia</v>
      </c>
      <c r="X440" s="7" t="str">
        <f t="shared" si="44"/>
        <v>UAE</v>
      </c>
      <c r="Y440" s="7" t="str" cm="1">
        <f t="array" ref="Y440">IF(H440="",IFERROR(INDEX($H$2:$H$1166,MATCH(MAX(COUNTIF($H$2:$H$1166,$H$2:$H$1166)),COUNTIF($H$2:$H$1166,$H$2:$H$1166),0)),"Unknown"),H440)</f>
        <v>Unverified</v>
      </c>
      <c r="Z440" s="7" t="str">
        <f t="shared" si="45"/>
        <v>Inter-Transaction</v>
      </c>
      <c r="AA440" s="7">
        <f>IF(J440="",AVERAGE($J:$J),J440)</f>
        <v>9101.93</v>
      </c>
      <c r="AB440" s="7">
        <f>IF(N440="",AVERAGE($N:$N),N440)</f>
        <v>42</v>
      </c>
      <c r="AC440" s="7">
        <f t="shared" si="46"/>
        <v>2021</v>
      </c>
      <c r="AD440" s="7">
        <f t="shared" si="47"/>
        <v>3</v>
      </c>
      <c r="AE440" s="7">
        <f>COUNTIF(A:A,A440)</f>
        <v>1</v>
      </c>
      <c r="AF440" s="7" t="str">
        <f t="shared" si="48"/>
        <v>No</v>
      </c>
    </row>
    <row r="441" spans="1:32">
      <c r="A441" t="s">
        <v>1533</v>
      </c>
      <c r="B441">
        <v>48398260</v>
      </c>
      <c r="C441" t="s">
        <v>1534</v>
      </c>
      <c r="D441" t="s">
        <v>1535</v>
      </c>
      <c r="E441" t="s">
        <v>3375</v>
      </c>
      <c r="F441" t="s">
        <v>98</v>
      </c>
      <c r="G441" t="s">
        <v>121</v>
      </c>
      <c r="H441" t="s">
        <v>74</v>
      </c>
      <c r="I441" t="s">
        <v>3377</v>
      </c>
      <c r="J441">
        <v>5399.82</v>
      </c>
      <c r="K441" t="s">
        <v>39</v>
      </c>
      <c r="L441" t="s">
        <v>28</v>
      </c>
      <c r="M441" s="1">
        <v>46033.997916666667</v>
      </c>
      <c r="N441">
        <v>69</v>
      </c>
      <c r="O441" t="s">
        <v>37</v>
      </c>
      <c r="P441" t="s">
        <v>62</v>
      </c>
      <c r="Q441" t="s">
        <v>1536</v>
      </c>
      <c r="R441">
        <f t="shared" si="42"/>
        <v>48398260</v>
      </c>
      <c r="S441" t="str" cm="1">
        <f t="array" ref="S441">IF(C441="",IFERROR(INDEX($C$2:$C$1166,MATCH(MAX(COUNTIF($C$2:$C$1166,$C$2:$C$1166)),COUNTIF($C$2:$C$1166,$C$2:$C$1166),0)),"Unknown"),C441)</f>
        <v>Elizabeth Miller</v>
      </c>
      <c r="T441" s="4" t="str" cm="1">
        <f t="array" ref="T441">IF(D441="",IFERROR(INDEX($D$2:$D$1000,MATCH(MAX(COUNTIF($D$2:$D$1166,$D$2:$D$1166)),COUNTIF($D$2:$D$1166,$D$2:$D$1166),0)),"Unknown"),D441)</f>
        <v xml:space="preserve"> fatima garcia   </v>
      </c>
      <c r="U441" t="str">
        <f t="shared" si="43"/>
        <v>JPY</v>
      </c>
      <c r="V441" s="7" t="str">
        <f t="shared" si="43"/>
        <v>INR</v>
      </c>
      <c r="W441" s="7" t="str">
        <f t="shared" si="44"/>
        <v>South Africa</v>
      </c>
      <c r="X441" s="7" t="str">
        <f t="shared" si="44"/>
        <v>Australia</v>
      </c>
      <c r="Y441" s="7" t="str" cm="1">
        <f t="array" ref="Y441">IF(H441="",IFERROR(INDEX($H$2:$H$1166,MATCH(MAX(COUNTIF($H$2:$H$1166,$H$2:$H$1166)),COUNTIF($H$2:$H$1166,$H$2:$H$1166),0)),"Unknown"),H441)</f>
        <v>Non-KYC</v>
      </c>
      <c r="Z441" s="7" t="str">
        <f t="shared" si="45"/>
        <v>Inter-Transaction</v>
      </c>
      <c r="AA441" s="7">
        <f>IF(J441="",AVERAGE($J:$J),J441)</f>
        <v>5399.82</v>
      </c>
      <c r="AB441" s="7">
        <f>IF(N441="",AVERAGE($N:$N),N441)</f>
        <v>69</v>
      </c>
      <c r="AC441" s="7">
        <f t="shared" si="46"/>
        <v>2026</v>
      </c>
      <c r="AD441" s="7">
        <f t="shared" si="47"/>
        <v>1</v>
      </c>
      <c r="AE441" s="7">
        <f>COUNTIF(A:A,A441)</f>
        <v>1</v>
      </c>
      <c r="AF441" s="7" t="str">
        <f t="shared" si="48"/>
        <v>No</v>
      </c>
    </row>
    <row r="442" spans="1:32">
      <c r="A442" t="s">
        <v>1537</v>
      </c>
      <c r="B442">
        <v>73583349</v>
      </c>
      <c r="C442" t="s">
        <v>517</v>
      </c>
      <c r="D442" t="s">
        <v>822</v>
      </c>
      <c r="E442">
        <v>0</v>
      </c>
      <c r="F442" t="s">
        <v>21</v>
      </c>
      <c r="G442" t="s">
        <v>35</v>
      </c>
      <c r="H442" t="s">
        <v>38</v>
      </c>
      <c r="I442" t="s">
        <v>3378</v>
      </c>
      <c r="J442">
        <v>1522.69</v>
      </c>
      <c r="K442" t="s">
        <v>39</v>
      </c>
      <c r="L442" t="s">
        <v>48</v>
      </c>
      <c r="M442" s="1">
        <v>45552.375694444447</v>
      </c>
      <c r="N442">
        <v>70</v>
      </c>
      <c r="O442" t="s">
        <v>54</v>
      </c>
      <c r="P442" t="s">
        <v>127</v>
      </c>
      <c r="Q442" t="s">
        <v>1538</v>
      </c>
      <c r="R442">
        <f t="shared" si="42"/>
        <v>73583349</v>
      </c>
      <c r="S442" t="str" cm="1">
        <f t="array" ref="S442">IF(C442="",IFERROR(INDEX($C$2:$C$1166,MATCH(MAX(COUNTIF($C$2:$C$1166,$C$2:$C$1166)),COUNTIF($C$2:$C$1166,$C$2:$C$1166),0)),"Unknown"),C442)</f>
        <v>Charles Lopez</v>
      </c>
      <c r="T442" s="4" t="str" cm="1">
        <f t="array" ref="T442">IF(D442="",IFERROR(INDEX($D$2:$D$1000,MATCH(MAX(COUNTIF($D$2:$D$1166,$D$2:$D$1166)),COUNTIF($D$2:$D$1166,$D$2:$D$1166),0)),"Unknown"),D442)</f>
        <v>Susan Martin</v>
      </c>
      <c r="U442" t="str">
        <f t="shared" si="43"/>
        <v>GBP</v>
      </c>
      <c r="V442" s="7" t="str">
        <f t="shared" si="43"/>
        <v>EUR</v>
      </c>
      <c r="W442" s="7" t="str">
        <f t="shared" si="44"/>
        <v>India</v>
      </c>
      <c r="X442" s="7" t="str">
        <f t="shared" si="44"/>
        <v>Canada</v>
      </c>
      <c r="Y442" s="7" t="str" cm="1">
        <f t="array" ref="Y442">IF(H442="",IFERROR(INDEX($H$2:$H$1166,MATCH(MAX(COUNTIF($H$2:$H$1166,$H$2:$H$1166)),COUNTIF($H$2:$H$1166,$H$2:$H$1166),0)),"Unknown"),H442)</f>
        <v>Pending</v>
      </c>
      <c r="Z442" s="7" t="str">
        <f t="shared" si="45"/>
        <v>Inter-Transaction</v>
      </c>
      <c r="AA442" s="7">
        <f>IF(J442="",AVERAGE($J:$J),J442)</f>
        <v>1522.69</v>
      </c>
      <c r="AB442" s="7">
        <f>IF(N442="",AVERAGE($N:$N),N442)</f>
        <v>70</v>
      </c>
      <c r="AC442" s="7">
        <f t="shared" si="46"/>
        <v>2024</v>
      </c>
      <c r="AD442" s="7">
        <f t="shared" si="47"/>
        <v>9</v>
      </c>
      <c r="AE442" s="7">
        <f>COUNTIF(A:A,A442)</f>
        <v>1</v>
      </c>
      <c r="AF442" s="7" t="str">
        <f t="shared" si="48"/>
        <v>No</v>
      </c>
    </row>
    <row r="443" spans="1:32">
      <c r="A443" t="s">
        <v>1539</v>
      </c>
      <c r="B443">
        <v>19120472</v>
      </c>
      <c r="C443" t="s">
        <v>365</v>
      </c>
      <c r="D443" t="s">
        <v>1540</v>
      </c>
      <c r="E443" t="s">
        <v>20</v>
      </c>
      <c r="F443" t="s">
        <v>116</v>
      </c>
      <c r="G443" t="s">
        <v>121</v>
      </c>
      <c r="I443" t="s">
        <v>3377</v>
      </c>
      <c r="J443">
        <v>8745.76</v>
      </c>
      <c r="K443" t="s">
        <v>57</v>
      </c>
      <c r="L443" t="s">
        <v>28</v>
      </c>
      <c r="M443" s="1">
        <v>44188.686805555553</v>
      </c>
      <c r="N443">
        <v>40</v>
      </c>
      <c r="O443" t="s">
        <v>36</v>
      </c>
      <c r="P443" t="s">
        <v>24</v>
      </c>
      <c r="Q443" t="s">
        <v>1541</v>
      </c>
      <c r="R443">
        <f t="shared" si="42"/>
        <v>19120472</v>
      </c>
      <c r="S443" t="str" cm="1">
        <f t="array" ref="S443">IF(C443="",IFERROR(INDEX($C$2:$C$1166,MATCH(MAX(COUNTIF($C$2:$C$1166,$C$2:$C$1166)),COUNTIF($C$2:$C$1166,$C$2:$C$1166),0)),"Unknown"),C443)</f>
        <v>Zayn Malik</v>
      </c>
      <c r="T443" s="4" t="str" cm="1">
        <f t="array" ref="T443">IF(D443="",IFERROR(INDEX($D$2:$D$1000,MATCH(MAX(COUNTIF($D$2:$D$1166,$D$2:$D$1166)),COUNTIF($D$2:$D$1166,$D$2:$D$1166),0)),"Unknown"),D443)</f>
        <v xml:space="preserve"> linda martinez   </v>
      </c>
      <c r="U443" t="str">
        <f t="shared" si="43"/>
        <v>CHF</v>
      </c>
      <c r="V443" s="7" t="str">
        <f t="shared" si="43"/>
        <v>INR</v>
      </c>
      <c r="W443" s="7" t="str">
        <f t="shared" si="44"/>
        <v>Germany</v>
      </c>
      <c r="X443" s="7" t="str">
        <f t="shared" si="44"/>
        <v>Brazil</v>
      </c>
      <c r="Y443" s="7" t="str" cm="1">
        <f t="array" ref="Y443">IF(H443="",IFERROR(INDEX($H$2:$H$1166,MATCH(MAX(COUNTIF($H$2:$H$1166,$H$2:$H$1166)),COUNTIF($H$2:$H$1166,$H$2:$H$1166),0)),"Unknown"),H443)</f>
        <v>Pending</v>
      </c>
      <c r="Z443" s="7" t="str">
        <f t="shared" si="45"/>
        <v>Inter-Transaction</v>
      </c>
      <c r="AA443" s="7">
        <f>IF(J443="",AVERAGE($J:$J),J443)</f>
        <v>8745.76</v>
      </c>
      <c r="AB443" s="7">
        <f>IF(N443="",AVERAGE($N:$N),N443)</f>
        <v>40</v>
      </c>
      <c r="AC443" s="7">
        <f t="shared" si="46"/>
        <v>2020</v>
      </c>
      <c r="AD443" s="7">
        <f t="shared" si="47"/>
        <v>12</v>
      </c>
      <c r="AE443" s="7">
        <f>COUNTIF(A:A,A443)</f>
        <v>1</v>
      </c>
      <c r="AF443" s="7" t="str">
        <f t="shared" si="48"/>
        <v>No</v>
      </c>
    </row>
    <row r="444" spans="1:32">
      <c r="A444" t="s">
        <v>1542</v>
      </c>
      <c r="B444">
        <v>99031467</v>
      </c>
      <c r="C444" t="s">
        <v>1159</v>
      </c>
      <c r="D444" t="s">
        <v>1408</v>
      </c>
      <c r="E444" t="s">
        <v>20</v>
      </c>
      <c r="F444" t="s">
        <v>116</v>
      </c>
      <c r="G444" t="s">
        <v>1084</v>
      </c>
      <c r="H444" t="s">
        <v>38</v>
      </c>
      <c r="I444" t="s">
        <v>3374</v>
      </c>
      <c r="J444">
        <v>9190.3700000000008</v>
      </c>
      <c r="K444" t="s">
        <v>86</v>
      </c>
      <c r="L444" t="s">
        <v>81</v>
      </c>
      <c r="M444" s="1">
        <v>45071.984722222223</v>
      </c>
      <c r="N444">
        <v>33</v>
      </c>
      <c r="O444" t="s">
        <v>54</v>
      </c>
      <c r="P444" t="s">
        <v>54</v>
      </c>
      <c r="Q444" t="s">
        <v>1543</v>
      </c>
      <c r="R444">
        <f t="shared" si="42"/>
        <v>99031467</v>
      </c>
      <c r="S444" t="str" cm="1">
        <f t="array" ref="S444">IF(C444="",IFERROR(INDEX($C$2:$C$1166,MATCH(MAX(COUNTIF($C$2:$C$1166,$C$2:$C$1166)),COUNTIF($C$2:$C$1166,$C$2:$C$1166),0)),"Unknown"),C444)</f>
        <v>Priya Volkov</v>
      </c>
      <c r="T444" s="4" t="str" cm="1">
        <f t="array" ref="T444">IF(D444="",IFERROR(INDEX($D$2:$D$1000,MATCH(MAX(COUNTIF($D$2:$D$1166,$D$2:$D$1166)),COUNTIF($D$2:$D$1166,$D$2:$D$1166),0)),"Unknown"),D444)</f>
        <v>Mary Davis</v>
      </c>
      <c r="U444" t="str">
        <f t="shared" si="43"/>
        <v>CHF</v>
      </c>
      <c r="V444" s="7" t="str">
        <f t="shared" si="43"/>
        <v>chf</v>
      </c>
      <c r="W444" s="7" t="str">
        <f t="shared" si="44"/>
        <v>India</v>
      </c>
      <c r="X444" s="7" t="str">
        <f t="shared" si="44"/>
        <v>India</v>
      </c>
      <c r="Y444" s="7" t="str" cm="1">
        <f t="array" ref="Y444">IF(H444="",IFERROR(INDEX($H$2:$H$1166,MATCH(MAX(COUNTIF($H$2:$H$1166,$H$2:$H$1166)),COUNTIF($H$2:$H$1166,$H$2:$H$1166),0)),"Unknown"),H444)</f>
        <v>Pending</v>
      </c>
      <c r="Z444" s="7" t="str">
        <f t="shared" si="45"/>
        <v>External</v>
      </c>
      <c r="AA444" s="7">
        <f>IF(J444="",AVERAGE($J:$J),J444)</f>
        <v>9190.3700000000008</v>
      </c>
      <c r="AB444" s="7">
        <f>IF(N444="",AVERAGE($N:$N),N444)</f>
        <v>33</v>
      </c>
      <c r="AC444" s="7">
        <f t="shared" si="46"/>
        <v>2023</v>
      </c>
      <c r="AD444" s="7">
        <f t="shared" si="47"/>
        <v>5</v>
      </c>
      <c r="AE444" s="7">
        <f>COUNTIF(A:A,A444)</f>
        <v>1</v>
      </c>
      <c r="AF444" s="7" t="str">
        <f t="shared" si="48"/>
        <v>No</v>
      </c>
    </row>
    <row r="445" spans="1:32">
      <c r="A445" t="s">
        <v>1544</v>
      </c>
      <c r="B445">
        <v>40568777</v>
      </c>
      <c r="C445" t="s">
        <v>1545</v>
      </c>
      <c r="D445" t="s">
        <v>671</v>
      </c>
      <c r="E445" t="s">
        <v>20</v>
      </c>
      <c r="F445" t="s">
        <v>121</v>
      </c>
      <c r="G445" t="s">
        <v>98</v>
      </c>
      <c r="H445" t="s">
        <v>56</v>
      </c>
      <c r="I445" t="s">
        <v>3372</v>
      </c>
      <c r="J445">
        <v>10434.65</v>
      </c>
      <c r="K445" t="s">
        <v>39</v>
      </c>
      <c r="L445" t="s">
        <v>81</v>
      </c>
      <c r="M445" s="1">
        <v>45761.285416666666</v>
      </c>
      <c r="N445">
        <v>74</v>
      </c>
      <c r="O445" t="s">
        <v>55</v>
      </c>
      <c r="P445" t="s">
        <v>36</v>
      </c>
      <c r="Q445" t="s">
        <v>1546</v>
      </c>
      <c r="R445">
        <f t="shared" si="42"/>
        <v>40568777</v>
      </c>
      <c r="S445" t="str" cm="1">
        <f t="array" ref="S445">IF(C445="",IFERROR(INDEX($C$2:$C$1166,MATCH(MAX(COUNTIF($C$2:$C$1166,$C$2:$C$1166)),COUNTIF($C$2:$C$1166,$C$2:$C$1166),0)),"Unknown"),C445)</f>
        <v xml:space="preserve">  JOHN SOUZA </v>
      </c>
      <c r="T445" s="4" t="str" cm="1">
        <f t="array" ref="T445">IF(D445="",IFERROR(INDEX($D$2:$D$1000,MATCH(MAX(COUNTIF($D$2:$D$1166,$D$2:$D$1166)),COUNTIF($D$2:$D$1166,$D$2:$D$1166),0)),"Unknown"),D445)</f>
        <v>Mary Smith</v>
      </c>
      <c r="U445" t="str">
        <f t="shared" si="43"/>
        <v>INR</v>
      </c>
      <c r="V445" s="7" t="str">
        <f t="shared" si="43"/>
        <v>JPY</v>
      </c>
      <c r="W445" s="7" t="str">
        <f t="shared" si="44"/>
        <v>UK</v>
      </c>
      <c r="X445" s="7" t="str">
        <f t="shared" si="44"/>
        <v>Germany</v>
      </c>
      <c r="Y445" s="7" t="str" cm="1">
        <f t="array" ref="Y445">IF(H445="",IFERROR(INDEX($H$2:$H$1166,MATCH(MAX(COUNTIF($H$2:$H$1166,$H$2:$H$1166)),COUNTIF($H$2:$H$1166,$H$2:$H$1166),0)),"Unknown"),H445)</f>
        <v>Unverified</v>
      </c>
      <c r="Z445" s="7" t="str">
        <f t="shared" si="45"/>
        <v>Outer-Transaction</v>
      </c>
      <c r="AA445" s="7">
        <f>IF(J445="",AVERAGE($J:$J),J445)</f>
        <v>10434.65</v>
      </c>
      <c r="AB445" s="7">
        <f>IF(N445="",AVERAGE($N:$N),N445)</f>
        <v>74</v>
      </c>
      <c r="AC445" s="7">
        <f t="shared" si="46"/>
        <v>2025</v>
      </c>
      <c r="AD445" s="7">
        <f t="shared" si="47"/>
        <v>4</v>
      </c>
      <c r="AE445" s="7">
        <f>COUNTIF(A:A,A445)</f>
        <v>1</v>
      </c>
      <c r="AF445" s="7" t="str">
        <f t="shared" si="48"/>
        <v>No</v>
      </c>
    </row>
    <row r="446" spans="1:32">
      <c r="A446" t="s">
        <v>1547</v>
      </c>
      <c r="B446">
        <v>41966664</v>
      </c>
      <c r="C446" t="s">
        <v>1548</v>
      </c>
      <c r="D446" t="s">
        <v>1549</v>
      </c>
      <c r="E446" t="s">
        <v>3375</v>
      </c>
      <c r="F446" t="s">
        <v>22</v>
      </c>
      <c r="G446" t="s">
        <v>294</v>
      </c>
      <c r="H446" t="s">
        <v>25</v>
      </c>
      <c r="I446" t="s">
        <v>3377</v>
      </c>
      <c r="J446">
        <v>1909.47</v>
      </c>
      <c r="K446" t="s">
        <v>47</v>
      </c>
      <c r="L446" t="s">
        <v>75</v>
      </c>
      <c r="M446" s="1">
        <v>44286.347916666666</v>
      </c>
      <c r="N446">
        <v>56</v>
      </c>
      <c r="O446" t="s">
        <v>93</v>
      </c>
      <c r="P446" t="s">
        <v>55</v>
      </c>
      <c r="Q446" t="s">
        <v>1550</v>
      </c>
      <c r="R446">
        <f t="shared" si="42"/>
        <v>41966664</v>
      </c>
      <c r="S446" t="str" cm="1">
        <f t="array" ref="S446">IF(C446="",IFERROR(INDEX($C$2:$C$1166,MATCH(MAX(COUNTIF($C$2:$C$1166,$C$2:$C$1166)),COUNTIF($C$2:$C$1166,$C$2:$C$1166),0)),"Unknown"),C446)</f>
        <v>Elizabeth Williams</v>
      </c>
      <c r="T446" s="4" t="str" cm="1">
        <f t="array" ref="T446">IF(D446="",IFERROR(INDEX($D$2:$D$1000,MATCH(MAX(COUNTIF($D$2:$D$1166,$D$2:$D$1166)),COUNTIF($D$2:$D$1166,$D$2:$D$1166),0)),"Unknown"),D446)</f>
        <v>Christopher Smith</v>
      </c>
      <c r="U446" t="str">
        <f t="shared" si="43"/>
        <v>BRL</v>
      </c>
      <c r="V446" s="7" t="str">
        <f t="shared" si="43"/>
        <v>jpy</v>
      </c>
      <c r="W446" s="7" t="str">
        <f t="shared" si="44"/>
        <v>USA</v>
      </c>
      <c r="X446" s="7" t="str">
        <f t="shared" si="44"/>
        <v>UK</v>
      </c>
      <c r="Y446" s="7" t="str" cm="1">
        <f t="array" ref="Y446">IF(H446="",IFERROR(INDEX($H$2:$H$1166,MATCH(MAX(COUNTIF($H$2:$H$1166,$H$2:$H$1166)),COUNTIF($H$2:$H$1166,$H$2:$H$1166),0)),"Unknown"),H446)</f>
        <v>KYC</v>
      </c>
      <c r="Z446" s="7" t="str">
        <f t="shared" si="45"/>
        <v>Inter-Transaction</v>
      </c>
      <c r="AA446" s="7">
        <f>IF(J446="",AVERAGE($J:$J),J446)</f>
        <v>1909.47</v>
      </c>
      <c r="AB446" s="7">
        <f>IF(N446="",AVERAGE($N:$N),N446)</f>
        <v>56</v>
      </c>
      <c r="AC446" s="7">
        <f t="shared" si="46"/>
        <v>2021</v>
      </c>
      <c r="AD446" s="7">
        <f t="shared" si="47"/>
        <v>3</v>
      </c>
      <c r="AE446" s="7">
        <f>COUNTIF(A:A,A446)</f>
        <v>1</v>
      </c>
      <c r="AF446" s="7" t="str">
        <f t="shared" si="48"/>
        <v>No</v>
      </c>
    </row>
    <row r="447" spans="1:32">
      <c r="A447" t="s">
        <v>1551</v>
      </c>
      <c r="B447">
        <v>98126056</v>
      </c>
      <c r="C447" t="s">
        <v>1143</v>
      </c>
      <c r="D447" t="s">
        <v>551</v>
      </c>
      <c r="E447">
        <v>0</v>
      </c>
      <c r="F447" t="s">
        <v>22</v>
      </c>
      <c r="G447" t="s">
        <v>22</v>
      </c>
      <c r="H447" t="s">
        <v>103</v>
      </c>
      <c r="I447" t="s">
        <v>3376</v>
      </c>
      <c r="J447">
        <v>4397.32</v>
      </c>
      <c r="K447" t="s">
        <v>47</v>
      </c>
      <c r="L447" t="s">
        <v>75</v>
      </c>
      <c r="M447" s="1">
        <v>45463.072916666664</v>
      </c>
      <c r="N447">
        <v>70</v>
      </c>
      <c r="O447" t="s">
        <v>62</v>
      </c>
      <c r="P447" t="s">
        <v>54</v>
      </c>
      <c r="Q447" t="s">
        <v>1552</v>
      </c>
      <c r="R447">
        <f t="shared" si="42"/>
        <v>98126056</v>
      </c>
      <c r="S447" t="str" cm="1">
        <f t="array" ref="S447">IF(C447="",IFERROR(INDEX($C$2:$C$1166,MATCH(MAX(COUNTIF($C$2:$C$1166,$C$2:$C$1166)),COUNTIF($C$2:$C$1166,$C$2:$C$1166),0)),"Unknown"),C447)</f>
        <v>Robert Williams</v>
      </c>
      <c r="T447" s="4" t="str" cm="1">
        <f t="array" ref="T447">IF(D447="",IFERROR(INDEX($D$2:$D$1000,MATCH(MAX(COUNTIF($D$2:$D$1166,$D$2:$D$1166)),COUNTIF($D$2:$D$1166,$D$2:$D$1166),0)),"Unknown"),D447)</f>
        <v>David Moore</v>
      </c>
      <c r="U447" t="str">
        <f t="shared" si="43"/>
        <v>BRL</v>
      </c>
      <c r="V447" s="7" t="str">
        <f t="shared" si="43"/>
        <v>BRL</v>
      </c>
      <c r="W447" s="7" t="str">
        <f t="shared" si="44"/>
        <v>Australia</v>
      </c>
      <c r="X447" s="7" t="str">
        <f t="shared" si="44"/>
        <v>India</v>
      </c>
      <c r="Y447" s="7" t="str" cm="1">
        <f t="array" ref="Y447">IF(H447="",IFERROR(INDEX($H$2:$H$1166,MATCH(MAX(COUNTIF($H$2:$H$1166,$H$2:$H$1166)),COUNTIF($H$2:$H$1166,$H$2:$H$1166),0)),"Unknown"),H447)</f>
        <v>Verified</v>
      </c>
      <c r="Z447" s="7" t="str">
        <f t="shared" si="45"/>
        <v>Internal</v>
      </c>
      <c r="AA447" s="7">
        <f>IF(J447="",AVERAGE($J:$J),J447)</f>
        <v>4397.32</v>
      </c>
      <c r="AB447" s="7">
        <f>IF(N447="",AVERAGE($N:$N),N447)</f>
        <v>70</v>
      </c>
      <c r="AC447" s="7">
        <f t="shared" si="46"/>
        <v>2024</v>
      </c>
      <c r="AD447" s="7">
        <f t="shared" si="47"/>
        <v>6</v>
      </c>
      <c r="AE447" s="7">
        <f>COUNTIF(A:A,A447)</f>
        <v>1</v>
      </c>
      <c r="AF447" s="7" t="str">
        <f t="shared" si="48"/>
        <v>No</v>
      </c>
    </row>
    <row r="448" spans="1:32">
      <c r="A448" t="s">
        <v>1553</v>
      </c>
      <c r="C448" t="s">
        <v>150</v>
      </c>
      <c r="D448" t="s">
        <v>1180</v>
      </c>
      <c r="E448" t="s">
        <v>20</v>
      </c>
      <c r="F448" t="s">
        <v>22</v>
      </c>
      <c r="G448" t="s">
        <v>98</v>
      </c>
      <c r="I448" t="s">
        <v>3372</v>
      </c>
      <c r="J448">
        <v>9752.1200000000008</v>
      </c>
      <c r="K448" t="s">
        <v>39</v>
      </c>
      <c r="L448" t="s">
        <v>28</v>
      </c>
      <c r="M448" s="1">
        <v>44459.666666666664</v>
      </c>
      <c r="N448">
        <v>59</v>
      </c>
      <c r="O448" t="s">
        <v>62</v>
      </c>
      <c r="P448" t="s">
        <v>127</v>
      </c>
      <c r="Q448" t="s">
        <v>1554</v>
      </c>
      <c r="R448">
        <f t="shared" si="42"/>
        <v>0</v>
      </c>
      <c r="S448" t="str" cm="1">
        <f t="array" ref="S448">IF(C448="",IFERROR(INDEX($C$2:$C$1166,MATCH(MAX(COUNTIF($C$2:$C$1166,$C$2:$C$1166)),COUNTIF($C$2:$C$1166,$C$2:$C$1166),0)),"Unknown"),C448)</f>
        <v>Priya Jones</v>
      </c>
      <c r="T448" s="4" t="str" cm="1">
        <f t="array" ref="T448">IF(D448="",IFERROR(INDEX($D$2:$D$1000,MATCH(MAX(COUNTIF($D$2:$D$1166,$D$2:$D$1166)),COUNTIF($D$2:$D$1166,$D$2:$D$1166),0)),"Unknown"),D448)</f>
        <v>Amir Taylor</v>
      </c>
      <c r="U448" t="str">
        <f t="shared" si="43"/>
        <v>BRL</v>
      </c>
      <c r="V448" s="7" t="str">
        <f t="shared" si="43"/>
        <v>JPY</v>
      </c>
      <c r="W448" s="7" t="str">
        <f t="shared" si="44"/>
        <v>Australia</v>
      </c>
      <c r="X448" s="7" t="str">
        <f t="shared" si="44"/>
        <v>Canada</v>
      </c>
      <c r="Y448" s="7" t="str" cm="1">
        <f t="array" ref="Y448">IF(H448="",IFERROR(INDEX($H$2:$H$1166,MATCH(MAX(COUNTIF($H$2:$H$1166,$H$2:$H$1166)),COUNTIF($H$2:$H$1166,$H$2:$H$1166),0)),"Unknown"),H448)</f>
        <v>Pending</v>
      </c>
      <c r="Z448" s="7" t="str">
        <f t="shared" si="45"/>
        <v>Outer-Transaction</v>
      </c>
      <c r="AA448" s="7">
        <f>IF(J448="",AVERAGE($J:$J),J448)</f>
        <v>9752.1200000000008</v>
      </c>
      <c r="AB448" s="7">
        <f>IF(N448="",AVERAGE($N:$N),N448)</f>
        <v>59</v>
      </c>
      <c r="AC448" s="7">
        <f t="shared" si="46"/>
        <v>2021</v>
      </c>
      <c r="AD448" s="7">
        <f t="shared" si="47"/>
        <v>9</v>
      </c>
      <c r="AE448" s="7">
        <f>COUNTIF(A:A,A448)</f>
        <v>1</v>
      </c>
      <c r="AF448" s="7" t="str">
        <f t="shared" si="48"/>
        <v>No</v>
      </c>
    </row>
    <row r="449" spans="1:32">
      <c r="A449" t="s">
        <v>1555</v>
      </c>
      <c r="B449">
        <v>91838954</v>
      </c>
      <c r="C449" t="s">
        <v>179</v>
      </c>
      <c r="D449" t="s">
        <v>637</v>
      </c>
      <c r="E449" t="s">
        <v>20</v>
      </c>
      <c r="F449" t="s">
        <v>44</v>
      </c>
      <c r="G449" t="s">
        <v>80</v>
      </c>
      <c r="H449" t="s">
        <v>25</v>
      </c>
      <c r="I449" t="s">
        <v>3376</v>
      </c>
      <c r="J449">
        <v>11447.31</v>
      </c>
      <c r="K449" t="s">
        <v>86</v>
      </c>
      <c r="L449" t="s">
        <v>75</v>
      </c>
      <c r="M449" s="1">
        <v>44316.34652777778</v>
      </c>
      <c r="N449">
        <v>75</v>
      </c>
      <c r="O449" t="s">
        <v>23</v>
      </c>
      <c r="P449" t="s">
        <v>37</v>
      </c>
      <c r="Q449" t="s">
        <v>1556</v>
      </c>
      <c r="R449">
        <f t="shared" si="42"/>
        <v>91838954</v>
      </c>
      <c r="S449" t="str" cm="1">
        <f t="array" ref="S449">IF(C449="",IFERROR(INDEX($C$2:$C$1166,MATCH(MAX(COUNTIF($C$2:$C$1166,$C$2:$C$1166)),COUNTIF($C$2:$C$1166,$C$2:$C$1166),0)),"Unknown"),C449)</f>
        <v>Joseph Thomas</v>
      </c>
      <c r="T449" s="4" t="str" cm="1">
        <f t="array" ref="T449">IF(D449="",IFERROR(INDEX($D$2:$D$1000,MATCH(MAX(COUNTIF($D$2:$D$1166,$D$2:$D$1166)),COUNTIF($D$2:$D$1166,$D$2:$D$1166),0)),"Unknown"),D449)</f>
        <v>John Malik</v>
      </c>
      <c r="U449" t="str">
        <f t="shared" si="43"/>
        <v>SGD</v>
      </c>
      <c r="V449" s="7" t="str">
        <f t="shared" si="43"/>
        <v>USD</v>
      </c>
      <c r="W449" s="7" t="str">
        <f t="shared" si="44"/>
        <v>France</v>
      </c>
      <c r="X449" s="7" t="str">
        <f t="shared" si="44"/>
        <v>South Africa</v>
      </c>
      <c r="Y449" s="7" t="str" cm="1">
        <f t="array" ref="Y449">IF(H449="",IFERROR(INDEX($H$2:$H$1166,MATCH(MAX(COUNTIF($H$2:$H$1166,$H$2:$H$1166)),COUNTIF($H$2:$H$1166,$H$2:$H$1166),0)),"Unknown"),H449)</f>
        <v>KYC</v>
      </c>
      <c r="Z449" s="7" t="str">
        <f t="shared" si="45"/>
        <v>Internal</v>
      </c>
      <c r="AA449" s="7">
        <f>IF(J449="",AVERAGE($J:$J),J449)</f>
        <v>11447.31</v>
      </c>
      <c r="AB449" s="7">
        <f>IF(N449="",AVERAGE($N:$N),N449)</f>
        <v>75</v>
      </c>
      <c r="AC449" s="7">
        <f t="shared" si="46"/>
        <v>2021</v>
      </c>
      <c r="AD449" s="7">
        <f t="shared" si="47"/>
        <v>4</v>
      </c>
      <c r="AE449" s="7">
        <f>COUNTIF(A:A,A449)</f>
        <v>1</v>
      </c>
      <c r="AF449" s="7" t="str">
        <f t="shared" si="48"/>
        <v>No</v>
      </c>
    </row>
    <row r="450" spans="1:32">
      <c r="A450" t="s">
        <v>1557</v>
      </c>
      <c r="C450" t="s">
        <v>1558</v>
      </c>
      <c r="D450" t="s">
        <v>678</v>
      </c>
      <c r="E450" t="s">
        <v>20</v>
      </c>
      <c r="F450" t="s">
        <v>45</v>
      </c>
      <c r="G450" t="s">
        <v>53</v>
      </c>
      <c r="H450" t="s">
        <v>38</v>
      </c>
      <c r="I450" t="s">
        <v>3378</v>
      </c>
      <c r="J450">
        <v>2446.61</v>
      </c>
      <c r="K450" t="s">
        <v>39</v>
      </c>
      <c r="L450" t="s">
        <v>81</v>
      </c>
      <c r="M450" s="1">
        <v>44030.845833333333</v>
      </c>
      <c r="N450">
        <v>56</v>
      </c>
      <c r="O450" t="s">
        <v>23</v>
      </c>
      <c r="P450" t="s">
        <v>55</v>
      </c>
      <c r="Q450" t="s">
        <v>1559</v>
      </c>
      <c r="R450">
        <f t="shared" ref="R450:R513" si="49">IF(B450="",0,B450)</f>
        <v>0</v>
      </c>
      <c r="S450" t="str" cm="1">
        <f t="array" ref="S450">IF(C450="",IFERROR(INDEX($C$2:$C$1166,MATCH(MAX(COUNTIF($C$2:$C$1166,$C$2:$C$1166)),COUNTIF($C$2:$C$1166,$C$2:$C$1166),0)),"Unknown"),C450)</f>
        <v>Lucas Brown</v>
      </c>
      <c r="T450" s="4" t="str" cm="1">
        <f t="array" ref="T450">IF(D450="",IFERROR(INDEX($D$2:$D$1000,MATCH(MAX(COUNTIF($D$2:$D$1166,$D$2:$D$1166)),COUNTIF($D$2:$D$1166,$D$2:$D$1166),0)),"Unknown"),D450)</f>
        <v>Karen Gonzalez</v>
      </c>
      <c r="U450" t="str">
        <f t="shared" ref="U450:V513" si="50">TRIM(F450)</f>
        <v>ZAR</v>
      </c>
      <c r="V450" s="7" t="str">
        <f t="shared" si="50"/>
        <v>AED</v>
      </c>
      <c r="W450" s="7" t="str">
        <f t="shared" ref="W450:X513" si="51">TRIM(O450)</f>
        <v>France</v>
      </c>
      <c r="X450" s="7" t="str">
        <f t="shared" si="51"/>
        <v>UK</v>
      </c>
      <c r="Y450" s="7" t="str" cm="1">
        <f t="array" ref="Y450">IF(H450="",IFERROR(INDEX($H$2:$H$1166,MATCH(MAX(COUNTIF($H$2:$H$1166,$H$2:$H$1166)),COUNTIF($H$2:$H$1166,$H$2:$H$1166),0)),"Unknown"),H450)</f>
        <v>Pending</v>
      </c>
      <c r="Z450" s="7" t="str">
        <f t="shared" ref="Z450:Z513" si="52">PROPER(I450)</f>
        <v>Inter-Transaction</v>
      </c>
      <c r="AA450" s="7">
        <f>IF(J450="",AVERAGE($J:$J),J450)</f>
        <v>2446.61</v>
      </c>
      <c r="AB450" s="7">
        <f>IF(N450="",AVERAGE($N:$N),N450)</f>
        <v>56</v>
      </c>
      <c r="AC450" s="7">
        <f t="shared" ref="AC450:AC513" si="53">YEAR(M450)</f>
        <v>2020</v>
      </c>
      <c r="AD450" s="7">
        <f t="shared" ref="AD450:AD513" si="54">MONTH(M450)</f>
        <v>7</v>
      </c>
      <c r="AE450" s="7">
        <f>COUNTIF(A:A,A450)</f>
        <v>1</v>
      </c>
      <c r="AF450" s="7" t="str">
        <f t="shared" ref="AF450:AF513" si="55">IF(E450="","",IF(OR(E450="Yes",E450="Y",E450="TRUE",E450=1),"Yes","No"))</f>
        <v>No</v>
      </c>
    </row>
    <row r="451" spans="1:32">
      <c r="A451" t="s">
        <v>1560</v>
      </c>
      <c r="C451" t="s">
        <v>1561</v>
      </c>
      <c r="D451" t="s">
        <v>1562</v>
      </c>
      <c r="E451" t="s">
        <v>20</v>
      </c>
      <c r="F451" t="s">
        <v>53</v>
      </c>
      <c r="G451" t="s">
        <v>45</v>
      </c>
      <c r="I451" t="s">
        <v>3378</v>
      </c>
      <c r="J451">
        <v>12541.64</v>
      </c>
      <c r="K451" t="s">
        <v>47</v>
      </c>
      <c r="L451" t="s">
        <v>81</v>
      </c>
      <c r="M451" s="1">
        <v>44201.165972222225</v>
      </c>
      <c r="N451">
        <v>31</v>
      </c>
      <c r="O451" t="s">
        <v>55</v>
      </c>
      <c r="P451" t="s">
        <v>93</v>
      </c>
      <c r="Q451" t="s">
        <v>1563</v>
      </c>
      <c r="R451">
        <f t="shared" si="49"/>
        <v>0</v>
      </c>
      <c r="S451" t="str" cm="1">
        <f t="array" ref="S451">IF(C451="",IFERROR(INDEX($C$2:$C$1166,MATCH(MAX(COUNTIF($C$2:$C$1166,$C$2:$C$1166)),COUNTIF($C$2:$C$1166,$C$2:$C$1166),0)),"Unknown"),C451)</f>
        <v xml:space="preserve">  CHRISTOPHER GONZALEZ </v>
      </c>
      <c r="T451" s="4" t="str" cm="1">
        <f t="array" ref="T451">IF(D451="",IFERROR(INDEX($D$2:$D$1000,MATCH(MAX(COUNTIF($D$2:$D$1166,$D$2:$D$1166)),COUNTIF($D$2:$D$1166,$D$2:$D$1166),0)),"Unknown"),D451)</f>
        <v>Mary Martin</v>
      </c>
      <c r="U451" t="str">
        <f t="shared" si="50"/>
        <v>AED</v>
      </c>
      <c r="V451" s="7" t="str">
        <f t="shared" si="50"/>
        <v>ZAR</v>
      </c>
      <c r="W451" s="7" t="str">
        <f t="shared" si="51"/>
        <v>UK</v>
      </c>
      <c r="X451" s="7" t="str">
        <f t="shared" si="51"/>
        <v>USA</v>
      </c>
      <c r="Y451" s="7" t="str" cm="1">
        <f t="array" ref="Y451">IF(H451="",IFERROR(INDEX($H$2:$H$1166,MATCH(MAX(COUNTIF($H$2:$H$1166,$H$2:$H$1166)),COUNTIF($H$2:$H$1166,$H$2:$H$1166),0)),"Unknown"),H451)</f>
        <v>Pending</v>
      </c>
      <c r="Z451" s="7" t="str">
        <f t="shared" si="52"/>
        <v>Inter-Transaction</v>
      </c>
      <c r="AA451" s="7">
        <f>IF(J451="",AVERAGE($J:$J),J451)</f>
        <v>12541.64</v>
      </c>
      <c r="AB451" s="7">
        <f>IF(N451="",AVERAGE($N:$N),N451)</f>
        <v>31</v>
      </c>
      <c r="AC451" s="7">
        <f t="shared" si="53"/>
        <v>2021</v>
      </c>
      <c r="AD451" s="7">
        <f t="shared" si="54"/>
        <v>1</v>
      </c>
      <c r="AE451" s="7">
        <f>COUNTIF(A:A,A451)</f>
        <v>1</v>
      </c>
      <c r="AF451" s="7" t="str">
        <f t="shared" si="55"/>
        <v>No</v>
      </c>
    </row>
    <row r="452" spans="1:32">
      <c r="A452" t="s">
        <v>1564</v>
      </c>
      <c r="C452" t="s">
        <v>854</v>
      </c>
      <c r="D452" t="s">
        <v>1565</v>
      </c>
      <c r="E452" t="s">
        <v>20</v>
      </c>
      <c r="F452" t="s">
        <v>35</v>
      </c>
      <c r="G452" t="s">
        <v>44</v>
      </c>
      <c r="I452" t="s">
        <v>3371</v>
      </c>
      <c r="J452">
        <v>2212.06</v>
      </c>
      <c r="K452" t="s">
        <v>27</v>
      </c>
      <c r="L452" t="s">
        <v>28</v>
      </c>
      <c r="M452" s="1">
        <v>44844.322222222225</v>
      </c>
      <c r="N452">
        <v>22</v>
      </c>
      <c r="O452" t="s">
        <v>55</v>
      </c>
      <c r="P452" t="s">
        <v>68</v>
      </c>
      <c r="Q452" t="s">
        <v>1566</v>
      </c>
      <c r="R452">
        <f t="shared" si="49"/>
        <v>0</v>
      </c>
      <c r="S452" t="str" cm="1">
        <f t="array" ref="S452">IF(C452="",IFERROR(INDEX($C$2:$C$1166,MATCH(MAX(COUNTIF($C$2:$C$1166,$C$2:$C$1166)),COUNTIF($C$2:$C$1166,$C$2:$C$1166),0)),"Unknown"),C452)</f>
        <v>Robert Rodriguez</v>
      </c>
      <c r="T452" s="4" t="str" cm="1">
        <f t="array" ref="T452">IF(D452="",IFERROR(INDEX($D$2:$D$1000,MATCH(MAX(COUNTIF($D$2:$D$1166,$D$2:$D$1166)),COUNTIF($D$2:$D$1166,$D$2:$D$1166),0)),"Unknown"),D452)</f>
        <v>Carlos Martin</v>
      </c>
      <c r="U452" t="str">
        <f t="shared" si="50"/>
        <v>EUR</v>
      </c>
      <c r="V452" s="7" t="str">
        <f t="shared" si="50"/>
        <v>SGD</v>
      </c>
      <c r="W452" s="7" t="str">
        <f t="shared" si="51"/>
        <v>UK</v>
      </c>
      <c r="X452" s="7" t="str">
        <f t="shared" si="51"/>
        <v>UAE</v>
      </c>
      <c r="Y452" s="7" t="str" cm="1">
        <f t="array" ref="Y452">IF(H452="",IFERROR(INDEX($H$2:$H$1166,MATCH(MAX(COUNTIF($H$2:$H$1166,$H$2:$H$1166)),COUNTIF($H$2:$H$1166,$H$2:$H$1166),0)),"Unknown"),H452)</f>
        <v>Pending</v>
      </c>
      <c r="Z452" s="7" t="str">
        <f t="shared" si="52"/>
        <v>Outer-Transaction</v>
      </c>
      <c r="AA452" s="7">
        <f>IF(J452="",AVERAGE($J:$J),J452)</f>
        <v>2212.06</v>
      </c>
      <c r="AB452" s="7">
        <f>IF(N452="",AVERAGE($N:$N),N452)</f>
        <v>22</v>
      </c>
      <c r="AC452" s="7">
        <f t="shared" si="53"/>
        <v>2022</v>
      </c>
      <c r="AD452" s="7">
        <f t="shared" si="54"/>
        <v>10</v>
      </c>
      <c r="AE452" s="7">
        <f>COUNTIF(A:A,A452)</f>
        <v>1</v>
      </c>
      <c r="AF452" s="7" t="str">
        <f t="shared" si="55"/>
        <v>No</v>
      </c>
    </row>
    <row r="453" spans="1:32">
      <c r="A453" t="s">
        <v>1567</v>
      </c>
      <c r="B453">
        <v>18162164</v>
      </c>
      <c r="C453" t="s">
        <v>1568</v>
      </c>
      <c r="E453" t="s">
        <v>20</v>
      </c>
      <c r="F453" t="s">
        <v>34</v>
      </c>
      <c r="G453" t="s">
        <v>98</v>
      </c>
      <c r="H453" t="s">
        <v>38</v>
      </c>
      <c r="I453" t="s">
        <v>3377</v>
      </c>
      <c r="J453">
        <v>3562.31</v>
      </c>
      <c r="K453" t="s">
        <v>57</v>
      </c>
      <c r="L453" t="s">
        <v>75</v>
      </c>
      <c r="M453" s="1">
        <v>45813.130555555559</v>
      </c>
      <c r="N453">
        <v>52</v>
      </c>
      <c r="O453" t="s">
        <v>93</v>
      </c>
      <c r="P453" t="s">
        <v>127</v>
      </c>
      <c r="Q453" t="s">
        <v>1569</v>
      </c>
      <c r="R453">
        <f t="shared" si="49"/>
        <v>18162164</v>
      </c>
      <c r="S453" t="str" cm="1">
        <f t="array" ref="S453">IF(C453="",IFERROR(INDEX($C$2:$C$1166,MATCH(MAX(COUNTIF($C$2:$C$1166,$C$2:$C$1166)),COUNTIF($C$2:$C$1166,$C$2:$C$1166),0)),"Unknown"),C453)</f>
        <v>Elena Rodriguez</v>
      </c>
      <c r="T453" s="4" t="str" cm="1">
        <f t="array" ref="T453">IF(D453="",IFERROR(INDEX($D$2:$D$1000,MATCH(MAX(COUNTIF($D$2:$D$1166,$D$2:$D$1166)),COUNTIF($D$2:$D$1166,$D$2:$D$1166),0)),"Unknown"),D453)</f>
        <v>Patricia Smith</v>
      </c>
      <c r="U453" t="str">
        <f t="shared" si="50"/>
        <v>CAD</v>
      </c>
      <c r="V453" s="7" t="str">
        <f t="shared" si="50"/>
        <v>JPY</v>
      </c>
      <c r="W453" s="7" t="str">
        <f t="shared" si="51"/>
        <v>USA</v>
      </c>
      <c r="X453" s="7" t="str">
        <f t="shared" si="51"/>
        <v>Canada</v>
      </c>
      <c r="Y453" s="7" t="str" cm="1">
        <f t="array" ref="Y453">IF(H453="",IFERROR(INDEX($H$2:$H$1166,MATCH(MAX(COUNTIF($H$2:$H$1166,$H$2:$H$1166)),COUNTIF($H$2:$H$1166,$H$2:$H$1166),0)),"Unknown"),H453)</f>
        <v>Pending</v>
      </c>
      <c r="Z453" s="7" t="str">
        <f t="shared" si="52"/>
        <v>Inter-Transaction</v>
      </c>
      <c r="AA453" s="7">
        <f>IF(J453="",AVERAGE($J:$J),J453)</f>
        <v>3562.31</v>
      </c>
      <c r="AB453" s="7">
        <f>IF(N453="",AVERAGE($N:$N),N453)</f>
        <v>52</v>
      </c>
      <c r="AC453" s="7">
        <f t="shared" si="53"/>
        <v>2025</v>
      </c>
      <c r="AD453" s="7">
        <f t="shared" si="54"/>
        <v>6</v>
      </c>
      <c r="AE453" s="7">
        <f>COUNTIF(A:A,A453)</f>
        <v>1</v>
      </c>
      <c r="AF453" s="7" t="str">
        <f t="shared" si="55"/>
        <v>No</v>
      </c>
    </row>
    <row r="454" spans="1:32">
      <c r="A454" t="s">
        <v>1570</v>
      </c>
      <c r="B454">
        <v>97507034</v>
      </c>
      <c r="C454" t="s">
        <v>715</v>
      </c>
      <c r="D454" t="s">
        <v>1571</v>
      </c>
      <c r="E454" t="b">
        <v>0</v>
      </c>
      <c r="F454" t="s">
        <v>34</v>
      </c>
      <c r="G454" t="s">
        <v>80</v>
      </c>
      <c r="H454" t="s">
        <v>103</v>
      </c>
      <c r="I454" t="s">
        <v>3376</v>
      </c>
      <c r="J454">
        <v>10739.36</v>
      </c>
      <c r="K454" t="s">
        <v>27</v>
      </c>
      <c r="L454" t="s">
        <v>75</v>
      </c>
      <c r="M454" s="1">
        <v>45302.347916666666</v>
      </c>
      <c r="N454">
        <v>35</v>
      </c>
      <c r="O454" t="s">
        <v>23</v>
      </c>
      <c r="P454" t="s">
        <v>93</v>
      </c>
      <c r="Q454" t="s">
        <v>1572</v>
      </c>
      <c r="R454">
        <f t="shared" si="49"/>
        <v>97507034</v>
      </c>
      <c r="S454" t="str" cm="1">
        <f t="array" ref="S454">IF(C454="",IFERROR(INDEX($C$2:$C$1166,MATCH(MAX(COUNTIF($C$2:$C$1166,$C$2:$C$1166)),COUNTIF($C$2:$C$1166,$C$2:$C$1166),0)),"Unknown"),C454)</f>
        <v>Susan Thomas</v>
      </c>
      <c r="T454" s="4" t="str" cm="1">
        <f t="array" ref="T454">IF(D454="",IFERROR(INDEX($D$2:$D$1000,MATCH(MAX(COUNTIF($D$2:$D$1166,$D$2:$D$1166)),COUNTIF($D$2:$D$1166,$D$2:$D$1166),0)),"Unknown"),D454)</f>
        <v>Barbara Martin</v>
      </c>
      <c r="U454" t="str">
        <f t="shared" si="50"/>
        <v>CAD</v>
      </c>
      <c r="V454" s="7" t="str">
        <f t="shared" si="50"/>
        <v>USD</v>
      </c>
      <c r="W454" s="7" t="str">
        <f t="shared" si="51"/>
        <v>France</v>
      </c>
      <c r="X454" s="7" t="str">
        <f t="shared" si="51"/>
        <v>USA</v>
      </c>
      <c r="Y454" s="7" t="str" cm="1">
        <f t="array" ref="Y454">IF(H454="",IFERROR(INDEX($H$2:$H$1166,MATCH(MAX(COUNTIF($H$2:$H$1166,$H$2:$H$1166)),COUNTIF($H$2:$H$1166,$H$2:$H$1166),0)),"Unknown"),H454)</f>
        <v>Verified</v>
      </c>
      <c r="Z454" s="7" t="str">
        <f t="shared" si="52"/>
        <v>Internal</v>
      </c>
      <c r="AA454" s="7">
        <f>IF(J454="",AVERAGE($J:$J),J454)</f>
        <v>10739.36</v>
      </c>
      <c r="AB454" s="7">
        <f>IF(N454="",AVERAGE($N:$N),N454)</f>
        <v>35</v>
      </c>
      <c r="AC454" s="7">
        <f t="shared" si="53"/>
        <v>2024</v>
      </c>
      <c r="AD454" s="7">
        <f t="shared" si="54"/>
        <v>1</v>
      </c>
      <c r="AE454" s="7">
        <f>COUNTIF(A:A,A454)</f>
        <v>1</v>
      </c>
      <c r="AF454" s="7" t="str">
        <f t="shared" si="55"/>
        <v>No</v>
      </c>
    </row>
    <row r="455" spans="1:32">
      <c r="A455" t="s">
        <v>1573</v>
      </c>
      <c r="B455">
        <v>40142752</v>
      </c>
      <c r="C455" t="s">
        <v>1574</v>
      </c>
      <c r="D455" t="s">
        <v>1575</v>
      </c>
      <c r="E455" t="s">
        <v>20</v>
      </c>
      <c r="F455" t="s">
        <v>92</v>
      </c>
      <c r="G455" t="s">
        <v>98</v>
      </c>
      <c r="H455" t="s">
        <v>38</v>
      </c>
      <c r="I455" t="s">
        <v>3376</v>
      </c>
      <c r="J455">
        <v>6620.85</v>
      </c>
      <c r="K455" t="s">
        <v>57</v>
      </c>
      <c r="L455" t="s">
        <v>48</v>
      </c>
      <c r="M455" s="1">
        <v>44078.71597222222</v>
      </c>
      <c r="N455">
        <v>26</v>
      </c>
      <c r="O455" t="s">
        <v>37</v>
      </c>
      <c r="P455" t="s">
        <v>62</v>
      </c>
      <c r="Q455" t="s">
        <v>1576</v>
      </c>
      <c r="R455">
        <f t="shared" si="49"/>
        <v>40142752</v>
      </c>
      <c r="S455" t="str" cm="1">
        <f t="array" ref="S455">IF(C455="",IFERROR(INDEX($C$2:$C$1166,MATCH(MAX(COUNTIF($C$2:$C$1166,$C$2:$C$1166)),COUNTIF($C$2:$C$1166,$C$2:$C$1166),0)),"Unknown"),C455)</f>
        <v xml:space="preserve">  CHRISTOPHER TAYLOR </v>
      </c>
      <c r="T455" s="4" t="str" cm="1">
        <f t="array" ref="T455">IF(D455="",IFERROR(INDEX($D$2:$D$1000,MATCH(MAX(COUNTIF($D$2:$D$1166,$D$2:$D$1166)),COUNTIF($D$2:$D$1166,$D$2:$D$1166),0)),"Unknown"),D455)</f>
        <v>Christopher Nair</v>
      </c>
      <c r="U455" t="str">
        <f t="shared" si="50"/>
        <v>AUD</v>
      </c>
      <c r="V455" s="7" t="str">
        <f t="shared" si="50"/>
        <v>JPY</v>
      </c>
      <c r="W455" s="7" t="str">
        <f t="shared" si="51"/>
        <v>South Africa</v>
      </c>
      <c r="X455" s="7" t="str">
        <f t="shared" si="51"/>
        <v>Australia</v>
      </c>
      <c r="Y455" s="7" t="str" cm="1">
        <f t="array" ref="Y455">IF(H455="",IFERROR(INDEX($H$2:$H$1166,MATCH(MAX(COUNTIF($H$2:$H$1166,$H$2:$H$1166)),COUNTIF($H$2:$H$1166,$H$2:$H$1166),0)),"Unknown"),H455)</f>
        <v>Pending</v>
      </c>
      <c r="Z455" s="7" t="str">
        <f t="shared" si="52"/>
        <v>Internal</v>
      </c>
      <c r="AA455" s="7">
        <f>IF(J455="",AVERAGE($J:$J),J455)</f>
        <v>6620.85</v>
      </c>
      <c r="AB455" s="7">
        <f>IF(N455="",AVERAGE($N:$N),N455)</f>
        <v>26</v>
      </c>
      <c r="AC455" s="7">
        <f t="shared" si="53"/>
        <v>2020</v>
      </c>
      <c r="AD455" s="7">
        <f t="shared" si="54"/>
        <v>9</v>
      </c>
      <c r="AE455" s="7">
        <f>COUNTIF(A:A,A455)</f>
        <v>1</v>
      </c>
      <c r="AF455" s="7" t="str">
        <f t="shared" si="55"/>
        <v>No</v>
      </c>
    </row>
    <row r="456" spans="1:32">
      <c r="A456" t="s">
        <v>1577</v>
      </c>
      <c r="B456">
        <v>42352710</v>
      </c>
      <c r="C456" t="s">
        <v>1578</v>
      </c>
      <c r="D456" t="s">
        <v>1579</v>
      </c>
      <c r="E456" t="s">
        <v>20</v>
      </c>
      <c r="F456" t="s">
        <v>34</v>
      </c>
      <c r="G456" t="s">
        <v>98</v>
      </c>
      <c r="H456" t="s">
        <v>56</v>
      </c>
      <c r="I456" t="s">
        <v>3371</v>
      </c>
      <c r="J456">
        <v>8544.44</v>
      </c>
      <c r="K456" t="s">
        <v>47</v>
      </c>
      <c r="L456" t="s">
        <v>48</v>
      </c>
      <c r="M456" s="1">
        <v>44618.404166666667</v>
      </c>
      <c r="N456">
        <v>75</v>
      </c>
      <c r="O456" t="s">
        <v>37</v>
      </c>
      <c r="P456" t="s">
        <v>23</v>
      </c>
      <c r="Q456" t="s">
        <v>1580</v>
      </c>
      <c r="R456">
        <f t="shared" si="49"/>
        <v>42352710</v>
      </c>
      <c r="S456" t="str" cm="1">
        <f t="array" ref="S456">IF(C456="",IFERROR(INDEX($C$2:$C$1166,MATCH(MAX(COUNTIF($C$2:$C$1166,$C$2:$C$1166)),COUNTIF($C$2:$C$1166,$C$2:$C$1166),0)),"Unknown"),C456)</f>
        <v>Thomas Al-Sayed</v>
      </c>
      <c r="T456" s="4" t="str" cm="1">
        <f t="array" ref="T456">IF(D456="",IFERROR(INDEX($D$2:$D$1000,MATCH(MAX(COUNTIF($D$2:$D$1166,$D$2:$D$1166)),COUNTIF($D$2:$D$1166,$D$2:$D$1166),0)),"Unknown"),D456)</f>
        <v>Carlos Wilson</v>
      </c>
      <c r="U456" t="str">
        <f t="shared" si="50"/>
        <v>CAD</v>
      </c>
      <c r="V456" s="7" t="str">
        <f t="shared" si="50"/>
        <v>JPY</v>
      </c>
      <c r="W456" s="7" t="str">
        <f t="shared" si="51"/>
        <v>South Africa</v>
      </c>
      <c r="X456" s="7" t="str">
        <f t="shared" si="51"/>
        <v>France</v>
      </c>
      <c r="Y456" s="7" t="str" cm="1">
        <f t="array" ref="Y456">IF(H456="",IFERROR(INDEX($H$2:$H$1166,MATCH(MAX(COUNTIF($H$2:$H$1166,$H$2:$H$1166)),COUNTIF($H$2:$H$1166,$H$2:$H$1166),0)),"Unknown"),H456)</f>
        <v>Unverified</v>
      </c>
      <c r="Z456" s="7" t="str">
        <f t="shared" si="52"/>
        <v>Outer-Transaction</v>
      </c>
      <c r="AA456" s="7">
        <f>IF(J456="",AVERAGE($J:$J),J456)</f>
        <v>8544.44</v>
      </c>
      <c r="AB456" s="7">
        <f>IF(N456="",AVERAGE($N:$N),N456)</f>
        <v>75</v>
      </c>
      <c r="AC456" s="7">
        <f t="shared" si="53"/>
        <v>2022</v>
      </c>
      <c r="AD456" s="7">
        <f t="shared" si="54"/>
        <v>2</v>
      </c>
      <c r="AE456" s="7">
        <f>COUNTIF(A:A,A456)</f>
        <v>1</v>
      </c>
      <c r="AF456" s="7" t="str">
        <f t="shared" si="55"/>
        <v>No</v>
      </c>
    </row>
    <row r="457" spans="1:32">
      <c r="A457" t="s">
        <v>1581</v>
      </c>
      <c r="B457">
        <v>77783433</v>
      </c>
      <c r="C457" t="s">
        <v>700</v>
      </c>
      <c r="D457" t="s">
        <v>376</v>
      </c>
      <c r="E457" t="s">
        <v>20</v>
      </c>
      <c r="F457" t="s">
        <v>121</v>
      </c>
      <c r="G457" t="s">
        <v>21</v>
      </c>
      <c r="H457" t="s">
        <v>56</v>
      </c>
      <c r="I457" t="s">
        <v>3374</v>
      </c>
      <c r="J457">
        <v>1523.92</v>
      </c>
      <c r="K457" t="s">
        <v>86</v>
      </c>
      <c r="L457" t="s">
        <v>81</v>
      </c>
      <c r="M457" s="1">
        <v>46142.255555555559</v>
      </c>
      <c r="N457">
        <v>34</v>
      </c>
      <c r="O457" t="s">
        <v>93</v>
      </c>
      <c r="P457" t="s">
        <v>36</v>
      </c>
      <c r="Q457" t="s">
        <v>1582</v>
      </c>
      <c r="R457">
        <f t="shared" si="49"/>
        <v>77783433</v>
      </c>
      <c r="S457" t="str" cm="1">
        <f t="array" ref="S457">IF(C457="",IFERROR(INDEX($C$2:$C$1166,MATCH(MAX(COUNTIF($C$2:$C$1166,$C$2:$C$1166)),COUNTIF($C$2:$C$1166,$C$2:$C$1166),0)),"Unknown"),C457)</f>
        <v>Michael Jackson</v>
      </c>
      <c r="T457" s="4" t="str" cm="1">
        <f t="array" ref="T457">IF(D457="",IFERROR(INDEX($D$2:$D$1000,MATCH(MAX(COUNTIF($D$2:$D$1166,$D$2:$D$1166)),COUNTIF($D$2:$D$1166,$D$2:$D$1166),0)),"Unknown"),D457)</f>
        <v>Sarah Nair</v>
      </c>
      <c r="U457" t="str">
        <f t="shared" si="50"/>
        <v>INR</v>
      </c>
      <c r="V457" s="7" t="str">
        <f t="shared" si="50"/>
        <v>GBP</v>
      </c>
      <c r="W457" s="7" t="str">
        <f t="shared" si="51"/>
        <v>USA</v>
      </c>
      <c r="X457" s="7" t="str">
        <f t="shared" si="51"/>
        <v>Germany</v>
      </c>
      <c r="Y457" s="7" t="str" cm="1">
        <f t="array" ref="Y457">IF(H457="",IFERROR(INDEX($H$2:$H$1166,MATCH(MAX(COUNTIF($H$2:$H$1166,$H$2:$H$1166)),COUNTIF($H$2:$H$1166,$H$2:$H$1166),0)),"Unknown"),H457)</f>
        <v>Unverified</v>
      </c>
      <c r="Z457" s="7" t="str">
        <f t="shared" si="52"/>
        <v>External</v>
      </c>
      <c r="AA457" s="7">
        <f>IF(J457="",AVERAGE($J:$J),J457)</f>
        <v>1523.92</v>
      </c>
      <c r="AB457" s="7">
        <f>IF(N457="",AVERAGE($N:$N),N457)</f>
        <v>34</v>
      </c>
      <c r="AC457" s="7">
        <f t="shared" si="53"/>
        <v>2026</v>
      </c>
      <c r="AD457" s="7">
        <f t="shared" si="54"/>
        <v>4</v>
      </c>
      <c r="AE457" s="7">
        <f>COUNTIF(A:A,A457)</f>
        <v>1</v>
      </c>
      <c r="AF457" s="7" t="str">
        <f t="shared" si="55"/>
        <v>No</v>
      </c>
    </row>
    <row r="458" spans="1:32">
      <c r="A458" t="s">
        <v>1583</v>
      </c>
      <c r="B458">
        <v>63998141</v>
      </c>
      <c r="C458" t="s">
        <v>1584</v>
      </c>
      <c r="D458" t="s">
        <v>435</v>
      </c>
      <c r="E458" t="s">
        <v>3375</v>
      </c>
      <c r="F458" t="s">
        <v>34</v>
      </c>
      <c r="G458" t="s">
        <v>34</v>
      </c>
      <c r="H458" t="s">
        <v>103</v>
      </c>
      <c r="I458" t="s">
        <v>3372</v>
      </c>
      <c r="J458">
        <v>13661.01</v>
      </c>
      <c r="K458" t="s">
        <v>39</v>
      </c>
      <c r="L458" t="s">
        <v>81</v>
      </c>
      <c r="M458" s="1">
        <v>45909.220833333333</v>
      </c>
      <c r="N458">
        <v>24</v>
      </c>
      <c r="O458" t="s">
        <v>37</v>
      </c>
      <c r="P458" t="s">
        <v>36</v>
      </c>
      <c r="Q458" t="s">
        <v>1585</v>
      </c>
      <c r="R458">
        <f t="shared" si="49"/>
        <v>63998141</v>
      </c>
      <c r="S458" t="str" cm="1">
        <f t="array" ref="S458">IF(C458="",IFERROR(INDEX($C$2:$C$1166,MATCH(MAX(COUNTIF($C$2:$C$1166,$C$2:$C$1166)),COUNTIF($C$2:$C$1166,$C$2:$C$1166),0)),"Unknown"),C458)</f>
        <v xml:space="preserve">  ELENA MOORE </v>
      </c>
      <c r="T458" s="4" t="str" cm="1">
        <f t="array" ref="T458">IF(D458="",IFERROR(INDEX($D$2:$D$1000,MATCH(MAX(COUNTIF($D$2:$D$1166,$D$2:$D$1166)),COUNTIF($D$2:$D$1166,$D$2:$D$1166),0)),"Unknown"),D458)</f>
        <v>Elizabeth Rostova</v>
      </c>
      <c r="U458" t="str">
        <f t="shared" si="50"/>
        <v>CAD</v>
      </c>
      <c r="V458" s="7" t="str">
        <f t="shared" si="50"/>
        <v>CAD</v>
      </c>
      <c r="W458" s="7" t="str">
        <f t="shared" si="51"/>
        <v>South Africa</v>
      </c>
      <c r="X458" s="7" t="str">
        <f t="shared" si="51"/>
        <v>Germany</v>
      </c>
      <c r="Y458" s="7" t="str" cm="1">
        <f t="array" ref="Y458">IF(H458="",IFERROR(INDEX($H$2:$H$1166,MATCH(MAX(COUNTIF($H$2:$H$1166,$H$2:$H$1166)),COUNTIF($H$2:$H$1166,$H$2:$H$1166),0)),"Unknown"),H458)</f>
        <v>Verified</v>
      </c>
      <c r="Z458" s="7" t="str">
        <f t="shared" si="52"/>
        <v>Outer-Transaction</v>
      </c>
      <c r="AA458" s="7">
        <f>IF(J458="",AVERAGE($J:$J),J458)</f>
        <v>13661.01</v>
      </c>
      <c r="AB458" s="7">
        <f>IF(N458="",AVERAGE($N:$N),N458)</f>
        <v>24</v>
      </c>
      <c r="AC458" s="7">
        <f t="shared" si="53"/>
        <v>2025</v>
      </c>
      <c r="AD458" s="7">
        <f t="shared" si="54"/>
        <v>9</v>
      </c>
      <c r="AE458" s="7">
        <f>COUNTIF(A:A,A458)</f>
        <v>1</v>
      </c>
      <c r="AF458" s="7" t="str">
        <f t="shared" si="55"/>
        <v>No</v>
      </c>
    </row>
    <row r="459" spans="1:32">
      <c r="A459" t="s">
        <v>1586</v>
      </c>
      <c r="B459">
        <v>11044716</v>
      </c>
      <c r="C459" t="s">
        <v>1587</v>
      </c>
      <c r="D459" t="s">
        <v>1505</v>
      </c>
      <c r="E459" t="s">
        <v>20</v>
      </c>
      <c r="F459" t="s">
        <v>92</v>
      </c>
      <c r="G459" t="s">
        <v>34</v>
      </c>
      <c r="H459" t="s">
        <v>103</v>
      </c>
      <c r="I459" t="s">
        <v>3372</v>
      </c>
      <c r="J459">
        <v>5123.3500000000004</v>
      </c>
      <c r="K459" t="s">
        <v>27</v>
      </c>
      <c r="L459" t="s">
        <v>81</v>
      </c>
      <c r="M459" s="1">
        <v>45352.656944444447</v>
      </c>
      <c r="N459">
        <v>63</v>
      </c>
      <c r="O459" t="s">
        <v>68</v>
      </c>
      <c r="P459" t="s">
        <v>93</v>
      </c>
      <c r="Q459" t="s">
        <v>1588</v>
      </c>
      <c r="R459">
        <f t="shared" si="49"/>
        <v>11044716</v>
      </c>
      <c r="S459" t="str" cm="1">
        <f t="array" ref="S459">IF(C459="",IFERROR(INDEX($C$2:$C$1166,MATCH(MAX(COUNTIF($C$2:$C$1166,$C$2:$C$1166)),COUNTIF($C$2:$C$1166,$C$2:$C$1166),0)),"Unknown"),C459)</f>
        <v>Christopher Jackson</v>
      </c>
      <c r="T459" s="4" t="str" cm="1">
        <f t="array" ref="T459">IF(D459="",IFERROR(INDEX($D$2:$D$1000,MATCH(MAX(COUNTIF($D$2:$D$1166,$D$2:$D$1166)),COUNTIF($D$2:$D$1166,$D$2:$D$1166),0)),"Unknown"),D459)</f>
        <v>Susan Velez</v>
      </c>
      <c r="U459" t="str">
        <f t="shared" si="50"/>
        <v>AUD</v>
      </c>
      <c r="V459" s="7" t="str">
        <f t="shared" si="50"/>
        <v>CAD</v>
      </c>
      <c r="W459" s="7" t="str">
        <f t="shared" si="51"/>
        <v>UAE</v>
      </c>
      <c r="X459" s="7" t="str">
        <f t="shared" si="51"/>
        <v>USA</v>
      </c>
      <c r="Y459" s="7" t="str" cm="1">
        <f t="array" ref="Y459">IF(H459="",IFERROR(INDEX($H$2:$H$1166,MATCH(MAX(COUNTIF($H$2:$H$1166,$H$2:$H$1166)),COUNTIF($H$2:$H$1166,$H$2:$H$1166),0)),"Unknown"),H459)</f>
        <v>Verified</v>
      </c>
      <c r="Z459" s="7" t="str">
        <f t="shared" si="52"/>
        <v>Outer-Transaction</v>
      </c>
      <c r="AA459" s="7">
        <f>IF(J459="",AVERAGE($J:$J),J459)</f>
        <v>5123.3500000000004</v>
      </c>
      <c r="AB459" s="7">
        <f>IF(N459="",AVERAGE($N:$N),N459)</f>
        <v>63</v>
      </c>
      <c r="AC459" s="7">
        <f t="shared" si="53"/>
        <v>2024</v>
      </c>
      <c r="AD459" s="7">
        <f t="shared" si="54"/>
        <v>3</v>
      </c>
      <c r="AE459" s="7">
        <f>COUNTIF(A:A,A459)</f>
        <v>1</v>
      </c>
      <c r="AF459" s="7" t="str">
        <f t="shared" si="55"/>
        <v>No</v>
      </c>
    </row>
    <row r="460" spans="1:32">
      <c r="A460" t="s">
        <v>1589</v>
      </c>
      <c r="B460">
        <v>38277083</v>
      </c>
      <c r="C460" t="s">
        <v>1268</v>
      </c>
      <c r="D460" t="s">
        <v>1590</v>
      </c>
      <c r="E460" t="s">
        <v>20</v>
      </c>
      <c r="F460" t="s">
        <v>34</v>
      </c>
      <c r="G460" t="s">
        <v>35</v>
      </c>
      <c r="H460" t="s">
        <v>74</v>
      </c>
      <c r="I460" t="s">
        <v>3378</v>
      </c>
      <c r="J460">
        <v>14088.68</v>
      </c>
      <c r="K460" t="s">
        <v>57</v>
      </c>
      <c r="L460" t="s">
        <v>28</v>
      </c>
      <c r="M460" s="1">
        <v>45103.260416666664</v>
      </c>
      <c r="N460">
        <v>30</v>
      </c>
      <c r="O460" t="s">
        <v>24</v>
      </c>
      <c r="P460" t="s">
        <v>68</v>
      </c>
      <c r="Q460" t="s">
        <v>1591</v>
      </c>
      <c r="R460">
        <f t="shared" si="49"/>
        <v>38277083</v>
      </c>
      <c r="S460" t="str" cm="1">
        <f t="array" ref="S460">IF(C460="",IFERROR(INDEX($C$2:$C$1166,MATCH(MAX(COUNTIF($C$2:$C$1166,$C$2:$C$1166)),COUNTIF($C$2:$C$1166,$C$2:$C$1166),0)),"Unknown"),C460)</f>
        <v>Jessica Taylor</v>
      </c>
      <c r="T460" s="4" t="str" cm="1">
        <f t="array" ref="T460">IF(D460="",IFERROR(INDEX($D$2:$D$1000,MATCH(MAX(COUNTIF($D$2:$D$1166,$D$2:$D$1166)),COUNTIF($D$2:$D$1166,$D$2:$D$1166),0)),"Unknown"),D460)</f>
        <v>David Jackson</v>
      </c>
      <c r="U460" t="str">
        <f t="shared" si="50"/>
        <v>CAD</v>
      </c>
      <c r="V460" s="7" t="str">
        <f t="shared" si="50"/>
        <v>EUR</v>
      </c>
      <c r="W460" s="7" t="str">
        <f t="shared" si="51"/>
        <v>Brazil</v>
      </c>
      <c r="X460" s="7" t="str">
        <f t="shared" si="51"/>
        <v>UAE</v>
      </c>
      <c r="Y460" s="7" t="str" cm="1">
        <f t="array" ref="Y460">IF(H460="",IFERROR(INDEX($H$2:$H$1166,MATCH(MAX(COUNTIF($H$2:$H$1166,$H$2:$H$1166)),COUNTIF($H$2:$H$1166,$H$2:$H$1166),0)),"Unknown"),H460)</f>
        <v>Non-KYC</v>
      </c>
      <c r="Z460" s="7" t="str">
        <f t="shared" si="52"/>
        <v>Inter-Transaction</v>
      </c>
      <c r="AA460" s="7">
        <f>IF(J460="",AVERAGE($J:$J),J460)</f>
        <v>14088.68</v>
      </c>
      <c r="AB460" s="7">
        <f>IF(N460="",AVERAGE($N:$N),N460)</f>
        <v>30</v>
      </c>
      <c r="AC460" s="7">
        <f t="shared" si="53"/>
        <v>2023</v>
      </c>
      <c r="AD460" s="7">
        <f t="shared" si="54"/>
        <v>6</v>
      </c>
      <c r="AE460" s="7">
        <f>COUNTIF(A:A,A460)</f>
        <v>1</v>
      </c>
      <c r="AF460" s="7" t="str">
        <f t="shared" si="55"/>
        <v>No</v>
      </c>
    </row>
    <row r="461" spans="1:32">
      <c r="A461" t="s">
        <v>1592</v>
      </c>
      <c r="B461">
        <v>82454722</v>
      </c>
      <c r="C461" t="s">
        <v>1593</v>
      </c>
      <c r="D461" t="s">
        <v>728</v>
      </c>
      <c r="E461" t="s">
        <v>20</v>
      </c>
      <c r="F461" t="s">
        <v>80</v>
      </c>
      <c r="G461" t="s">
        <v>34</v>
      </c>
      <c r="H461" t="s">
        <v>56</v>
      </c>
      <c r="I461" t="s">
        <v>3378</v>
      </c>
      <c r="J461">
        <v>13770.75</v>
      </c>
      <c r="K461" t="s">
        <v>86</v>
      </c>
      <c r="L461" t="s">
        <v>81</v>
      </c>
      <c r="M461" s="1">
        <v>44435.177083333336</v>
      </c>
      <c r="N461">
        <v>57</v>
      </c>
      <c r="O461" t="s">
        <v>93</v>
      </c>
      <c r="P461" t="s">
        <v>62</v>
      </c>
      <c r="Q461" t="s">
        <v>1594</v>
      </c>
      <c r="R461">
        <f t="shared" si="49"/>
        <v>82454722</v>
      </c>
      <c r="S461" t="str" cm="1">
        <f t="array" ref="S461">IF(C461="",IFERROR(INDEX($C$2:$C$1166,MATCH(MAX(COUNTIF($C$2:$C$1166,$C$2:$C$1166)),COUNTIF($C$2:$C$1166,$C$2:$C$1166),0)),"Unknown"),C461)</f>
        <v>Karen Silva</v>
      </c>
      <c r="T461" s="4" t="str" cm="1">
        <f t="array" ref="T461">IF(D461="",IFERROR(INDEX($D$2:$D$1000,MATCH(MAX(COUNTIF($D$2:$D$1166,$D$2:$D$1166)),COUNTIF($D$2:$D$1166,$D$2:$D$1166),0)),"Unknown"),D461)</f>
        <v>William Smith</v>
      </c>
      <c r="U461" t="str">
        <f t="shared" si="50"/>
        <v>USD</v>
      </c>
      <c r="V461" s="7" t="str">
        <f t="shared" si="50"/>
        <v>CAD</v>
      </c>
      <c r="W461" s="7" t="str">
        <f t="shared" si="51"/>
        <v>USA</v>
      </c>
      <c r="X461" s="7" t="str">
        <f t="shared" si="51"/>
        <v>Australia</v>
      </c>
      <c r="Y461" s="7" t="str" cm="1">
        <f t="array" ref="Y461">IF(H461="",IFERROR(INDEX($H$2:$H$1166,MATCH(MAX(COUNTIF($H$2:$H$1166,$H$2:$H$1166)),COUNTIF($H$2:$H$1166,$H$2:$H$1166),0)),"Unknown"),H461)</f>
        <v>Unverified</v>
      </c>
      <c r="Z461" s="7" t="str">
        <f t="shared" si="52"/>
        <v>Inter-Transaction</v>
      </c>
      <c r="AA461" s="7">
        <f>IF(J461="",AVERAGE($J:$J),J461)</f>
        <v>13770.75</v>
      </c>
      <c r="AB461" s="7">
        <f>IF(N461="",AVERAGE($N:$N),N461)</f>
        <v>57</v>
      </c>
      <c r="AC461" s="7">
        <f t="shared" si="53"/>
        <v>2021</v>
      </c>
      <c r="AD461" s="7">
        <f t="shared" si="54"/>
        <v>8</v>
      </c>
      <c r="AE461" s="7">
        <f>COUNTIF(A:A,A461)</f>
        <v>1</v>
      </c>
      <c r="AF461" s="7" t="str">
        <f t="shared" si="55"/>
        <v>No</v>
      </c>
    </row>
    <row r="462" spans="1:32">
      <c r="A462" t="s">
        <v>1595</v>
      </c>
      <c r="B462">
        <v>39855629</v>
      </c>
      <c r="C462" t="s">
        <v>442</v>
      </c>
      <c r="D462" t="s">
        <v>570</v>
      </c>
      <c r="E462" t="s">
        <v>20</v>
      </c>
      <c r="F462" t="s">
        <v>53</v>
      </c>
      <c r="G462" t="s">
        <v>44</v>
      </c>
      <c r="H462" t="s">
        <v>25</v>
      </c>
      <c r="I462" t="s">
        <v>3372</v>
      </c>
      <c r="J462">
        <v>1515.58</v>
      </c>
      <c r="K462" t="s">
        <v>27</v>
      </c>
      <c r="L462" t="s">
        <v>75</v>
      </c>
      <c r="M462" s="1">
        <v>45520.034722222219</v>
      </c>
      <c r="N462">
        <v>59</v>
      </c>
      <c r="O462" t="s">
        <v>93</v>
      </c>
      <c r="P462" t="s">
        <v>37</v>
      </c>
      <c r="Q462" t="s">
        <v>1596</v>
      </c>
      <c r="R462">
        <f t="shared" si="49"/>
        <v>39855629</v>
      </c>
      <c r="S462" t="str" cm="1">
        <f t="array" ref="S462">IF(C462="",IFERROR(INDEX($C$2:$C$1166,MATCH(MAX(COUNTIF($C$2:$C$1166,$C$2:$C$1166)),COUNTIF($C$2:$C$1166,$C$2:$C$1166),0)),"Unknown"),C462)</f>
        <v>Fatima Williams</v>
      </c>
      <c r="T462" s="4" t="str" cm="1">
        <f t="array" ref="T462">IF(D462="",IFERROR(INDEX($D$2:$D$1000,MATCH(MAX(COUNTIF($D$2:$D$1166,$D$2:$D$1166)),COUNTIF($D$2:$D$1166,$D$2:$D$1166),0)),"Unknown"),D462)</f>
        <v>Richard Garcia</v>
      </c>
      <c r="U462" t="str">
        <f t="shared" si="50"/>
        <v>AED</v>
      </c>
      <c r="V462" s="7" t="str">
        <f t="shared" si="50"/>
        <v>SGD</v>
      </c>
      <c r="W462" s="7" t="str">
        <f t="shared" si="51"/>
        <v>USA</v>
      </c>
      <c r="X462" s="7" t="str">
        <f t="shared" si="51"/>
        <v>South Africa</v>
      </c>
      <c r="Y462" s="7" t="str" cm="1">
        <f t="array" ref="Y462">IF(H462="",IFERROR(INDEX($H$2:$H$1166,MATCH(MAX(COUNTIF($H$2:$H$1166,$H$2:$H$1166)),COUNTIF($H$2:$H$1166,$H$2:$H$1166),0)),"Unknown"),H462)</f>
        <v>KYC</v>
      </c>
      <c r="Z462" s="7" t="str">
        <f t="shared" si="52"/>
        <v>Outer-Transaction</v>
      </c>
      <c r="AA462" s="7">
        <f>IF(J462="",AVERAGE($J:$J),J462)</f>
        <v>1515.58</v>
      </c>
      <c r="AB462" s="7">
        <f>IF(N462="",AVERAGE($N:$N),N462)</f>
        <v>59</v>
      </c>
      <c r="AC462" s="7">
        <f t="shared" si="53"/>
        <v>2024</v>
      </c>
      <c r="AD462" s="7">
        <f t="shared" si="54"/>
        <v>8</v>
      </c>
      <c r="AE462" s="7">
        <f>COUNTIF(A:A,A462)</f>
        <v>1</v>
      </c>
      <c r="AF462" s="7" t="str">
        <f t="shared" si="55"/>
        <v>No</v>
      </c>
    </row>
    <row r="463" spans="1:32">
      <c r="A463" t="s">
        <v>1597</v>
      </c>
      <c r="B463">
        <v>39556025</v>
      </c>
      <c r="C463" t="s">
        <v>1598</v>
      </c>
      <c r="D463" t="s">
        <v>754</v>
      </c>
      <c r="E463" t="s">
        <v>20</v>
      </c>
      <c r="F463" t="s">
        <v>21</v>
      </c>
      <c r="G463" t="s">
        <v>22</v>
      </c>
      <c r="I463" t="s">
        <v>3374</v>
      </c>
      <c r="J463">
        <v>3220.69</v>
      </c>
      <c r="K463" t="s">
        <v>39</v>
      </c>
      <c r="L463" t="s">
        <v>28</v>
      </c>
      <c r="M463" s="1">
        <v>45248.193055555559</v>
      </c>
      <c r="N463">
        <v>26</v>
      </c>
      <c r="O463" t="s">
        <v>127</v>
      </c>
      <c r="P463" t="s">
        <v>68</v>
      </c>
      <c r="Q463" t="s">
        <v>1599</v>
      </c>
      <c r="R463">
        <f t="shared" si="49"/>
        <v>39556025</v>
      </c>
      <c r="S463" t="str" cm="1">
        <f t="array" ref="S463">IF(C463="",IFERROR(INDEX($C$2:$C$1166,MATCH(MAX(COUNTIF($C$2:$C$1166,$C$2:$C$1166)),COUNTIF($C$2:$C$1166,$C$2:$C$1166),0)),"Unknown"),C463)</f>
        <v>Marta Miller</v>
      </c>
      <c r="T463" s="4" t="str" cm="1">
        <f t="array" ref="T463">IF(D463="",IFERROR(INDEX($D$2:$D$1000,MATCH(MAX(COUNTIF($D$2:$D$1166,$D$2:$D$1166)),COUNTIF($D$2:$D$1166,$D$2:$D$1166),0)),"Unknown"),D463)</f>
        <v>David Thomas</v>
      </c>
      <c r="U463" t="str">
        <f t="shared" si="50"/>
        <v>GBP</v>
      </c>
      <c r="V463" s="7" t="str">
        <f t="shared" si="50"/>
        <v>BRL</v>
      </c>
      <c r="W463" s="7" t="str">
        <f t="shared" si="51"/>
        <v>Canada</v>
      </c>
      <c r="X463" s="7" t="str">
        <f t="shared" si="51"/>
        <v>UAE</v>
      </c>
      <c r="Y463" s="7" t="str" cm="1">
        <f t="array" ref="Y463">IF(H463="",IFERROR(INDEX($H$2:$H$1166,MATCH(MAX(COUNTIF($H$2:$H$1166,$H$2:$H$1166)),COUNTIF($H$2:$H$1166,$H$2:$H$1166),0)),"Unknown"),H463)</f>
        <v>Pending</v>
      </c>
      <c r="Z463" s="7" t="str">
        <f t="shared" si="52"/>
        <v>External</v>
      </c>
      <c r="AA463" s="7">
        <f>IF(J463="",AVERAGE($J:$J),J463)</f>
        <v>3220.69</v>
      </c>
      <c r="AB463" s="7">
        <f>IF(N463="",AVERAGE($N:$N),N463)</f>
        <v>26</v>
      </c>
      <c r="AC463" s="7">
        <f t="shared" si="53"/>
        <v>2023</v>
      </c>
      <c r="AD463" s="7">
        <f t="shared" si="54"/>
        <v>11</v>
      </c>
      <c r="AE463" s="7">
        <f>COUNTIF(A:A,A463)</f>
        <v>1</v>
      </c>
      <c r="AF463" s="7" t="str">
        <f t="shared" si="55"/>
        <v>No</v>
      </c>
    </row>
    <row r="464" spans="1:32">
      <c r="A464" t="s">
        <v>1600</v>
      </c>
      <c r="B464">
        <v>95592608</v>
      </c>
      <c r="C464" t="s">
        <v>715</v>
      </c>
      <c r="D464" t="s">
        <v>1601</v>
      </c>
      <c r="E464" t="s">
        <v>33</v>
      </c>
      <c r="F464" t="s">
        <v>53</v>
      </c>
      <c r="G464" t="s">
        <v>121</v>
      </c>
      <c r="H464" t="s">
        <v>38</v>
      </c>
      <c r="I464" t="s">
        <v>3372</v>
      </c>
      <c r="J464">
        <v>4438.3</v>
      </c>
      <c r="K464" t="s">
        <v>47</v>
      </c>
      <c r="L464" t="s">
        <v>28</v>
      </c>
      <c r="M464" s="1">
        <v>45651.786805555559</v>
      </c>
      <c r="N464">
        <v>67</v>
      </c>
      <c r="O464" t="s">
        <v>36</v>
      </c>
      <c r="P464" t="s">
        <v>54</v>
      </c>
      <c r="Q464" t="s">
        <v>1602</v>
      </c>
      <c r="R464">
        <f t="shared" si="49"/>
        <v>95592608</v>
      </c>
      <c r="S464" t="str" cm="1">
        <f t="array" ref="S464">IF(C464="",IFERROR(INDEX($C$2:$C$1166,MATCH(MAX(COUNTIF($C$2:$C$1166,$C$2:$C$1166)),COUNTIF($C$2:$C$1166,$C$2:$C$1166),0)),"Unknown"),C464)</f>
        <v>Susan Thomas</v>
      </c>
      <c r="T464" s="4" t="str" cm="1">
        <f t="array" ref="T464">IF(D464="",IFERROR(INDEX($D$2:$D$1000,MATCH(MAX(COUNTIF($D$2:$D$1166,$D$2:$D$1166)),COUNTIF($D$2:$D$1166,$D$2:$D$1166),0)),"Unknown"),D464)</f>
        <v>Charles Velez</v>
      </c>
      <c r="U464" t="str">
        <f t="shared" si="50"/>
        <v>AED</v>
      </c>
      <c r="V464" s="7" t="str">
        <f t="shared" si="50"/>
        <v>INR</v>
      </c>
      <c r="W464" s="7" t="str">
        <f t="shared" si="51"/>
        <v>Germany</v>
      </c>
      <c r="X464" s="7" t="str">
        <f t="shared" si="51"/>
        <v>India</v>
      </c>
      <c r="Y464" s="7" t="str" cm="1">
        <f t="array" ref="Y464">IF(H464="",IFERROR(INDEX($H$2:$H$1166,MATCH(MAX(COUNTIF($H$2:$H$1166,$H$2:$H$1166)),COUNTIF($H$2:$H$1166,$H$2:$H$1166),0)),"Unknown"),H464)</f>
        <v>Pending</v>
      </c>
      <c r="Z464" s="7" t="str">
        <f t="shared" si="52"/>
        <v>Outer-Transaction</v>
      </c>
      <c r="AA464" s="7">
        <f>IF(J464="",AVERAGE($J:$J),J464)</f>
        <v>4438.3</v>
      </c>
      <c r="AB464" s="7">
        <f>IF(N464="",AVERAGE($N:$N),N464)</f>
        <v>67</v>
      </c>
      <c r="AC464" s="7">
        <f t="shared" si="53"/>
        <v>2024</v>
      </c>
      <c r="AD464" s="7">
        <f t="shared" si="54"/>
        <v>12</v>
      </c>
      <c r="AE464" s="7">
        <f>COUNTIF(A:A,A464)</f>
        <v>1</v>
      </c>
      <c r="AF464" s="7" t="str">
        <f t="shared" si="55"/>
        <v>Yes</v>
      </c>
    </row>
    <row r="465" spans="1:32">
      <c r="A465" t="s">
        <v>1603</v>
      </c>
      <c r="B465">
        <v>63430642</v>
      </c>
      <c r="C465" t="s">
        <v>1604</v>
      </c>
      <c r="D465" t="s">
        <v>1605</v>
      </c>
      <c r="E465" t="s">
        <v>20</v>
      </c>
      <c r="F465" t="s">
        <v>44</v>
      </c>
      <c r="G465" t="s">
        <v>116</v>
      </c>
      <c r="H465" t="s">
        <v>56</v>
      </c>
      <c r="I465" t="s">
        <v>3377</v>
      </c>
      <c r="J465">
        <v>8438.24</v>
      </c>
      <c r="K465" t="s">
        <v>57</v>
      </c>
      <c r="L465" t="s">
        <v>75</v>
      </c>
      <c r="M465" s="1">
        <v>44332.177777777775</v>
      </c>
      <c r="N465">
        <v>44</v>
      </c>
      <c r="O465" t="s">
        <v>36</v>
      </c>
      <c r="P465" t="s">
        <v>36</v>
      </c>
      <c r="Q465" t="s">
        <v>1606</v>
      </c>
      <c r="R465">
        <f t="shared" si="49"/>
        <v>63430642</v>
      </c>
      <c r="S465" t="str" cm="1">
        <f t="array" ref="S465">IF(C465="",IFERROR(INDEX($C$2:$C$1166,MATCH(MAX(COUNTIF($C$2:$C$1166,$C$2:$C$1166)),COUNTIF($C$2:$C$1166,$C$2:$C$1166),0)),"Unknown"),C465)</f>
        <v>Elena Jones</v>
      </c>
      <c r="T465" s="4" t="str" cm="1">
        <f t="array" ref="T465">IF(D465="",IFERROR(INDEX($D$2:$D$1000,MATCH(MAX(COUNTIF($D$2:$D$1166,$D$2:$D$1166)),COUNTIF($D$2:$D$1166,$D$2:$D$1166),0)),"Unknown"),D465)</f>
        <v>Jean-Pierre Volkov</v>
      </c>
      <c r="U465" t="str">
        <f t="shared" si="50"/>
        <v>SGD</v>
      </c>
      <c r="V465" s="7" t="str">
        <f t="shared" si="50"/>
        <v>CHF</v>
      </c>
      <c r="W465" s="7" t="str">
        <f t="shared" si="51"/>
        <v>Germany</v>
      </c>
      <c r="X465" s="7" t="str">
        <f t="shared" si="51"/>
        <v>Germany</v>
      </c>
      <c r="Y465" s="7" t="str" cm="1">
        <f t="array" ref="Y465">IF(H465="",IFERROR(INDEX($H$2:$H$1166,MATCH(MAX(COUNTIF($H$2:$H$1166,$H$2:$H$1166)),COUNTIF($H$2:$H$1166,$H$2:$H$1166),0)),"Unknown"),H465)</f>
        <v>Unverified</v>
      </c>
      <c r="Z465" s="7" t="str">
        <f t="shared" si="52"/>
        <v>Inter-Transaction</v>
      </c>
      <c r="AA465" s="7">
        <f>IF(J465="",AVERAGE($J:$J),J465)</f>
        <v>8438.24</v>
      </c>
      <c r="AB465" s="7">
        <f>IF(N465="",AVERAGE($N:$N),N465)</f>
        <v>44</v>
      </c>
      <c r="AC465" s="7">
        <f t="shared" si="53"/>
        <v>2021</v>
      </c>
      <c r="AD465" s="7">
        <f t="shared" si="54"/>
        <v>5</v>
      </c>
      <c r="AE465" s="7">
        <f>COUNTIF(A:A,A465)</f>
        <v>1</v>
      </c>
      <c r="AF465" s="7" t="str">
        <f t="shared" si="55"/>
        <v>No</v>
      </c>
    </row>
    <row r="466" spans="1:32">
      <c r="A466" t="s">
        <v>1607</v>
      </c>
      <c r="B466">
        <v>95398202</v>
      </c>
      <c r="C466" t="s">
        <v>1608</v>
      </c>
      <c r="D466" t="s">
        <v>102</v>
      </c>
      <c r="E466" t="s">
        <v>20</v>
      </c>
      <c r="F466" t="s">
        <v>116</v>
      </c>
      <c r="G466" t="s">
        <v>21</v>
      </c>
      <c r="H466" t="s">
        <v>74</v>
      </c>
      <c r="I466" t="s">
        <v>3376</v>
      </c>
      <c r="J466">
        <v>8101.11</v>
      </c>
      <c r="K466" t="s">
        <v>86</v>
      </c>
      <c r="L466" t="s">
        <v>81</v>
      </c>
      <c r="M466" s="1">
        <v>44379.879861111112</v>
      </c>
      <c r="N466">
        <v>83</v>
      </c>
      <c r="O466" t="s">
        <v>68</v>
      </c>
      <c r="P466" t="s">
        <v>54</v>
      </c>
      <c r="Q466" t="s">
        <v>1609</v>
      </c>
      <c r="R466">
        <f t="shared" si="49"/>
        <v>95398202</v>
      </c>
      <c r="S466" t="str" cm="1">
        <f t="array" ref="S466">IF(C466="",IFERROR(INDEX($C$2:$C$1166,MATCH(MAX(COUNTIF($C$2:$C$1166,$C$2:$C$1166)),COUNTIF($C$2:$C$1166,$C$2:$C$1166),0)),"Unknown"),C466)</f>
        <v>Amir Johnson</v>
      </c>
      <c r="T466" s="4" t="str" cm="1">
        <f t="array" ref="T466">IF(D466="",IFERROR(INDEX($D$2:$D$1000,MATCH(MAX(COUNTIF($D$2:$D$1166,$D$2:$D$1166)),COUNTIF($D$2:$D$1166,$D$2:$D$1166),0)),"Unknown"),D466)</f>
        <v>Barbara Anderson</v>
      </c>
      <c r="U466" t="str">
        <f t="shared" si="50"/>
        <v>CHF</v>
      </c>
      <c r="V466" s="7" t="str">
        <f t="shared" si="50"/>
        <v>GBP</v>
      </c>
      <c r="W466" s="7" t="str">
        <f t="shared" si="51"/>
        <v>UAE</v>
      </c>
      <c r="X466" s="7" t="str">
        <f t="shared" si="51"/>
        <v>India</v>
      </c>
      <c r="Y466" s="7" t="str" cm="1">
        <f t="array" ref="Y466">IF(H466="",IFERROR(INDEX($H$2:$H$1166,MATCH(MAX(COUNTIF($H$2:$H$1166,$H$2:$H$1166)),COUNTIF($H$2:$H$1166,$H$2:$H$1166),0)),"Unknown"),H466)</f>
        <v>Non-KYC</v>
      </c>
      <c r="Z466" s="7" t="str">
        <f t="shared" si="52"/>
        <v>Internal</v>
      </c>
      <c r="AA466" s="7">
        <f>IF(J466="",AVERAGE($J:$J),J466)</f>
        <v>8101.11</v>
      </c>
      <c r="AB466" s="7">
        <f>IF(N466="",AVERAGE($N:$N),N466)</f>
        <v>83</v>
      </c>
      <c r="AC466" s="7">
        <f t="shared" si="53"/>
        <v>2021</v>
      </c>
      <c r="AD466" s="7">
        <f t="shared" si="54"/>
        <v>7</v>
      </c>
      <c r="AE466" s="7">
        <f>COUNTIF(A:A,A466)</f>
        <v>1</v>
      </c>
      <c r="AF466" s="7" t="str">
        <f t="shared" si="55"/>
        <v>No</v>
      </c>
    </row>
    <row r="467" spans="1:32">
      <c r="A467" t="s">
        <v>1610</v>
      </c>
      <c r="B467">
        <v>36634140</v>
      </c>
      <c r="C467" t="s">
        <v>1247</v>
      </c>
      <c r="D467" t="s">
        <v>678</v>
      </c>
      <c r="E467" t="s">
        <v>3373</v>
      </c>
      <c r="F467" t="s">
        <v>121</v>
      </c>
      <c r="G467" t="s">
        <v>53</v>
      </c>
      <c r="H467" t="s">
        <v>25</v>
      </c>
      <c r="I467" t="s">
        <v>3377</v>
      </c>
      <c r="J467">
        <v>12683.77</v>
      </c>
      <c r="K467" t="s">
        <v>27</v>
      </c>
      <c r="L467" t="s">
        <v>28</v>
      </c>
      <c r="M467" s="1">
        <v>45196.000694444447</v>
      </c>
      <c r="N467">
        <v>22</v>
      </c>
      <c r="O467" t="s">
        <v>23</v>
      </c>
      <c r="P467" t="s">
        <v>55</v>
      </c>
      <c r="Q467" t="s">
        <v>1611</v>
      </c>
      <c r="R467">
        <f t="shared" si="49"/>
        <v>36634140</v>
      </c>
      <c r="S467" t="str" cm="1">
        <f t="array" ref="S467">IF(C467="",IFERROR(INDEX($C$2:$C$1166,MATCH(MAX(COUNTIF($C$2:$C$1166,$C$2:$C$1166)),COUNTIF($C$2:$C$1166,$C$2:$C$1166),0)),"Unknown"),C467)</f>
        <v>Linda Khan</v>
      </c>
      <c r="T467" s="4" t="str" cm="1">
        <f t="array" ref="T467">IF(D467="",IFERROR(INDEX($D$2:$D$1000,MATCH(MAX(COUNTIF($D$2:$D$1166,$D$2:$D$1166)),COUNTIF($D$2:$D$1166,$D$2:$D$1166),0)),"Unknown"),D467)</f>
        <v>Karen Gonzalez</v>
      </c>
      <c r="U467" t="str">
        <f t="shared" si="50"/>
        <v>INR</v>
      </c>
      <c r="V467" s="7" t="str">
        <f t="shared" si="50"/>
        <v>AED</v>
      </c>
      <c r="W467" s="7" t="str">
        <f t="shared" si="51"/>
        <v>France</v>
      </c>
      <c r="X467" s="7" t="str">
        <f t="shared" si="51"/>
        <v>UK</v>
      </c>
      <c r="Y467" s="7" t="str" cm="1">
        <f t="array" ref="Y467">IF(H467="",IFERROR(INDEX($H$2:$H$1166,MATCH(MAX(COUNTIF($H$2:$H$1166,$H$2:$H$1166)),COUNTIF($H$2:$H$1166,$H$2:$H$1166),0)),"Unknown"),H467)</f>
        <v>KYC</v>
      </c>
      <c r="Z467" s="7" t="str">
        <f t="shared" si="52"/>
        <v>Inter-Transaction</v>
      </c>
      <c r="AA467" s="7">
        <f>IF(J467="",AVERAGE($J:$J),J467)</f>
        <v>12683.77</v>
      </c>
      <c r="AB467" s="7">
        <f>IF(N467="",AVERAGE($N:$N),N467)</f>
        <v>22</v>
      </c>
      <c r="AC467" s="7">
        <f t="shared" si="53"/>
        <v>2023</v>
      </c>
      <c r="AD467" s="7">
        <f t="shared" si="54"/>
        <v>9</v>
      </c>
      <c r="AE467" s="7">
        <f>COUNTIF(A:A,A467)</f>
        <v>1</v>
      </c>
      <c r="AF467" s="7" t="str">
        <f t="shared" si="55"/>
        <v>Yes</v>
      </c>
    </row>
    <row r="468" spans="1:32">
      <c r="A468" t="s">
        <v>1612</v>
      </c>
      <c r="B468">
        <v>46568726</v>
      </c>
      <c r="C468" t="s">
        <v>146</v>
      </c>
      <c r="D468" t="s">
        <v>120</v>
      </c>
      <c r="E468" t="s">
        <v>20</v>
      </c>
      <c r="F468" t="s">
        <v>92</v>
      </c>
      <c r="G468" t="s">
        <v>21</v>
      </c>
      <c r="I468" t="s">
        <v>3374</v>
      </c>
      <c r="J468">
        <v>6236.55</v>
      </c>
      <c r="K468" t="s">
        <v>86</v>
      </c>
      <c r="L468" t="s">
        <v>48</v>
      </c>
      <c r="M468" s="1">
        <v>44669.59652777778</v>
      </c>
      <c r="N468">
        <v>46</v>
      </c>
      <c r="O468" t="s">
        <v>55</v>
      </c>
      <c r="P468" t="s">
        <v>24</v>
      </c>
      <c r="Q468" t="s">
        <v>1613</v>
      </c>
      <c r="R468">
        <f t="shared" si="49"/>
        <v>46568726</v>
      </c>
      <c r="S468" t="str" cm="1">
        <f t="array" ref="S468">IF(C468="",IFERROR(INDEX($C$2:$C$1166,MATCH(MAX(COUNTIF($C$2:$C$1166,$C$2:$C$1166)),COUNTIF($C$2:$C$1166,$C$2:$C$1166),0)),"Unknown"),C468)</f>
        <v>Fatima Brown</v>
      </c>
      <c r="T468" s="4" t="str" cm="1">
        <f t="array" ref="T468">IF(D468="",IFERROR(INDEX($D$2:$D$1000,MATCH(MAX(COUNTIF($D$2:$D$1166,$D$2:$D$1166)),COUNTIF($D$2:$D$1166,$D$2:$D$1166),0)),"Unknown"),D468)</f>
        <v>Amir Silva</v>
      </c>
      <c r="U468" t="str">
        <f t="shared" si="50"/>
        <v>AUD</v>
      </c>
      <c r="V468" s="7" t="str">
        <f t="shared" si="50"/>
        <v>GBP</v>
      </c>
      <c r="W468" s="7" t="str">
        <f t="shared" si="51"/>
        <v>UK</v>
      </c>
      <c r="X468" s="7" t="str">
        <f t="shared" si="51"/>
        <v>Brazil</v>
      </c>
      <c r="Y468" s="7" t="str" cm="1">
        <f t="array" ref="Y468">IF(H468="",IFERROR(INDEX($H$2:$H$1166,MATCH(MAX(COUNTIF($H$2:$H$1166,$H$2:$H$1166)),COUNTIF($H$2:$H$1166,$H$2:$H$1166),0)),"Unknown"),H468)</f>
        <v>Pending</v>
      </c>
      <c r="Z468" s="7" t="str">
        <f t="shared" si="52"/>
        <v>External</v>
      </c>
      <c r="AA468" s="7">
        <f>IF(J468="",AVERAGE($J:$J),J468)</f>
        <v>6236.55</v>
      </c>
      <c r="AB468" s="7">
        <f>IF(N468="",AVERAGE($N:$N),N468)</f>
        <v>46</v>
      </c>
      <c r="AC468" s="7">
        <f t="shared" si="53"/>
        <v>2022</v>
      </c>
      <c r="AD468" s="7">
        <f t="shared" si="54"/>
        <v>4</v>
      </c>
      <c r="AE468" s="7">
        <f>COUNTIF(A:A,A468)</f>
        <v>1</v>
      </c>
      <c r="AF468" s="7" t="str">
        <f t="shared" si="55"/>
        <v>No</v>
      </c>
    </row>
    <row r="469" spans="1:32">
      <c r="A469" t="s">
        <v>1614</v>
      </c>
      <c r="B469">
        <v>13144983</v>
      </c>
      <c r="C469" t="s">
        <v>592</v>
      </c>
      <c r="D469" t="s">
        <v>1615</v>
      </c>
      <c r="E469" t="s">
        <v>20</v>
      </c>
      <c r="F469" t="s">
        <v>45</v>
      </c>
      <c r="G469" t="s">
        <v>116</v>
      </c>
      <c r="H469" t="s">
        <v>56</v>
      </c>
      <c r="I469" t="s">
        <v>3378</v>
      </c>
      <c r="J469">
        <v>13615.91</v>
      </c>
      <c r="K469" t="s">
        <v>27</v>
      </c>
      <c r="L469" t="s">
        <v>48</v>
      </c>
      <c r="M469" s="1">
        <v>45261.737500000003</v>
      </c>
      <c r="N469">
        <v>54</v>
      </c>
      <c r="O469" t="s">
        <v>55</v>
      </c>
      <c r="P469" t="s">
        <v>127</v>
      </c>
      <c r="Q469" t="s">
        <v>1616</v>
      </c>
      <c r="R469">
        <f t="shared" si="49"/>
        <v>13144983</v>
      </c>
      <c r="S469" t="str" cm="1">
        <f t="array" ref="S469">IF(C469="",IFERROR(INDEX($C$2:$C$1166,MATCH(MAX(COUNTIF($C$2:$C$1166,$C$2:$C$1166)),COUNTIF($C$2:$C$1166,$C$2:$C$1166),0)),"Unknown"),C469)</f>
        <v>Barbara Rodriguez</v>
      </c>
      <c r="T469" s="4" t="str" cm="1">
        <f t="array" ref="T469">IF(D469="",IFERROR(INDEX($D$2:$D$1000,MATCH(MAX(COUNTIF($D$2:$D$1166,$D$2:$D$1166)),COUNTIF($D$2:$D$1166,$D$2:$D$1166),0)),"Unknown"),D469)</f>
        <v>Thomas Miller</v>
      </c>
      <c r="U469" t="str">
        <f t="shared" si="50"/>
        <v>ZAR</v>
      </c>
      <c r="V469" s="7" t="str">
        <f t="shared" si="50"/>
        <v>CHF</v>
      </c>
      <c r="W469" s="7" t="str">
        <f t="shared" si="51"/>
        <v>UK</v>
      </c>
      <c r="X469" s="7" t="str">
        <f t="shared" si="51"/>
        <v>Canada</v>
      </c>
      <c r="Y469" s="7" t="str" cm="1">
        <f t="array" ref="Y469">IF(H469="",IFERROR(INDEX($H$2:$H$1166,MATCH(MAX(COUNTIF($H$2:$H$1166,$H$2:$H$1166)),COUNTIF($H$2:$H$1166,$H$2:$H$1166),0)),"Unknown"),H469)</f>
        <v>Unverified</v>
      </c>
      <c r="Z469" s="7" t="str">
        <f t="shared" si="52"/>
        <v>Inter-Transaction</v>
      </c>
      <c r="AA469" s="7">
        <f>IF(J469="",AVERAGE($J:$J),J469)</f>
        <v>13615.91</v>
      </c>
      <c r="AB469" s="7">
        <f>IF(N469="",AVERAGE($N:$N),N469)</f>
        <v>54</v>
      </c>
      <c r="AC469" s="7">
        <f t="shared" si="53"/>
        <v>2023</v>
      </c>
      <c r="AD469" s="7">
        <f t="shared" si="54"/>
        <v>12</v>
      </c>
      <c r="AE469" s="7">
        <f>COUNTIF(A:A,A469)</f>
        <v>1</v>
      </c>
      <c r="AF469" s="7" t="str">
        <f t="shared" si="55"/>
        <v>No</v>
      </c>
    </row>
    <row r="470" spans="1:32">
      <c r="A470" t="s">
        <v>1617</v>
      </c>
      <c r="B470">
        <v>13340930</v>
      </c>
      <c r="C470" t="s">
        <v>1618</v>
      </c>
      <c r="D470" t="s">
        <v>1619</v>
      </c>
      <c r="E470" t="s">
        <v>3375</v>
      </c>
      <c r="F470" t="s">
        <v>116</v>
      </c>
      <c r="G470" t="s">
        <v>35</v>
      </c>
      <c r="H470" t="s">
        <v>74</v>
      </c>
      <c r="I470" t="s">
        <v>3371</v>
      </c>
      <c r="J470">
        <v>12973.77</v>
      </c>
      <c r="K470" t="s">
        <v>39</v>
      </c>
      <c r="L470" t="s">
        <v>48</v>
      </c>
      <c r="M470" s="1">
        <v>45279.390972222223</v>
      </c>
      <c r="N470">
        <v>55</v>
      </c>
      <c r="O470" t="s">
        <v>54</v>
      </c>
      <c r="P470" t="s">
        <v>62</v>
      </c>
      <c r="Q470" t="s">
        <v>1620</v>
      </c>
      <c r="R470">
        <f t="shared" si="49"/>
        <v>13340930</v>
      </c>
      <c r="S470" t="str" cm="1">
        <f t="array" ref="S470">IF(C470="",IFERROR(INDEX($C$2:$C$1166,MATCH(MAX(COUNTIF($C$2:$C$1166,$C$2:$C$1166)),COUNTIF($C$2:$C$1166,$C$2:$C$1166),0)),"Unknown"),C470)</f>
        <v>Joseph Dubois</v>
      </c>
      <c r="T470" s="4" t="str" cm="1">
        <f t="array" ref="T470">IF(D470="",IFERROR(INDEX($D$2:$D$1000,MATCH(MAX(COUNTIF($D$2:$D$1166,$D$2:$D$1166)),COUNTIF($D$2:$D$1166,$D$2:$D$1166),0)),"Unknown"),D470)</f>
        <v>Elizabeth Anderson</v>
      </c>
      <c r="U470" t="str">
        <f t="shared" si="50"/>
        <v>CHF</v>
      </c>
      <c r="V470" s="7" t="str">
        <f t="shared" si="50"/>
        <v>EUR</v>
      </c>
      <c r="W470" s="7" t="str">
        <f t="shared" si="51"/>
        <v>India</v>
      </c>
      <c r="X470" s="7" t="str">
        <f t="shared" si="51"/>
        <v>Australia</v>
      </c>
      <c r="Y470" s="7" t="str" cm="1">
        <f t="array" ref="Y470">IF(H470="",IFERROR(INDEX($H$2:$H$1166,MATCH(MAX(COUNTIF($H$2:$H$1166,$H$2:$H$1166)),COUNTIF($H$2:$H$1166,$H$2:$H$1166),0)),"Unknown"),H470)</f>
        <v>Non-KYC</v>
      </c>
      <c r="Z470" s="7" t="str">
        <f t="shared" si="52"/>
        <v>Outer-Transaction</v>
      </c>
      <c r="AA470" s="7">
        <f>IF(J470="",AVERAGE($J:$J),J470)</f>
        <v>12973.77</v>
      </c>
      <c r="AB470" s="7">
        <f>IF(N470="",AVERAGE($N:$N),N470)</f>
        <v>55</v>
      </c>
      <c r="AC470" s="7">
        <f t="shared" si="53"/>
        <v>2023</v>
      </c>
      <c r="AD470" s="7">
        <f t="shared" si="54"/>
        <v>12</v>
      </c>
      <c r="AE470" s="7">
        <f>COUNTIF(A:A,A470)</f>
        <v>1</v>
      </c>
      <c r="AF470" s="7" t="str">
        <f t="shared" si="55"/>
        <v>No</v>
      </c>
    </row>
    <row r="471" spans="1:32">
      <c r="A471" t="s">
        <v>1621</v>
      </c>
      <c r="B471">
        <v>43826068</v>
      </c>
      <c r="C471" t="s">
        <v>1622</v>
      </c>
      <c r="D471" t="s">
        <v>1623</v>
      </c>
      <c r="E471">
        <v>0</v>
      </c>
      <c r="F471" t="s">
        <v>80</v>
      </c>
      <c r="G471" t="s">
        <v>34</v>
      </c>
      <c r="H471" t="s">
        <v>38</v>
      </c>
      <c r="I471" t="s">
        <v>3372</v>
      </c>
      <c r="J471">
        <v>8188.38</v>
      </c>
      <c r="K471" t="s">
        <v>57</v>
      </c>
      <c r="L471" t="s">
        <v>48</v>
      </c>
      <c r="M471" s="1">
        <v>44678.960416666669</v>
      </c>
      <c r="N471">
        <v>25</v>
      </c>
      <c r="O471" t="s">
        <v>68</v>
      </c>
      <c r="P471" t="s">
        <v>68</v>
      </c>
      <c r="Q471" t="s">
        <v>1624</v>
      </c>
      <c r="R471">
        <f t="shared" si="49"/>
        <v>43826068</v>
      </c>
      <c r="S471" t="str" cm="1">
        <f t="array" ref="S471">IF(C471="",IFERROR(INDEX($C$2:$C$1166,MATCH(MAX(COUNTIF($C$2:$C$1166,$C$2:$C$1166)),COUNTIF($C$2:$C$1166,$C$2:$C$1166),0)),"Unknown"),C471)</f>
        <v>Jessica Martinez</v>
      </c>
      <c r="T471" s="4" t="str" cm="1">
        <f t="array" ref="T471">IF(D471="",IFERROR(INDEX($D$2:$D$1000,MATCH(MAX(COUNTIF($D$2:$D$1166,$D$2:$D$1166)),COUNTIF($D$2:$D$1166,$D$2:$D$1166),0)),"Unknown"),D471)</f>
        <v>Fatima Hernandez</v>
      </c>
      <c r="U471" t="str">
        <f t="shared" si="50"/>
        <v>USD</v>
      </c>
      <c r="V471" s="7" t="str">
        <f t="shared" si="50"/>
        <v>CAD</v>
      </c>
      <c r="W471" s="7" t="str">
        <f t="shared" si="51"/>
        <v>UAE</v>
      </c>
      <c r="X471" s="7" t="str">
        <f t="shared" si="51"/>
        <v>UAE</v>
      </c>
      <c r="Y471" s="7" t="str" cm="1">
        <f t="array" ref="Y471">IF(H471="",IFERROR(INDEX($H$2:$H$1166,MATCH(MAX(COUNTIF($H$2:$H$1166,$H$2:$H$1166)),COUNTIF($H$2:$H$1166,$H$2:$H$1166),0)),"Unknown"),H471)</f>
        <v>Pending</v>
      </c>
      <c r="Z471" s="7" t="str">
        <f t="shared" si="52"/>
        <v>Outer-Transaction</v>
      </c>
      <c r="AA471" s="7">
        <f>IF(J471="",AVERAGE($J:$J),J471)</f>
        <v>8188.38</v>
      </c>
      <c r="AB471" s="7">
        <f>IF(N471="",AVERAGE($N:$N),N471)</f>
        <v>25</v>
      </c>
      <c r="AC471" s="7">
        <f t="shared" si="53"/>
        <v>2022</v>
      </c>
      <c r="AD471" s="7">
        <f t="shared" si="54"/>
        <v>4</v>
      </c>
      <c r="AE471" s="7">
        <f>COUNTIF(A:A,A471)</f>
        <v>1</v>
      </c>
      <c r="AF471" s="7" t="str">
        <f t="shared" si="55"/>
        <v>No</v>
      </c>
    </row>
    <row r="472" spans="1:32">
      <c r="A472" t="s">
        <v>1625</v>
      </c>
      <c r="B472">
        <v>20402470</v>
      </c>
      <c r="C472" t="s">
        <v>1626</v>
      </c>
      <c r="D472" t="s">
        <v>1627</v>
      </c>
      <c r="E472" t="s">
        <v>20</v>
      </c>
      <c r="F472" t="s">
        <v>22</v>
      </c>
      <c r="G472" t="s">
        <v>35</v>
      </c>
      <c r="H472" t="s">
        <v>74</v>
      </c>
      <c r="I472" t="s">
        <v>3374</v>
      </c>
      <c r="J472">
        <v>12049.27</v>
      </c>
      <c r="K472" t="s">
        <v>39</v>
      </c>
      <c r="L472" t="s">
        <v>48</v>
      </c>
      <c r="M472" s="1">
        <v>44444.168749999997</v>
      </c>
      <c r="N472">
        <v>82</v>
      </c>
      <c r="O472" t="s">
        <v>93</v>
      </c>
      <c r="P472" t="s">
        <v>36</v>
      </c>
      <c r="Q472" t="s">
        <v>1628</v>
      </c>
      <c r="R472">
        <f t="shared" si="49"/>
        <v>20402470</v>
      </c>
      <c r="S472" t="str" cm="1">
        <f t="array" ref="S472">IF(C472="",IFERROR(INDEX($C$2:$C$1166,MATCH(MAX(COUNTIF($C$2:$C$1166,$C$2:$C$1166)),COUNTIF($C$2:$C$1166,$C$2:$C$1166),0)),"Unknown"),C472)</f>
        <v xml:space="preserve">  JOSEPH JONES </v>
      </c>
      <c r="T472" s="4" t="str" cm="1">
        <f t="array" ref="T472">IF(D472="",IFERROR(INDEX($D$2:$D$1000,MATCH(MAX(COUNTIF($D$2:$D$1166,$D$2:$D$1166)),COUNTIF($D$2:$D$1166,$D$2:$D$1166),0)),"Unknown"),D472)</f>
        <v>Jean-Pierre Smith</v>
      </c>
      <c r="U472" t="str">
        <f t="shared" si="50"/>
        <v>BRL</v>
      </c>
      <c r="V472" s="7" t="str">
        <f t="shared" si="50"/>
        <v>EUR</v>
      </c>
      <c r="W472" s="7" t="str">
        <f t="shared" si="51"/>
        <v>USA</v>
      </c>
      <c r="X472" s="7" t="str">
        <f t="shared" si="51"/>
        <v>Germany</v>
      </c>
      <c r="Y472" s="7" t="str" cm="1">
        <f t="array" ref="Y472">IF(H472="",IFERROR(INDEX($H$2:$H$1166,MATCH(MAX(COUNTIF($H$2:$H$1166,$H$2:$H$1166)),COUNTIF($H$2:$H$1166,$H$2:$H$1166),0)),"Unknown"),H472)</f>
        <v>Non-KYC</v>
      </c>
      <c r="Z472" s="7" t="str">
        <f t="shared" si="52"/>
        <v>External</v>
      </c>
      <c r="AA472" s="7">
        <f>IF(J472="",AVERAGE($J:$J),J472)</f>
        <v>12049.27</v>
      </c>
      <c r="AB472" s="7">
        <f>IF(N472="",AVERAGE($N:$N),N472)</f>
        <v>82</v>
      </c>
      <c r="AC472" s="7">
        <f t="shared" si="53"/>
        <v>2021</v>
      </c>
      <c r="AD472" s="7">
        <f t="shared" si="54"/>
        <v>9</v>
      </c>
      <c r="AE472" s="7">
        <f>COUNTIF(A:A,A472)</f>
        <v>1</v>
      </c>
      <c r="AF472" s="7" t="str">
        <f t="shared" si="55"/>
        <v>No</v>
      </c>
    </row>
    <row r="473" spans="1:32">
      <c r="A473" t="s">
        <v>1629</v>
      </c>
      <c r="B473">
        <v>92557389</v>
      </c>
      <c r="D473" t="s">
        <v>1575</v>
      </c>
      <c r="E473" t="s">
        <v>3375</v>
      </c>
      <c r="F473" t="s">
        <v>53</v>
      </c>
      <c r="G473" t="s">
        <v>98</v>
      </c>
      <c r="H473" t="s">
        <v>56</v>
      </c>
      <c r="I473" t="s">
        <v>3372</v>
      </c>
      <c r="J473">
        <v>3167.15</v>
      </c>
      <c r="K473" t="s">
        <v>57</v>
      </c>
      <c r="L473" t="s">
        <v>48</v>
      </c>
      <c r="M473" s="1">
        <v>44242.51666666667</v>
      </c>
      <c r="N473">
        <v>34</v>
      </c>
      <c r="O473" t="s">
        <v>68</v>
      </c>
      <c r="P473" t="s">
        <v>54</v>
      </c>
      <c r="Q473" t="s">
        <v>1630</v>
      </c>
      <c r="R473">
        <f t="shared" si="49"/>
        <v>92557389</v>
      </c>
      <c r="S473" t="str" cm="1">
        <f t="array" ref="S473">IF(C473="",IFERROR(INDEX($C$2:$C$1166,MATCH(MAX(COUNTIF($C$2:$C$1166,$C$2:$C$1166)),COUNTIF($C$2:$C$1166,$C$2:$C$1166),0)),"Unknown"),C473)</f>
        <v>Fatima Brown</v>
      </c>
      <c r="T473" s="4" t="str" cm="1">
        <f t="array" ref="T473">IF(D473="",IFERROR(INDEX($D$2:$D$1000,MATCH(MAX(COUNTIF($D$2:$D$1166,$D$2:$D$1166)),COUNTIF($D$2:$D$1166,$D$2:$D$1166),0)),"Unknown"),D473)</f>
        <v>Christopher Nair</v>
      </c>
      <c r="U473" t="str">
        <f t="shared" si="50"/>
        <v>AED</v>
      </c>
      <c r="V473" s="7" t="str">
        <f t="shared" si="50"/>
        <v>JPY</v>
      </c>
      <c r="W473" s="7" t="str">
        <f t="shared" si="51"/>
        <v>UAE</v>
      </c>
      <c r="X473" s="7" t="str">
        <f t="shared" si="51"/>
        <v>India</v>
      </c>
      <c r="Y473" s="7" t="str" cm="1">
        <f t="array" ref="Y473">IF(H473="",IFERROR(INDEX($H$2:$H$1166,MATCH(MAX(COUNTIF($H$2:$H$1166,$H$2:$H$1166)),COUNTIF($H$2:$H$1166,$H$2:$H$1166),0)),"Unknown"),H473)</f>
        <v>Unverified</v>
      </c>
      <c r="Z473" s="7" t="str">
        <f t="shared" si="52"/>
        <v>Outer-Transaction</v>
      </c>
      <c r="AA473" s="7">
        <f>IF(J473="",AVERAGE($J:$J),J473)</f>
        <v>3167.15</v>
      </c>
      <c r="AB473" s="7">
        <f>IF(N473="",AVERAGE($N:$N),N473)</f>
        <v>34</v>
      </c>
      <c r="AC473" s="7">
        <f t="shared" si="53"/>
        <v>2021</v>
      </c>
      <c r="AD473" s="7">
        <f t="shared" si="54"/>
        <v>2</v>
      </c>
      <c r="AE473" s="7">
        <f>COUNTIF(A:A,A473)</f>
        <v>1</v>
      </c>
      <c r="AF473" s="7" t="str">
        <f t="shared" si="55"/>
        <v>No</v>
      </c>
    </row>
    <row r="474" spans="1:32">
      <c r="A474" t="s">
        <v>1631</v>
      </c>
      <c r="B474">
        <v>51854524</v>
      </c>
      <c r="C474" t="s">
        <v>1632</v>
      </c>
      <c r="D474" t="s">
        <v>1633</v>
      </c>
      <c r="E474" t="s">
        <v>20</v>
      </c>
      <c r="F474" t="s">
        <v>44</v>
      </c>
      <c r="G474" t="s">
        <v>34</v>
      </c>
      <c r="H474" t="s">
        <v>74</v>
      </c>
      <c r="I474" t="s">
        <v>3378</v>
      </c>
      <c r="J474">
        <v>9436.0400000000009</v>
      </c>
      <c r="K474" t="s">
        <v>47</v>
      </c>
      <c r="L474" t="s">
        <v>75</v>
      </c>
      <c r="M474" s="1">
        <v>46310.511805555558</v>
      </c>
      <c r="N474">
        <v>62</v>
      </c>
      <c r="O474" t="s">
        <v>68</v>
      </c>
      <c r="P474" t="s">
        <v>23</v>
      </c>
      <c r="Q474" t="s">
        <v>1634</v>
      </c>
      <c r="R474">
        <f t="shared" si="49"/>
        <v>51854524</v>
      </c>
      <c r="S474" t="str" cm="1">
        <f t="array" ref="S474">IF(C474="",IFERROR(INDEX($C$2:$C$1166,MATCH(MAX(COUNTIF($C$2:$C$1166,$C$2:$C$1166)),COUNTIF($C$2:$C$1166,$C$2:$C$1166),0)),"Unknown"),C474)</f>
        <v xml:space="preserve">  ELENA MILLER </v>
      </c>
      <c r="T474" s="4" t="str" cm="1">
        <f t="array" ref="T474">IF(D474="",IFERROR(INDEX($D$2:$D$1000,MATCH(MAX(COUNTIF($D$2:$D$1166,$D$2:$D$1166)),COUNTIF($D$2:$D$1166,$D$2:$D$1166),0)),"Unknown"),D474)</f>
        <v>William Rostova</v>
      </c>
      <c r="U474" t="str">
        <f t="shared" si="50"/>
        <v>SGD</v>
      </c>
      <c r="V474" s="7" t="str">
        <f t="shared" si="50"/>
        <v>CAD</v>
      </c>
      <c r="W474" s="7" t="str">
        <f t="shared" si="51"/>
        <v>UAE</v>
      </c>
      <c r="X474" s="7" t="str">
        <f t="shared" si="51"/>
        <v>France</v>
      </c>
      <c r="Y474" s="7" t="str" cm="1">
        <f t="array" ref="Y474">IF(H474="",IFERROR(INDEX($H$2:$H$1166,MATCH(MAX(COUNTIF($H$2:$H$1166,$H$2:$H$1166)),COUNTIF($H$2:$H$1166,$H$2:$H$1166),0)),"Unknown"),H474)</f>
        <v>Non-KYC</v>
      </c>
      <c r="Z474" s="7" t="str">
        <f t="shared" si="52"/>
        <v>Inter-Transaction</v>
      </c>
      <c r="AA474" s="7">
        <f>IF(J474="",AVERAGE($J:$J),J474)</f>
        <v>9436.0400000000009</v>
      </c>
      <c r="AB474" s="7">
        <f>IF(N474="",AVERAGE($N:$N),N474)</f>
        <v>62</v>
      </c>
      <c r="AC474" s="7">
        <f t="shared" si="53"/>
        <v>2026</v>
      </c>
      <c r="AD474" s="7">
        <f t="shared" si="54"/>
        <v>10</v>
      </c>
      <c r="AE474" s="7">
        <f>COUNTIF(A:A,A474)</f>
        <v>1</v>
      </c>
      <c r="AF474" s="7" t="str">
        <f t="shared" si="55"/>
        <v>No</v>
      </c>
    </row>
    <row r="475" spans="1:32">
      <c r="A475" t="s">
        <v>1635</v>
      </c>
      <c r="C475" t="s">
        <v>289</v>
      </c>
      <c r="D475" t="s">
        <v>970</v>
      </c>
      <c r="E475" t="s">
        <v>20</v>
      </c>
      <c r="F475" t="s">
        <v>53</v>
      </c>
      <c r="G475" t="s">
        <v>21</v>
      </c>
      <c r="H475" t="s">
        <v>103</v>
      </c>
      <c r="I475" t="s">
        <v>3376</v>
      </c>
      <c r="J475">
        <v>11581.96</v>
      </c>
      <c r="K475" t="s">
        <v>27</v>
      </c>
      <c r="L475" t="s">
        <v>75</v>
      </c>
      <c r="M475" s="1">
        <v>44508.959027777775</v>
      </c>
      <c r="N475">
        <v>21</v>
      </c>
      <c r="O475" t="s">
        <v>68</v>
      </c>
      <c r="P475" t="s">
        <v>55</v>
      </c>
      <c r="Q475" t="s">
        <v>1636</v>
      </c>
      <c r="R475">
        <f t="shared" si="49"/>
        <v>0</v>
      </c>
      <c r="S475" t="str" cm="1">
        <f t="array" ref="S475">IF(C475="",IFERROR(INDEX($C$2:$C$1166,MATCH(MAX(COUNTIF($C$2:$C$1166,$C$2:$C$1166)),COUNTIF($C$2:$C$1166,$C$2:$C$1166),0)),"Unknown"),C475)</f>
        <v>Robert Jackson</v>
      </c>
      <c r="T475" s="4" t="str" cm="1">
        <f t="array" ref="T475">IF(D475="",IFERROR(INDEX($D$2:$D$1000,MATCH(MAX(COUNTIF($D$2:$D$1166,$D$2:$D$1166)),COUNTIF($D$2:$D$1166,$D$2:$D$1166),0)),"Unknown"),D475)</f>
        <v>Michael Brown</v>
      </c>
      <c r="U475" t="str">
        <f t="shared" si="50"/>
        <v>AED</v>
      </c>
      <c r="V475" s="7" t="str">
        <f t="shared" si="50"/>
        <v>GBP</v>
      </c>
      <c r="W475" s="7" t="str">
        <f t="shared" si="51"/>
        <v>UAE</v>
      </c>
      <c r="X475" s="7" t="str">
        <f t="shared" si="51"/>
        <v>UK</v>
      </c>
      <c r="Y475" s="7" t="str" cm="1">
        <f t="array" ref="Y475">IF(H475="",IFERROR(INDEX($H$2:$H$1166,MATCH(MAX(COUNTIF($H$2:$H$1166,$H$2:$H$1166)),COUNTIF($H$2:$H$1166,$H$2:$H$1166),0)),"Unknown"),H475)</f>
        <v>Verified</v>
      </c>
      <c r="Z475" s="7" t="str">
        <f t="shared" si="52"/>
        <v>Internal</v>
      </c>
      <c r="AA475" s="7">
        <f>IF(J475="",AVERAGE($J:$J),J475)</f>
        <v>11581.96</v>
      </c>
      <c r="AB475" s="7">
        <f>IF(N475="",AVERAGE($N:$N),N475)</f>
        <v>21</v>
      </c>
      <c r="AC475" s="7">
        <f t="shared" si="53"/>
        <v>2021</v>
      </c>
      <c r="AD475" s="7">
        <f t="shared" si="54"/>
        <v>11</v>
      </c>
      <c r="AE475" s="7">
        <f>COUNTIF(A:A,A475)</f>
        <v>1</v>
      </c>
      <c r="AF475" s="7" t="str">
        <f t="shared" si="55"/>
        <v>No</v>
      </c>
    </row>
    <row r="476" spans="1:32">
      <c r="A476" t="s">
        <v>1637</v>
      </c>
      <c r="B476">
        <v>73815697</v>
      </c>
      <c r="C476" t="s">
        <v>1638</v>
      </c>
      <c r="D476" t="s">
        <v>1319</v>
      </c>
      <c r="E476" t="s">
        <v>20</v>
      </c>
      <c r="F476" t="s">
        <v>80</v>
      </c>
      <c r="G476" t="s">
        <v>21</v>
      </c>
      <c r="H476" t="s">
        <v>25</v>
      </c>
      <c r="I476" t="s">
        <v>3371</v>
      </c>
      <c r="J476">
        <v>8406.58</v>
      </c>
      <c r="K476" t="s">
        <v>39</v>
      </c>
      <c r="L476" t="s">
        <v>81</v>
      </c>
      <c r="M476" s="1">
        <v>43989.647222222222</v>
      </c>
      <c r="N476">
        <v>53</v>
      </c>
      <c r="O476" t="s">
        <v>36</v>
      </c>
      <c r="P476" t="s">
        <v>127</v>
      </c>
      <c r="Q476" t="s">
        <v>1639</v>
      </c>
      <c r="R476">
        <f t="shared" si="49"/>
        <v>73815697</v>
      </c>
      <c r="S476" t="str" cm="1">
        <f t="array" ref="S476">IF(C476="",IFERROR(INDEX($C$2:$C$1166,MATCH(MAX(COUNTIF($C$2:$C$1166,$C$2:$C$1166)),COUNTIF($C$2:$C$1166,$C$2:$C$1166),0)),"Unknown"),C476)</f>
        <v>Zayn Smith</v>
      </c>
      <c r="T476" s="4" t="str" cm="1">
        <f t="array" ref="T476">IF(D476="",IFERROR(INDEX($D$2:$D$1000,MATCH(MAX(COUNTIF($D$2:$D$1166,$D$2:$D$1166)),COUNTIF($D$2:$D$1166,$D$2:$D$1166),0)),"Unknown"),D476)</f>
        <v>Richard Williams</v>
      </c>
      <c r="U476" t="str">
        <f t="shared" si="50"/>
        <v>USD</v>
      </c>
      <c r="V476" s="7" t="str">
        <f t="shared" si="50"/>
        <v>GBP</v>
      </c>
      <c r="W476" s="7" t="str">
        <f t="shared" si="51"/>
        <v>Germany</v>
      </c>
      <c r="X476" s="7" t="str">
        <f t="shared" si="51"/>
        <v>Canada</v>
      </c>
      <c r="Y476" s="7" t="str" cm="1">
        <f t="array" ref="Y476">IF(H476="",IFERROR(INDEX($H$2:$H$1166,MATCH(MAX(COUNTIF($H$2:$H$1166,$H$2:$H$1166)),COUNTIF($H$2:$H$1166,$H$2:$H$1166),0)),"Unknown"),H476)</f>
        <v>KYC</v>
      </c>
      <c r="Z476" s="7" t="str">
        <f t="shared" si="52"/>
        <v>Outer-Transaction</v>
      </c>
      <c r="AA476" s="7">
        <f>IF(J476="",AVERAGE($J:$J),J476)</f>
        <v>8406.58</v>
      </c>
      <c r="AB476" s="7">
        <f>IF(N476="",AVERAGE($N:$N),N476)</f>
        <v>53</v>
      </c>
      <c r="AC476" s="7">
        <f t="shared" si="53"/>
        <v>2020</v>
      </c>
      <c r="AD476" s="7">
        <f t="shared" si="54"/>
        <v>6</v>
      </c>
      <c r="AE476" s="7">
        <f>COUNTIF(A:A,A476)</f>
        <v>1</v>
      </c>
      <c r="AF476" s="7" t="str">
        <f t="shared" si="55"/>
        <v>No</v>
      </c>
    </row>
    <row r="477" spans="1:32">
      <c r="A477" t="s">
        <v>1640</v>
      </c>
      <c r="B477">
        <v>95063153</v>
      </c>
      <c r="C477" t="s">
        <v>1641</v>
      </c>
      <c r="D477" t="s">
        <v>1604</v>
      </c>
      <c r="E477" t="s">
        <v>20</v>
      </c>
      <c r="F477" t="s">
        <v>98</v>
      </c>
      <c r="G477" t="s">
        <v>44</v>
      </c>
      <c r="H477" t="s">
        <v>103</v>
      </c>
      <c r="I477" t="s">
        <v>3371</v>
      </c>
      <c r="J477">
        <v>389.18</v>
      </c>
      <c r="K477" t="s">
        <v>57</v>
      </c>
      <c r="L477" t="s">
        <v>81</v>
      </c>
      <c r="M477" s="1">
        <v>45892.755555555559</v>
      </c>
      <c r="N477">
        <v>48</v>
      </c>
      <c r="O477" t="s">
        <v>68</v>
      </c>
      <c r="P477" t="s">
        <v>127</v>
      </c>
      <c r="Q477" t="s">
        <v>1642</v>
      </c>
      <c r="R477">
        <f t="shared" si="49"/>
        <v>95063153</v>
      </c>
      <c r="S477" t="str" cm="1">
        <f t="array" ref="S477">IF(C477="",IFERROR(INDEX($C$2:$C$1166,MATCH(MAX(COUNTIF($C$2:$C$1166,$C$2:$C$1166)),COUNTIF($C$2:$C$1166,$C$2:$C$1166),0)),"Unknown"),C477)</f>
        <v>Amir Rodriguez</v>
      </c>
      <c r="T477" s="4" t="str" cm="1">
        <f t="array" ref="T477">IF(D477="",IFERROR(INDEX($D$2:$D$1000,MATCH(MAX(COUNTIF($D$2:$D$1166,$D$2:$D$1166)),COUNTIF($D$2:$D$1166,$D$2:$D$1166),0)),"Unknown"),D477)</f>
        <v>Elena Jones</v>
      </c>
      <c r="U477" t="str">
        <f t="shared" si="50"/>
        <v>JPY</v>
      </c>
      <c r="V477" s="7" t="str">
        <f t="shared" si="50"/>
        <v>SGD</v>
      </c>
      <c r="W477" s="7" t="str">
        <f t="shared" si="51"/>
        <v>UAE</v>
      </c>
      <c r="X477" s="7" t="str">
        <f t="shared" si="51"/>
        <v>Canada</v>
      </c>
      <c r="Y477" s="7" t="str" cm="1">
        <f t="array" ref="Y477">IF(H477="",IFERROR(INDEX($H$2:$H$1166,MATCH(MAX(COUNTIF($H$2:$H$1166,$H$2:$H$1166)),COUNTIF($H$2:$H$1166,$H$2:$H$1166),0)),"Unknown"),H477)</f>
        <v>Verified</v>
      </c>
      <c r="Z477" s="7" t="str">
        <f t="shared" si="52"/>
        <v>Outer-Transaction</v>
      </c>
      <c r="AA477" s="7">
        <f>IF(J477="",AVERAGE($J:$J),J477)</f>
        <v>389.18</v>
      </c>
      <c r="AB477" s="7">
        <f>IF(N477="",AVERAGE($N:$N),N477)</f>
        <v>48</v>
      </c>
      <c r="AC477" s="7">
        <f t="shared" si="53"/>
        <v>2025</v>
      </c>
      <c r="AD477" s="7">
        <f t="shared" si="54"/>
        <v>8</v>
      </c>
      <c r="AE477" s="7">
        <f>COUNTIF(A:A,A477)</f>
        <v>1</v>
      </c>
      <c r="AF477" s="7" t="str">
        <f t="shared" si="55"/>
        <v>No</v>
      </c>
    </row>
    <row r="478" spans="1:32">
      <c r="A478" t="s">
        <v>1643</v>
      </c>
      <c r="B478">
        <v>11432428</v>
      </c>
      <c r="C478" t="s">
        <v>742</v>
      </c>
      <c r="D478" t="s">
        <v>1644</v>
      </c>
      <c r="E478" t="s">
        <v>20</v>
      </c>
      <c r="F478" t="s">
        <v>116</v>
      </c>
      <c r="G478" t="s">
        <v>53</v>
      </c>
      <c r="H478" t="s">
        <v>103</v>
      </c>
      <c r="I478" t="s">
        <v>3377</v>
      </c>
      <c r="J478">
        <v>9711.7999999999993</v>
      </c>
      <c r="K478" t="s">
        <v>39</v>
      </c>
      <c r="L478" t="s">
        <v>81</v>
      </c>
      <c r="M478" s="1">
        <v>44203.12222222222</v>
      </c>
      <c r="N478">
        <v>36</v>
      </c>
      <c r="O478" t="s">
        <v>24</v>
      </c>
      <c r="P478" t="s">
        <v>68</v>
      </c>
      <c r="Q478" t="s">
        <v>1645</v>
      </c>
      <c r="R478">
        <f t="shared" si="49"/>
        <v>11432428</v>
      </c>
      <c r="S478" t="str" cm="1">
        <f t="array" ref="S478">IF(C478="",IFERROR(INDEX($C$2:$C$1166,MATCH(MAX(COUNTIF($C$2:$C$1166,$C$2:$C$1166)),COUNTIF($C$2:$C$1166,$C$2:$C$1166),0)),"Unknown"),C478)</f>
        <v>William Anderson</v>
      </c>
      <c r="T478" s="4" t="str" cm="1">
        <f t="array" ref="T478">IF(D478="",IFERROR(INDEX($D$2:$D$1000,MATCH(MAX(COUNTIF($D$2:$D$1166,$D$2:$D$1166)),COUNTIF($D$2:$D$1166,$D$2:$D$1166),0)),"Unknown"),D478)</f>
        <v xml:space="preserve"> susan taylor   </v>
      </c>
      <c r="U478" t="str">
        <f t="shared" si="50"/>
        <v>CHF</v>
      </c>
      <c r="V478" s="7" t="str">
        <f t="shared" si="50"/>
        <v>AED</v>
      </c>
      <c r="W478" s="7" t="str">
        <f t="shared" si="51"/>
        <v>Brazil</v>
      </c>
      <c r="X478" s="7" t="str">
        <f t="shared" si="51"/>
        <v>UAE</v>
      </c>
      <c r="Y478" s="7" t="str" cm="1">
        <f t="array" ref="Y478">IF(H478="",IFERROR(INDEX($H$2:$H$1166,MATCH(MAX(COUNTIF($H$2:$H$1166,$H$2:$H$1166)),COUNTIF($H$2:$H$1166,$H$2:$H$1166),0)),"Unknown"),H478)</f>
        <v>Verified</v>
      </c>
      <c r="Z478" s="7" t="str">
        <f t="shared" si="52"/>
        <v>Inter-Transaction</v>
      </c>
      <c r="AA478" s="7">
        <f>IF(J478="",AVERAGE($J:$J),J478)</f>
        <v>9711.7999999999993</v>
      </c>
      <c r="AB478" s="7">
        <f>IF(N478="",AVERAGE($N:$N),N478)</f>
        <v>36</v>
      </c>
      <c r="AC478" s="7">
        <f t="shared" si="53"/>
        <v>2021</v>
      </c>
      <c r="AD478" s="7">
        <f t="shared" si="54"/>
        <v>1</v>
      </c>
      <c r="AE478" s="7">
        <f>COUNTIF(A:A,A478)</f>
        <v>1</v>
      </c>
      <c r="AF478" s="7" t="str">
        <f t="shared" si="55"/>
        <v>No</v>
      </c>
    </row>
    <row r="479" spans="1:32">
      <c r="A479" t="s">
        <v>1646</v>
      </c>
      <c r="B479">
        <v>91543479</v>
      </c>
      <c r="C479" t="s">
        <v>1079</v>
      </c>
      <c r="D479" t="s">
        <v>731</v>
      </c>
      <c r="E479" t="s">
        <v>20</v>
      </c>
      <c r="F479" t="s">
        <v>45</v>
      </c>
      <c r="G479" t="s">
        <v>294</v>
      </c>
      <c r="I479" t="s">
        <v>3371</v>
      </c>
      <c r="J479">
        <v>13064.99</v>
      </c>
      <c r="K479" t="s">
        <v>47</v>
      </c>
      <c r="L479" t="s">
        <v>28</v>
      </c>
      <c r="M479" s="1">
        <v>46103.256249999999</v>
      </c>
      <c r="N479">
        <v>78</v>
      </c>
      <c r="O479" t="s">
        <v>55</v>
      </c>
      <c r="P479" t="s">
        <v>62</v>
      </c>
      <c r="Q479" t="s">
        <v>1647</v>
      </c>
      <c r="R479">
        <f t="shared" si="49"/>
        <v>91543479</v>
      </c>
      <c r="S479" t="str" cm="1">
        <f t="array" ref="S479">IF(C479="",IFERROR(INDEX($C$2:$C$1166,MATCH(MAX(COUNTIF($C$2:$C$1166,$C$2:$C$1166)),COUNTIF($C$2:$C$1166,$C$2:$C$1166),0)),"Unknown"),C479)</f>
        <v>Sanjay Anderson</v>
      </c>
      <c r="T479" s="4" t="str" cm="1">
        <f t="array" ref="T479">IF(D479="",IFERROR(INDEX($D$2:$D$1000,MATCH(MAX(COUNTIF($D$2:$D$1166,$D$2:$D$1166)),COUNTIF($D$2:$D$1166,$D$2:$D$1166),0)),"Unknown"),D479)</f>
        <v>Sarah Garcia</v>
      </c>
      <c r="U479" t="str">
        <f t="shared" si="50"/>
        <v>ZAR</v>
      </c>
      <c r="V479" s="7" t="str">
        <f t="shared" si="50"/>
        <v>jpy</v>
      </c>
      <c r="W479" s="7" t="str">
        <f t="shared" si="51"/>
        <v>UK</v>
      </c>
      <c r="X479" s="7" t="str">
        <f t="shared" si="51"/>
        <v>Australia</v>
      </c>
      <c r="Y479" s="7" t="str" cm="1">
        <f t="array" ref="Y479">IF(H479="",IFERROR(INDEX($H$2:$H$1166,MATCH(MAX(COUNTIF($H$2:$H$1166,$H$2:$H$1166)),COUNTIF($H$2:$H$1166,$H$2:$H$1166),0)),"Unknown"),H479)</f>
        <v>Pending</v>
      </c>
      <c r="Z479" s="7" t="str">
        <f t="shared" si="52"/>
        <v>Outer-Transaction</v>
      </c>
      <c r="AA479" s="7">
        <f>IF(J479="",AVERAGE($J:$J),J479)</f>
        <v>13064.99</v>
      </c>
      <c r="AB479" s="7">
        <f>IF(N479="",AVERAGE($N:$N),N479)</f>
        <v>78</v>
      </c>
      <c r="AC479" s="7">
        <f t="shared" si="53"/>
        <v>2026</v>
      </c>
      <c r="AD479" s="7">
        <f t="shared" si="54"/>
        <v>3</v>
      </c>
      <c r="AE479" s="7">
        <f>COUNTIF(A:A,A479)</f>
        <v>1</v>
      </c>
      <c r="AF479" s="7" t="str">
        <f t="shared" si="55"/>
        <v>No</v>
      </c>
    </row>
    <row r="480" spans="1:32">
      <c r="A480" t="s">
        <v>1648</v>
      </c>
      <c r="B480">
        <v>97926734</v>
      </c>
      <c r="C480" t="s">
        <v>1269</v>
      </c>
      <c r="D480" t="s">
        <v>1649</v>
      </c>
      <c r="E480" t="s">
        <v>20</v>
      </c>
      <c r="F480" t="s">
        <v>34</v>
      </c>
      <c r="G480" t="s">
        <v>22</v>
      </c>
      <c r="I480" t="s">
        <v>3372</v>
      </c>
      <c r="J480">
        <v>6251.52</v>
      </c>
      <c r="K480" t="s">
        <v>86</v>
      </c>
      <c r="L480" t="s">
        <v>28</v>
      </c>
      <c r="M480" s="1">
        <v>44927.02847222222</v>
      </c>
      <c r="N480">
        <v>71</v>
      </c>
      <c r="O480" t="s">
        <v>54</v>
      </c>
      <c r="P480" t="s">
        <v>37</v>
      </c>
      <c r="Q480" t="s">
        <v>1650</v>
      </c>
      <c r="R480">
        <f t="shared" si="49"/>
        <v>97926734</v>
      </c>
      <c r="S480" t="str" cm="1">
        <f t="array" ref="S480">IF(C480="",IFERROR(INDEX($C$2:$C$1166,MATCH(MAX(COUNTIF($C$2:$C$1166,$C$2:$C$1166)),COUNTIF($C$2:$C$1166,$C$2:$C$1166),0)),"Unknown"),C480)</f>
        <v>Nancy Al-Sayed</v>
      </c>
      <c r="T480" s="4" t="str" cm="1">
        <f t="array" ref="T480">IF(D480="",IFERROR(INDEX($D$2:$D$1000,MATCH(MAX(COUNTIF($D$2:$D$1166,$D$2:$D$1166)),COUNTIF($D$2:$D$1166,$D$2:$D$1166),0)),"Unknown"),D480)</f>
        <v xml:space="preserve"> john hernandez   </v>
      </c>
      <c r="U480" t="str">
        <f t="shared" si="50"/>
        <v>CAD</v>
      </c>
      <c r="V480" s="7" t="str">
        <f t="shared" si="50"/>
        <v>BRL</v>
      </c>
      <c r="W480" s="7" t="str">
        <f t="shared" si="51"/>
        <v>India</v>
      </c>
      <c r="X480" s="7" t="str">
        <f t="shared" si="51"/>
        <v>South Africa</v>
      </c>
      <c r="Y480" s="7" t="str" cm="1">
        <f t="array" ref="Y480">IF(H480="",IFERROR(INDEX($H$2:$H$1166,MATCH(MAX(COUNTIF($H$2:$H$1166,$H$2:$H$1166)),COUNTIF($H$2:$H$1166,$H$2:$H$1166),0)),"Unknown"),H480)</f>
        <v>Pending</v>
      </c>
      <c r="Z480" s="7" t="str">
        <f t="shared" si="52"/>
        <v>Outer-Transaction</v>
      </c>
      <c r="AA480" s="7">
        <f>IF(J480="",AVERAGE($J:$J),J480)</f>
        <v>6251.52</v>
      </c>
      <c r="AB480" s="7">
        <f>IF(N480="",AVERAGE($N:$N),N480)</f>
        <v>71</v>
      </c>
      <c r="AC480" s="7">
        <f t="shared" si="53"/>
        <v>2023</v>
      </c>
      <c r="AD480" s="7">
        <f t="shared" si="54"/>
        <v>1</v>
      </c>
      <c r="AE480" s="7">
        <f>COUNTIF(A:A,A480)</f>
        <v>1</v>
      </c>
      <c r="AF480" s="7" t="str">
        <f t="shared" si="55"/>
        <v>No</v>
      </c>
    </row>
    <row r="481" spans="1:32">
      <c r="A481" t="s">
        <v>1651</v>
      </c>
      <c r="B481">
        <v>33215400</v>
      </c>
      <c r="C481" t="s">
        <v>1652</v>
      </c>
      <c r="D481" t="s">
        <v>1653</v>
      </c>
      <c r="E481" t="s">
        <v>20</v>
      </c>
      <c r="F481" t="s">
        <v>53</v>
      </c>
      <c r="G481" t="s">
        <v>53</v>
      </c>
      <c r="H481" t="s">
        <v>56</v>
      </c>
      <c r="I481" t="s">
        <v>3377</v>
      </c>
      <c r="J481">
        <v>1752.76</v>
      </c>
      <c r="K481" t="s">
        <v>86</v>
      </c>
      <c r="L481" t="s">
        <v>48</v>
      </c>
      <c r="M481" s="1">
        <v>44433.838888888888</v>
      </c>
      <c r="N481">
        <v>56</v>
      </c>
      <c r="O481" t="s">
        <v>24</v>
      </c>
      <c r="P481" t="s">
        <v>23</v>
      </c>
      <c r="Q481" t="s">
        <v>1654</v>
      </c>
      <c r="R481">
        <f t="shared" si="49"/>
        <v>33215400</v>
      </c>
      <c r="S481" t="str" cm="1">
        <f t="array" ref="S481">IF(C481="",IFERROR(INDEX($C$2:$C$1166,MATCH(MAX(COUNTIF($C$2:$C$1166,$C$2:$C$1166)),COUNTIF($C$2:$C$1166,$C$2:$C$1166),0)),"Unknown"),C481)</f>
        <v>Sanjay Al-Sayed</v>
      </c>
      <c r="T481" s="4" t="str" cm="1">
        <f t="array" ref="T481">IF(D481="",IFERROR(INDEX($D$2:$D$1000,MATCH(MAX(COUNTIF($D$2:$D$1166,$D$2:$D$1166)),COUNTIF($D$2:$D$1166,$D$2:$D$1166),0)),"Unknown"),D481)</f>
        <v>Amir Khan</v>
      </c>
      <c r="U481" t="str">
        <f t="shared" si="50"/>
        <v>AED</v>
      </c>
      <c r="V481" s="7" t="str">
        <f t="shared" si="50"/>
        <v>AED</v>
      </c>
      <c r="W481" s="7" t="str">
        <f t="shared" si="51"/>
        <v>Brazil</v>
      </c>
      <c r="X481" s="7" t="str">
        <f t="shared" si="51"/>
        <v>France</v>
      </c>
      <c r="Y481" s="7" t="str" cm="1">
        <f t="array" ref="Y481">IF(H481="",IFERROR(INDEX($H$2:$H$1166,MATCH(MAX(COUNTIF($H$2:$H$1166,$H$2:$H$1166)),COUNTIF($H$2:$H$1166,$H$2:$H$1166),0)),"Unknown"),H481)</f>
        <v>Unverified</v>
      </c>
      <c r="Z481" s="7" t="str">
        <f t="shared" si="52"/>
        <v>Inter-Transaction</v>
      </c>
      <c r="AA481" s="7">
        <f>IF(J481="",AVERAGE($J:$J),J481)</f>
        <v>1752.76</v>
      </c>
      <c r="AB481" s="7">
        <f>IF(N481="",AVERAGE($N:$N),N481)</f>
        <v>56</v>
      </c>
      <c r="AC481" s="7">
        <f t="shared" si="53"/>
        <v>2021</v>
      </c>
      <c r="AD481" s="7">
        <f t="shared" si="54"/>
        <v>8</v>
      </c>
      <c r="AE481" s="7">
        <f>COUNTIF(A:A,A481)</f>
        <v>1</v>
      </c>
      <c r="AF481" s="7" t="str">
        <f t="shared" si="55"/>
        <v>No</v>
      </c>
    </row>
    <row r="482" spans="1:32">
      <c r="A482" t="s">
        <v>1655</v>
      </c>
      <c r="B482">
        <v>20908536</v>
      </c>
      <c r="C482" t="s">
        <v>1656</v>
      </c>
      <c r="D482" t="s">
        <v>171</v>
      </c>
      <c r="E482" t="b">
        <v>0</v>
      </c>
      <c r="F482" t="s">
        <v>45</v>
      </c>
      <c r="G482" t="s">
        <v>121</v>
      </c>
      <c r="H482" t="s">
        <v>103</v>
      </c>
      <c r="I482" t="s">
        <v>3371</v>
      </c>
      <c r="J482">
        <v>8479.9500000000007</v>
      </c>
      <c r="K482" t="s">
        <v>39</v>
      </c>
      <c r="L482" t="s">
        <v>48</v>
      </c>
      <c r="M482" s="1">
        <v>44046.593055555553</v>
      </c>
      <c r="N482">
        <v>36</v>
      </c>
      <c r="O482" t="s">
        <v>54</v>
      </c>
      <c r="P482" t="s">
        <v>68</v>
      </c>
      <c r="Q482" t="s">
        <v>1657</v>
      </c>
      <c r="R482">
        <f t="shared" si="49"/>
        <v>20908536</v>
      </c>
      <c r="S482" t="str" cm="1">
        <f t="array" ref="S482">IF(C482="",IFERROR(INDEX($C$2:$C$1166,MATCH(MAX(COUNTIF($C$2:$C$1166,$C$2:$C$1166)),COUNTIF($C$2:$C$1166,$C$2:$C$1166),0)),"Unknown"),C482)</f>
        <v>Carlos Al-Sayed</v>
      </c>
      <c r="T482" s="4" t="str" cm="1">
        <f t="array" ref="T482">IF(D482="",IFERROR(INDEX($D$2:$D$1000,MATCH(MAX(COUNTIF($D$2:$D$1166,$D$2:$D$1166)),COUNTIF($D$2:$D$1166,$D$2:$D$1166),0)),"Unknown"),D482)</f>
        <v>Elizabeth Martinez</v>
      </c>
      <c r="U482" t="str">
        <f t="shared" si="50"/>
        <v>ZAR</v>
      </c>
      <c r="V482" s="7" t="str">
        <f t="shared" si="50"/>
        <v>INR</v>
      </c>
      <c r="W482" s="7" t="str">
        <f t="shared" si="51"/>
        <v>India</v>
      </c>
      <c r="X482" s="7" t="str">
        <f t="shared" si="51"/>
        <v>UAE</v>
      </c>
      <c r="Y482" s="7" t="str" cm="1">
        <f t="array" ref="Y482">IF(H482="",IFERROR(INDEX($H$2:$H$1166,MATCH(MAX(COUNTIF($H$2:$H$1166,$H$2:$H$1166)),COUNTIF($H$2:$H$1166,$H$2:$H$1166),0)),"Unknown"),H482)</f>
        <v>Verified</v>
      </c>
      <c r="Z482" s="7" t="str">
        <f t="shared" si="52"/>
        <v>Outer-Transaction</v>
      </c>
      <c r="AA482" s="7">
        <f>IF(J482="",AVERAGE($J:$J),J482)</f>
        <v>8479.9500000000007</v>
      </c>
      <c r="AB482" s="7">
        <f>IF(N482="",AVERAGE($N:$N),N482)</f>
        <v>36</v>
      </c>
      <c r="AC482" s="7">
        <f t="shared" si="53"/>
        <v>2020</v>
      </c>
      <c r="AD482" s="7">
        <f t="shared" si="54"/>
        <v>8</v>
      </c>
      <c r="AE482" s="7">
        <f>COUNTIF(A:A,A482)</f>
        <v>1</v>
      </c>
      <c r="AF482" s="7" t="str">
        <f t="shared" si="55"/>
        <v>No</v>
      </c>
    </row>
    <row r="483" spans="1:32">
      <c r="A483" t="s">
        <v>1658</v>
      </c>
      <c r="B483">
        <v>58803337</v>
      </c>
      <c r="C483" t="s">
        <v>1659</v>
      </c>
      <c r="D483" t="s">
        <v>869</v>
      </c>
      <c r="E483" t="s">
        <v>20</v>
      </c>
      <c r="F483" t="s">
        <v>45</v>
      </c>
      <c r="G483" t="s">
        <v>45</v>
      </c>
      <c r="H483" t="s">
        <v>74</v>
      </c>
      <c r="I483" t="s">
        <v>3374</v>
      </c>
      <c r="J483">
        <v>6513.46</v>
      </c>
      <c r="K483" t="s">
        <v>57</v>
      </c>
      <c r="L483" t="s">
        <v>48</v>
      </c>
      <c r="M483" s="1">
        <v>45827.12222222222</v>
      </c>
      <c r="N483">
        <v>56</v>
      </c>
      <c r="O483" t="s">
        <v>127</v>
      </c>
      <c r="P483" t="s">
        <v>54</v>
      </c>
      <c r="Q483" t="s">
        <v>1660</v>
      </c>
      <c r="R483">
        <f t="shared" si="49"/>
        <v>58803337</v>
      </c>
      <c r="S483" t="str" cm="1">
        <f t="array" ref="S483">IF(C483="",IFERROR(INDEX($C$2:$C$1166,MATCH(MAX(COUNTIF($C$2:$C$1166,$C$2:$C$1166)),COUNTIF($C$2:$C$1166,$C$2:$C$1166),0)),"Unknown"),C483)</f>
        <v>Susan Dubois</v>
      </c>
      <c r="T483" s="4" t="str" cm="1">
        <f t="array" ref="T483">IF(D483="",IFERROR(INDEX($D$2:$D$1000,MATCH(MAX(COUNTIF($D$2:$D$1166,$D$2:$D$1166)),COUNTIF($D$2:$D$1166,$D$2:$D$1166),0)),"Unknown"),D483)</f>
        <v>Sanjay Taylor</v>
      </c>
      <c r="U483" t="str">
        <f t="shared" si="50"/>
        <v>ZAR</v>
      </c>
      <c r="V483" s="7" t="str">
        <f t="shared" si="50"/>
        <v>ZAR</v>
      </c>
      <c r="W483" s="7" t="str">
        <f t="shared" si="51"/>
        <v>Canada</v>
      </c>
      <c r="X483" s="7" t="str">
        <f t="shared" si="51"/>
        <v>India</v>
      </c>
      <c r="Y483" s="7" t="str" cm="1">
        <f t="array" ref="Y483">IF(H483="",IFERROR(INDEX($H$2:$H$1166,MATCH(MAX(COUNTIF($H$2:$H$1166,$H$2:$H$1166)),COUNTIF($H$2:$H$1166,$H$2:$H$1166),0)),"Unknown"),H483)</f>
        <v>Non-KYC</v>
      </c>
      <c r="Z483" s="7" t="str">
        <f t="shared" si="52"/>
        <v>External</v>
      </c>
      <c r="AA483" s="7">
        <f>IF(J483="",AVERAGE($J:$J),J483)</f>
        <v>6513.46</v>
      </c>
      <c r="AB483" s="7">
        <f>IF(N483="",AVERAGE($N:$N),N483)</f>
        <v>56</v>
      </c>
      <c r="AC483" s="7">
        <f t="shared" si="53"/>
        <v>2025</v>
      </c>
      <c r="AD483" s="7">
        <f t="shared" si="54"/>
        <v>6</v>
      </c>
      <c r="AE483" s="7">
        <f>COUNTIF(A:A,A483)</f>
        <v>1</v>
      </c>
      <c r="AF483" s="7" t="str">
        <f t="shared" si="55"/>
        <v>No</v>
      </c>
    </row>
    <row r="484" spans="1:32">
      <c r="A484" t="s">
        <v>1661</v>
      </c>
      <c r="B484">
        <v>45010146</v>
      </c>
      <c r="C484" t="s">
        <v>1309</v>
      </c>
      <c r="D484" t="s">
        <v>1662</v>
      </c>
      <c r="E484">
        <v>0</v>
      </c>
      <c r="F484" t="s">
        <v>21</v>
      </c>
      <c r="G484" t="s">
        <v>44</v>
      </c>
      <c r="H484" t="s">
        <v>25</v>
      </c>
      <c r="I484" t="s">
        <v>3378</v>
      </c>
      <c r="J484">
        <v>10522.31</v>
      </c>
      <c r="K484" t="s">
        <v>57</v>
      </c>
      <c r="L484" t="s">
        <v>28</v>
      </c>
      <c r="M484" s="1">
        <v>45395.194444444445</v>
      </c>
      <c r="N484">
        <v>84</v>
      </c>
      <c r="O484" t="s">
        <v>54</v>
      </c>
      <c r="P484" t="s">
        <v>24</v>
      </c>
      <c r="Q484" t="s">
        <v>1663</v>
      </c>
      <c r="R484">
        <f t="shared" si="49"/>
        <v>45010146</v>
      </c>
      <c r="S484" t="str" cm="1">
        <f t="array" ref="S484">IF(C484="",IFERROR(INDEX($C$2:$C$1166,MATCH(MAX(COUNTIF($C$2:$C$1166,$C$2:$C$1166)),COUNTIF($C$2:$C$1166,$C$2:$C$1166),0)),"Unknown"),C484)</f>
        <v>Mary Souza</v>
      </c>
      <c r="T484" s="4" t="str" cm="1">
        <f t="array" ref="T484">IF(D484="",IFERROR(INDEX($D$2:$D$1000,MATCH(MAX(COUNTIF($D$2:$D$1166,$D$2:$D$1166)),COUNTIF($D$2:$D$1166,$D$2:$D$1166),0)),"Unknown"),D484)</f>
        <v>Patricia Taylor</v>
      </c>
      <c r="U484" t="str">
        <f t="shared" si="50"/>
        <v>GBP</v>
      </c>
      <c r="V484" s="7" t="str">
        <f t="shared" si="50"/>
        <v>SGD</v>
      </c>
      <c r="W484" s="7" t="str">
        <f t="shared" si="51"/>
        <v>India</v>
      </c>
      <c r="X484" s="7" t="str">
        <f t="shared" si="51"/>
        <v>Brazil</v>
      </c>
      <c r="Y484" s="7" t="str" cm="1">
        <f t="array" ref="Y484">IF(H484="",IFERROR(INDEX($H$2:$H$1166,MATCH(MAX(COUNTIF($H$2:$H$1166,$H$2:$H$1166)),COUNTIF($H$2:$H$1166,$H$2:$H$1166),0)),"Unknown"),H484)</f>
        <v>KYC</v>
      </c>
      <c r="Z484" s="7" t="str">
        <f t="shared" si="52"/>
        <v>Inter-Transaction</v>
      </c>
      <c r="AA484" s="7">
        <f>IF(J484="",AVERAGE($J:$J),J484)</f>
        <v>10522.31</v>
      </c>
      <c r="AB484" s="7">
        <f>IF(N484="",AVERAGE($N:$N),N484)</f>
        <v>84</v>
      </c>
      <c r="AC484" s="7">
        <f t="shared" si="53"/>
        <v>2024</v>
      </c>
      <c r="AD484" s="7">
        <f t="shared" si="54"/>
        <v>4</v>
      </c>
      <c r="AE484" s="7">
        <f>COUNTIF(A:A,A484)</f>
        <v>1</v>
      </c>
      <c r="AF484" s="7" t="str">
        <f t="shared" si="55"/>
        <v>No</v>
      </c>
    </row>
    <row r="485" spans="1:32">
      <c r="A485" t="s">
        <v>1664</v>
      </c>
      <c r="B485">
        <v>34986069</v>
      </c>
      <c r="C485" t="s">
        <v>1627</v>
      </c>
      <c r="D485" t="s">
        <v>1665</v>
      </c>
      <c r="E485" t="s">
        <v>20</v>
      </c>
      <c r="F485" t="s">
        <v>116</v>
      </c>
      <c r="G485" t="s">
        <v>116</v>
      </c>
      <c r="H485" t="s">
        <v>38</v>
      </c>
      <c r="I485" t="s">
        <v>3378</v>
      </c>
      <c r="J485">
        <v>7243.54</v>
      </c>
      <c r="K485" t="s">
        <v>39</v>
      </c>
      <c r="L485" t="s">
        <v>75</v>
      </c>
      <c r="M485" s="1">
        <v>45671.902777777781</v>
      </c>
      <c r="N485">
        <v>62</v>
      </c>
      <c r="O485" t="s">
        <v>55</v>
      </c>
      <c r="P485" t="s">
        <v>93</v>
      </c>
      <c r="Q485" t="s">
        <v>1666</v>
      </c>
      <c r="R485">
        <f t="shared" si="49"/>
        <v>34986069</v>
      </c>
      <c r="S485" t="str" cm="1">
        <f t="array" ref="S485">IF(C485="",IFERROR(INDEX($C$2:$C$1166,MATCH(MAX(COUNTIF($C$2:$C$1166,$C$2:$C$1166)),COUNTIF($C$2:$C$1166,$C$2:$C$1166),0)),"Unknown"),C485)</f>
        <v>Jean-Pierre Smith</v>
      </c>
      <c r="T485" s="4" t="str" cm="1">
        <f t="array" ref="T485">IF(D485="",IFERROR(INDEX($D$2:$D$1000,MATCH(MAX(COUNTIF($D$2:$D$1166,$D$2:$D$1166)),COUNTIF($D$2:$D$1166,$D$2:$D$1166),0)),"Unknown"),D485)</f>
        <v>Thomas Silva</v>
      </c>
      <c r="U485" t="str">
        <f t="shared" si="50"/>
        <v>CHF</v>
      </c>
      <c r="V485" s="7" t="str">
        <f t="shared" si="50"/>
        <v>CHF</v>
      </c>
      <c r="W485" s="7" t="str">
        <f t="shared" si="51"/>
        <v>UK</v>
      </c>
      <c r="X485" s="7" t="str">
        <f t="shared" si="51"/>
        <v>USA</v>
      </c>
      <c r="Y485" s="7" t="str" cm="1">
        <f t="array" ref="Y485">IF(H485="",IFERROR(INDEX($H$2:$H$1166,MATCH(MAX(COUNTIF($H$2:$H$1166,$H$2:$H$1166)),COUNTIF($H$2:$H$1166,$H$2:$H$1166),0)),"Unknown"),H485)</f>
        <v>Pending</v>
      </c>
      <c r="Z485" s="7" t="str">
        <f t="shared" si="52"/>
        <v>Inter-Transaction</v>
      </c>
      <c r="AA485" s="7">
        <f>IF(J485="",AVERAGE($J:$J),J485)</f>
        <v>7243.54</v>
      </c>
      <c r="AB485" s="7">
        <f>IF(N485="",AVERAGE($N:$N),N485)</f>
        <v>62</v>
      </c>
      <c r="AC485" s="7">
        <f t="shared" si="53"/>
        <v>2025</v>
      </c>
      <c r="AD485" s="7">
        <f t="shared" si="54"/>
        <v>1</v>
      </c>
      <c r="AE485" s="7">
        <f>COUNTIF(A:A,A485)</f>
        <v>1</v>
      </c>
      <c r="AF485" s="7" t="str">
        <f t="shared" si="55"/>
        <v>No</v>
      </c>
    </row>
    <row r="486" spans="1:32">
      <c r="A486" t="s">
        <v>1667</v>
      </c>
      <c r="B486">
        <v>89601320</v>
      </c>
      <c r="D486" t="s">
        <v>1140</v>
      </c>
      <c r="E486" t="s">
        <v>20</v>
      </c>
      <c r="F486" t="s">
        <v>116</v>
      </c>
      <c r="G486" t="s">
        <v>22</v>
      </c>
      <c r="H486" t="s">
        <v>103</v>
      </c>
      <c r="I486" t="s">
        <v>3377</v>
      </c>
      <c r="J486">
        <v>14555.17</v>
      </c>
      <c r="K486" t="s">
        <v>57</v>
      </c>
      <c r="L486" t="s">
        <v>48</v>
      </c>
      <c r="M486" s="1">
        <v>45793.92083333333</v>
      </c>
      <c r="N486">
        <v>30</v>
      </c>
      <c r="O486" t="s">
        <v>55</v>
      </c>
      <c r="P486" t="s">
        <v>37</v>
      </c>
      <c r="Q486" t="s">
        <v>1668</v>
      </c>
      <c r="R486">
        <f t="shared" si="49"/>
        <v>89601320</v>
      </c>
      <c r="S486" t="str" cm="1">
        <f t="array" ref="S486">IF(C486="",IFERROR(INDEX($C$2:$C$1166,MATCH(MAX(COUNTIF($C$2:$C$1166,$C$2:$C$1166)),COUNTIF($C$2:$C$1166,$C$2:$C$1166),0)),"Unknown"),C486)</f>
        <v>Fatima Brown</v>
      </c>
      <c r="T486" s="4" t="str" cm="1">
        <f t="array" ref="T486">IF(D486="",IFERROR(INDEX($D$2:$D$1000,MATCH(MAX(COUNTIF($D$2:$D$1166,$D$2:$D$1166)),COUNTIF($D$2:$D$1166,$D$2:$D$1166),0)),"Unknown"),D486)</f>
        <v>Charles Garcia</v>
      </c>
      <c r="U486" t="str">
        <f t="shared" si="50"/>
        <v>CHF</v>
      </c>
      <c r="V486" s="7" t="str">
        <f t="shared" si="50"/>
        <v>BRL</v>
      </c>
      <c r="W486" s="7" t="str">
        <f t="shared" si="51"/>
        <v>UK</v>
      </c>
      <c r="X486" s="7" t="str">
        <f t="shared" si="51"/>
        <v>South Africa</v>
      </c>
      <c r="Y486" s="7" t="str" cm="1">
        <f t="array" ref="Y486">IF(H486="",IFERROR(INDEX($H$2:$H$1166,MATCH(MAX(COUNTIF($H$2:$H$1166,$H$2:$H$1166)),COUNTIF($H$2:$H$1166,$H$2:$H$1166),0)),"Unknown"),H486)</f>
        <v>Verified</v>
      </c>
      <c r="Z486" s="7" t="str">
        <f t="shared" si="52"/>
        <v>Inter-Transaction</v>
      </c>
      <c r="AA486" s="7">
        <f>IF(J486="",AVERAGE($J:$J),J486)</f>
        <v>14555.17</v>
      </c>
      <c r="AB486" s="7">
        <f>IF(N486="",AVERAGE($N:$N),N486)</f>
        <v>30</v>
      </c>
      <c r="AC486" s="7">
        <f t="shared" si="53"/>
        <v>2025</v>
      </c>
      <c r="AD486" s="7">
        <f t="shared" si="54"/>
        <v>5</v>
      </c>
      <c r="AE486" s="7">
        <f>COUNTIF(A:A,A486)</f>
        <v>1</v>
      </c>
      <c r="AF486" s="7" t="str">
        <f t="shared" si="55"/>
        <v>No</v>
      </c>
    </row>
    <row r="487" spans="1:32">
      <c r="A487" t="s">
        <v>1669</v>
      </c>
      <c r="B487">
        <v>41700023</v>
      </c>
      <c r="C487" t="s">
        <v>1670</v>
      </c>
      <c r="D487" t="s">
        <v>1200</v>
      </c>
      <c r="E487" t="s">
        <v>20</v>
      </c>
      <c r="F487" t="s">
        <v>21</v>
      </c>
      <c r="G487" t="s">
        <v>180</v>
      </c>
      <c r="H487" t="s">
        <v>38</v>
      </c>
      <c r="I487" t="s">
        <v>3374</v>
      </c>
      <c r="J487">
        <v>5916.77</v>
      </c>
      <c r="K487" t="s">
        <v>47</v>
      </c>
      <c r="L487" t="s">
        <v>81</v>
      </c>
      <c r="M487" s="1">
        <v>44557.973611111112</v>
      </c>
      <c r="N487">
        <v>75</v>
      </c>
      <c r="O487" t="s">
        <v>68</v>
      </c>
      <c r="P487" t="s">
        <v>62</v>
      </c>
      <c r="Q487" t="s">
        <v>1671</v>
      </c>
      <c r="R487">
        <f t="shared" si="49"/>
        <v>41700023</v>
      </c>
      <c r="S487" t="str" cm="1">
        <f t="array" ref="S487">IF(C487="",IFERROR(INDEX($C$2:$C$1166,MATCH(MAX(COUNTIF($C$2:$C$1166,$C$2:$C$1166)),COUNTIF($C$2:$C$1166,$C$2:$C$1166),0)),"Unknown"),C487)</f>
        <v>Zayn Miller</v>
      </c>
      <c r="T487" s="4" t="str" cm="1">
        <f t="array" ref="T487">IF(D487="",IFERROR(INDEX($D$2:$D$1000,MATCH(MAX(COUNTIF($D$2:$D$1166,$D$2:$D$1166)),COUNTIF($D$2:$D$1166,$D$2:$D$1166),0)),"Unknown"),D487)</f>
        <v>Jessica Williams</v>
      </c>
      <c r="U487" t="str">
        <f t="shared" si="50"/>
        <v>GBP</v>
      </c>
      <c r="V487" s="7" t="str">
        <f t="shared" si="50"/>
        <v>zar</v>
      </c>
      <c r="W487" s="7" t="str">
        <f t="shared" si="51"/>
        <v>UAE</v>
      </c>
      <c r="X487" s="7" t="str">
        <f t="shared" si="51"/>
        <v>Australia</v>
      </c>
      <c r="Y487" s="7" t="str" cm="1">
        <f t="array" ref="Y487">IF(H487="",IFERROR(INDEX($H$2:$H$1166,MATCH(MAX(COUNTIF($H$2:$H$1166,$H$2:$H$1166)),COUNTIF($H$2:$H$1166,$H$2:$H$1166),0)),"Unknown"),H487)</f>
        <v>Pending</v>
      </c>
      <c r="Z487" s="7" t="str">
        <f t="shared" si="52"/>
        <v>External</v>
      </c>
      <c r="AA487" s="7">
        <f>IF(J487="",AVERAGE($J:$J),J487)</f>
        <v>5916.77</v>
      </c>
      <c r="AB487" s="7">
        <f>IF(N487="",AVERAGE($N:$N),N487)</f>
        <v>75</v>
      </c>
      <c r="AC487" s="7">
        <f t="shared" si="53"/>
        <v>2021</v>
      </c>
      <c r="AD487" s="7">
        <f t="shared" si="54"/>
        <v>12</v>
      </c>
      <c r="AE487" s="7">
        <f>COUNTIF(A:A,A487)</f>
        <v>1</v>
      </c>
      <c r="AF487" s="7" t="str">
        <f t="shared" si="55"/>
        <v>No</v>
      </c>
    </row>
    <row r="488" spans="1:32">
      <c r="A488" t="s">
        <v>1672</v>
      </c>
      <c r="B488">
        <v>53904207</v>
      </c>
      <c r="C488" t="s">
        <v>339</v>
      </c>
      <c r="D488" t="s">
        <v>271</v>
      </c>
      <c r="E488" t="b">
        <v>1</v>
      </c>
      <c r="F488" t="s">
        <v>92</v>
      </c>
      <c r="G488" t="s">
        <v>116</v>
      </c>
      <c r="H488" t="s">
        <v>74</v>
      </c>
      <c r="I488" t="s">
        <v>3376</v>
      </c>
      <c r="J488">
        <v>2680.62</v>
      </c>
      <c r="K488" t="s">
        <v>47</v>
      </c>
      <c r="L488" t="s">
        <v>75</v>
      </c>
      <c r="M488" s="1">
        <v>45075.474999999999</v>
      </c>
      <c r="N488">
        <v>37</v>
      </c>
      <c r="O488" t="s">
        <v>62</v>
      </c>
      <c r="P488" t="s">
        <v>55</v>
      </c>
      <c r="Q488" t="s">
        <v>1673</v>
      </c>
      <c r="R488">
        <f t="shared" si="49"/>
        <v>53904207</v>
      </c>
      <c r="S488" t="str" cm="1">
        <f t="array" ref="S488">IF(C488="",IFERROR(INDEX($C$2:$C$1166,MATCH(MAX(COUNTIF($C$2:$C$1166,$C$2:$C$1166)),COUNTIF($C$2:$C$1166,$C$2:$C$1166),0)),"Unknown"),C488)</f>
        <v>Carlos Martinez</v>
      </c>
      <c r="T488" s="4" t="str" cm="1">
        <f t="array" ref="T488">IF(D488="",IFERROR(INDEX($D$2:$D$1000,MATCH(MAX(COUNTIF($D$2:$D$1166,$D$2:$D$1166)),COUNTIF($D$2:$D$1166,$D$2:$D$1166),0)),"Unknown"),D488)</f>
        <v>Amir Velez</v>
      </c>
      <c r="U488" t="str">
        <f t="shared" si="50"/>
        <v>AUD</v>
      </c>
      <c r="V488" s="7" t="str">
        <f t="shared" si="50"/>
        <v>CHF</v>
      </c>
      <c r="W488" s="7" t="str">
        <f t="shared" si="51"/>
        <v>Australia</v>
      </c>
      <c r="X488" s="7" t="str">
        <f t="shared" si="51"/>
        <v>UK</v>
      </c>
      <c r="Y488" s="7" t="str" cm="1">
        <f t="array" ref="Y488">IF(H488="",IFERROR(INDEX($H$2:$H$1166,MATCH(MAX(COUNTIF($H$2:$H$1166,$H$2:$H$1166)),COUNTIF($H$2:$H$1166,$H$2:$H$1166),0)),"Unknown"),H488)</f>
        <v>Non-KYC</v>
      </c>
      <c r="Z488" s="7" t="str">
        <f t="shared" si="52"/>
        <v>Internal</v>
      </c>
      <c r="AA488" s="7">
        <f>IF(J488="",AVERAGE($J:$J),J488)</f>
        <v>2680.62</v>
      </c>
      <c r="AB488" s="7">
        <f>IF(N488="",AVERAGE($N:$N),N488)</f>
        <v>37</v>
      </c>
      <c r="AC488" s="7">
        <f t="shared" si="53"/>
        <v>2023</v>
      </c>
      <c r="AD488" s="7">
        <f t="shared" si="54"/>
        <v>5</v>
      </c>
      <c r="AE488" s="7">
        <f>COUNTIF(A:A,A488)</f>
        <v>1</v>
      </c>
      <c r="AF488" s="7" t="str">
        <f t="shared" si="55"/>
        <v>No</v>
      </c>
    </row>
    <row r="489" spans="1:32">
      <c r="A489" t="s">
        <v>1674</v>
      </c>
      <c r="B489">
        <v>35228980</v>
      </c>
      <c r="C489" t="s">
        <v>1675</v>
      </c>
      <c r="D489" t="s">
        <v>1676</v>
      </c>
      <c r="E489" t="s">
        <v>20</v>
      </c>
      <c r="G489" t="s">
        <v>45</v>
      </c>
      <c r="H489" t="s">
        <v>103</v>
      </c>
      <c r="I489" t="s">
        <v>3372</v>
      </c>
      <c r="J489">
        <v>2700.97</v>
      </c>
      <c r="K489" t="s">
        <v>39</v>
      </c>
      <c r="L489" t="s">
        <v>28</v>
      </c>
      <c r="M489" s="1">
        <v>44896.336805555555</v>
      </c>
      <c r="N489">
        <v>78</v>
      </c>
      <c r="O489" t="s">
        <v>127</v>
      </c>
      <c r="P489" t="s">
        <v>37</v>
      </c>
      <c r="Q489" t="s">
        <v>1677</v>
      </c>
      <c r="R489">
        <f t="shared" si="49"/>
        <v>35228980</v>
      </c>
      <c r="S489" t="str" cm="1">
        <f t="array" ref="S489">IF(C489="",IFERROR(INDEX($C$2:$C$1166,MATCH(MAX(COUNTIF($C$2:$C$1166,$C$2:$C$1166)),COUNTIF($C$2:$C$1166,$C$2:$C$1166),0)),"Unknown"),C489)</f>
        <v>Mary Miller</v>
      </c>
      <c r="T489" s="4" t="str" cm="1">
        <f t="array" ref="T489">IF(D489="",IFERROR(INDEX($D$2:$D$1000,MATCH(MAX(COUNTIF($D$2:$D$1166,$D$2:$D$1166)),COUNTIF($D$2:$D$1166,$D$2:$D$1166),0)),"Unknown"),D489)</f>
        <v>Barbara Wilson</v>
      </c>
      <c r="U489" t="str">
        <f t="shared" si="50"/>
        <v/>
      </c>
      <c r="V489" s="7" t="str">
        <f t="shared" si="50"/>
        <v>ZAR</v>
      </c>
      <c r="W489" s="7" t="str">
        <f t="shared" si="51"/>
        <v>Canada</v>
      </c>
      <c r="X489" s="7" t="str">
        <f t="shared" si="51"/>
        <v>South Africa</v>
      </c>
      <c r="Y489" s="7" t="str" cm="1">
        <f t="array" ref="Y489">IF(H489="",IFERROR(INDEX($H$2:$H$1166,MATCH(MAX(COUNTIF($H$2:$H$1166,$H$2:$H$1166)),COUNTIF($H$2:$H$1166,$H$2:$H$1166),0)),"Unknown"),H489)</f>
        <v>Verified</v>
      </c>
      <c r="Z489" s="7" t="str">
        <f t="shared" si="52"/>
        <v>Outer-Transaction</v>
      </c>
      <c r="AA489" s="7">
        <f>IF(J489="",AVERAGE($J:$J),J489)</f>
        <v>2700.97</v>
      </c>
      <c r="AB489" s="7">
        <f>IF(N489="",AVERAGE($N:$N),N489)</f>
        <v>78</v>
      </c>
      <c r="AC489" s="7">
        <f t="shared" si="53"/>
        <v>2022</v>
      </c>
      <c r="AD489" s="7">
        <f t="shared" si="54"/>
        <v>12</v>
      </c>
      <c r="AE489" s="7">
        <f>COUNTIF(A:A,A489)</f>
        <v>1</v>
      </c>
      <c r="AF489" s="7" t="str">
        <f t="shared" si="55"/>
        <v>No</v>
      </c>
    </row>
    <row r="490" spans="1:32">
      <c r="A490" t="s">
        <v>1678</v>
      </c>
      <c r="B490">
        <v>87132540</v>
      </c>
      <c r="C490" t="s">
        <v>315</v>
      </c>
      <c r="D490" t="s">
        <v>1293</v>
      </c>
      <c r="E490" t="s">
        <v>20</v>
      </c>
      <c r="F490" t="s">
        <v>45</v>
      </c>
      <c r="H490" t="s">
        <v>38</v>
      </c>
      <c r="I490" t="s">
        <v>3372</v>
      </c>
      <c r="J490">
        <v>7535.9</v>
      </c>
      <c r="K490" t="s">
        <v>39</v>
      </c>
      <c r="L490" t="s">
        <v>75</v>
      </c>
      <c r="M490" s="1">
        <v>44506.939583333333</v>
      </c>
      <c r="N490">
        <v>56</v>
      </c>
      <c r="O490" t="s">
        <v>93</v>
      </c>
      <c r="P490" t="s">
        <v>36</v>
      </c>
      <c r="Q490" t="s">
        <v>1679</v>
      </c>
      <c r="R490">
        <f t="shared" si="49"/>
        <v>87132540</v>
      </c>
      <c r="S490" t="str" cm="1">
        <f t="array" ref="S490">IF(C490="",IFERROR(INDEX($C$2:$C$1166,MATCH(MAX(COUNTIF($C$2:$C$1166,$C$2:$C$1166)),COUNTIF($C$2:$C$1166,$C$2:$C$1166),0)),"Unknown"),C490)</f>
        <v>Charles Gonzalez</v>
      </c>
      <c r="T490" s="4" t="str" cm="1">
        <f t="array" ref="T490">IF(D490="",IFERROR(INDEX($D$2:$D$1000,MATCH(MAX(COUNTIF($D$2:$D$1166,$D$2:$D$1166)),COUNTIF($D$2:$D$1166,$D$2:$D$1166),0)),"Unknown"),D490)</f>
        <v>Marta Anderson</v>
      </c>
      <c r="U490" t="str">
        <f t="shared" si="50"/>
        <v>ZAR</v>
      </c>
      <c r="V490" s="7" t="str">
        <f t="shared" si="50"/>
        <v/>
      </c>
      <c r="W490" s="7" t="str">
        <f t="shared" si="51"/>
        <v>USA</v>
      </c>
      <c r="X490" s="7" t="str">
        <f t="shared" si="51"/>
        <v>Germany</v>
      </c>
      <c r="Y490" s="7" t="str" cm="1">
        <f t="array" ref="Y490">IF(H490="",IFERROR(INDEX($H$2:$H$1166,MATCH(MAX(COUNTIF($H$2:$H$1166,$H$2:$H$1166)),COUNTIF($H$2:$H$1166,$H$2:$H$1166),0)),"Unknown"),H490)</f>
        <v>Pending</v>
      </c>
      <c r="Z490" s="7" t="str">
        <f t="shared" si="52"/>
        <v>Outer-Transaction</v>
      </c>
      <c r="AA490" s="7">
        <f>IF(J490="",AVERAGE($J:$J),J490)</f>
        <v>7535.9</v>
      </c>
      <c r="AB490" s="7">
        <f>IF(N490="",AVERAGE($N:$N),N490)</f>
        <v>56</v>
      </c>
      <c r="AC490" s="7">
        <f t="shared" si="53"/>
        <v>2021</v>
      </c>
      <c r="AD490" s="7">
        <f t="shared" si="54"/>
        <v>11</v>
      </c>
      <c r="AE490" s="7">
        <f>COUNTIF(A:A,A490)</f>
        <v>1</v>
      </c>
      <c r="AF490" s="7" t="str">
        <f t="shared" si="55"/>
        <v>No</v>
      </c>
    </row>
    <row r="491" spans="1:32">
      <c r="A491" t="s">
        <v>1680</v>
      </c>
      <c r="B491">
        <v>89208997</v>
      </c>
      <c r="C491" t="s">
        <v>267</v>
      </c>
      <c r="D491" t="s">
        <v>774</v>
      </c>
      <c r="E491" t="s">
        <v>20</v>
      </c>
      <c r="F491" t="s">
        <v>686</v>
      </c>
      <c r="G491" t="s">
        <v>92</v>
      </c>
      <c r="H491" t="s">
        <v>38</v>
      </c>
      <c r="I491" t="s">
        <v>3374</v>
      </c>
      <c r="J491">
        <v>5545.75</v>
      </c>
      <c r="K491" t="s">
        <v>39</v>
      </c>
      <c r="L491" t="s">
        <v>75</v>
      </c>
      <c r="M491" s="1">
        <v>44113.374305555553</v>
      </c>
      <c r="N491">
        <v>18</v>
      </c>
      <c r="O491" t="s">
        <v>37</v>
      </c>
      <c r="P491" t="s">
        <v>62</v>
      </c>
      <c r="Q491" t="s">
        <v>1681</v>
      </c>
      <c r="R491">
        <f t="shared" si="49"/>
        <v>89208997</v>
      </c>
      <c r="S491" t="str" cm="1">
        <f t="array" ref="S491">IF(C491="",IFERROR(INDEX($C$2:$C$1166,MATCH(MAX(COUNTIF($C$2:$C$1166,$C$2:$C$1166)),COUNTIF($C$2:$C$1166,$C$2:$C$1166),0)),"Unknown"),C491)</f>
        <v>David Miller</v>
      </c>
      <c r="T491" s="4" t="str" cm="1">
        <f t="array" ref="T491">IF(D491="",IFERROR(INDEX($D$2:$D$1000,MATCH(MAX(COUNTIF($D$2:$D$1166,$D$2:$D$1166)),COUNTIF($D$2:$D$1166,$D$2:$D$1166),0)),"Unknown"),D491)</f>
        <v>Charles Khan</v>
      </c>
      <c r="U491" t="str">
        <f t="shared" si="50"/>
        <v>sgd</v>
      </c>
      <c r="V491" s="7" t="str">
        <f t="shared" si="50"/>
        <v>AUD</v>
      </c>
      <c r="W491" s="7" t="str">
        <f t="shared" si="51"/>
        <v>South Africa</v>
      </c>
      <c r="X491" s="7" t="str">
        <f t="shared" si="51"/>
        <v>Australia</v>
      </c>
      <c r="Y491" s="7" t="str" cm="1">
        <f t="array" ref="Y491">IF(H491="",IFERROR(INDEX($H$2:$H$1166,MATCH(MAX(COUNTIF($H$2:$H$1166,$H$2:$H$1166)),COUNTIF($H$2:$H$1166,$H$2:$H$1166),0)),"Unknown"),H491)</f>
        <v>Pending</v>
      </c>
      <c r="Z491" s="7" t="str">
        <f t="shared" si="52"/>
        <v>External</v>
      </c>
      <c r="AA491" s="7">
        <f>IF(J491="",AVERAGE($J:$J),J491)</f>
        <v>5545.75</v>
      </c>
      <c r="AB491" s="7">
        <f>IF(N491="",AVERAGE($N:$N),N491)</f>
        <v>18</v>
      </c>
      <c r="AC491" s="7">
        <f t="shared" si="53"/>
        <v>2020</v>
      </c>
      <c r="AD491" s="7">
        <f t="shared" si="54"/>
        <v>10</v>
      </c>
      <c r="AE491" s="7">
        <f>COUNTIF(A:A,A491)</f>
        <v>1</v>
      </c>
      <c r="AF491" s="7" t="str">
        <f t="shared" si="55"/>
        <v>No</v>
      </c>
    </row>
    <row r="492" spans="1:32">
      <c r="A492" t="s">
        <v>1682</v>
      </c>
      <c r="B492">
        <v>24989876</v>
      </c>
      <c r="C492" t="s">
        <v>1683</v>
      </c>
      <c r="D492" t="s">
        <v>397</v>
      </c>
      <c r="E492" t="s">
        <v>3375</v>
      </c>
      <c r="F492" t="s">
        <v>121</v>
      </c>
      <c r="G492" t="s">
        <v>21</v>
      </c>
      <c r="H492" t="s">
        <v>103</v>
      </c>
      <c r="I492" t="s">
        <v>3378</v>
      </c>
      <c r="J492">
        <v>14578.07</v>
      </c>
      <c r="K492" t="s">
        <v>27</v>
      </c>
      <c r="L492" t="s">
        <v>48</v>
      </c>
      <c r="M492" s="1">
        <v>44912.688888888886</v>
      </c>
      <c r="N492">
        <v>20</v>
      </c>
      <c r="O492" t="s">
        <v>54</v>
      </c>
      <c r="P492" t="s">
        <v>24</v>
      </c>
      <c r="Q492" t="s">
        <v>1684</v>
      </c>
      <c r="R492">
        <f t="shared" si="49"/>
        <v>24989876</v>
      </c>
      <c r="S492" t="str" cm="1">
        <f t="array" ref="S492">IF(C492="",IFERROR(INDEX($C$2:$C$1166,MATCH(MAX(COUNTIF($C$2:$C$1166,$C$2:$C$1166)),COUNTIF($C$2:$C$1166,$C$2:$C$1166),0)),"Unknown"),C492)</f>
        <v>Susan Al-Sayed</v>
      </c>
      <c r="T492" s="4" t="str" cm="1">
        <f t="array" ref="T492">IF(D492="",IFERROR(INDEX($D$2:$D$1000,MATCH(MAX(COUNTIF($D$2:$D$1166,$D$2:$D$1166)),COUNTIF($D$2:$D$1166,$D$2:$D$1166),0)),"Unknown"),D492)</f>
        <v>Mary Moore</v>
      </c>
      <c r="U492" t="str">
        <f t="shared" si="50"/>
        <v>INR</v>
      </c>
      <c r="V492" s="7" t="str">
        <f t="shared" si="50"/>
        <v>GBP</v>
      </c>
      <c r="W492" s="7" t="str">
        <f t="shared" si="51"/>
        <v>India</v>
      </c>
      <c r="X492" s="7" t="str">
        <f t="shared" si="51"/>
        <v>Brazil</v>
      </c>
      <c r="Y492" s="7" t="str" cm="1">
        <f t="array" ref="Y492">IF(H492="",IFERROR(INDEX($H$2:$H$1166,MATCH(MAX(COUNTIF($H$2:$H$1166,$H$2:$H$1166)),COUNTIF($H$2:$H$1166,$H$2:$H$1166),0)),"Unknown"),H492)</f>
        <v>Verified</v>
      </c>
      <c r="Z492" s="7" t="str">
        <f t="shared" si="52"/>
        <v>Inter-Transaction</v>
      </c>
      <c r="AA492" s="7">
        <f>IF(J492="",AVERAGE($J:$J),J492)</f>
        <v>14578.07</v>
      </c>
      <c r="AB492" s="7">
        <f>IF(N492="",AVERAGE($N:$N),N492)</f>
        <v>20</v>
      </c>
      <c r="AC492" s="7">
        <f t="shared" si="53"/>
        <v>2022</v>
      </c>
      <c r="AD492" s="7">
        <f t="shared" si="54"/>
        <v>12</v>
      </c>
      <c r="AE492" s="7">
        <f>COUNTIF(A:A,A492)</f>
        <v>1</v>
      </c>
      <c r="AF492" s="7" t="str">
        <f t="shared" si="55"/>
        <v>No</v>
      </c>
    </row>
    <row r="493" spans="1:32">
      <c r="A493" t="s">
        <v>1685</v>
      </c>
      <c r="B493">
        <v>78804339</v>
      </c>
      <c r="C493" t="s">
        <v>442</v>
      </c>
      <c r="D493" t="s">
        <v>1686</v>
      </c>
      <c r="E493" t="s">
        <v>20</v>
      </c>
      <c r="F493" t="s">
        <v>53</v>
      </c>
      <c r="G493" t="s">
        <v>92</v>
      </c>
      <c r="H493" t="s">
        <v>25</v>
      </c>
      <c r="I493" t="s">
        <v>3372</v>
      </c>
      <c r="J493">
        <v>14477.75</v>
      </c>
      <c r="K493" t="s">
        <v>47</v>
      </c>
      <c r="L493" t="s">
        <v>75</v>
      </c>
      <c r="M493" s="1">
        <v>45739.790972222225</v>
      </c>
      <c r="N493">
        <v>79</v>
      </c>
      <c r="O493" t="s">
        <v>62</v>
      </c>
      <c r="P493" t="s">
        <v>36</v>
      </c>
      <c r="Q493" t="s">
        <v>1687</v>
      </c>
      <c r="R493">
        <f t="shared" si="49"/>
        <v>78804339</v>
      </c>
      <c r="S493" t="str" cm="1">
        <f t="array" ref="S493">IF(C493="",IFERROR(INDEX($C$2:$C$1166,MATCH(MAX(COUNTIF($C$2:$C$1166,$C$2:$C$1166)),COUNTIF($C$2:$C$1166,$C$2:$C$1166),0)),"Unknown"),C493)</f>
        <v>Fatima Williams</v>
      </c>
      <c r="T493" s="4" t="str" cm="1">
        <f t="array" ref="T493">IF(D493="",IFERROR(INDEX($D$2:$D$1000,MATCH(MAX(COUNTIF($D$2:$D$1166,$D$2:$D$1166)),COUNTIF($D$2:$D$1166,$D$2:$D$1166),0)),"Unknown"),D493)</f>
        <v>Richard Souza</v>
      </c>
      <c r="U493" t="str">
        <f t="shared" si="50"/>
        <v>AED</v>
      </c>
      <c r="V493" s="7" t="str">
        <f t="shared" si="50"/>
        <v>AUD</v>
      </c>
      <c r="W493" s="7" t="str">
        <f t="shared" si="51"/>
        <v>Australia</v>
      </c>
      <c r="X493" s="7" t="str">
        <f t="shared" si="51"/>
        <v>Germany</v>
      </c>
      <c r="Y493" s="7" t="str" cm="1">
        <f t="array" ref="Y493">IF(H493="",IFERROR(INDEX($H$2:$H$1166,MATCH(MAX(COUNTIF($H$2:$H$1166,$H$2:$H$1166)),COUNTIF($H$2:$H$1166,$H$2:$H$1166),0)),"Unknown"),H493)</f>
        <v>KYC</v>
      </c>
      <c r="Z493" s="7" t="str">
        <f t="shared" si="52"/>
        <v>Outer-Transaction</v>
      </c>
      <c r="AA493" s="7">
        <f>IF(J493="",AVERAGE($J:$J),J493)</f>
        <v>14477.75</v>
      </c>
      <c r="AB493" s="7">
        <f>IF(N493="",AVERAGE($N:$N),N493)</f>
        <v>79</v>
      </c>
      <c r="AC493" s="7">
        <f t="shared" si="53"/>
        <v>2025</v>
      </c>
      <c r="AD493" s="7">
        <f t="shared" si="54"/>
        <v>3</v>
      </c>
      <c r="AE493" s="7">
        <f>COUNTIF(A:A,A493)</f>
        <v>1</v>
      </c>
      <c r="AF493" s="7" t="str">
        <f t="shared" si="55"/>
        <v>No</v>
      </c>
    </row>
    <row r="494" spans="1:32">
      <c r="A494" t="s">
        <v>1688</v>
      </c>
      <c r="B494">
        <v>68645850</v>
      </c>
      <c r="C494" t="s">
        <v>1096</v>
      </c>
      <c r="D494" t="s">
        <v>1689</v>
      </c>
      <c r="E494" t="s">
        <v>20</v>
      </c>
      <c r="F494" t="s">
        <v>294</v>
      </c>
      <c r="G494" t="s">
        <v>45</v>
      </c>
      <c r="H494" t="s">
        <v>74</v>
      </c>
      <c r="I494" t="s">
        <v>3377</v>
      </c>
      <c r="J494">
        <v>11732.94</v>
      </c>
      <c r="K494" t="s">
        <v>47</v>
      </c>
      <c r="L494" t="s">
        <v>75</v>
      </c>
      <c r="M494" s="1">
        <v>44983.23333333333</v>
      </c>
      <c r="N494">
        <v>80</v>
      </c>
      <c r="O494" t="s">
        <v>68</v>
      </c>
      <c r="P494" t="s">
        <v>37</v>
      </c>
      <c r="Q494" t="s">
        <v>1690</v>
      </c>
      <c r="R494">
        <f t="shared" si="49"/>
        <v>68645850</v>
      </c>
      <c r="S494" t="str" cm="1">
        <f t="array" ref="S494">IF(C494="",IFERROR(INDEX($C$2:$C$1166,MATCH(MAX(COUNTIF($C$2:$C$1166,$C$2:$C$1166)),COUNTIF($C$2:$C$1166,$C$2:$C$1166),0)),"Unknown"),C494)</f>
        <v>David Al-Sayed</v>
      </c>
      <c r="T494" s="4" t="str" cm="1">
        <f t="array" ref="T494">IF(D494="",IFERROR(INDEX($D$2:$D$1000,MATCH(MAX(COUNTIF($D$2:$D$1166,$D$2:$D$1166)),COUNTIF($D$2:$D$1166,$D$2:$D$1166),0)),"Unknown"),D494)</f>
        <v xml:space="preserve"> elena dubois   </v>
      </c>
      <c r="U494" t="str">
        <f t="shared" si="50"/>
        <v>jpy</v>
      </c>
      <c r="V494" s="7" t="str">
        <f t="shared" si="50"/>
        <v>ZAR</v>
      </c>
      <c r="W494" s="7" t="str">
        <f t="shared" si="51"/>
        <v>UAE</v>
      </c>
      <c r="X494" s="7" t="str">
        <f t="shared" si="51"/>
        <v>South Africa</v>
      </c>
      <c r="Y494" s="7" t="str" cm="1">
        <f t="array" ref="Y494">IF(H494="",IFERROR(INDEX($H$2:$H$1166,MATCH(MAX(COUNTIF($H$2:$H$1166,$H$2:$H$1166)),COUNTIF($H$2:$H$1166,$H$2:$H$1166),0)),"Unknown"),H494)</f>
        <v>Non-KYC</v>
      </c>
      <c r="Z494" s="7" t="str">
        <f t="shared" si="52"/>
        <v>Inter-Transaction</v>
      </c>
      <c r="AA494" s="7">
        <f>IF(J494="",AVERAGE($J:$J),J494)</f>
        <v>11732.94</v>
      </c>
      <c r="AB494" s="7">
        <f>IF(N494="",AVERAGE($N:$N),N494)</f>
        <v>80</v>
      </c>
      <c r="AC494" s="7">
        <f t="shared" si="53"/>
        <v>2023</v>
      </c>
      <c r="AD494" s="7">
        <f t="shared" si="54"/>
        <v>2</v>
      </c>
      <c r="AE494" s="7">
        <f>COUNTIF(A:A,A494)</f>
        <v>1</v>
      </c>
      <c r="AF494" s="7" t="str">
        <f t="shared" si="55"/>
        <v>No</v>
      </c>
    </row>
    <row r="495" spans="1:32">
      <c r="A495" t="s">
        <v>1691</v>
      </c>
      <c r="B495">
        <v>92058877</v>
      </c>
      <c r="C495" t="s">
        <v>1692</v>
      </c>
      <c r="D495" t="s">
        <v>1693</v>
      </c>
      <c r="E495" t="s">
        <v>3373</v>
      </c>
      <c r="F495" t="s">
        <v>116</v>
      </c>
      <c r="G495" t="s">
        <v>92</v>
      </c>
      <c r="H495" t="s">
        <v>103</v>
      </c>
      <c r="I495" t="s">
        <v>3378</v>
      </c>
      <c r="J495">
        <v>5202.03</v>
      </c>
      <c r="K495" t="s">
        <v>39</v>
      </c>
      <c r="L495" t="s">
        <v>48</v>
      </c>
      <c r="M495" s="1">
        <v>44778.069444444445</v>
      </c>
      <c r="N495">
        <v>42</v>
      </c>
      <c r="O495" t="s">
        <v>36</v>
      </c>
      <c r="P495" t="s">
        <v>93</v>
      </c>
      <c r="Q495" t="s">
        <v>1694</v>
      </c>
      <c r="R495">
        <f t="shared" si="49"/>
        <v>92058877</v>
      </c>
      <c r="S495" t="str" cm="1">
        <f t="array" ref="S495">IF(C495="",IFERROR(INDEX($C$2:$C$1166,MATCH(MAX(COUNTIF($C$2:$C$1166,$C$2:$C$1166)),COUNTIF($C$2:$C$1166,$C$2:$C$1166),0)),"Unknown"),C495)</f>
        <v>Barbara Al-Sayed</v>
      </c>
      <c r="T495" s="4" t="str" cm="1">
        <f t="array" ref="T495">IF(D495="",IFERROR(INDEX($D$2:$D$1000,MATCH(MAX(COUNTIF($D$2:$D$1166,$D$2:$D$1166)),COUNTIF($D$2:$D$1166,$D$2:$D$1166),0)),"Unknown"),D495)</f>
        <v xml:space="preserve"> elena martin   </v>
      </c>
      <c r="U495" t="str">
        <f t="shared" si="50"/>
        <v>CHF</v>
      </c>
      <c r="V495" s="7" t="str">
        <f t="shared" si="50"/>
        <v>AUD</v>
      </c>
      <c r="W495" s="7" t="str">
        <f t="shared" si="51"/>
        <v>Germany</v>
      </c>
      <c r="X495" s="7" t="str">
        <f t="shared" si="51"/>
        <v>USA</v>
      </c>
      <c r="Y495" s="7" t="str" cm="1">
        <f t="array" ref="Y495">IF(H495="",IFERROR(INDEX($H$2:$H$1166,MATCH(MAX(COUNTIF($H$2:$H$1166,$H$2:$H$1166)),COUNTIF($H$2:$H$1166,$H$2:$H$1166),0)),"Unknown"),H495)</f>
        <v>Verified</v>
      </c>
      <c r="Z495" s="7" t="str">
        <f t="shared" si="52"/>
        <v>Inter-Transaction</v>
      </c>
      <c r="AA495" s="7">
        <f>IF(J495="",AVERAGE($J:$J),J495)</f>
        <v>5202.03</v>
      </c>
      <c r="AB495" s="7">
        <f>IF(N495="",AVERAGE($N:$N),N495)</f>
        <v>42</v>
      </c>
      <c r="AC495" s="7">
        <f t="shared" si="53"/>
        <v>2022</v>
      </c>
      <c r="AD495" s="7">
        <f t="shared" si="54"/>
        <v>8</v>
      </c>
      <c r="AE495" s="7">
        <f>COUNTIF(A:A,A495)</f>
        <v>1</v>
      </c>
      <c r="AF495" s="7" t="str">
        <f t="shared" si="55"/>
        <v>Yes</v>
      </c>
    </row>
    <row r="496" spans="1:32">
      <c r="A496" t="s">
        <v>1695</v>
      </c>
      <c r="B496">
        <v>20550656</v>
      </c>
      <c r="C496" t="s">
        <v>1696</v>
      </c>
      <c r="D496" t="s">
        <v>1697</v>
      </c>
      <c r="E496" t="s">
        <v>20</v>
      </c>
      <c r="F496" t="s">
        <v>22</v>
      </c>
      <c r="G496" t="s">
        <v>98</v>
      </c>
      <c r="H496" t="s">
        <v>38</v>
      </c>
      <c r="I496" t="s">
        <v>3376</v>
      </c>
      <c r="J496">
        <v>2509.35</v>
      </c>
      <c r="K496" t="s">
        <v>57</v>
      </c>
      <c r="L496" t="s">
        <v>81</v>
      </c>
      <c r="M496" s="1">
        <v>44495.565972222219</v>
      </c>
      <c r="N496">
        <v>73</v>
      </c>
      <c r="O496" t="s">
        <v>93</v>
      </c>
      <c r="P496" t="s">
        <v>93</v>
      </c>
      <c r="Q496" t="s">
        <v>1698</v>
      </c>
      <c r="R496">
        <f t="shared" si="49"/>
        <v>20550656</v>
      </c>
      <c r="S496" t="str" cm="1">
        <f t="array" ref="S496">IF(C496="",IFERROR(INDEX($C$2:$C$1166,MATCH(MAX(COUNTIF($C$2:$C$1166,$C$2:$C$1166)),COUNTIF($C$2:$C$1166,$C$2:$C$1166),0)),"Unknown"),C496)</f>
        <v>Sanjay Thomas</v>
      </c>
      <c r="T496" s="4" t="str" cm="1">
        <f t="array" ref="T496">IF(D496="",IFERROR(INDEX($D$2:$D$1000,MATCH(MAX(COUNTIF($D$2:$D$1166,$D$2:$D$1166)),COUNTIF($D$2:$D$1166,$D$2:$D$1166),0)),"Unknown"),D496)</f>
        <v xml:space="preserve"> karen lopez   </v>
      </c>
      <c r="U496" t="str">
        <f t="shared" si="50"/>
        <v>BRL</v>
      </c>
      <c r="V496" s="7" t="str">
        <f t="shared" si="50"/>
        <v>JPY</v>
      </c>
      <c r="W496" s="7" t="str">
        <f t="shared" si="51"/>
        <v>USA</v>
      </c>
      <c r="X496" s="7" t="str">
        <f t="shared" si="51"/>
        <v>USA</v>
      </c>
      <c r="Y496" s="7" t="str" cm="1">
        <f t="array" ref="Y496">IF(H496="",IFERROR(INDEX($H$2:$H$1166,MATCH(MAX(COUNTIF($H$2:$H$1166,$H$2:$H$1166)),COUNTIF($H$2:$H$1166,$H$2:$H$1166),0)),"Unknown"),H496)</f>
        <v>Pending</v>
      </c>
      <c r="Z496" s="7" t="str">
        <f t="shared" si="52"/>
        <v>Internal</v>
      </c>
      <c r="AA496" s="7">
        <f>IF(J496="",AVERAGE($J:$J),J496)</f>
        <v>2509.35</v>
      </c>
      <c r="AB496" s="7">
        <f>IF(N496="",AVERAGE($N:$N),N496)</f>
        <v>73</v>
      </c>
      <c r="AC496" s="7">
        <f t="shared" si="53"/>
        <v>2021</v>
      </c>
      <c r="AD496" s="7">
        <f t="shared" si="54"/>
        <v>10</v>
      </c>
      <c r="AE496" s="7">
        <f>COUNTIF(A:A,A496)</f>
        <v>1</v>
      </c>
      <c r="AF496" s="7" t="str">
        <f t="shared" si="55"/>
        <v>No</v>
      </c>
    </row>
    <row r="497" spans="1:32">
      <c r="A497" t="s">
        <v>1699</v>
      </c>
      <c r="B497">
        <v>91486500</v>
      </c>
      <c r="C497" t="s">
        <v>43</v>
      </c>
      <c r="D497" t="s">
        <v>1700</v>
      </c>
      <c r="E497" t="s">
        <v>33</v>
      </c>
      <c r="F497" t="s">
        <v>35</v>
      </c>
      <c r="G497" t="s">
        <v>116</v>
      </c>
      <c r="H497" t="s">
        <v>38</v>
      </c>
      <c r="I497" t="s">
        <v>3372</v>
      </c>
      <c r="J497">
        <v>5286.85</v>
      </c>
      <c r="K497" t="s">
        <v>47</v>
      </c>
      <c r="L497" t="s">
        <v>81</v>
      </c>
      <c r="M497" s="1">
        <v>45548.161111111112</v>
      </c>
      <c r="N497">
        <v>50</v>
      </c>
      <c r="O497" t="s">
        <v>23</v>
      </c>
      <c r="P497" t="s">
        <v>24</v>
      </c>
      <c r="Q497" t="s">
        <v>1701</v>
      </c>
      <c r="R497">
        <f t="shared" si="49"/>
        <v>91486500</v>
      </c>
      <c r="S497" t="str" cm="1">
        <f t="array" ref="S497">IF(C497="",IFERROR(INDEX($C$2:$C$1166,MATCH(MAX(COUNTIF($C$2:$C$1166,$C$2:$C$1166)),COUNTIF($C$2:$C$1166,$C$2:$C$1166),0)),"Unknown"),C497)</f>
        <v>Zayn Brown</v>
      </c>
      <c r="T497" s="4" t="str" cm="1">
        <f t="array" ref="T497">IF(D497="",IFERROR(INDEX($D$2:$D$1000,MATCH(MAX(COUNTIF($D$2:$D$1166,$D$2:$D$1166)),COUNTIF($D$2:$D$1166,$D$2:$D$1166),0)),"Unknown"),D497)</f>
        <v>Patricia Gonzalez</v>
      </c>
      <c r="U497" t="str">
        <f t="shared" si="50"/>
        <v>EUR</v>
      </c>
      <c r="V497" s="7" t="str">
        <f t="shared" si="50"/>
        <v>CHF</v>
      </c>
      <c r="W497" s="7" t="str">
        <f t="shared" si="51"/>
        <v>France</v>
      </c>
      <c r="X497" s="7" t="str">
        <f t="shared" si="51"/>
        <v>Brazil</v>
      </c>
      <c r="Y497" s="7" t="str" cm="1">
        <f t="array" ref="Y497">IF(H497="",IFERROR(INDEX($H$2:$H$1166,MATCH(MAX(COUNTIF($H$2:$H$1166,$H$2:$H$1166)),COUNTIF($H$2:$H$1166,$H$2:$H$1166),0)),"Unknown"),H497)</f>
        <v>Pending</v>
      </c>
      <c r="Z497" s="7" t="str">
        <f t="shared" si="52"/>
        <v>Outer-Transaction</v>
      </c>
      <c r="AA497" s="7">
        <f>IF(J497="",AVERAGE($J:$J),J497)</f>
        <v>5286.85</v>
      </c>
      <c r="AB497" s="7">
        <f>IF(N497="",AVERAGE($N:$N),N497)</f>
        <v>50</v>
      </c>
      <c r="AC497" s="7">
        <f t="shared" si="53"/>
        <v>2024</v>
      </c>
      <c r="AD497" s="7">
        <f t="shared" si="54"/>
        <v>9</v>
      </c>
      <c r="AE497" s="7">
        <f>COUNTIF(A:A,A497)</f>
        <v>1</v>
      </c>
      <c r="AF497" s="7" t="str">
        <f t="shared" si="55"/>
        <v>Yes</v>
      </c>
    </row>
    <row r="498" spans="1:32">
      <c r="A498" t="s">
        <v>1702</v>
      </c>
      <c r="B498">
        <v>81890645</v>
      </c>
      <c r="C498" t="s">
        <v>678</v>
      </c>
      <c r="D498" t="s">
        <v>208</v>
      </c>
      <c r="E498" t="s">
        <v>20</v>
      </c>
      <c r="F498" t="s">
        <v>44</v>
      </c>
      <c r="G498" t="s">
        <v>53</v>
      </c>
      <c r="I498" t="s">
        <v>3378</v>
      </c>
      <c r="J498">
        <v>11446.39</v>
      </c>
      <c r="K498" t="s">
        <v>47</v>
      </c>
      <c r="L498" t="s">
        <v>28</v>
      </c>
      <c r="M498" s="1">
        <v>44979.588194444441</v>
      </c>
      <c r="N498">
        <v>55</v>
      </c>
      <c r="O498" t="s">
        <v>62</v>
      </c>
      <c r="P498" t="s">
        <v>127</v>
      </c>
      <c r="Q498" t="s">
        <v>1703</v>
      </c>
      <c r="R498">
        <f t="shared" si="49"/>
        <v>81890645</v>
      </c>
      <c r="S498" t="str" cm="1">
        <f t="array" ref="S498">IF(C498="",IFERROR(INDEX($C$2:$C$1166,MATCH(MAX(COUNTIF($C$2:$C$1166,$C$2:$C$1166)),COUNTIF($C$2:$C$1166,$C$2:$C$1166),0)),"Unknown"),C498)</f>
        <v>Karen Gonzalez</v>
      </c>
      <c r="T498" s="4" t="str" cm="1">
        <f t="array" ref="T498">IF(D498="",IFERROR(INDEX($D$2:$D$1000,MATCH(MAX(COUNTIF($D$2:$D$1166,$D$2:$D$1166)),COUNTIF($D$2:$D$1166,$D$2:$D$1166),0)),"Unknown"),D498)</f>
        <v>Elizabeth Malik</v>
      </c>
      <c r="U498" t="str">
        <f t="shared" si="50"/>
        <v>SGD</v>
      </c>
      <c r="V498" s="7" t="str">
        <f t="shared" si="50"/>
        <v>AED</v>
      </c>
      <c r="W498" s="7" t="str">
        <f t="shared" si="51"/>
        <v>Australia</v>
      </c>
      <c r="X498" s="7" t="str">
        <f t="shared" si="51"/>
        <v>Canada</v>
      </c>
      <c r="Y498" s="7" t="str" cm="1">
        <f t="array" ref="Y498">IF(H498="",IFERROR(INDEX($H$2:$H$1166,MATCH(MAX(COUNTIF($H$2:$H$1166,$H$2:$H$1166)),COUNTIF($H$2:$H$1166,$H$2:$H$1166),0)),"Unknown"),H498)</f>
        <v>Pending</v>
      </c>
      <c r="Z498" s="7" t="str">
        <f t="shared" si="52"/>
        <v>Inter-Transaction</v>
      </c>
      <c r="AA498" s="7">
        <f>IF(J498="",AVERAGE($J:$J),J498)</f>
        <v>11446.39</v>
      </c>
      <c r="AB498" s="7">
        <f>IF(N498="",AVERAGE($N:$N),N498)</f>
        <v>55</v>
      </c>
      <c r="AC498" s="7">
        <f t="shared" si="53"/>
        <v>2023</v>
      </c>
      <c r="AD498" s="7">
        <f t="shared" si="54"/>
        <v>2</v>
      </c>
      <c r="AE498" s="7">
        <f>COUNTIF(A:A,A498)</f>
        <v>1</v>
      </c>
      <c r="AF498" s="7" t="str">
        <f t="shared" si="55"/>
        <v>No</v>
      </c>
    </row>
    <row r="499" spans="1:32">
      <c r="A499" t="s">
        <v>1704</v>
      </c>
      <c r="B499">
        <v>77560003</v>
      </c>
      <c r="C499" t="s">
        <v>448</v>
      </c>
      <c r="D499" t="s">
        <v>868</v>
      </c>
      <c r="E499" t="s">
        <v>20</v>
      </c>
      <c r="F499" t="s">
        <v>80</v>
      </c>
      <c r="G499" t="s">
        <v>34</v>
      </c>
      <c r="H499" t="s">
        <v>25</v>
      </c>
      <c r="I499" t="s">
        <v>3374</v>
      </c>
      <c r="J499">
        <v>9024.1299999999992</v>
      </c>
      <c r="K499" t="s">
        <v>39</v>
      </c>
      <c r="L499" t="s">
        <v>48</v>
      </c>
      <c r="M499" s="1">
        <v>43897.157638888886</v>
      </c>
      <c r="N499">
        <v>23</v>
      </c>
      <c r="O499" t="s">
        <v>36</v>
      </c>
      <c r="P499" t="s">
        <v>23</v>
      </c>
      <c r="Q499" t="s">
        <v>1705</v>
      </c>
      <c r="R499">
        <f t="shared" si="49"/>
        <v>77560003</v>
      </c>
      <c r="S499" t="str" cm="1">
        <f t="array" ref="S499">IF(C499="",IFERROR(INDEX($C$2:$C$1166,MATCH(MAX(COUNTIF($C$2:$C$1166,$C$2:$C$1166)),COUNTIF($C$2:$C$1166,$C$2:$C$1166),0)),"Unknown"),C499)</f>
        <v>Robert Martin</v>
      </c>
      <c r="T499" s="4" t="str" cm="1">
        <f t="array" ref="T499">IF(D499="",IFERROR(INDEX($D$2:$D$1000,MATCH(MAX(COUNTIF($D$2:$D$1166,$D$2:$D$1166)),COUNTIF($D$2:$D$1166,$D$2:$D$1166),0)),"Unknown"),D499)</f>
        <v>Christopher Al-Sayed</v>
      </c>
      <c r="U499" t="str">
        <f t="shared" si="50"/>
        <v>USD</v>
      </c>
      <c r="V499" s="7" t="str">
        <f t="shared" si="50"/>
        <v>CAD</v>
      </c>
      <c r="W499" s="7" t="str">
        <f t="shared" si="51"/>
        <v>Germany</v>
      </c>
      <c r="X499" s="7" t="str">
        <f t="shared" si="51"/>
        <v>France</v>
      </c>
      <c r="Y499" s="7" t="str" cm="1">
        <f t="array" ref="Y499">IF(H499="",IFERROR(INDEX($H$2:$H$1166,MATCH(MAX(COUNTIF($H$2:$H$1166,$H$2:$H$1166)),COUNTIF($H$2:$H$1166,$H$2:$H$1166),0)),"Unknown"),H499)</f>
        <v>KYC</v>
      </c>
      <c r="Z499" s="7" t="str">
        <f t="shared" si="52"/>
        <v>External</v>
      </c>
      <c r="AA499" s="7">
        <f>IF(J499="",AVERAGE($J:$J),J499)</f>
        <v>9024.1299999999992</v>
      </c>
      <c r="AB499" s="7">
        <f>IF(N499="",AVERAGE($N:$N),N499)</f>
        <v>23</v>
      </c>
      <c r="AC499" s="7">
        <f t="shared" si="53"/>
        <v>2020</v>
      </c>
      <c r="AD499" s="7">
        <f t="shared" si="54"/>
        <v>3</v>
      </c>
      <c r="AE499" s="7">
        <f>COUNTIF(A:A,A499)</f>
        <v>1</v>
      </c>
      <c r="AF499" s="7" t="str">
        <f t="shared" si="55"/>
        <v>No</v>
      </c>
    </row>
    <row r="500" spans="1:32">
      <c r="A500" t="s">
        <v>1706</v>
      </c>
      <c r="C500" t="s">
        <v>507</v>
      </c>
      <c r="D500" t="s">
        <v>1179</v>
      </c>
      <c r="E500" t="s">
        <v>3373</v>
      </c>
      <c r="F500" t="s">
        <v>121</v>
      </c>
      <c r="G500" t="s">
        <v>45</v>
      </c>
      <c r="H500" t="s">
        <v>25</v>
      </c>
      <c r="I500" t="s">
        <v>3376</v>
      </c>
      <c r="J500">
        <v>12569.75</v>
      </c>
      <c r="K500" t="s">
        <v>47</v>
      </c>
      <c r="L500" t="s">
        <v>48</v>
      </c>
      <c r="M500" s="1">
        <v>45884.852083333331</v>
      </c>
      <c r="N500">
        <v>75</v>
      </c>
      <c r="O500" t="s">
        <v>127</v>
      </c>
      <c r="P500" t="s">
        <v>55</v>
      </c>
      <c r="Q500" t="s">
        <v>1707</v>
      </c>
      <c r="R500">
        <f t="shared" si="49"/>
        <v>0</v>
      </c>
      <c r="S500" t="str" cm="1">
        <f t="array" ref="S500">IF(C500="",IFERROR(INDEX($C$2:$C$1166,MATCH(MAX(COUNTIF($C$2:$C$1166,$C$2:$C$1166)),COUNTIF($C$2:$C$1166,$C$2:$C$1166),0)),"Unknown"),C500)</f>
        <v>Carlos Smith</v>
      </c>
      <c r="T500" s="4" t="str" cm="1">
        <f t="array" ref="T500">IF(D500="",IFERROR(INDEX($D$2:$D$1000,MATCH(MAX(COUNTIF($D$2:$D$1166,$D$2:$D$1166)),COUNTIF($D$2:$D$1166,$D$2:$D$1166),0)),"Unknown"),D500)</f>
        <v>William Jackson</v>
      </c>
      <c r="U500" t="str">
        <f t="shared" si="50"/>
        <v>INR</v>
      </c>
      <c r="V500" s="7" t="str">
        <f t="shared" si="50"/>
        <v>ZAR</v>
      </c>
      <c r="W500" s="7" t="str">
        <f t="shared" si="51"/>
        <v>Canada</v>
      </c>
      <c r="X500" s="7" t="str">
        <f t="shared" si="51"/>
        <v>UK</v>
      </c>
      <c r="Y500" s="7" t="str" cm="1">
        <f t="array" ref="Y500">IF(H500="",IFERROR(INDEX($H$2:$H$1166,MATCH(MAX(COUNTIF($H$2:$H$1166,$H$2:$H$1166)),COUNTIF($H$2:$H$1166,$H$2:$H$1166),0)),"Unknown"),H500)</f>
        <v>KYC</v>
      </c>
      <c r="Z500" s="7" t="str">
        <f t="shared" si="52"/>
        <v>Internal</v>
      </c>
      <c r="AA500" s="7">
        <f>IF(J500="",AVERAGE($J:$J),J500)</f>
        <v>12569.75</v>
      </c>
      <c r="AB500" s="7">
        <f>IF(N500="",AVERAGE($N:$N),N500)</f>
        <v>75</v>
      </c>
      <c r="AC500" s="7">
        <f t="shared" si="53"/>
        <v>2025</v>
      </c>
      <c r="AD500" s="7">
        <f t="shared" si="54"/>
        <v>8</v>
      </c>
      <c r="AE500" s="7">
        <f>COUNTIF(A:A,A500)</f>
        <v>1</v>
      </c>
      <c r="AF500" s="7" t="str">
        <f t="shared" si="55"/>
        <v>Yes</v>
      </c>
    </row>
    <row r="501" spans="1:32">
      <c r="A501" t="s">
        <v>1708</v>
      </c>
      <c r="B501">
        <v>19444312</v>
      </c>
      <c r="C501" t="s">
        <v>1709</v>
      </c>
      <c r="D501" t="s">
        <v>1710</v>
      </c>
      <c r="E501" t="s">
        <v>20</v>
      </c>
      <c r="F501" t="s">
        <v>35</v>
      </c>
      <c r="G501" t="s">
        <v>22</v>
      </c>
      <c r="I501" t="s">
        <v>3377</v>
      </c>
      <c r="J501">
        <v>4401.5200000000004</v>
      </c>
      <c r="K501" t="s">
        <v>39</v>
      </c>
      <c r="L501" t="s">
        <v>28</v>
      </c>
      <c r="M501" s="1">
        <v>44467.135416666664</v>
      </c>
      <c r="N501">
        <v>61</v>
      </c>
      <c r="O501" t="s">
        <v>68</v>
      </c>
      <c r="P501" t="s">
        <v>127</v>
      </c>
      <c r="Q501" t="s">
        <v>1711</v>
      </c>
      <c r="R501">
        <f t="shared" si="49"/>
        <v>19444312</v>
      </c>
      <c r="S501" t="str" cm="1">
        <f t="array" ref="S501">IF(C501="",IFERROR(INDEX($C$2:$C$1166,MATCH(MAX(COUNTIF($C$2:$C$1166,$C$2:$C$1166)),COUNTIF($C$2:$C$1166,$C$2:$C$1166),0)),"Unknown"),C501)</f>
        <v xml:space="preserve">  LUCAS WILSON </v>
      </c>
      <c r="T501" s="4" t="str" cm="1">
        <f t="array" ref="T501">IF(D501="",IFERROR(INDEX($D$2:$D$1000,MATCH(MAX(COUNTIF($D$2:$D$1166,$D$2:$D$1166)),COUNTIF($D$2:$D$1166,$D$2:$D$1166),0)),"Unknown"),D501)</f>
        <v>David Volkov</v>
      </c>
      <c r="U501" t="str">
        <f t="shared" si="50"/>
        <v>EUR</v>
      </c>
      <c r="V501" s="7" t="str">
        <f t="shared" si="50"/>
        <v>BRL</v>
      </c>
      <c r="W501" s="7" t="str">
        <f t="shared" si="51"/>
        <v>UAE</v>
      </c>
      <c r="X501" s="7" t="str">
        <f t="shared" si="51"/>
        <v>Canada</v>
      </c>
      <c r="Y501" s="7" t="str" cm="1">
        <f t="array" ref="Y501">IF(H501="",IFERROR(INDEX($H$2:$H$1166,MATCH(MAX(COUNTIF($H$2:$H$1166,$H$2:$H$1166)),COUNTIF($H$2:$H$1166,$H$2:$H$1166),0)),"Unknown"),H501)</f>
        <v>Pending</v>
      </c>
      <c r="Z501" s="7" t="str">
        <f t="shared" si="52"/>
        <v>Inter-Transaction</v>
      </c>
      <c r="AA501" s="7">
        <f>IF(J501="",AVERAGE($J:$J),J501)</f>
        <v>4401.5200000000004</v>
      </c>
      <c r="AB501" s="7">
        <f>IF(N501="",AVERAGE($N:$N),N501)</f>
        <v>61</v>
      </c>
      <c r="AC501" s="7">
        <f t="shared" si="53"/>
        <v>2021</v>
      </c>
      <c r="AD501" s="7">
        <f t="shared" si="54"/>
        <v>9</v>
      </c>
      <c r="AE501" s="7">
        <f>COUNTIF(A:A,A501)</f>
        <v>1</v>
      </c>
      <c r="AF501" s="7" t="str">
        <f t="shared" si="55"/>
        <v>No</v>
      </c>
    </row>
    <row r="502" spans="1:32">
      <c r="A502" t="s">
        <v>1712</v>
      </c>
      <c r="B502">
        <v>87821046</v>
      </c>
      <c r="C502" t="s">
        <v>1039</v>
      </c>
      <c r="D502" t="s">
        <v>998</v>
      </c>
      <c r="E502" t="s">
        <v>3375</v>
      </c>
      <c r="F502" t="s">
        <v>92</v>
      </c>
      <c r="G502" t="s">
        <v>45</v>
      </c>
      <c r="I502" t="s">
        <v>3374</v>
      </c>
      <c r="J502">
        <v>1120.3</v>
      </c>
      <c r="K502" t="s">
        <v>39</v>
      </c>
      <c r="L502" t="s">
        <v>48</v>
      </c>
      <c r="M502" s="1">
        <v>44144.882638888892</v>
      </c>
      <c r="N502">
        <v>62</v>
      </c>
      <c r="O502" t="s">
        <v>93</v>
      </c>
      <c r="P502" t="s">
        <v>93</v>
      </c>
      <c r="Q502" t="s">
        <v>1713</v>
      </c>
      <c r="R502">
        <f t="shared" si="49"/>
        <v>87821046</v>
      </c>
      <c r="S502" t="str" cm="1">
        <f t="array" ref="S502">IF(C502="",IFERROR(INDEX($C$2:$C$1166,MATCH(MAX(COUNTIF($C$2:$C$1166,$C$2:$C$1166)),COUNTIF($C$2:$C$1166,$C$2:$C$1166),0)),"Unknown"),C502)</f>
        <v>Jean-Pierre Silva</v>
      </c>
      <c r="T502" s="4" t="str" cm="1">
        <f t="array" ref="T502">IF(D502="",IFERROR(INDEX($D$2:$D$1000,MATCH(MAX(COUNTIF($D$2:$D$1166,$D$2:$D$1166)),COUNTIF($D$2:$D$1166,$D$2:$D$1166),0)),"Unknown"),D502)</f>
        <v>Patricia Al-Sayed</v>
      </c>
      <c r="U502" t="str">
        <f t="shared" si="50"/>
        <v>AUD</v>
      </c>
      <c r="V502" s="7" t="str">
        <f t="shared" si="50"/>
        <v>ZAR</v>
      </c>
      <c r="W502" s="7" t="str">
        <f t="shared" si="51"/>
        <v>USA</v>
      </c>
      <c r="X502" s="7" t="str">
        <f t="shared" si="51"/>
        <v>USA</v>
      </c>
      <c r="Y502" s="7" t="str" cm="1">
        <f t="array" ref="Y502">IF(H502="",IFERROR(INDEX($H$2:$H$1166,MATCH(MAX(COUNTIF($H$2:$H$1166,$H$2:$H$1166)),COUNTIF($H$2:$H$1166,$H$2:$H$1166),0)),"Unknown"),H502)</f>
        <v>Pending</v>
      </c>
      <c r="Z502" s="7" t="str">
        <f t="shared" si="52"/>
        <v>External</v>
      </c>
      <c r="AA502" s="7">
        <f>IF(J502="",AVERAGE($J:$J),J502)</f>
        <v>1120.3</v>
      </c>
      <c r="AB502" s="7">
        <f>IF(N502="",AVERAGE($N:$N),N502)</f>
        <v>62</v>
      </c>
      <c r="AC502" s="7">
        <f t="shared" si="53"/>
        <v>2020</v>
      </c>
      <c r="AD502" s="7">
        <f t="shared" si="54"/>
        <v>11</v>
      </c>
      <c r="AE502" s="7">
        <f>COUNTIF(A:A,A502)</f>
        <v>1</v>
      </c>
      <c r="AF502" s="7" t="str">
        <f t="shared" si="55"/>
        <v>No</v>
      </c>
    </row>
    <row r="503" spans="1:32">
      <c r="A503" t="s">
        <v>1714</v>
      </c>
      <c r="B503">
        <v>28793298</v>
      </c>
      <c r="C503" t="s">
        <v>408</v>
      </c>
      <c r="D503" t="s">
        <v>1022</v>
      </c>
      <c r="E503" t="s">
        <v>20</v>
      </c>
      <c r="F503" t="s">
        <v>34</v>
      </c>
      <c r="G503" t="s">
        <v>116</v>
      </c>
      <c r="I503" t="s">
        <v>3374</v>
      </c>
      <c r="J503">
        <v>6603.54</v>
      </c>
      <c r="K503" t="s">
        <v>57</v>
      </c>
      <c r="L503" t="s">
        <v>48</v>
      </c>
      <c r="M503" s="1">
        <v>44395.659722222219</v>
      </c>
      <c r="N503">
        <v>49</v>
      </c>
      <c r="O503" t="s">
        <v>93</v>
      </c>
      <c r="P503" t="s">
        <v>93</v>
      </c>
      <c r="Q503" t="s">
        <v>1715</v>
      </c>
      <c r="R503">
        <f t="shared" si="49"/>
        <v>28793298</v>
      </c>
      <c r="S503" t="str" cm="1">
        <f t="array" ref="S503">IF(C503="",IFERROR(INDEX($C$2:$C$1166,MATCH(MAX(COUNTIF($C$2:$C$1166,$C$2:$C$1166)),COUNTIF($C$2:$C$1166,$C$2:$C$1166),0)),"Unknown"),C503)</f>
        <v>Michael Taylor</v>
      </c>
      <c r="T503" s="4" t="str" cm="1">
        <f t="array" ref="T503">IF(D503="",IFERROR(INDEX($D$2:$D$1000,MATCH(MAX(COUNTIF($D$2:$D$1166,$D$2:$D$1166)),COUNTIF($D$2:$D$1166,$D$2:$D$1166),0)),"Unknown"),D503)</f>
        <v>Barbara Smith</v>
      </c>
      <c r="U503" t="str">
        <f t="shared" si="50"/>
        <v>CAD</v>
      </c>
      <c r="V503" s="7" t="str">
        <f t="shared" si="50"/>
        <v>CHF</v>
      </c>
      <c r="W503" s="7" t="str">
        <f t="shared" si="51"/>
        <v>USA</v>
      </c>
      <c r="X503" s="7" t="str">
        <f t="shared" si="51"/>
        <v>USA</v>
      </c>
      <c r="Y503" s="7" t="str" cm="1">
        <f t="array" ref="Y503">IF(H503="",IFERROR(INDEX($H$2:$H$1166,MATCH(MAX(COUNTIF($H$2:$H$1166,$H$2:$H$1166)),COUNTIF($H$2:$H$1166,$H$2:$H$1166),0)),"Unknown"),H503)</f>
        <v>Pending</v>
      </c>
      <c r="Z503" s="7" t="str">
        <f t="shared" si="52"/>
        <v>External</v>
      </c>
      <c r="AA503" s="7">
        <f>IF(J503="",AVERAGE($J:$J),J503)</f>
        <v>6603.54</v>
      </c>
      <c r="AB503" s="7">
        <f>IF(N503="",AVERAGE($N:$N),N503)</f>
        <v>49</v>
      </c>
      <c r="AC503" s="7">
        <f t="shared" si="53"/>
        <v>2021</v>
      </c>
      <c r="AD503" s="7">
        <f t="shared" si="54"/>
        <v>7</v>
      </c>
      <c r="AE503" s="7">
        <f>COUNTIF(A:A,A503)</f>
        <v>1</v>
      </c>
      <c r="AF503" s="7" t="str">
        <f t="shared" si="55"/>
        <v>No</v>
      </c>
    </row>
    <row r="504" spans="1:32">
      <c r="A504" t="s">
        <v>1716</v>
      </c>
      <c r="B504">
        <v>88414664</v>
      </c>
      <c r="C504" t="s">
        <v>423</v>
      </c>
      <c r="E504" t="s">
        <v>20</v>
      </c>
      <c r="F504" t="s">
        <v>98</v>
      </c>
      <c r="G504" t="s">
        <v>92</v>
      </c>
      <c r="H504" t="s">
        <v>38</v>
      </c>
      <c r="I504" t="s">
        <v>3378</v>
      </c>
      <c r="J504">
        <v>7854.83</v>
      </c>
      <c r="K504" t="s">
        <v>39</v>
      </c>
      <c r="L504" t="s">
        <v>81</v>
      </c>
      <c r="M504" s="1">
        <v>45432.317361111112</v>
      </c>
      <c r="N504">
        <v>62</v>
      </c>
      <c r="O504" t="s">
        <v>93</v>
      </c>
      <c r="P504" t="s">
        <v>54</v>
      </c>
      <c r="Q504" t="s">
        <v>1717</v>
      </c>
      <c r="R504">
        <f t="shared" si="49"/>
        <v>88414664</v>
      </c>
      <c r="S504" t="str" cm="1">
        <f t="array" ref="S504">IF(C504="",IFERROR(INDEX($C$2:$C$1166,MATCH(MAX(COUNTIF($C$2:$C$1166,$C$2:$C$1166)),COUNTIF($C$2:$C$1166,$C$2:$C$1166),0)),"Unknown"),C504)</f>
        <v>John Rodriguez</v>
      </c>
      <c r="T504" s="4" t="str" cm="1">
        <f t="array" ref="T504">IF(D504="",IFERROR(INDEX($D$2:$D$1000,MATCH(MAX(COUNTIF($D$2:$D$1166,$D$2:$D$1166)),COUNTIF($D$2:$D$1166,$D$2:$D$1166),0)),"Unknown"),D504)</f>
        <v>Patricia Smith</v>
      </c>
      <c r="U504" t="str">
        <f t="shared" si="50"/>
        <v>JPY</v>
      </c>
      <c r="V504" s="7" t="str">
        <f t="shared" si="50"/>
        <v>AUD</v>
      </c>
      <c r="W504" s="7" t="str">
        <f t="shared" si="51"/>
        <v>USA</v>
      </c>
      <c r="X504" s="7" t="str">
        <f t="shared" si="51"/>
        <v>India</v>
      </c>
      <c r="Y504" s="7" t="str" cm="1">
        <f t="array" ref="Y504">IF(H504="",IFERROR(INDEX($H$2:$H$1166,MATCH(MAX(COUNTIF($H$2:$H$1166,$H$2:$H$1166)),COUNTIF($H$2:$H$1166,$H$2:$H$1166),0)),"Unknown"),H504)</f>
        <v>Pending</v>
      </c>
      <c r="Z504" s="7" t="str">
        <f t="shared" si="52"/>
        <v>Inter-Transaction</v>
      </c>
      <c r="AA504" s="7">
        <f>IF(J504="",AVERAGE($J:$J),J504)</f>
        <v>7854.83</v>
      </c>
      <c r="AB504" s="7">
        <f>IF(N504="",AVERAGE($N:$N),N504)</f>
        <v>62</v>
      </c>
      <c r="AC504" s="7">
        <f t="shared" si="53"/>
        <v>2024</v>
      </c>
      <c r="AD504" s="7">
        <f t="shared" si="54"/>
        <v>5</v>
      </c>
      <c r="AE504" s="7">
        <f>COUNTIF(A:A,A504)</f>
        <v>1</v>
      </c>
      <c r="AF504" s="7" t="str">
        <f t="shared" si="55"/>
        <v>No</v>
      </c>
    </row>
    <row r="505" spans="1:32">
      <c r="A505" t="s">
        <v>1718</v>
      </c>
      <c r="B505">
        <v>40106377</v>
      </c>
      <c r="C505" t="s">
        <v>405</v>
      </c>
      <c r="D505" t="s">
        <v>1719</v>
      </c>
      <c r="E505">
        <v>1</v>
      </c>
      <c r="F505" t="s">
        <v>35</v>
      </c>
      <c r="G505" t="s">
        <v>45</v>
      </c>
      <c r="I505" t="s">
        <v>3376</v>
      </c>
      <c r="J505">
        <v>13473.04</v>
      </c>
      <c r="K505" t="s">
        <v>47</v>
      </c>
      <c r="L505" t="s">
        <v>75</v>
      </c>
      <c r="M505" s="1">
        <v>44656.4</v>
      </c>
      <c r="N505">
        <v>78</v>
      </c>
      <c r="O505" t="s">
        <v>127</v>
      </c>
      <c r="P505" t="s">
        <v>36</v>
      </c>
      <c r="Q505" t="s">
        <v>1720</v>
      </c>
      <c r="R505">
        <f t="shared" si="49"/>
        <v>40106377</v>
      </c>
      <c r="S505" t="str" cm="1">
        <f t="array" ref="S505">IF(C505="",IFERROR(INDEX($C$2:$C$1166,MATCH(MAX(COUNTIF($C$2:$C$1166,$C$2:$C$1166)),COUNTIF($C$2:$C$1166,$C$2:$C$1166),0)),"Unknown"),C505)</f>
        <v>Michael Rodriguez</v>
      </c>
      <c r="T505" s="4" t="str" cm="1">
        <f t="array" ref="T505">IF(D505="",IFERROR(INDEX($D$2:$D$1000,MATCH(MAX(COUNTIF($D$2:$D$1166,$D$2:$D$1166)),COUNTIF($D$2:$D$1166,$D$2:$D$1166),0)),"Unknown"),D505)</f>
        <v xml:space="preserve"> nancy dubois   </v>
      </c>
      <c r="U505" t="str">
        <f t="shared" si="50"/>
        <v>EUR</v>
      </c>
      <c r="V505" s="7" t="str">
        <f t="shared" si="50"/>
        <v>ZAR</v>
      </c>
      <c r="W505" s="7" t="str">
        <f t="shared" si="51"/>
        <v>Canada</v>
      </c>
      <c r="X505" s="7" t="str">
        <f t="shared" si="51"/>
        <v>Germany</v>
      </c>
      <c r="Y505" s="7" t="str" cm="1">
        <f t="array" ref="Y505">IF(H505="",IFERROR(INDEX($H$2:$H$1166,MATCH(MAX(COUNTIF($H$2:$H$1166,$H$2:$H$1166)),COUNTIF($H$2:$H$1166,$H$2:$H$1166),0)),"Unknown"),H505)</f>
        <v>Pending</v>
      </c>
      <c r="Z505" s="7" t="str">
        <f t="shared" si="52"/>
        <v>Internal</v>
      </c>
      <c r="AA505" s="7">
        <f>IF(J505="",AVERAGE($J:$J),J505)</f>
        <v>13473.04</v>
      </c>
      <c r="AB505" s="7">
        <f>IF(N505="",AVERAGE($N:$N),N505)</f>
        <v>78</v>
      </c>
      <c r="AC505" s="7">
        <f t="shared" si="53"/>
        <v>2022</v>
      </c>
      <c r="AD505" s="7">
        <f t="shared" si="54"/>
        <v>4</v>
      </c>
      <c r="AE505" s="7">
        <f>COUNTIF(A:A,A505)</f>
        <v>1</v>
      </c>
      <c r="AF505" s="7" t="str">
        <f t="shared" si="55"/>
        <v>Yes</v>
      </c>
    </row>
    <row r="506" spans="1:32">
      <c r="A506" t="s">
        <v>1721</v>
      </c>
      <c r="B506">
        <v>20663234</v>
      </c>
      <c r="C506" t="s">
        <v>882</v>
      </c>
      <c r="D506" t="s">
        <v>396</v>
      </c>
      <c r="E506" t="s">
        <v>3373</v>
      </c>
      <c r="F506" t="s">
        <v>121</v>
      </c>
      <c r="G506" t="s">
        <v>53</v>
      </c>
      <c r="I506" t="s">
        <v>3372</v>
      </c>
      <c r="J506">
        <v>2669.69</v>
      </c>
      <c r="K506" t="s">
        <v>27</v>
      </c>
      <c r="L506" t="s">
        <v>75</v>
      </c>
      <c r="M506" s="1">
        <v>46384.714583333334</v>
      </c>
      <c r="N506">
        <v>64</v>
      </c>
      <c r="O506" t="s">
        <v>54</v>
      </c>
      <c r="P506" t="s">
        <v>37</v>
      </c>
      <c r="Q506" t="s">
        <v>1722</v>
      </c>
      <c r="R506">
        <f t="shared" si="49"/>
        <v>20663234</v>
      </c>
      <c r="S506" t="str" cm="1">
        <f t="array" ref="S506">IF(C506="",IFERROR(INDEX($C$2:$C$1166,MATCH(MAX(COUNTIF($C$2:$C$1166,$C$2:$C$1166)),COUNTIF($C$2:$C$1166,$C$2:$C$1166),0)),"Unknown"),C506)</f>
        <v>Lucas Johnson</v>
      </c>
      <c r="T506" s="4" t="str" cm="1">
        <f t="array" ref="T506">IF(D506="",IFERROR(INDEX($D$2:$D$1000,MATCH(MAX(COUNTIF($D$2:$D$1166,$D$2:$D$1166)),COUNTIF($D$2:$D$1166,$D$2:$D$1166),0)),"Unknown"),D506)</f>
        <v>Thomas Jackson</v>
      </c>
      <c r="U506" t="str">
        <f t="shared" si="50"/>
        <v>INR</v>
      </c>
      <c r="V506" s="7" t="str">
        <f t="shared" si="50"/>
        <v>AED</v>
      </c>
      <c r="W506" s="7" t="str">
        <f t="shared" si="51"/>
        <v>India</v>
      </c>
      <c r="X506" s="7" t="str">
        <f t="shared" si="51"/>
        <v>South Africa</v>
      </c>
      <c r="Y506" s="7" t="str" cm="1">
        <f t="array" ref="Y506">IF(H506="",IFERROR(INDEX($H$2:$H$1166,MATCH(MAX(COUNTIF($H$2:$H$1166,$H$2:$H$1166)),COUNTIF($H$2:$H$1166,$H$2:$H$1166),0)),"Unknown"),H506)</f>
        <v>Pending</v>
      </c>
      <c r="Z506" s="7" t="str">
        <f t="shared" si="52"/>
        <v>Outer-Transaction</v>
      </c>
      <c r="AA506" s="7">
        <f>IF(J506="",AVERAGE($J:$J),J506)</f>
        <v>2669.69</v>
      </c>
      <c r="AB506" s="7">
        <f>IF(N506="",AVERAGE($N:$N),N506)</f>
        <v>64</v>
      </c>
      <c r="AC506" s="7">
        <f t="shared" si="53"/>
        <v>2026</v>
      </c>
      <c r="AD506" s="7">
        <f t="shared" si="54"/>
        <v>12</v>
      </c>
      <c r="AE506" s="7">
        <f>COUNTIF(A:A,A506)</f>
        <v>1</v>
      </c>
      <c r="AF506" s="7" t="str">
        <f t="shared" si="55"/>
        <v>Yes</v>
      </c>
    </row>
    <row r="507" spans="1:32">
      <c r="A507" t="s">
        <v>1723</v>
      </c>
      <c r="C507" t="s">
        <v>78</v>
      </c>
      <c r="D507" t="s">
        <v>563</v>
      </c>
      <c r="E507" t="s">
        <v>3375</v>
      </c>
      <c r="F507" t="s">
        <v>35</v>
      </c>
      <c r="G507" t="s">
        <v>98</v>
      </c>
      <c r="H507" t="s">
        <v>56</v>
      </c>
      <c r="I507" t="s">
        <v>3377</v>
      </c>
      <c r="J507">
        <v>7145.78</v>
      </c>
      <c r="K507" t="s">
        <v>86</v>
      </c>
      <c r="L507" t="s">
        <v>48</v>
      </c>
      <c r="M507" s="1">
        <v>44936.401388888888</v>
      </c>
      <c r="N507">
        <v>38</v>
      </c>
      <c r="O507" t="s">
        <v>23</v>
      </c>
      <c r="P507" t="s">
        <v>55</v>
      </c>
      <c r="Q507" t="s">
        <v>1724</v>
      </c>
      <c r="R507">
        <f t="shared" si="49"/>
        <v>0</v>
      </c>
      <c r="S507" t="str" cm="1">
        <f t="array" ref="S507">IF(C507="",IFERROR(INDEX($C$2:$C$1166,MATCH(MAX(COUNTIF($C$2:$C$1166,$C$2:$C$1166)),COUNTIF($C$2:$C$1166,$C$2:$C$1166),0)),"Unknown"),C507)</f>
        <v>Elizabeth Jackson</v>
      </c>
      <c r="T507" s="4" t="str" cm="1">
        <f t="array" ref="T507">IF(D507="",IFERROR(INDEX($D$2:$D$1000,MATCH(MAX(COUNTIF($D$2:$D$1166,$D$2:$D$1166)),COUNTIF($D$2:$D$1166,$D$2:$D$1166),0)),"Unknown"),D507)</f>
        <v>Jean-Pierre Jackson</v>
      </c>
      <c r="U507" t="str">
        <f t="shared" si="50"/>
        <v>EUR</v>
      </c>
      <c r="V507" s="7" t="str">
        <f t="shared" si="50"/>
        <v>JPY</v>
      </c>
      <c r="W507" s="7" t="str">
        <f t="shared" si="51"/>
        <v>France</v>
      </c>
      <c r="X507" s="7" t="str">
        <f t="shared" si="51"/>
        <v>UK</v>
      </c>
      <c r="Y507" s="7" t="str" cm="1">
        <f t="array" ref="Y507">IF(H507="",IFERROR(INDEX($H$2:$H$1166,MATCH(MAX(COUNTIF($H$2:$H$1166,$H$2:$H$1166)),COUNTIF($H$2:$H$1166,$H$2:$H$1166),0)),"Unknown"),H507)</f>
        <v>Unverified</v>
      </c>
      <c r="Z507" s="7" t="str">
        <f t="shared" si="52"/>
        <v>Inter-Transaction</v>
      </c>
      <c r="AA507" s="7">
        <f>IF(J507="",AVERAGE($J:$J),J507)</f>
        <v>7145.78</v>
      </c>
      <c r="AB507" s="7">
        <f>IF(N507="",AVERAGE($N:$N),N507)</f>
        <v>38</v>
      </c>
      <c r="AC507" s="7">
        <f t="shared" si="53"/>
        <v>2023</v>
      </c>
      <c r="AD507" s="7">
        <f t="shared" si="54"/>
        <v>1</v>
      </c>
      <c r="AE507" s="7">
        <f>COUNTIF(A:A,A507)</f>
        <v>1</v>
      </c>
      <c r="AF507" s="7" t="str">
        <f t="shared" si="55"/>
        <v>No</v>
      </c>
    </row>
    <row r="508" spans="1:32">
      <c r="A508" t="s">
        <v>1725</v>
      </c>
      <c r="B508">
        <v>89045858</v>
      </c>
      <c r="C508" t="s">
        <v>1080</v>
      </c>
      <c r="D508" t="s">
        <v>1258</v>
      </c>
      <c r="E508" t="s">
        <v>20</v>
      </c>
      <c r="F508" t="s">
        <v>80</v>
      </c>
      <c r="G508" t="s">
        <v>53</v>
      </c>
      <c r="H508" t="s">
        <v>38</v>
      </c>
      <c r="I508" t="s">
        <v>3378</v>
      </c>
      <c r="J508">
        <v>14272.02</v>
      </c>
      <c r="K508" t="s">
        <v>57</v>
      </c>
      <c r="L508" t="s">
        <v>75</v>
      </c>
      <c r="M508" s="1">
        <v>44856.708333333336</v>
      </c>
      <c r="N508">
        <v>53</v>
      </c>
      <c r="O508" t="s">
        <v>127</v>
      </c>
      <c r="P508" t="s">
        <v>24</v>
      </c>
      <c r="Q508" t="s">
        <v>1726</v>
      </c>
      <c r="R508">
        <f t="shared" si="49"/>
        <v>89045858</v>
      </c>
      <c r="S508" t="str" cm="1">
        <f t="array" ref="S508">IF(C508="",IFERROR(INDEX($C$2:$C$1166,MATCH(MAX(COUNTIF($C$2:$C$1166,$C$2:$C$1166)),COUNTIF($C$2:$C$1166,$C$2:$C$1166),0)),"Unknown"),C508)</f>
        <v>Lucas Nair</v>
      </c>
      <c r="T508" s="4" t="str" cm="1">
        <f t="array" ref="T508">IF(D508="",IFERROR(INDEX($D$2:$D$1000,MATCH(MAX(COUNTIF($D$2:$D$1166,$D$2:$D$1166)),COUNTIF($D$2:$D$1166,$D$2:$D$1166),0)),"Unknown"),D508)</f>
        <v>Nancy Dubois</v>
      </c>
      <c r="U508" t="str">
        <f t="shared" si="50"/>
        <v>USD</v>
      </c>
      <c r="V508" s="7" t="str">
        <f t="shared" si="50"/>
        <v>AED</v>
      </c>
      <c r="W508" s="7" t="str">
        <f t="shared" si="51"/>
        <v>Canada</v>
      </c>
      <c r="X508" s="7" t="str">
        <f t="shared" si="51"/>
        <v>Brazil</v>
      </c>
      <c r="Y508" s="7" t="str" cm="1">
        <f t="array" ref="Y508">IF(H508="",IFERROR(INDEX($H$2:$H$1166,MATCH(MAX(COUNTIF($H$2:$H$1166,$H$2:$H$1166)),COUNTIF($H$2:$H$1166,$H$2:$H$1166),0)),"Unknown"),H508)</f>
        <v>Pending</v>
      </c>
      <c r="Z508" s="7" t="str">
        <f t="shared" si="52"/>
        <v>Inter-Transaction</v>
      </c>
      <c r="AA508" s="7">
        <f>IF(J508="",AVERAGE($J:$J),J508)</f>
        <v>14272.02</v>
      </c>
      <c r="AB508" s="7">
        <f>IF(N508="",AVERAGE($N:$N),N508)</f>
        <v>53</v>
      </c>
      <c r="AC508" s="7">
        <f t="shared" si="53"/>
        <v>2022</v>
      </c>
      <c r="AD508" s="7">
        <f t="shared" si="54"/>
        <v>10</v>
      </c>
      <c r="AE508" s="7">
        <f>COUNTIF(A:A,A508)</f>
        <v>1</v>
      </c>
      <c r="AF508" s="7" t="str">
        <f t="shared" si="55"/>
        <v>No</v>
      </c>
    </row>
    <row r="509" spans="1:32">
      <c r="A509" t="s">
        <v>1727</v>
      </c>
      <c r="B509">
        <v>10874735</v>
      </c>
      <c r="C509" t="s">
        <v>1728</v>
      </c>
      <c r="D509" t="s">
        <v>1729</v>
      </c>
      <c r="E509" t="s">
        <v>33</v>
      </c>
      <c r="F509" t="s">
        <v>21</v>
      </c>
      <c r="G509" t="s">
        <v>35</v>
      </c>
      <c r="I509" t="s">
        <v>3376</v>
      </c>
      <c r="J509">
        <v>12340.14</v>
      </c>
      <c r="K509" t="s">
        <v>47</v>
      </c>
      <c r="L509" t="s">
        <v>28</v>
      </c>
      <c r="M509" s="1">
        <v>46082.263888888891</v>
      </c>
      <c r="N509">
        <v>36</v>
      </c>
      <c r="O509" t="s">
        <v>37</v>
      </c>
      <c r="P509" t="s">
        <v>37</v>
      </c>
      <c r="Q509" t="s">
        <v>1730</v>
      </c>
      <c r="R509">
        <f t="shared" si="49"/>
        <v>10874735</v>
      </c>
      <c r="S509" t="str" cm="1">
        <f t="array" ref="S509">IF(C509="",IFERROR(INDEX($C$2:$C$1166,MATCH(MAX(COUNTIF($C$2:$C$1166,$C$2:$C$1166)),COUNTIF($C$2:$C$1166,$C$2:$C$1166),0)),"Unknown"),C509)</f>
        <v>Richard Volkov</v>
      </c>
      <c r="T509" s="4" t="str" cm="1">
        <f t="array" ref="T509">IF(D509="",IFERROR(INDEX($D$2:$D$1000,MATCH(MAX(COUNTIF($D$2:$D$1166,$D$2:$D$1166)),COUNTIF($D$2:$D$1166,$D$2:$D$1166),0)),"Unknown"),D509)</f>
        <v>Charles Thomas</v>
      </c>
      <c r="U509" t="str">
        <f t="shared" si="50"/>
        <v>GBP</v>
      </c>
      <c r="V509" s="7" t="str">
        <f t="shared" si="50"/>
        <v>EUR</v>
      </c>
      <c r="W509" s="7" t="str">
        <f t="shared" si="51"/>
        <v>South Africa</v>
      </c>
      <c r="X509" s="7" t="str">
        <f t="shared" si="51"/>
        <v>South Africa</v>
      </c>
      <c r="Y509" s="7" t="str" cm="1">
        <f t="array" ref="Y509">IF(H509="",IFERROR(INDEX($H$2:$H$1166,MATCH(MAX(COUNTIF($H$2:$H$1166,$H$2:$H$1166)),COUNTIF($H$2:$H$1166,$H$2:$H$1166),0)),"Unknown"),H509)</f>
        <v>Pending</v>
      </c>
      <c r="Z509" s="7" t="str">
        <f t="shared" si="52"/>
        <v>Internal</v>
      </c>
      <c r="AA509" s="7">
        <f>IF(J509="",AVERAGE($J:$J),J509)</f>
        <v>12340.14</v>
      </c>
      <c r="AB509" s="7">
        <f>IF(N509="",AVERAGE($N:$N),N509)</f>
        <v>36</v>
      </c>
      <c r="AC509" s="7">
        <f t="shared" si="53"/>
        <v>2026</v>
      </c>
      <c r="AD509" s="7">
        <f t="shared" si="54"/>
        <v>3</v>
      </c>
      <c r="AE509" s="7">
        <f>COUNTIF(A:A,A509)</f>
        <v>1</v>
      </c>
      <c r="AF509" s="7" t="str">
        <f t="shared" si="55"/>
        <v>Yes</v>
      </c>
    </row>
    <row r="510" spans="1:32">
      <c r="A510" t="s">
        <v>1731</v>
      </c>
      <c r="B510">
        <v>86639453</v>
      </c>
      <c r="C510" t="s">
        <v>290</v>
      </c>
      <c r="D510" t="s">
        <v>570</v>
      </c>
      <c r="E510">
        <v>1</v>
      </c>
      <c r="F510" t="s">
        <v>92</v>
      </c>
      <c r="G510" t="s">
        <v>21</v>
      </c>
      <c r="I510" t="s">
        <v>3376</v>
      </c>
      <c r="J510">
        <v>11833.34</v>
      </c>
      <c r="K510" t="s">
        <v>57</v>
      </c>
      <c r="L510" t="s">
        <v>48</v>
      </c>
      <c r="M510" s="1">
        <v>44492.009722222225</v>
      </c>
      <c r="N510">
        <v>37</v>
      </c>
      <c r="O510" t="s">
        <v>23</v>
      </c>
      <c r="P510" t="s">
        <v>54</v>
      </c>
      <c r="Q510" t="s">
        <v>1732</v>
      </c>
      <c r="R510">
        <f t="shared" si="49"/>
        <v>86639453</v>
      </c>
      <c r="S510" t="str" cm="1">
        <f t="array" ref="S510">IF(C510="",IFERROR(INDEX($C$2:$C$1166,MATCH(MAX(COUNTIF($C$2:$C$1166,$C$2:$C$1166)),COUNTIF($C$2:$C$1166,$C$2:$C$1166),0)),"Unknown"),C510)</f>
        <v>Marta Jones</v>
      </c>
      <c r="T510" s="4" t="str" cm="1">
        <f t="array" ref="T510">IF(D510="",IFERROR(INDEX($D$2:$D$1000,MATCH(MAX(COUNTIF($D$2:$D$1166,$D$2:$D$1166)),COUNTIF($D$2:$D$1166,$D$2:$D$1166),0)),"Unknown"),D510)</f>
        <v>Richard Garcia</v>
      </c>
      <c r="U510" t="str">
        <f t="shared" si="50"/>
        <v>AUD</v>
      </c>
      <c r="V510" s="7" t="str">
        <f t="shared" si="50"/>
        <v>GBP</v>
      </c>
      <c r="W510" s="7" t="str">
        <f t="shared" si="51"/>
        <v>France</v>
      </c>
      <c r="X510" s="7" t="str">
        <f t="shared" si="51"/>
        <v>India</v>
      </c>
      <c r="Y510" s="7" t="str" cm="1">
        <f t="array" ref="Y510">IF(H510="",IFERROR(INDEX($H$2:$H$1166,MATCH(MAX(COUNTIF($H$2:$H$1166,$H$2:$H$1166)),COUNTIF($H$2:$H$1166,$H$2:$H$1166),0)),"Unknown"),H510)</f>
        <v>Pending</v>
      </c>
      <c r="Z510" s="7" t="str">
        <f t="shared" si="52"/>
        <v>Internal</v>
      </c>
      <c r="AA510" s="7">
        <f>IF(J510="",AVERAGE($J:$J),J510)</f>
        <v>11833.34</v>
      </c>
      <c r="AB510" s="7">
        <f>IF(N510="",AVERAGE($N:$N),N510)</f>
        <v>37</v>
      </c>
      <c r="AC510" s="7">
        <f t="shared" si="53"/>
        <v>2021</v>
      </c>
      <c r="AD510" s="7">
        <f t="shared" si="54"/>
        <v>10</v>
      </c>
      <c r="AE510" s="7">
        <f>COUNTIF(A:A,A510)</f>
        <v>1</v>
      </c>
      <c r="AF510" s="7" t="str">
        <f t="shared" si="55"/>
        <v>Yes</v>
      </c>
    </row>
    <row r="511" spans="1:32">
      <c r="A511" t="s">
        <v>1733</v>
      </c>
      <c r="B511">
        <v>70358769</v>
      </c>
      <c r="C511" t="s">
        <v>1676</v>
      </c>
      <c r="D511" t="s">
        <v>207</v>
      </c>
      <c r="E511">
        <v>0</v>
      </c>
      <c r="F511" t="s">
        <v>112</v>
      </c>
      <c r="G511" t="s">
        <v>92</v>
      </c>
      <c r="H511" t="s">
        <v>103</v>
      </c>
      <c r="I511" t="s">
        <v>3377</v>
      </c>
      <c r="J511">
        <v>12279.81</v>
      </c>
      <c r="K511" t="s">
        <v>47</v>
      </c>
      <c r="L511" t="s">
        <v>48</v>
      </c>
      <c r="M511" s="1">
        <v>44635.165972222225</v>
      </c>
      <c r="N511">
        <v>74</v>
      </c>
      <c r="O511" t="s">
        <v>55</v>
      </c>
      <c r="P511" t="s">
        <v>93</v>
      </c>
      <c r="Q511" t="s">
        <v>1734</v>
      </c>
      <c r="R511">
        <f t="shared" si="49"/>
        <v>70358769</v>
      </c>
      <c r="S511" t="str" cm="1">
        <f t="array" ref="S511">IF(C511="",IFERROR(INDEX($C$2:$C$1166,MATCH(MAX(COUNTIF($C$2:$C$1166,$C$2:$C$1166)),COUNTIF($C$2:$C$1166,$C$2:$C$1166),0)),"Unknown"),C511)</f>
        <v>Barbara Wilson</v>
      </c>
      <c r="T511" s="4" t="str" cm="1">
        <f t="array" ref="T511">IF(D511="",IFERROR(INDEX($D$2:$D$1000,MATCH(MAX(COUNTIF($D$2:$D$1166,$D$2:$D$1166)),COUNTIF($D$2:$D$1166,$D$2:$D$1166),0)),"Unknown"),D511)</f>
        <v>Christopher Gonzalez</v>
      </c>
      <c r="U511" t="str">
        <f t="shared" si="50"/>
        <v>usd</v>
      </c>
      <c r="V511" s="7" t="str">
        <f t="shared" si="50"/>
        <v>AUD</v>
      </c>
      <c r="W511" s="7" t="str">
        <f t="shared" si="51"/>
        <v>UK</v>
      </c>
      <c r="X511" s="7" t="str">
        <f t="shared" si="51"/>
        <v>USA</v>
      </c>
      <c r="Y511" s="7" t="str" cm="1">
        <f t="array" ref="Y511">IF(H511="",IFERROR(INDEX($H$2:$H$1166,MATCH(MAX(COUNTIF($H$2:$H$1166,$H$2:$H$1166)),COUNTIF($H$2:$H$1166,$H$2:$H$1166),0)),"Unknown"),H511)</f>
        <v>Verified</v>
      </c>
      <c r="Z511" s="7" t="str">
        <f t="shared" si="52"/>
        <v>Inter-Transaction</v>
      </c>
      <c r="AA511" s="7">
        <f>IF(J511="",AVERAGE($J:$J),J511)</f>
        <v>12279.81</v>
      </c>
      <c r="AB511" s="7">
        <f>IF(N511="",AVERAGE($N:$N),N511)</f>
        <v>74</v>
      </c>
      <c r="AC511" s="7">
        <f t="shared" si="53"/>
        <v>2022</v>
      </c>
      <c r="AD511" s="7">
        <f t="shared" si="54"/>
        <v>3</v>
      </c>
      <c r="AE511" s="7">
        <f>COUNTIF(A:A,A511)</f>
        <v>1</v>
      </c>
      <c r="AF511" s="7" t="str">
        <f t="shared" si="55"/>
        <v>No</v>
      </c>
    </row>
    <row r="512" spans="1:32">
      <c r="A512" t="s">
        <v>1735</v>
      </c>
      <c r="B512">
        <v>38854107</v>
      </c>
      <c r="C512" t="s">
        <v>204</v>
      </c>
      <c r="D512" t="s">
        <v>401</v>
      </c>
      <c r="E512">
        <v>0</v>
      </c>
      <c r="F512" t="s">
        <v>35</v>
      </c>
      <c r="G512" t="s">
        <v>121</v>
      </c>
      <c r="H512" t="s">
        <v>25</v>
      </c>
      <c r="I512" t="s">
        <v>3374</v>
      </c>
      <c r="J512">
        <v>5857.04</v>
      </c>
      <c r="K512" t="s">
        <v>39</v>
      </c>
      <c r="L512" t="s">
        <v>48</v>
      </c>
      <c r="M512" s="1">
        <v>46282.79791666667</v>
      </c>
      <c r="N512">
        <v>35</v>
      </c>
      <c r="O512" t="s">
        <v>68</v>
      </c>
      <c r="P512" t="s">
        <v>24</v>
      </c>
      <c r="Q512" t="s">
        <v>1736</v>
      </c>
      <c r="R512">
        <f t="shared" si="49"/>
        <v>38854107</v>
      </c>
      <c r="S512" t="str" cm="1">
        <f t="array" ref="S512">IF(C512="",IFERROR(INDEX($C$2:$C$1166,MATCH(MAX(COUNTIF($C$2:$C$1166,$C$2:$C$1166)),COUNTIF($C$2:$C$1166,$C$2:$C$1166),0)),"Unknown"),C512)</f>
        <v>Nancy Taylor</v>
      </c>
      <c r="T512" s="4" t="str" cm="1">
        <f t="array" ref="T512">IF(D512="",IFERROR(INDEX($D$2:$D$1000,MATCH(MAX(COUNTIF($D$2:$D$1166,$D$2:$D$1166)),COUNTIF($D$2:$D$1166,$D$2:$D$1166),0)),"Unknown"),D512)</f>
        <v>Thomas Malik</v>
      </c>
      <c r="U512" t="str">
        <f t="shared" si="50"/>
        <v>EUR</v>
      </c>
      <c r="V512" s="7" t="str">
        <f t="shared" si="50"/>
        <v>INR</v>
      </c>
      <c r="W512" s="7" t="str">
        <f t="shared" si="51"/>
        <v>UAE</v>
      </c>
      <c r="X512" s="7" t="str">
        <f t="shared" si="51"/>
        <v>Brazil</v>
      </c>
      <c r="Y512" s="7" t="str" cm="1">
        <f t="array" ref="Y512">IF(H512="",IFERROR(INDEX($H$2:$H$1166,MATCH(MAX(COUNTIF($H$2:$H$1166,$H$2:$H$1166)),COUNTIF($H$2:$H$1166,$H$2:$H$1166),0)),"Unknown"),H512)</f>
        <v>KYC</v>
      </c>
      <c r="Z512" s="7" t="str">
        <f t="shared" si="52"/>
        <v>External</v>
      </c>
      <c r="AA512" s="7">
        <f>IF(J512="",AVERAGE($J:$J),J512)</f>
        <v>5857.04</v>
      </c>
      <c r="AB512" s="7">
        <f>IF(N512="",AVERAGE($N:$N),N512)</f>
        <v>35</v>
      </c>
      <c r="AC512" s="7">
        <f t="shared" si="53"/>
        <v>2026</v>
      </c>
      <c r="AD512" s="7">
        <f t="shared" si="54"/>
        <v>9</v>
      </c>
      <c r="AE512" s="7">
        <f>COUNTIF(A:A,A512)</f>
        <v>1</v>
      </c>
      <c r="AF512" s="7" t="str">
        <f t="shared" si="55"/>
        <v>No</v>
      </c>
    </row>
    <row r="513" spans="1:32">
      <c r="A513" t="s">
        <v>1737</v>
      </c>
      <c r="B513">
        <v>24902300</v>
      </c>
      <c r="C513" t="s">
        <v>1738</v>
      </c>
      <c r="D513" t="s">
        <v>1656</v>
      </c>
      <c r="E513" t="s">
        <v>20</v>
      </c>
      <c r="F513" t="s">
        <v>22</v>
      </c>
      <c r="G513" t="s">
        <v>92</v>
      </c>
      <c r="H513" t="s">
        <v>56</v>
      </c>
      <c r="I513" t="s">
        <v>3371</v>
      </c>
      <c r="J513">
        <v>4924.3500000000004</v>
      </c>
      <c r="K513" t="s">
        <v>27</v>
      </c>
      <c r="L513" t="s">
        <v>75</v>
      </c>
      <c r="M513" s="1">
        <v>44366.944444444445</v>
      </c>
      <c r="N513">
        <v>64</v>
      </c>
      <c r="O513" t="s">
        <v>127</v>
      </c>
      <c r="P513" t="s">
        <v>93</v>
      </c>
      <c r="Q513" t="s">
        <v>1739</v>
      </c>
      <c r="R513">
        <f t="shared" si="49"/>
        <v>24902300</v>
      </c>
      <c r="S513" t="str" cm="1">
        <f t="array" ref="S513">IF(C513="",IFERROR(INDEX($C$2:$C$1166,MATCH(MAX(COUNTIF($C$2:$C$1166,$C$2:$C$1166)),COUNTIF($C$2:$C$1166,$C$2:$C$1166),0)),"Unknown"),C513)</f>
        <v>Sarah Jones</v>
      </c>
      <c r="T513" s="4" t="str" cm="1">
        <f t="array" ref="T513">IF(D513="",IFERROR(INDEX($D$2:$D$1000,MATCH(MAX(COUNTIF($D$2:$D$1166,$D$2:$D$1166)),COUNTIF($D$2:$D$1166,$D$2:$D$1166),0)),"Unknown"),D513)</f>
        <v>Carlos Al-Sayed</v>
      </c>
      <c r="U513" t="str">
        <f t="shared" si="50"/>
        <v>BRL</v>
      </c>
      <c r="V513" s="7" t="str">
        <f t="shared" si="50"/>
        <v>AUD</v>
      </c>
      <c r="W513" s="7" t="str">
        <f t="shared" si="51"/>
        <v>Canada</v>
      </c>
      <c r="X513" s="7" t="str">
        <f t="shared" si="51"/>
        <v>USA</v>
      </c>
      <c r="Y513" s="7" t="str" cm="1">
        <f t="array" ref="Y513">IF(H513="",IFERROR(INDEX($H$2:$H$1166,MATCH(MAX(COUNTIF($H$2:$H$1166,$H$2:$H$1166)),COUNTIF($H$2:$H$1166,$H$2:$H$1166),0)),"Unknown"),H513)</f>
        <v>Unverified</v>
      </c>
      <c r="Z513" s="7" t="str">
        <f t="shared" si="52"/>
        <v>Outer-Transaction</v>
      </c>
      <c r="AA513" s="7">
        <f>IF(J513="",AVERAGE($J:$J),J513)</f>
        <v>4924.3500000000004</v>
      </c>
      <c r="AB513" s="7">
        <f>IF(N513="",AVERAGE($N:$N),N513)</f>
        <v>64</v>
      </c>
      <c r="AC513" s="7">
        <f t="shared" si="53"/>
        <v>2021</v>
      </c>
      <c r="AD513" s="7">
        <f t="shared" si="54"/>
        <v>6</v>
      </c>
      <c r="AE513" s="7">
        <f>COUNTIF(A:A,A513)</f>
        <v>1</v>
      </c>
      <c r="AF513" s="7" t="str">
        <f t="shared" si="55"/>
        <v>No</v>
      </c>
    </row>
    <row r="514" spans="1:32">
      <c r="A514" t="s">
        <v>1740</v>
      </c>
      <c r="B514">
        <v>58483417</v>
      </c>
      <c r="C514" t="s">
        <v>1741</v>
      </c>
      <c r="D514" t="s">
        <v>1578</v>
      </c>
      <c r="E514" t="s">
        <v>3375</v>
      </c>
      <c r="F514" t="s">
        <v>21</v>
      </c>
      <c r="G514" t="s">
        <v>34</v>
      </c>
      <c r="H514" t="s">
        <v>103</v>
      </c>
      <c r="I514" t="s">
        <v>3376</v>
      </c>
      <c r="J514">
        <v>11217.28</v>
      </c>
      <c r="K514" t="s">
        <v>86</v>
      </c>
      <c r="L514" t="s">
        <v>48</v>
      </c>
      <c r="M514" s="1">
        <v>45222.082638888889</v>
      </c>
      <c r="N514">
        <v>66</v>
      </c>
      <c r="O514" t="s">
        <v>36</v>
      </c>
      <c r="P514" t="s">
        <v>55</v>
      </c>
      <c r="Q514" t="s">
        <v>1742</v>
      </c>
      <c r="R514">
        <f t="shared" ref="R514:R577" si="56">IF(B514="",0,B514)</f>
        <v>58483417</v>
      </c>
      <c r="S514" t="str" cm="1">
        <f t="array" ref="S514">IF(C514="",IFERROR(INDEX($C$2:$C$1166,MATCH(MAX(COUNTIF($C$2:$C$1166,$C$2:$C$1166)),COUNTIF($C$2:$C$1166,$C$2:$C$1166),0)),"Unknown"),C514)</f>
        <v>Carlos Dubois</v>
      </c>
      <c r="T514" s="4" t="str" cm="1">
        <f t="array" ref="T514">IF(D514="",IFERROR(INDEX($D$2:$D$1000,MATCH(MAX(COUNTIF($D$2:$D$1166,$D$2:$D$1166)),COUNTIF($D$2:$D$1166,$D$2:$D$1166),0)),"Unknown"),D514)</f>
        <v>Thomas Al-Sayed</v>
      </c>
      <c r="U514" t="str">
        <f t="shared" ref="U514:V577" si="57">TRIM(F514)</f>
        <v>GBP</v>
      </c>
      <c r="V514" s="7" t="str">
        <f t="shared" si="57"/>
        <v>CAD</v>
      </c>
      <c r="W514" s="7" t="str">
        <f t="shared" ref="W514:X577" si="58">TRIM(O514)</f>
        <v>Germany</v>
      </c>
      <c r="X514" s="7" t="str">
        <f t="shared" si="58"/>
        <v>UK</v>
      </c>
      <c r="Y514" s="7" t="str" cm="1">
        <f t="array" ref="Y514">IF(H514="",IFERROR(INDEX($H$2:$H$1166,MATCH(MAX(COUNTIF($H$2:$H$1166,$H$2:$H$1166)),COUNTIF($H$2:$H$1166,$H$2:$H$1166),0)),"Unknown"),H514)</f>
        <v>Verified</v>
      </c>
      <c r="Z514" s="7" t="str">
        <f t="shared" ref="Z514:Z577" si="59">PROPER(I514)</f>
        <v>Internal</v>
      </c>
      <c r="AA514" s="7">
        <f>IF(J514="",AVERAGE($J:$J),J514)</f>
        <v>11217.28</v>
      </c>
      <c r="AB514" s="7">
        <f>IF(N514="",AVERAGE($N:$N),N514)</f>
        <v>66</v>
      </c>
      <c r="AC514" s="7">
        <f t="shared" ref="AC514:AC577" si="60">YEAR(M514)</f>
        <v>2023</v>
      </c>
      <c r="AD514" s="7">
        <f t="shared" ref="AD514:AD577" si="61">MONTH(M514)</f>
        <v>10</v>
      </c>
      <c r="AE514" s="7">
        <f>COUNTIF(A:A,A514)</f>
        <v>1</v>
      </c>
      <c r="AF514" s="7" t="str">
        <f t="shared" ref="AF514:AF577" si="62">IF(E514="","",IF(OR(E514="Yes",E514="Y",E514="TRUE",E514=1),"Yes","No"))</f>
        <v>No</v>
      </c>
    </row>
    <row r="515" spans="1:32">
      <c r="A515" t="s">
        <v>1743</v>
      </c>
      <c r="B515">
        <v>60126880</v>
      </c>
      <c r="C515" t="s">
        <v>224</v>
      </c>
      <c r="D515" t="s">
        <v>1744</v>
      </c>
      <c r="E515" t="s">
        <v>3375</v>
      </c>
      <c r="F515" t="s">
        <v>34</v>
      </c>
      <c r="G515" t="s">
        <v>98</v>
      </c>
      <c r="H515" t="s">
        <v>38</v>
      </c>
      <c r="I515" t="s">
        <v>3377</v>
      </c>
      <c r="J515">
        <v>7981.12</v>
      </c>
      <c r="K515" t="s">
        <v>27</v>
      </c>
      <c r="L515" t="s">
        <v>28</v>
      </c>
      <c r="M515" s="1">
        <v>45066.574305555558</v>
      </c>
      <c r="N515">
        <v>31</v>
      </c>
      <c r="O515" t="s">
        <v>23</v>
      </c>
      <c r="P515" t="s">
        <v>36</v>
      </c>
      <c r="Q515" t="s">
        <v>1745</v>
      </c>
      <c r="R515">
        <f t="shared" si="56"/>
        <v>60126880</v>
      </c>
      <c r="S515" t="str" cm="1">
        <f t="array" ref="S515">IF(C515="",IFERROR(INDEX($C$2:$C$1166,MATCH(MAX(COUNTIF($C$2:$C$1166,$C$2:$C$1166)),COUNTIF($C$2:$C$1166,$C$2:$C$1166),0)),"Unknown"),C515)</f>
        <v>John Jackson</v>
      </c>
      <c r="T515" s="4" t="str" cm="1">
        <f t="array" ref="T515">IF(D515="",IFERROR(INDEX($D$2:$D$1000,MATCH(MAX(COUNTIF($D$2:$D$1166,$D$2:$D$1166)),COUNTIF($D$2:$D$1166,$D$2:$D$1166),0)),"Unknown"),D515)</f>
        <v>Jessica Johnson</v>
      </c>
      <c r="U515" t="str">
        <f t="shared" si="57"/>
        <v>CAD</v>
      </c>
      <c r="V515" s="7" t="str">
        <f t="shared" si="57"/>
        <v>JPY</v>
      </c>
      <c r="W515" s="7" t="str">
        <f t="shared" si="58"/>
        <v>France</v>
      </c>
      <c r="X515" s="7" t="str">
        <f t="shared" si="58"/>
        <v>Germany</v>
      </c>
      <c r="Y515" s="7" t="str" cm="1">
        <f t="array" ref="Y515">IF(H515="",IFERROR(INDEX($H$2:$H$1166,MATCH(MAX(COUNTIF($H$2:$H$1166,$H$2:$H$1166)),COUNTIF($H$2:$H$1166,$H$2:$H$1166),0)),"Unknown"),H515)</f>
        <v>Pending</v>
      </c>
      <c r="Z515" s="7" t="str">
        <f t="shared" si="59"/>
        <v>Inter-Transaction</v>
      </c>
      <c r="AA515" s="7">
        <f>IF(J515="",AVERAGE($J:$J),J515)</f>
        <v>7981.12</v>
      </c>
      <c r="AB515" s="7">
        <f>IF(N515="",AVERAGE($N:$N),N515)</f>
        <v>31</v>
      </c>
      <c r="AC515" s="7">
        <f t="shared" si="60"/>
        <v>2023</v>
      </c>
      <c r="AD515" s="7">
        <f t="shared" si="61"/>
        <v>5</v>
      </c>
      <c r="AE515" s="7">
        <f>COUNTIF(A:A,A515)</f>
        <v>1</v>
      </c>
      <c r="AF515" s="7" t="str">
        <f t="shared" si="62"/>
        <v>No</v>
      </c>
    </row>
    <row r="516" spans="1:32">
      <c r="A516" t="s">
        <v>1746</v>
      </c>
      <c r="B516">
        <v>30428651</v>
      </c>
      <c r="C516" t="s">
        <v>1747</v>
      </c>
      <c r="D516" t="s">
        <v>1748</v>
      </c>
      <c r="E516" t="s">
        <v>20</v>
      </c>
      <c r="F516" t="s">
        <v>34</v>
      </c>
      <c r="G516" t="s">
        <v>44</v>
      </c>
      <c r="H516" t="s">
        <v>38</v>
      </c>
      <c r="I516" t="s">
        <v>3378</v>
      </c>
      <c r="J516">
        <v>105.25</v>
      </c>
      <c r="K516" t="s">
        <v>39</v>
      </c>
      <c r="L516" t="s">
        <v>28</v>
      </c>
      <c r="M516" s="1">
        <v>45751.022916666669</v>
      </c>
      <c r="N516">
        <v>32</v>
      </c>
      <c r="O516" t="s">
        <v>37</v>
      </c>
      <c r="P516" t="s">
        <v>37</v>
      </c>
      <c r="Q516" t="s">
        <v>1749</v>
      </c>
      <c r="R516">
        <f t="shared" si="56"/>
        <v>30428651</v>
      </c>
      <c r="S516" t="str" cm="1">
        <f t="array" ref="S516">IF(C516="",IFERROR(INDEX($C$2:$C$1166,MATCH(MAX(COUNTIF($C$2:$C$1166,$C$2:$C$1166)),COUNTIF($C$2:$C$1166,$C$2:$C$1166),0)),"Unknown"),C516)</f>
        <v>Sanjay Hernandez</v>
      </c>
      <c r="T516" s="4" t="str" cm="1">
        <f t="array" ref="T516">IF(D516="",IFERROR(INDEX($D$2:$D$1000,MATCH(MAX(COUNTIF($D$2:$D$1166,$D$2:$D$1166)),COUNTIF($D$2:$D$1166,$D$2:$D$1166),0)),"Unknown"),D516)</f>
        <v xml:space="preserve"> robert garcia   </v>
      </c>
      <c r="U516" t="str">
        <f t="shared" si="57"/>
        <v>CAD</v>
      </c>
      <c r="V516" s="7" t="str">
        <f t="shared" si="57"/>
        <v>SGD</v>
      </c>
      <c r="W516" s="7" t="str">
        <f t="shared" si="58"/>
        <v>South Africa</v>
      </c>
      <c r="X516" s="7" t="str">
        <f t="shared" si="58"/>
        <v>South Africa</v>
      </c>
      <c r="Y516" s="7" t="str" cm="1">
        <f t="array" ref="Y516">IF(H516="",IFERROR(INDEX($H$2:$H$1166,MATCH(MAX(COUNTIF($H$2:$H$1166,$H$2:$H$1166)),COUNTIF($H$2:$H$1166,$H$2:$H$1166),0)),"Unknown"),H516)</f>
        <v>Pending</v>
      </c>
      <c r="Z516" s="7" t="str">
        <f t="shared" si="59"/>
        <v>Inter-Transaction</v>
      </c>
      <c r="AA516" s="7">
        <f>IF(J516="",AVERAGE($J:$J),J516)</f>
        <v>105.25</v>
      </c>
      <c r="AB516" s="7">
        <f>IF(N516="",AVERAGE($N:$N),N516)</f>
        <v>32</v>
      </c>
      <c r="AC516" s="7">
        <f t="shared" si="60"/>
        <v>2025</v>
      </c>
      <c r="AD516" s="7">
        <f t="shared" si="61"/>
        <v>4</v>
      </c>
      <c r="AE516" s="7">
        <f>COUNTIF(A:A,A516)</f>
        <v>1</v>
      </c>
      <c r="AF516" s="7" t="str">
        <f t="shared" si="62"/>
        <v>No</v>
      </c>
    </row>
    <row r="517" spans="1:32">
      <c r="A517" t="s">
        <v>1750</v>
      </c>
      <c r="B517">
        <v>99308727</v>
      </c>
      <c r="C517" t="s">
        <v>377</v>
      </c>
      <c r="D517" t="s">
        <v>1751</v>
      </c>
      <c r="E517" t="s">
        <v>20</v>
      </c>
      <c r="F517" t="s">
        <v>22</v>
      </c>
      <c r="G517" t="s">
        <v>116</v>
      </c>
      <c r="H517" t="s">
        <v>38</v>
      </c>
      <c r="I517" t="s">
        <v>3377</v>
      </c>
      <c r="J517">
        <v>11694.15</v>
      </c>
      <c r="K517" t="s">
        <v>27</v>
      </c>
      <c r="L517" t="s">
        <v>75</v>
      </c>
      <c r="M517" s="1">
        <v>45995.256249999999</v>
      </c>
      <c r="N517">
        <v>48</v>
      </c>
      <c r="O517" t="s">
        <v>55</v>
      </c>
      <c r="P517" t="s">
        <v>37</v>
      </c>
      <c r="Q517" t="s">
        <v>1752</v>
      </c>
      <c r="R517">
        <f t="shared" si="56"/>
        <v>99308727</v>
      </c>
      <c r="S517" t="str" cm="1">
        <f t="array" ref="S517">IF(C517="",IFERROR(INDEX($C$2:$C$1166,MATCH(MAX(COUNTIF($C$2:$C$1166,$C$2:$C$1166)),COUNTIF($C$2:$C$1166,$C$2:$C$1166),0)),"Unknown"),C517)</f>
        <v>William Dubois</v>
      </c>
      <c r="T517" s="4" t="str" cm="1">
        <f t="array" ref="T517">IF(D517="",IFERROR(INDEX($D$2:$D$1000,MATCH(MAX(COUNTIF($D$2:$D$1166,$D$2:$D$1166)),COUNTIF($D$2:$D$1166,$D$2:$D$1166),0)),"Unknown"),D517)</f>
        <v xml:space="preserve"> amir jackson   </v>
      </c>
      <c r="U517" t="str">
        <f t="shared" si="57"/>
        <v>BRL</v>
      </c>
      <c r="V517" s="7" t="str">
        <f t="shared" si="57"/>
        <v>CHF</v>
      </c>
      <c r="W517" s="7" t="str">
        <f t="shared" si="58"/>
        <v>UK</v>
      </c>
      <c r="X517" s="7" t="str">
        <f t="shared" si="58"/>
        <v>South Africa</v>
      </c>
      <c r="Y517" s="7" t="str" cm="1">
        <f t="array" ref="Y517">IF(H517="",IFERROR(INDEX($H$2:$H$1166,MATCH(MAX(COUNTIF($H$2:$H$1166,$H$2:$H$1166)),COUNTIF($H$2:$H$1166,$H$2:$H$1166),0)),"Unknown"),H517)</f>
        <v>Pending</v>
      </c>
      <c r="Z517" s="7" t="str">
        <f t="shared" si="59"/>
        <v>Inter-Transaction</v>
      </c>
      <c r="AA517" s="7">
        <f>IF(J517="",AVERAGE($J:$J),J517)</f>
        <v>11694.15</v>
      </c>
      <c r="AB517" s="7">
        <f>IF(N517="",AVERAGE($N:$N),N517)</f>
        <v>48</v>
      </c>
      <c r="AC517" s="7">
        <f t="shared" si="60"/>
        <v>2025</v>
      </c>
      <c r="AD517" s="7">
        <f t="shared" si="61"/>
        <v>12</v>
      </c>
      <c r="AE517" s="7">
        <f>COUNTIF(A:A,A517)</f>
        <v>1</v>
      </c>
      <c r="AF517" s="7" t="str">
        <f t="shared" si="62"/>
        <v>No</v>
      </c>
    </row>
    <row r="518" spans="1:32">
      <c r="A518" t="s">
        <v>1753</v>
      </c>
      <c r="B518">
        <v>39156896</v>
      </c>
      <c r="C518" t="s">
        <v>1754</v>
      </c>
      <c r="D518" t="s">
        <v>1421</v>
      </c>
      <c r="E518" t="s">
        <v>3375</v>
      </c>
      <c r="F518" t="s">
        <v>44</v>
      </c>
      <c r="G518" t="s">
        <v>35</v>
      </c>
      <c r="H518" t="s">
        <v>56</v>
      </c>
      <c r="I518" t="s">
        <v>3377</v>
      </c>
      <c r="J518">
        <v>6707.72</v>
      </c>
      <c r="K518" t="s">
        <v>39</v>
      </c>
      <c r="L518" t="s">
        <v>48</v>
      </c>
      <c r="M518" s="1">
        <v>44458.888194444444</v>
      </c>
      <c r="N518">
        <v>18</v>
      </c>
      <c r="O518" t="s">
        <v>54</v>
      </c>
      <c r="P518" t="s">
        <v>127</v>
      </c>
      <c r="Q518" t="s">
        <v>1755</v>
      </c>
      <c r="R518">
        <f t="shared" si="56"/>
        <v>39156896</v>
      </c>
      <c r="S518" t="str" cm="1">
        <f t="array" ref="S518">IF(C518="",IFERROR(INDEX($C$2:$C$1166,MATCH(MAX(COUNTIF($C$2:$C$1166,$C$2:$C$1166)),COUNTIF($C$2:$C$1166,$C$2:$C$1166),0)),"Unknown"),C518)</f>
        <v>Jean-Pierre Lopez</v>
      </c>
      <c r="T518" s="4" t="str" cm="1">
        <f t="array" ref="T518">IF(D518="",IFERROR(INDEX($D$2:$D$1000,MATCH(MAX(COUNTIF($D$2:$D$1166,$D$2:$D$1166)),COUNTIF($D$2:$D$1166,$D$2:$D$1166),0)),"Unknown"),D518)</f>
        <v>John Jones</v>
      </c>
      <c r="U518" t="str">
        <f t="shared" si="57"/>
        <v>SGD</v>
      </c>
      <c r="V518" s="7" t="str">
        <f t="shared" si="57"/>
        <v>EUR</v>
      </c>
      <c r="W518" s="7" t="str">
        <f t="shared" si="58"/>
        <v>India</v>
      </c>
      <c r="X518" s="7" t="str">
        <f t="shared" si="58"/>
        <v>Canada</v>
      </c>
      <c r="Y518" s="7" t="str" cm="1">
        <f t="array" ref="Y518">IF(H518="",IFERROR(INDEX($H$2:$H$1166,MATCH(MAX(COUNTIF($H$2:$H$1166,$H$2:$H$1166)),COUNTIF($H$2:$H$1166,$H$2:$H$1166),0)),"Unknown"),H518)</f>
        <v>Unverified</v>
      </c>
      <c r="Z518" s="7" t="str">
        <f t="shared" si="59"/>
        <v>Inter-Transaction</v>
      </c>
      <c r="AA518" s="7">
        <f>IF(J518="",AVERAGE($J:$J),J518)</f>
        <v>6707.72</v>
      </c>
      <c r="AB518" s="7">
        <f>IF(N518="",AVERAGE($N:$N),N518)</f>
        <v>18</v>
      </c>
      <c r="AC518" s="7">
        <f t="shared" si="60"/>
        <v>2021</v>
      </c>
      <c r="AD518" s="7">
        <f t="shared" si="61"/>
        <v>9</v>
      </c>
      <c r="AE518" s="7">
        <f>COUNTIF(A:A,A518)</f>
        <v>1</v>
      </c>
      <c r="AF518" s="7" t="str">
        <f t="shared" si="62"/>
        <v>No</v>
      </c>
    </row>
    <row r="519" spans="1:32">
      <c r="A519" t="s">
        <v>1756</v>
      </c>
      <c r="B519">
        <v>38137132</v>
      </c>
      <c r="C519" t="s">
        <v>1757</v>
      </c>
      <c r="D519" t="s">
        <v>1758</v>
      </c>
      <c r="E519" t="s">
        <v>33</v>
      </c>
      <c r="F519" t="s">
        <v>34</v>
      </c>
      <c r="G519" t="s">
        <v>92</v>
      </c>
      <c r="H519" t="s">
        <v>25</v>
      </c>
      <c r="I519" t="s">
        <v>3372</v>
      </c>
      <c r="J519">
        <v>252.02</v>
      </c>
      <c r="K519" t="s">
        <v>39</v>
      </c>
      <c r="L519" t="s">
        <v>81</v>
      </c>
      <c r="M519" s="1">
        <v>44579.008333333331</v>
      </c>
      <c r="N519">
        <v>71</v>
      </c>
      <c r="O519" t="s">
        <v>36</v>
      </c>
      <c r="P519" t="s">
        <v>24</v>
      </c>
      <c r="Q519" t="s">
        <v>1759</v>
      </c>
      <c r="R519">
        <f t="shared" si="56"/>
        <v>38137132</v>
      </c>
      <c r="S519" t="str" cm="1">
        <f t="array" ref="S519">IF(C519="",IFERROR(INDEX($C$2:$C$1166,MATCH(MAX(COUNTIF($C$2:$C$1166,$C$2:$C$1166)),COUNTIF($C$2:$C$1166,$C$2:$C$1166),0)),"Unknown"),C519)</f>
        <v>Patricia Thomas</v>
      </c>
      <c r="T519" s="4" t="str" cm="1">
        <f t="array" ref="T519">IF(D519="",IFERROR(INDEX($D$2:$D$1000,MATCH(MAX(COUNTIF($D$2:$D$1166,$D$2:$D$1166)),COUNTIF($D$2:$D$1166,$D$2:$D$1166),0)),"Unknown"),D519)</f>
        <v>Fatima Martin</v>
      </c>
      <c r="U519" t="str">
        <f t="shared" si="57"/>
        <v>CAD</v>
      </c>
      <c r="V519" s="7" t="str">
        <f t="shared" si="57"/>
        <v>AUD</v>
      </c>
      <c r="W519" s="7" t="str">
        <f t="shared" si="58"/>
        <v>Germany</v>
      </c>
      <c r="X519" s="7" t="str">
        <f t="shared" si="58"/>
        <v>Brazil</v>
      </c>
      <c r="Y519" s="7" t="str" cm="1">
        <f t="array" ref="Y519">IF(H519="",IFERROR(INDEX($H$2:$H$1166,MATCH(MAX(COUNTIF($H$2:$H$1166,$H$2:$H$1166)),COUNTIF($H$2:$H$1166,$H$2:$H$1166),0)),"Unknown"),H519)</f>
        <v>KYC</v>
      </c>
      <c r="Z519" s="7" t="str">
        <f t="shared" si="59"/>
        <v>Outer-Transaction</v>
      </c>
      <c r="AA519" s="7">
        <f>IF(J519="",AVERAGE($J:$J),J519)</f>
        <v>252.02</v>
      </c>
      <c r="AB519" s="7">
        <f>IF(N519="",AVERAGE($N:$N),N519)</f>
        <v>71</v>
      </c>
      <c r="AC519" s="7">
        <f t="shared" si="60"/>
        <v>2022</v>
      </c>
      <c r="AD519" s="7">
        <f t="shared" si="61"/>
        <v>1</v>
      </c>
      <c r="AE519" s="7">
        <f>COUNTIF(A:A,A519)</f>
        <v>1</v>
      </c>
      <c r="AF519" s="7" t="str">
        <f t="shared" si="62"/>
        <v>Yes</v>
      </c>
    </row>
    <row r="520" spans="1:32">
      <c r="A520" t="s">
        <v>1760</v>
      </c>
      <c r="B520">
        <v>21334884</v>
      </c>
      <c r="C520" t="s">
        <v>1761</v>
      </c>
      <c r="D520" t="s">
        <v>1762</v>
      </c>
      <c r="E520" t="s">
        <v>33</v>
      </c>
      <c r="F520" t="s">
        <v>80</v>
      </c>
      <c r="G520" t="s">
        <v>176</v>
      </c>
      <c r="H520" t="s">
        <v>25</v>
      </c>
      <c r="I520" t="s">
        <v>3371</v>
      </c>
      <c r="J520">
        <v>7784.14</v>
      </c>
      <c r="K520" t="s">
        <v>47</v>
      </c>
      <c r="L520" t="s">
        <v>81</v>
      </c>
      <c r="M520" s="1">
        <v>43935.00277777778</v>
      </c>
      <c r="N520">
        <v>20</v>
      </c>
      <c r="O520" t="s">
        <v>23</v>
      </c>
      <c r="P520" t="s">
        <v>23</v>
      </c>
      <c r="Q520" t="s">
        <v>1763</v>
      </c>
      <c r="R520">
        <f t="shared" si="56"/>
        <v>21334884</v>
      </c>
      <c r="S520" t="str" cm="1">
        <f t="array" ref="S520">IF(C520="",IFERROR(INDEX($C$2:$C$1166,MATCH(MAX(COUNTIF($C$2:$C$1166,$C$2:$C$1166)),COUNTIF($C$2:$C$1166,$C$2:$C$1166),0)),"Unknown"),C520)</f>
        <v>Sanjay Nair</v>
      </c>
      <c r="T520" s="4" t="str" cm="1">
        <f t="array" ref="T520">IF(D520="",IFERROR(INDEX($D$2:$D$1000,MATCH(MAX(COUNTIF($D$2:$D$1166,$D$2:$D$1166)),COUNTIF($D$2:$D$1166,$D$2:$D$1166),0)),"Unknown"),D520)</f>
        <v>Lucas Gonzalez</v>
      </c>
      <c r="U520" t="str">
        <f t="shared" si="57"/>
        <v>USD</v>
      </c>
      <c r="V520" s="7" t="str">
        <f t="shared" si="57"/>
        <v>aed</v>
      </c>
      <c r="W520" s="7" t="str">
        <f t="shared" si="58"/>
        <v>France</v>
      </c>
      <c r="X520" s="7" t="str">
        <f t="shared" si="58"/>
        <v>France</v>
      </c>
      <c r="Y520" s="7" t="str" cm="1">
        <f t="array" ref="Y520">IF(H520="",IFERROR(INDEX($H$2:$H$1166,MATCH(MAX(COUNTIF($H$2:$H$1166,$H$2:$H$1166)),COUNTIF($H$2:$H$1166,$H$2:$H$1166),0)),"Unknown"),H520)</f>
        <v>KYC</v>
      </c>
      <c r="Z520" s="7" t="str">
        <f t="shared" si="59"/>
        <v>Outer-Transaction</v>
      </c>
      <c r="AA520" s="7">
        <f>IF(J520="",AVERAGE($J:$J),J520)</f>
        <v>7784.14</v>
      </c>
      <c r="AB520" s="7">
        <f>IF(N520="",AVERAGE($N:$N),N520)</f>
        <v>20</v>
      </c>
      <c r="AC520" s="7">
        <f t="shared" si="60"/>
        <v>2020</v>
      </c>
      <c r="AD520" s="7">
        <f t="shared" si="61"/>
        <v>4</v>
      </c>
      <c r="AE520" s="7">
        <f>COUNTIF(A:A,A520)</f>
        <v>1</v>
      </c>
      <c r="AF520" s="7" t="str">
        <f t="shared" si="62"/>
        <v>Yes</v>
      </c>
    </row>
    <row r="521" spans="1:32">
      <c r="A521" t="s">
        <v>1764</v>
      </c>
      <c r="C521" t="s">
        <v>1765</v>
      </c>
      <c r="D521" t="s">
        <v>1033</v>
      </c>
      <c r="E521">
        <v>1</v>
      </c>
      <c r="F521" t="s">
        <v>45</v>
      </c>
      <c r="G521" t="s">
        <v>21</v>
      </c>
      <c r="H521" t="s">
        <v>56</v>
      </c>
      <c r="I521" t="s">
        <v>3374</v>
      </c>
      <c r="J521">
        <v>5604.03</v>
      </c>
      <c r="K521" t="s">
        <v>57</v>
      </c>
      <c r="L521" t="s">
        <v>75</v>
      </c>
      <c r="M521" s="1">
        <v>46373.634722222225</v>
      </c>
      <c r="N521">
        <v>33</v>
      </c>
      <c r="O521" t="s">
        <v>68</v>
      </c>
      <c r="P521" t="s">
        <v>54</v>
      </c>
      <c r="Q521" t="s">
        <v>1766</v>
      </c>
      <c r="R521">
        <f t="shared" si="56"/>
        <v>0</v>
      </c>
      <c r="S521" t="str" cm="1">
        <f t="array" ref="S521">IF(C521="",IFERROR(INDEX($C$2:$C$1166,MATCH(MAX(COUNTIF($C$2:$C$1166,$C$2:$C$1166)),COUNTIF($C$2:$C$1166,$C$2:$C$1166),0)),"Unknown"),C521)</f>
        <v xml:space="preserve">  LINDA SOUZA </v>
      </c>
      <c r="T521" s="4" t="str" cm="1">
        <f t="array" ref="T521">IF(D521="",IFERROR(INDEX($D$2:$D$1000,MATCH(MAX(COUNTIF($D$2:$D$1166,$D$2:$D$1166)),COUNTIF($D$2:$D$1166,$D$2:$D$1166),0)),"Unknown"),D521)</f>
        <v>Charles Jones</v>
      </c>
      <c r="U521" t="str">
        <f t="shared" si="57"/>
        <v>ZAR</v>
      </c>
      <c r="V521" s="7" t="str">
        <f t="shared" si="57"/>
        <v>GBP</v>
      </c>
      <c r="W521" s="7" t="str">
        <f t="shared" si="58"/>
        <v>UAE</v>
      </c>
      <c r="X521" s="7" t="str">
        <f t="shared" si="58"/>
        <v>India</v>
      </c>
      <c r="Y521" s="7" t="str" cm="1">
        <f t="array" ref="Y521">IF(H521="",IFERROR(INDEX($H$2:$H$1166,MATCH(MAX(COUNTIF($H$2:$H$1166,$H$2:$H$1166)),COUNTIF($H$2:$H$1166,$H$2:$H$1166),0)),"Unknown"),H521)</f>
        <v>Unverified</v>
      </c>
      <c r="Z521" s="7" t="str">
        <f t="shared" si="59"/>
        <v>External</v>
      </c>
      <c r="AA521" s="7">
        <f>IF(J521="",AVERAGE($J:$J),J521)</f>
        <v>5604.03</v>
      </c>
      <c r="AB521" s="7">
        <f>IF(N521="",AVERAGE($N:$N),N521)</f>
        <v>33</v>
      </c>
      <c r="AC521" s="7">
        <f t="shared" si="60"/>
        <v>2026</v>
      </c>
      <c r="AD521" s="7">
        <f t="shared" si="61"/>
        <v>12</v>
      </c>
      <c r="AE521" s="7">
        <f>COUNTIF(A:A,A521)</f>
        <v>1</v>
      </c>
      <c r="AF521" s="7" t="str">
        <f t="shared" si="62"/>
        <v>Yes</v>
      </c>
    </row>
    <row r="522" spans="1:32">
      <c r="A522" t="s">
        <v>1767</v>
      </c>
      <c r="B522">
        <v>90330313</v>
      </c>
      <c r="C522" t="s">
        <v>1768</v>
      </c>
      <c r="D522" t="s">
        <v>470</v>
      </c>
      <c r="E522" t="s">
        <v>20</v>
      </c>
      <c r="F522" t="s">
        <v>34</v>
      </c>
      <c r="G522" t="s">
        <v>121</v>
      </c>
      <c r="H522" t="s">
        <v>38</v>
      </c>
      <c r="I522" t="s">
        <v>3372</v>
      </c>
      <c r="J522">
        <v>2024.74</v>
      </c>
      <c r="K522" t="s">
        <v>27</v>
      </c>
      <c r="L522" t="s">
        <v>28</v>
      </c>
      <c r="M522" s="1">
        <v>43876.685416666667</v>
      </c>
      <c r="N522">
        <v>74</v>
      </c>
      <c r="O522" t="s">
        <v>36</v>
      </c>
      <c r="P522" t="s">
        <v>23</v>
      </c>
      <c r="Q522" t="s">
        <v>1769</v>
      </c>
      <c r="R522">
        <f t="shared" si="56"/>
        <v>90330313</v>
      </c>
      <c r="S522" t="str" cm="1">
        <f t="array" ref="S522">IF(C522="",IFERROR(INDEX($C$2:$C$1166,MATCH(MAX(COUNTIF($C$2:$C$1166,$C$2:$C$1166)),COUNTIF($C$2:$C$1166,$C$2:$C$1166),0)),"Unknown"),C522)</f>
        <v>Fatima Taylor</v>
      </c>
      <c r="T522" s="4" t="str" cm="1">
        <f t="array" ref="T522">IF(D522="",IFERROR(INDEX($D$2:$D$1000,MATCH(MAX(COUNTIF($D$2:$D$1166,$D$2:$D$1166)),COUNTIF($D$2:$D$1166,$D$2:$D$1166),0)),"Unknown"),D522)</f>
        <v>Linda Garcia</v>
      </c>
      <c r="U522" t="str">
        <f t="shared" si="57"/>
        <v>CAD</v>
      </c>
      <c r="V522" s="7" t="str">
        <f t="shared" si="57"/>
        <v>INR</v>
      </c>
      <c r="W522" s="7" t="str">
        <f t="shared" si="58"/>
        <v>Germany</v>
      </c>
      <c r="X522" s="7" t="str">
        <f t="shared" si="58"/>
        <v>France</v>
      </c>
      <c r="Y522" s="7" t="str" cm="1">
        <f t="array" ref="Y522">IF(H522="",IFERROR(INDEX($H$2:$H$1166,MATCH(MAX(COUNTIF($H$2:$H$1166,$H$2:$H$1166)),COUNTIF($H$2:$H$1166,$H$2:$H$1166),0)),"Unknown"),H522)</f>
        <v>Pending</v>
      </c>
      <c r="Z522" s="7" t="str">
        <f t="shared" si="59"/>
        <v>Outer-Transaction</v>
      </c>
      <c r="AA522" s="7">
        <f>IF(J522="",AVERAGE($J:$J),J522)</f>
        <v>2024.74</v>
      </c>
      <c r="AB522" s="7">
        <f>IF(N522="",AVERAGE($N:$N),N522)</f>
        <v>74</v>
      </c>
      <c r="AC522" s="7">
        <f t="shared" si="60"/>
        <v>2020</v>
      </c>
      <c r="AD522" s="7">
        <f t="shared" si="61"/>
        <v>2</v>
      </c>
      <c r="AE522" s="7">
        <f>COUNTIF(A:A,A522)</f>
        <v>1</v>
      </c>
      <c r="AF522" s="7" t="str">
        <f t="shared" si="62"/>
        <v>No</v>
      </c>
    </row>
    <row r="523" spans="1:32">
      <c r="A523" t="s">
        <v>1770</v>
      </c>
      <c r="B523">
        <v>22938359</v>
      </c>
      <c r="C523" t="s">
        <v>1771</v>
      </c>
      <c r="D523" t="s">
        <v>1772</v>
      </c>
      <c r="E523" t="s">
        <v>3373</v>
      </c>
      <c r="F523" t="s">
        <v>121</v>
      </c>
      <c r="G523" t="s">
        <v>21</v>
      </c>
      <c r="H523" t="s">
        <v>25</v>
      </c>
      <c r="I523" t="s">
        <v>3374</v>
      </c>
      <c r="J523">
        <v>6063.54</v>
      </c>
      <c r="K523" t="s">
        <v>27</v>
      </c>
      <c r="L523" t="s">
        <v>28</v>
      </c>
      <c r="M523" s="1">
        <v>45185.949305555558</v>
      </c>
      <c r="N523">
        <v>29</v>
      </c>
      <c r="O523" t="s">
        <v>55</v>
      </c>
      <c r="P523" t="s">
        <v>127</v>
      </c>
      <c r="Q523" t="s">
        <v>1773</v>
      </c>
      <c r="R523">
        <f t="shared" si="56"/>
        <v>22938359</v>
      </c>
      <c r="S523" t="str" cm="1">
        <f t="array" ref="S523">IF(C523="",IFERROR(INDEX($C$2:$C$1166,MATCH(MAX(COUNTIF($C$2:$C$1166,$C$2:$C$1166)),COUNTIF($C$2:$C$1166,$C$2:$C$1166),0)),"Unknown"),C523)</f>
        <v>Sarah Thomas</v>
      </c>
      <c r="T523" s="4" t="str" cm="1">
        <f t="array" ref="T523">IF(D523="",IFERROR(INDEX($D$2:$D$1000,MATCH(MAX(COUNTIF($D$2:$D$1166,$D$2:$D$1166)),COUNTIF($D$2:$D$1166,$D$2:$D$1166),0)),"Unknown"),D523)</f>
        <v>Fatima Khan</v>
      </c>
      <c r="U523" t="str">
        <f t="shared" si="57"/>
        <v>INR</v>
      </c>
      <c r="V523" s="7" t="str">
        <f t="shared" si="57"/>
        <v>GBP</v>
      </c>
      <c r="W523" s="7" t="str">
        <f t="shared" si="58"/>
        <v>UK</v>
      </c>
      <c r="X523" s="7" t="str">
        <f t="shared" si="58"/>
        <v>Canada</v>
      </c>
      <c r="Y523" s="7" t="str" cm="1">
        <f t="array" ref="Y523">IF(H523="",IFERROR(INDEX($H$2:$H$1166,MATCH(MAX(COUNTIF($H$2:$H$1166,$H$2:$H$1166)),COUNTIF($H$2:$H$1166,$H$2:$H$1166),0)),"Unknown"),H523)</f>
        <v>KYC</v>
      </c>
      <c r="Z523" s="7" t="str">
        <f t="shared" si="59"/>
        <v>External</v>
      </c>
      <c r="AA523" s="7">
        <f>IF(J523="",AVERAGE($J:$J),J523)</f>
        <v>6063.54</v>
      </c>
      <c r="AB523" s="7">
        <f>IF(N523="",AVERAGE($N:$N),N523)</f>
        <v>29</v>
      </c>
      <c r="AC523" s="7">
        <f t="shared" si="60"/>
        <v>2023</v>
      </c>
      <c r="AD523" s="7">
        <f t="shared" si="61"/>
        <v>9</v>
      </c>
      <c r="AE523" s="7">
        <f>COUNTIF(A:A,A523)</f>
        <v>1</v>
      </c>
      <c r="AF523" s="7" t="str">
        <f t="shared" si="62"/>
        <v>Yes</v>
      </c>
    </row>
    <row r="524" spans="1:32">
      <c r="A524" t="s">
        <v>1774</v>
      </c>
      <c r="C524" t="s">
        <v>1775</v>
      </c>
      <c r="D524" t="s">
        <v>1605</v>
      </c>
      <c r="E524" t="s">
        <v>20</v>
      </c>
      <c r="F524" t="s">
        <v>92</v>
      </c>
      <c r="G524" t="s">
        <v>34</v>
      </c>
      <c r="H524" t="s">
        <v>56</v>
      </c>
      <c r="I524" t="s">
        <v>3374</v>
      </c>
      <c r="J524">
        <v>729.8</v>
      </c>
      <c r="K524" t="s">
        <v>47</v>
      </c>
      <c r="L524" t="s">
        <v>48</v>
      </c>
      <c r="M524" s="1">
        <v>45070.529166666667</v>
      </c>
      <c r="N524">
        <v>33</v>
      </c>
      <c r="O524" t="s">
        <v>36</v>
      </c>
      <c r="P524" t="s">
        <v>55</v>
      </c>
      <c r="Q524" t="s">
        <v>1776</v>
      </c>
      <c r="R524">
        <f t="shared" si="56"/>
        <v>0</v>
      </c>
      <c r="S524" t="str" cm="1">
        <f t="array" ref="S524">IF(C524="",IFERROR(INDEX($C$2:$C$1166,MATCH(MAX(COUNTIF($C$2:$C$1166,$C$2:$C$1166)),COUNTIF($C$2:$C$1166,$C$2:$C$1166),0)),"Unknown"),C524)</f>
        <v xml:space="preserve">  CARLOS RODRIGUEZ </v>
      </c>
      <c r="T524" s="4" t="str" cm="1">
        <f t="array" ref="T524">IF(D524="",IFERROR(INDEX($D$2:$D$1000,MATCH(MAX(COUNTIF($D$2:$D$1166,$D$2:$D$1166)),COUNTIF($D$2:$D$1166,$D$2:$D$1166),0)),"Unknown"),D524)</f>
        <v>Jean-Pierre Volkov</v>
      </c>
      <c r="U524" t="str">
        <f t="shared" si="57"/>
        <v>AUD</v>
      </c>
      <c r="V524" s="7" t="str">
        <f t="shared" si="57"/>
        <v>CAD</v>
      </c>
      <c r="W524" s="7" t="str">
        <f t="shared" si="58"/>
        <v>Germany</v>
      </c>
      <c r="X524" s="7" t="str">
        <f t="shared" si="58"/>
        <v>UK</v>
      </c>
      <c r="Y524" s="7" t="str" cm="1">
        <f t="array" ref="Y524">IF(H524="",IFERROR(INDEX($H$2:$H$1166,MATCH(MAX(COUNTIF($H$2:$H$1166,$H$2:$H$1166)),COUNTIF($H$2:$H$1166,$H$2:$H$1166),0)),"Unknown"),H524)</f>
        <v>Unverified</v>
      </c>
      <c r="Z524" s="7" t="str">
        <f t="shared" si="59"/>
        <v>External</v>
      </c>
      <c r="AA524" s="7">
        <f>IF(J524="",AVERAGE($J:$J),J524)</f>
        <v>729.8</v>
      </c>
      <c r="AB524" s="7">
        <f>IF(N524="",AVERAGE($N:$N),N524)</f>
        <v>33</v>
      </c>
      <c r="AC524" s="7">
        <f t="shared" si="60"/>
        <v>2023</v>
      </c>
      <c r="AD524" s="7">
        <f t="shared" si="61"/>
        <v>5</v>
      </c>
      <c r="AE524" s="7">
        <f>COUNTIF(A:A,A524)</f>
        <v>1</v>
      </c>
      <c r="AF524" s="7" t="str">
        <f t="shared" si="62"/>
        <v>No</v>
      </c>
    </row>
    <row r="525" spans="1:32">
      <c r="A525" t="s">
        <v>1777</v>
      </c>
      <c r="B525">
        <v>56157714</v>
      </c>
      <c r="C525" t="s">
        <v>1322</v>
      </c>
      <c r="D525" t="s">
        <v>483</v>
      </c>
      <c r="E525" t="s">
        <v>20</v>
      </c>
      <c r="F525" t="s">
        <v>92</v>
      </c>
      <c r="G525" t="s">
        <v>44</v>
      </c>
      <c r="I525" t="s">
        <v>3376</v>
      </c>
      <c r="J525">
        <v>13859.05</v>
      </c>
      <c r="K525" t="s">
        <v>57</v>
      </c>
      <c r="L525" t="s">
        <v>48</v>
      </c>
      <c r="M525" s="1">
        <v>44812.7</v>
      </c>
      <c r="N525">
        <v>41</v>
      </c>
      <c r="O525" t="s">
        <v>24</v>
      </c>
      <c r="P525" t="s">
        <v>54</v>
      </c>
      <c r="Q525" t="s">
        <v>1778</v>
      </c>
      <c r="R525">
        <f t="shared" si="56"/>
        <v>56157714</v>
      </c>
      <c r="S525" t="str" cm="1">
        <f t="array" ref="S525">IF(C525="",IFERROR(INDEX($C$2:$C$1166,MATCH(MAX(COUNTIF($C$2:$C$1166,$C$2:$C$1166)),COUNTIF($C$2:$C$1166,$C$2:$C$1166),0)),"Unknown"),C525)</f>
        <v>William Nair</v>
      </c>
      <c r="T525" s="4" t="str" cm="1">
        <f t="array" ref="T525">IF(D525="",IFERROR(INDEX($D$2:$D$1000,MATCH(MAX(COUNTIF($D$2:$D$1166,$D$2:$D$1166)),COUNTIF($D$2:$D$1166,$D$2:$D$1166),0)),"Unknown"),D525)</f>
        <v>Zayn Khan</v>
      </c>
      <c r="U525" t="str">
        <f t="shared" si="57"/>
        <v>AUD</v>
      </c>
      <c r="V525" s="7" t="str">
        <f t="shared" si="57"/>
        <v>SGD</v>
      </c>
      <c r="W525" s="7" t="str">
        <f t="shared" si="58"/>
        <v>Brazil</v>
      </c>
      <c r="X525" s="7" t="str">
        <f t="shared" si="58"/>
        <v>India</v>
      </c>
      <c r="Y525" s="7" t="str" cm="1">
        <f t="array" ref="Y525">IF(H525="",IFERROR(INDEX($H$2:$H$1166,MATCH(MAX(COUNTIF($H$2:$H$1166,$H$2:$H$1166)),COUNTIF($H$2:$H$1166,$H$2:$H$1166),0)),"Unknown"),H525)</f>
        <v>Pending</v>
      </c>
      <c r="Z525" s="7" t="str">
        <f t="shared" si="59"/>
        <v>Internal</v>
      </c>
      <c r="AA525" s="7">
        <f>IF(J525="",AVERAGE($J:$J),J525)</f>
        <v>13859.05</v>
      </c>
      <c r="AB525" s="7">
        <f>IF(N525="",AVERAGE($N:$N),N525)</f>
        <v>41</v>
      </c>
      <c r="AC525" s="7">
        <f t="shared" si="60"/>
        <v>2022</v>
      </c>
      <c r="AD525" s="7">
        <f t="shared" si="61"/>
        <v>9</v>
      </c>
      <c r="AE525" s="7">
        <f>COUNTIF(A:A,A525)</f>
        <v>1</v>
      </c>
      <c r="AF525" s="7" t="str">
        <f t="shared" si="62"/>
        <v>No</v>
      </c>
    </row>
    <row r="526" spans="1:32">
      <c r="A526" t="s">
        <v>1779</v>
      </c>
      <c r="B526">
        <v>45280921</v>
      </c>
      <c r="C526" t="s">
        <v>1163</v>
      </c>
      <c r="D526" t="s">
        <v>1780</v>
      </c>
      <c r="E526" t="s">
        <v>20</v>
      </c>
      <c r="F526" t="s">
        <v>98</v>
      </c>
      <c r="G526" t="s">
        <v>21</v>
      </c>
      <c r="H526" t="s">
        <v>74</v>
      </c>
      <c r="I526" t="s">
        <v>3378</v>
      </c>
      <c r="J526">
        <v>4612.3900000000003</v>
      </c>
      <c r="K526" t="s">
        <v>39</v>
      </c>
      <c r="L526" t="s">
        <v>28</v>
      </c>
      <c r="M526" s="1">
        <v>44790.05</v>
      </c>
      <c r="N526">
        <v>45</v>
      </c>
      <c r="O526" t="s">
        <v>62</v>
      </c>
      <c r="P526" t="s">
        <v>36</v>
      </c>
      <c r="Q526" t="s">
        <v>1781</v>
      </c>
      <c r="R526">
        <f t="shared" si="56"/>
        <v>45280921</v>
      </c>
      <c r="S526" t="str" cm="1">
        <f t="array" ref="S526">IF(C526="",IFERROR(INDEX($C$2:$C$1166,MATCH(MAX(COUNTIF($C$2:$C$1166,$C$2:$C$1166)),COUNTIF($C$2:$C$1166,$C$2:$C$1166),0)),"Unknown"),C526)</f>
        <v>Robert Silva</v>
      </c>
      <c r="T526" s="4" t="str" cm="1">
        <f t="array" ref="T526">IF(D526="",IFERROR(INDEX($D$2:$D$1000,MATCH(MAX(COUNTIF($D$2:$D$1166,$D$2:$D$1166)),COUNTIF($D$2:$D$1166,$D$2:$D$1166),0)),"Unknown"),D526)</f>
        <v>Susan Wilson</v>
      </c>
      <c r="U526" t="str">
        <f t="shared" si="57"/>
        <v>JPY</v>
      </c>
      <c r="V526" s="7" t="str">
        <f t="shared" si="57"/>
        <v>GBP</v>
      </c>
      <c r="W526" s="7" t="str">
        <f t="shared" si="58"/>
        <v>Australia</v>
      </c>
      <c r="X526" s="7" t="str">
        <f t="shared" si="58"/>
        <v>Germany</v>
      </c>
      <c r="Y526" s="7" t="str" cm="1">
        <f t="array" ref="Y526">IF(H526="",IFERROR(INDEX($H$2:$H$1166,MATCH(MAX(COUNTIF($H$2:$H$1166,$H$2:$H$1166)),COUNTIF($H$2:$H$1166,$H$2:$H$1166),0)),"Unknown"),H526)</f>
        <v>Non-KYC</v>
      </c>
      <c r="Z526" s="7" t="str">
        <f t="shared" si="59"/>
        <v>Inter-Transaction</v>
      </c>
      <c r="AA526" s="7">
        <f>IF(J526="",AVERAGE($J:$J),J526)</f>
        <v>4612.3900000000003</v>
      </c>
      <c r="AB526" s="7">
        <f>IF(N526="",AVERAGE($N:$N),N526)</f>
        <v>45</v>
      </c>
      <c r="AC526" s="7">
        <f t="shared" si="60"/>
        <v>2022</v>
      </c>
      <c r="AD526" s="7">
        <f t="shared" si="61"/>
        <v>8</v>
      </c>
      <c r="AE526" s="7">
        <f>COUNTIF(A:A,A526)</f>
        <v>1</v>
      </c>
      <c r="AF526" s="7" t="str">
        <f t="shared" si="62"/>
        <v>No</v>
      </c>
    </row>
    <row r="527" spans="1:32">
      <c r="A527" t="s">
        <v>1782</v>
      </c>
      <c r="B527">
        <v>36665991</v>
      </c>
      <c r="C527" t="s">
        <v>366</v>
      </c>
      <c r="D527" t="s">
        <v>338</v>
      </c>
      <c r="E527" t="s">
        <v>20</v>
      </c>
      <c r="F527" t="s">
        <v>21</v>
      </c>
      <c r="G527" t="s">
        <v>116</v>
      </c>
      <c r="H527" t="s">
        <v>38</v>
      </c>
      <c r="I527" t="s">
        <v>3371</v>
      </c>
      <c r="J527">
        <v>5623.34</v>
      </c>
      <c r="K527" t="s">
        <v>86</v>
      </c>
      <c r="L527" t="s">
        <v>48</v>
      </c>
      <c r="M527" s="1">
        <v>45346.548611111109</v>
      </c>
      <c r="N527">
        <v>25</v>
      </c>
      <c r="O527" t="s">
        <v>54</v>
      </c>
      <c r="P527" t="s">
        <v>23</v>
      </c>
      <c r="Q527" t="s">
        <v>1783</v>
      </c>
      <c r="R527">
        <f t="shared" si="56"/>
        <v>36665991</v>
      </c>
      <c r="S527" t="str" cm="1">
        <f t="array" ref="S527">IF(C527="",IFERROR(INDEX($C$2:$C$1166,MATCH(MAX(COUNTIF($C$2:$C$1166,$C$2:$C$1166)),COUNTIF($C$2:$C$1166,$C$2:$C$1166),0)),"Unknown"),C527)</f>
        <v>Fatima Al-Sayed</v>
      </c>
      <c r="T527" s="4" t="str" cm="1">
        <f t="array" ref="T527">IF(D527="",IFERROR(INDEX($D$2:$D$1000,MATCH(MAX(COUNTIF($D$2:$D$1166,$D$2:$D$1166)),COUNTIF($D$2:$D$1166,$D$2:$D$1166),0)),"Unknown"),D527)</f>
        <v>Susan Taylor</v>
      </c>
      <c r="U527" t="str">
        <f t="shared" si="57"/>
        <v>GBP</v>
      </c>
      <c r="V527" s="7" t="str">
        <f t="shared" si="57"/>
        <v>CHF</v>
      </c>
      <c r="W527" s="7" t="str">
        <f t="shared" si="58"/>
        <v>India</v>
      </c>
      <c r="X527" s="7" t="str">
        <f t="shared" si="58"/>
        <v>France</v>
      </c>
      <c r="Y527" s="7" t="str" cm="1">
        <f t="array" ref="Y527">IF(H527="",IFERROR(INDEX($H$2:$H$1166,MATCH(MAX(COUNTIF($H$2:$H$1166,$H$2:$H$1166)),COUNTIF($H$2:$H$1166,$H$2:$H$1166),0)),"Unknown"),H527)</f>
        <v>Pending</v>
      </c>
      <c r="Z527" s="7" t="str">
        <f t="shared" si="59"/>
        <v>Outer-Transaction</v>
      </c>
      <c r="AA527" s="7">
        <f>IF(J527="",AVERAGE($J:$J),J527)</f>
        <v>5623.34</v>
      </c>
      <c r="AB527" s="7">
        <f>IF(N527="",AVERAGE($N:$N),N527)</f>
        <v>25</v>
      </c>
      <c r="AC527" s="7">
        <f t="shared" si="60"/>
        <v>2024</v>
      </c>
      <c r="AD527" s="7">
        <f t="shared" si="61"/>
        <v>2</v>
      </c>
      <c r="AE527" s="7">
        <f>COUNTIF(A:A,A527)</f>
        <v>1</v>
      </c>
      <c r="AF527" s="7" t="str">
        <f t="shared" si="62"/>
        <v>No</v>
      </c>
    </row>
    <row r="528" spans="1:32">
      <c r="A528" t="s">
        <v>1784</v>
      </c>
      <c r="B528">
        <v>63804242</v>
      </c>
      <c r="C528" t="s">
        <v>334</v>
      </c>
      <c r="D528" t="s">
        <v>358</v>
      </c>
      <c r="E528" t="s">
        <v>33</v>
      </c>
      <c r="F528" t="s">
        <v>44</v>
      </c>
      <c r="G528" t="s">
        <v>44</v>
      </c>
      <c r="I528" t="s">
        <v>3378</v>
      </c>
      <c r="J528">
        <v>3139.23</v>
      </c>
      <c r="K528" t="s">
        <v>27</v>
      </c>
      <c r="L528" t="s">
        <v>28</v>
      </c>
      <c r="M528" s="1">
        <v>45667.396527777775</v>
      </c>
      <c r="N528">
        <v>53</v>
      </c>
      <c r="O528" t="s">
        <v>55</v>
      </c>
      <c r="P528" t="s">
        <v>36</v>
      </c>
      <c r="Q528" t="s">
        <v>1785</v>
      </c>
      <c r="R528">
        <f t="shared" si="56"/>
        <v>63804242</v>
      </c>
      <c r="S528" t="str" cm="1">
        <f t="array" ref="S528">IF(C528="",IFERROR(INDEX($C$2:$C$1166,MATCH(MAX(COUNTIF($C$2:$C$1166,$C$2:$C$1166)),COUNTIF($C$2:$C$1166,$C$2:$C$1166),0)),"Unknown"),C528)</f>
        <v>Barbara Gonzalez</v>
      </c>
      <c r="T528" s="4" t="str" cm="1">
        <f t="array" ref="T528">IF(D528="",IFERROR(INDEX($D$2:$D$1000,MATCH(MAX(COUNTIF($D$2:$D$1166,$D$2:$D$1166)),COUNTIF($D$2:$D$1166,$D$2:$D$1166),0)),"Unknown"),D528)</f>
        <v>Carlos Taylor</v>
      </c>
      <c r="U528" t="str">
        <f t="shared" si="57"/>
        <v>SGD</v>
      </c>
      <c r="V528" s="7" t="str">
        <f t="shared" si="57"/>
        <v>SGD</v>
      </c>
      <c r="W528" s="7" t="str">
        <f t="shared" si="58"/>
        <v>UK</v>
      </c>
      <c r="X528" s="7" t="str">
        <f t="shared" si="58"/>
        <v>Germany</v>
      </c>
      <c r="Y528" s="7" t="str" cm="1">
        <f t="array" ref="Y528">IF(H528="",IFERROR(INDEX($H$2:$H$1166,MATCH(MAX(COUNTIF($H$2:$H$1166,$H$2:$H$1166)),COUNTIF($H$2:$H$1166,$H$2:$H$1166),0)),"Unknown"),H528)</f>
        <v>Pending</v>
      </c>
      <c r="Z528" s="7" t="str">
        <f t="shared" si="59"/>
        <v>Inter-Transaction</v>
      </c>
      <c r="AA528" s="7">
        <f>IF(J528="",AVERAGE($J:$J),J528)</f>
        <v>3139.23</v>
      </c>
      <c r="AB528" s="7">
        <f>IF(N528="",AVERAGE($N:$N),N528)</f>
        <v>53</v>
      </c>
      <c r="AC528" s="7">
        <f t="shared" si="60"/>
        <v>2025</v>
      </c>
      <c r="AD528" s="7">
        <f t="shared" si="61"/>
        <v>1</v>
      </c>
      <c r="AE528" s="7">
        <f>COUNTIF(A:A,A528)</f>
        <v>1</v>
      </c>
      <c r="AF528" s="7" t="str">
        <f t="shared" si="62"/>
        <v>Yes</v>
      </c>
    </row>
    <row r="529" spans="1:32">
      <c r="A529" t="s">
        <v>1786</v>
      </c>
      <c r="B529">
        <v>31400078</v>
      </c>
      <c r="C529" t="s">
        <v>1787</v>
      </c>
      <c r="D529" t="s">
        <v>559</v>
      </c>
      <c r="E529">
        <v>0</v>
      </c>
      <c r="F529" t="s">
        <v>34</v>
      </c>
      <c r="G529" t="s">
        <v>35</v>
      </c>
      <c r="H529" t="s">
        <v>38</v>
      </c>
      <c r="I529" t="s">
        <v>3374</v>
      </c>
      <c r="J529">
        <v>2286.17</v>
      </c>
      <c r="K529" t="s">
        <v>39</v>
      </c>
      <c r="L529" t="s">
        <v>48</v>
      </c>
      <c r="M529" s="1">
        <v>46327.123611111114</v>
      </c>
      <c r="N529">
        <v>25</v>
      </c>
      <c r="O529" t="s">
        <v>36</v>
      </c>
      <c r="P529" t="s">
        <v>23</v>
      </c>
      <c r="Q529" t="s">
        <v>1788</v>
      </c>
      <c r="R529">
        <f t="shared" si="56"/>
        <v>31400078</v>
      </c>
      <c r="S529" t="str" cm="1">
        <f t="array" ref="S529">IF(C529="",IFERROR(INDEX($C$2:$C$1166,MATCH(MAX(COUNTIF($C$2:$C$1166,$C$2:$C$1166)),COUNTIF($C$2:$C$1166,$C$2:$C$1166),0)),"Unknown"),C529)</f>
        <v>Sanjay Wilson</v>
      </c>
      <c r="T529" s="4" t="str" cm="1">
        <f t="array" ref="T529">IF(D529="",IFERROR(INDEX($D$2:$D$1000,MATCH(MAX(COUNTIF($D$2:$D$1166,$D$2:$D$1166)),COUNTIF($D$2:$D$1166,$D$2:$D$1166),0)),"Unknown"),D529)</f>
        <v>Joseph Jackson</v>
      </c>
      <c r="U529" t="str">
        <f t="shared" si="57"/>
        <v>CAD</v>
      </c>
      <c r="V529" s="7" t="str">
        <f t="shared" si="57"/>
        <v>EUR</v>
      </c>
      <c r="W529" s="7" t="str">
        <f t="shared" si="58"/>
        <v>Germany</v>
      </c>
      <c r="X529" s="7" t="str">
        <f t="shared" si="58"/>
        <v>France</v>
      </c>
      <c r="Y529" s="7" t="str" cm="1">
        <f t="array" ref="Y529">IF(H529="",IFERROR(INDEX($H$2:$H$1166,MATCH(MAX(COUNTIF($H$2:$H$1166,$H$2:$H$1166)),COUNTIF($H$2:$H$1166,$H$2:$H$1166),0)),"Unknown"),H529)</f>
        <v>Pending</v>
      </c>
      <c r="Z529" s="7" t="str">
        <f t="shared" si="59"/>
        <v>External</v>
      </c>
      <c r="AA529" s="7">
        <f>IF(J529="",AVERAGE($J:$J),J529)</f>
        <v>2286.17</v>
      </c>
      <c r="AB529" s="7">
        <f>IF(N529="",AVERAGE($N:$N),N529)</f>
        <v>25</v>
      </c>
      <c r="AC529" s="7">
        <f t="shared" si="60"/>
        <v>2026</v>
      </c>
      <c r="AD529" s="7">
        <f t="shared" si="61"/>
        <v>11</v>
      </c>
      <c r="AE529" s="7">
        <f>COUNTIF(A:A,A529)</f>
        <v>1</v>
      </c>
      <c r="AF529" s="7" t="str">
        <f t="shared" si="62"/>
        <v>No</v>
      </c>
    </row>
    <row r="530" spans="1:32">
      <c r="A530" t="s">
        <v>1789</v>
      </c>
      <c r="B530">
        <v>68823870</v>
      </c>
      <c r="C530" t="s">
        <v>1296</v>
      </c>
      <c r="D530" t="s">
        <v>1790</v>
      </c>
      <c r="E530" t="b">
        <v>1</v>
      </c>
      <c r="F530" t="s">
        <v>686</v>
      </c>
      <c r="G530" t="s">
        <v>21</v>
      </c>
      <c r="H530" t="s">
        <v>25</v>
      </c>
      <c r="I530" t="s">
        <v>3372</v>
      </c>
      <c r="J530">
        <v>12571.28</v>
      </c>
      <c r="K530" t="s">
        <v>57</v>
      </c>
      <c r="L530" t="s">
        <v>28</v>
      </c>
      <c r="M530" s="1">
        <v>45312.698611111111</v>
      </c>
      <c r="N530">
        <v>75</v>
      </c>
      <c r="O530" t="s">
        <v>62</v>
      </c>
      <c r="P530" t="s">
        <v>36</v>
      </c>
      <c r="Q530" t="s">
        <v>1791</v>
      </c>
      <c r="R530">
        <f t="shared" si="56"/>
        <v>68823870</v>
      </c>
      <c r="S530" t="str" cm="1">
        <f t="array" ref="S530">IF(C530="",IFERROR(INDEX($C$2:$C$1166,MATCH(MAX(COUNTIF($C$2:$C$1166,$C$2:$C$1166)),COUNTIF($C$2:$C$1166,$C$2:$C$1166),0)),"Unknown"),C530)</f>
        <v>Barbara Khan</v>
      </c>
      <c r="T530" s="4" t="str" cm="1">
        <f t="array" ref="T530">IF(D530="",IFERROR(INDEX($D$2:$D$1000,MATCH(MAX(COUNTIF($D$2:$D$1166,$D$2:$D$1166)),COUNTIF($D$2:$D$1166,$D$2:$D$1166),0)),"Unknown"),D530)</f>
        <v>Patricia Moore</v>
      </c>
      <c r="U530" t="str">
        <f t="shared" si="57"/>
        <v>sgd</v>
      </c>
      <c r="V530" s="7" t="str">
        <f t="shared" si="57"/>
        <v>GBP</v>
      </c>
      <c r="W530" s="7" t="str">
        <f t="shared" si="58"/>
        <v>Australia</v>
      </c>
      <c r="X530" s="7" t="str">
        <f t="shared" si="58"/>
        <v>Germany</v>
      </c>
      <c r="Y530" s="7" t="str" cm="1">
        <f t="array" ref="Y530">IF(H530="",IFERROR(INDEX($H$2:$H$1166,MATCH(MAX(COUNTIF($H$2:$H$1166,$H$2:$H$1166)),COUNTIF($H$2:$H$1166,$H$2:$H$1166),0)),"Unknown"),H530)</f>
        <v>KYC</v>
      </c>
      <c r="Z530" s="7" t="str">
        <f t="shared" si="59"/>
        <v>Outer-Transaction</v>
      </c>
      <c r="AA530" s="7">
        <f>IF(J530="",AVERAGE($J:$J),J530)</f>
        <v>12571.28</v>
      </c>
      <c r="AB530" s="7">
        <f>IF(N530="",AVERAGE($N:$N),N530)</f>
        <v>75</v>
      </c>
      <c r="AC530" s="7">
        <f t="shared" si="60"/>
        <v>2024</v>
      </c>
      <c r="AD530" s="7">
        <f t="shared" si="61"/>
        <v>1</v>
      </c>
      <c r="AE530" s="7">
        <f>COUNTIF(A:A,A530)</f>
        <v>1</v>
      </c>
      <c r="AF530" s="7" t="str">
        <f t="shared" si="62"/>
        <v>No</v>
      </c>
    </row>
    <row r="531" spans="1:32">
      <c r="A531" t="s">
        <v>1792</v>
      </c>
      <c r="B531">
        <v>21888060</v>
      </c>
      <c r="C531" t="s">
        <v>1758</v>
      </c>
      <c r="E531" t="s">
        <v>20</v>
      </c>
      <c r="F531" t="s">
        <v>45</v>
      </c>
      <c r="G531" t="s">
        <v>44</v>
      </c>
      <c r="H531" t="s">
        <v>103</v>
      </c>
      <c r="I531" t="s">
        <v>3374</v>
      </c>
      <c r="J531">
        <v>10989.32</v>
      </c>
      <c r="K531" t="s">
        <v>57</v>
      </c>
      <c r="L531" t="s">
        <v>75</v>
      </c>
      <c r="M531" s="1">
        <v>45390.339583333334</v>
      </c>
      <c r="N531">
        <v>77</v>
      </c>
      <c r="O531" t="s">
        <v>62</v>
      </c>
      <c r="P531" t="s">
        <v>23</v>
      </c>
      <c r="Q531" t="s">
        <v>1793</v>
      </c>
      <c r="R531">
        <f t="shared" si="56"/>
        <v>21888060</v>
      </c>
      <c r="S531" t="str" cm="1">
        <f t="array" ref="S531">IF(C531="",IFERROR(INDEX($C$2:$C$1166,MATCH(MAX(COUNTIF($C$2:$C$1166,$C$2:$C$1166)),COUNTIF($C$2:$C$1166,$C$2:$C$1166),0)),"Unknown"),C531)</f>
        <v>Fatima Martin</v>
      </c>
      <c r="T531" s="4" t="str" cm="1">
        <f t="array" ref="T531">IF(D531="",IFERROR(INDEX($D$2:$D$1000,MATCH(MAX(COUNTIF($D$2:$D$1166,$D$2:$D$1166)),COUNTIF($D$2:$D$1166,$D$2:$D$1166),0)),"Unknown"),D531)</f>
        <v>Patricia Smith</v>
      </c>
      <c r="U531" t="str">
        <f t="shared" si="57"/>
        <v>ZAR</v>
      </c>
      <c r="V531" s="7" t="str">
        <f t="shared" si="57"/>
        <v>SGD</v>
      </c>
      <c r="W531" s="7" t="str">
        <f t="shared" si="58"/>
        <v>Australia</v>
      </c>
      <c r="X531" s="7" t="str">
        <f t="shared" si="58"/>
        <v>France</v>
      </c>
      <c r="Y531" s="7" t="str" cm="1">
        <f t="array" ref="Y531">IF(H531="",IFERROR(INDEX($H$2:$H$1166,MATCH(MAX(COUNTIF($H$2:$H$1166,$H$2:$H$1166)),COUNTIF($H$2:$H$1166,$H$2:$H$1166),0)),"Unknown"),H531)</f>
        <v>Verified</v>
      </c>
      <c r="Z531" s="7" t="str">
        <f t="shared" si="59"/>
        <v>External</v>
      </c>
      <c r="AA531" s="7">
        <f>IF(J531="",AVERAGE($J:$J),J531)</f>
        <v>10989.32</v>
      </c>
      <c r="AB531" s="7">
        <f>IF(N531="",AVERAGE($N:$N),N531)</f>
        <v>77</v>
      </c>
      <c r="AC531" s="7">
        <f t="shared" si="60"/>
        <v>2024</v>
      </c>
      <c r="AD531" s="7">
        <f t="shared" si="61"/>
        <v>4</v>
      </c>
      <c r="AE531" s="7">
        <f>COUNTIF(A:A,A531)</f>
        <v>1</v>
      </c>
      <c r="AF531" s="7" t="str">
        <f t="shared" si="62"/>
        <v>No</v>
      </c>
    </row>
    <row r="532" spans="1:32">
      <c r="A532" t="s">
        <v>1794</v>
      </c>
      <c r="B532">
        <v>39714212</v>
      </c>
      <c r="C532" t="s">
        <v>1014</v>
      </c>
      <c r="D532" t="s">
        <v>1445</v>
      </c>
      <c r="E532" t="b">
        <v>1</v>
      </c>
      <c r="F532" t="s">
        <v>22</v>
      </c>
      <c r="G532" t="s">
        <v>44</v>
      </c>
      <c r="H532" t="s">
        <v>56</v>
      </c>
      <c r="I532" t="s">
        <v>3377</v>
      </c>
      <c r="J532">
        <v>9028.92</v>
      </c>
      <c r="K532" t="s">
        <v>27</v>
      </c>
      <c r="L532" t="s">
        <v>28</v>
      </c>
      <c r="M532" s="1">
        <v>45338.305555555555</v>
      </c>
      <c r="N532">
        <v>67</v>
      </c>
      <c r="O532" t="s">
        <v>36</v>
      </c>
      <c r="P532" t="s">
        <v>36</v>
      </c>
      <c r="Q532" t="s">
        <v>1795</v>
      </c>
      <c r="R532">
        <f t="shared" si="56"/>
        <v>39714212</v>
      </c>
      <c r="S532" t="str" cm="1">
        <f t="array" ref="S532">IF(C532="",IFERROR(INDEX($C$2:$C$1166,MATCH(MAX(COUNTIF($C$2:$C$1166,$C$2:$C$1166)),COUNTIF($C$2:$C$1166,$C$2:$C$1166),0)),"Unknown"),C532)</f>
        <v>Christopher Wilson</v>
      </c>
      <c r="T532" s="4" t="str" cm="1">
        <f t="array" ref="T532">IF(D532="",IFERROR(INDEX($D$2:$D$1000,MATCH(MAX(COUNTIF($D$2:$D$1166,$D$2:$D$1166)),COUNTIF($D$2:$D$1166,$D$2:$D$1166),0)),"Unknown"),D532)</f>
        <v>Marta Rodriguez</v>
      </c>
      <c r="U532" t="str">
        <f t="shared" si="57"/>
        <v>BRL</v>
      </c>
      <c r="V532" s="7" t="str">
        <f t="shared" si="57"/>
        <v>SGD</v>
      </c>
      <c r="W532" s="7" t="str">
        <f t="shared" si="58"/>
        <v>Germany</v>
      </c>
      <c r="X532" s="7" t="str">
        <f t="shared" si="58"/>
        <v>Germany</v>
      </c>
      <c r="Y532" s="7" t="str" cm="1">
        <f t="array" ref="Y532">IF(H532="",IFERROR(INDEX($H$2:$H$1166,MATCH(MAX(COUNTIF($H$2:$H$1166,$H$2:$H$1166)),COUNTIF($H$2:$H$1166,$H$2:$H$1166),0)),"Unknown"),H532)</f>
        <v>Unverified</v>
      </c>
      <c r="Z532" s="7" t="str">
        <f t="shared" si="59"/>
        <v>Inter-Transaction</v>
      </c>
      <c r="AA532" s="7">
        <f>IF(J532="",AVERAGE($J:$J),J532)</f>
        <v>9028.92</v>
      </c>
      <c r="AB532" s="7">
        <f>IF(N532="",AVERAGE($N:$N),N532)</f>
        <v>67</v>
      </c>
      <c r="AC532" s="7">
        <f t="shared" si="60"/>
        <v>2024</v>
      </c>
      <c r="AD532" s="7">
        <f t="shared" si="61"/>
        <v>2</v>
      </c>
      <c r="AE532" s="7">
        <f>COUNTIF(A:A,A532)</f>
        <v>1</v>
      </c>
      <c r="AF532" s="7" t="str">
        <f t="shared" si="62"/>
        <v>No</v>
      </c>
    </row>
    <row r="533" spans="1:32">
      <c r="A533" t="s">
        <v>1796</v>
      </c>
      <c r="B533">
        <v>15350579</v>
      </c>
      <c r="D533" t="s">
        <v>227</v>
      </c>
      <c r="E533">
        <v>1</v>
      </c>
      <c r="F533" t="s">
        <v>1084</v>
      </c>
      <c r="G533" t="s">
        <v>98</v>
      </c>
      <c r="H533" t="s">
        <v>25</v>
      </c>
      <c r="I533" t="s">
        <v>3371</v>
      </c>
      <c r="J533">
        <v>8508.2800000000007</v>
      </c>
      <c r="K533" t="s">
        <v>86</v>
      </c>
      <c r="L533" t="s">
        <v>75</v>
      </c>
      <c r="M533" s="1">
        <v>45894.540277777778</v>
      </c>
      <c r="N533">
        <v>45</v>
      </c>
      <c r="O533" t="s">
        <v>68</v>
      </c>
      <c r="P533" t="s">
        <v>127</v>
      </c>
      <c r="Q533" t="s">
        <v>1797</v>
      </c>
      <c r="R533">
        <f t="shared" si="56"/>
        <v>15350579</v>
      </c>
      <c r="S533" t="str" cm="1">
        <f t="array" ref="S533">IF(C533="",IFERROR(INDEX($C$2:$C$1166,MATCH(MAX(COUNTIF($C$2:$C$1166,$C$2:$C$1166)),COUNTIF($C$2:$C$1166,$C$2:$C$1166),0)),"Unknown"),C533)</f>
        <v>Fatima Brown</v>
      </c>
      <c r="T533" s="4" t="str" cm="1">
        <f t="array" ref="T533">IF(D533="",IFERROR(INDEX($D$2:$D$1000,MATCH(MAX(COUNTIF($D$2:$D$1166,$D$2:$D$1166)),COUNTIF($D$2:$D$1166,$D$2:$D$1166),0)),"Unknown"),D533)</f>
        <v>Lucas Anderson</v>
      </c>
      <c r="U533" t="str">
        <f t="shared" si="57"/>
        <v>chf</v>
      </c>
      <c r="V533" s="7" t="str">
        <f t="shared" si="57"/>
        <v>JPY</v>
      </c>
      <c r="W533" s="7" t="str">
        <f t="shared" si="58"/>
        <v>UAE</v>
      </c>
      <c r="X533" s="7" t="str">
        <f t="shared" si="58"/>
        <v>Canada</v>
      </c>
      <c r="Y533" s="7" t="str" cm="1">
        <f t="array" ref="Y533">IF(H533="",IFERROR(INDEX($H$2:$H$1166,MATCH(MAX(COUNTIF($H$2:$H$1166,$H$2:$H$1166)),COUNTIF($H$2:$H$1166,$H$2:$H$1166),0)),"Unknown"),H533)</f>
        <v>KYC</v>
      </c>
      <c r="Z533" s="7" t="str">
        <f t="shared" si="59"/>
        <v>Outer-Transaction</v>
      </c>
      <c r="AA533" s="7">
        <f>IF(J533="",AVERAGE($J:$J),J533)</f>
        <v>8508.2800000000007</v>
      </c>
      <c r="AB533" s="7">
        <f>IF(N533="",AVERAGE($N:$N),N533)</f>
        <v>45</v>
      </c>
      <c r="AC533" s="7">
        <f t="shared" si="60"/>
        <v>2025</v>
      </c>
      <c r="AD533" s="7">
        <f t="shared" si="61"/>
        <v>8</v>
      </c>
      <c r="AE533" s="7">
        <f>COUNTIF(A:A,A533)</f>
        <v>1</v>
      </c>
      <c r="AF533" s="7" t="str">
        <f t="shared" si="62"/>
        <v>Yes</v>
      </c>
    </row>
    <row r="534" spans="1:32">
      <c r="A534" t="s">
        <v>1798</v>
      </c>
      <c r="B534">
        <v>57295434</v>
      </c>
      <c r="C534" t="s">
        <v>604</v>
      </c>
      <c r="D534" t="s">
        <v>1665</v>
      </c>
      <c r="E534" t="s">
        <v>3375</v>
      </c>
      <c r="F534" t="s">
        <v>44</v>
      </c>
      <c r="G534" t="s">
        <v>22</v>
      </c>
      <c r="H534" t="s">
        <v>38</v>
      </c>
      <c r="I534" t="s">
        <v>3374</v>
      </c>
      <c r="J534">
        <v>4835</v>
      </c>
      <c r="K534" t="s">
        <v>39</v>
      </c>
      <c r="L534" t="s">
        <v>75</v>
      </c>
      <c r="M534" s="1">
        <v>45831.711111111108</v>
      </c>
      <c r="N534">
        <v>58</v>
      </c>
      <c r="O534" t="s">
        <v>24</v>
      </c>
      <c r="P534" t="s">
        <v>62</v>
      </c>
      <c r="Q534" t="s">
        <v>1799</v>
      </c>
      <c r="R534">
        <f t="shared" si="56"/>
        <v>57295434</v>
      </c>
      <c r="S534" t="str" cm="1">
        <f t="array" ref="S534">IF(C534="",IFERROR(INDEX($C$2:$C$1166,MATCH(MAX(COUNTIF($C$2:$C$1166,$C$2:$C$1166)),COUNTIF($C$2:$C$1166,$C$2:$C$1166),0)),"Unknown"),C534)</f>
        <v>Elizabeth Rodriguez</v>
      </c>
      <c r="T534" s="4" t="str" cm="1">
        <f t="array" ref="T534">IF(D534="",IFERROR(INDEX($D$2:$D$1000,MATCH(MAX(COUNTIF($D$2:$D$1166,$D$2:$D$1166)),COUNTIF($D$2:$D$1166,$D$2:$D$1166),0)),"Unknown"),D534)</f>
        <v>Thomas Silva</v>
      </c>
      <c r="U534" t="str">
        <f t="shared" si="57"/>
        <v>SGD</v>
      </c>
      <c r="V534" s="7" t="str">
        <f t="shared" si="57"/>
        <v>BRL</v>
      </c>
      <c r="W534" s="7" t="str">
        <f t="shared" si="58"/>
        <v>Brazil</v>
      </c>
      <c r="X534" s="7" t="str">
        <f t="shared" si="58"/>
        <v>Australia</v>
      </c>
      <c r="Y534" s="7" t="str" cm="1">
        <f t="array" ref="Y534">IF(H534="",IFERROR(INDEX($H$2:$H$1166,MATCH(MAX(COUNTIF($H$2:$H$1166,$H$2:$H$1166)),COUNTIF($H$2:$H$1166,$H$2:$H$1166),0)),"Unknown"),H534)</f>
        <v>Pending</v>
      </c>
      <c r="Z534" s="7" t="str">
        <f t="shared" si="59"/>
        <v>External</v>
      </c>
      <c r="AA534" s="7">
        <f>IF(J534="",AVERAGE($J:$J),J534)</f>
        <v>4835</v>
      </c>
      <c r="AB534" s="7">
        <f>IF(N534="",AVERAGE($N:$N),N534)</f>
        <v>58</v>
      </c>
      <c r="AC534" s="7">
        <f t="shared" si="60"/>
        <v>2025</v>
      </c>
      <c r="AD534" s="7">
        <f t="shared" si="61"/>
        <v>6</v>
      </c>
      <c r="AE534" s="7">
        <f>COUNTIF(A:A,A534)</f>
        <v>1</v>
      </c>
      <c r="AF534" s="7" t="str">
        <f t="shared" si="62"/>
        <v>No</v>
      </c>
    </row>
    <row r="535" spans="1:32">
      <c r="A535" t="s">
        <v>1800</v>
      </c>
      <c r="B535">
        <v>51048501</v>
      </c>
      <c r="C535" t="s">
        <v>1801</v>
      </c>
      <c r="D535" t="s">
        <v>442</v>
      </c>
      <c r="E535" t="s">
        <v>3373</v>
      </c>
      <c r="F535" t="s">
        <v>34</v>
      </c>
      <c r="G535" t="s">
        <v>116</v>
      </c>
      <c r="H535" t="s">
        <v>103</v>
      </c>
      <c r="I535" t="s">
        <v>3378</v>
      </c>
      <c r="J535">
        <v>12090.4</v>
      </c>
      <c r="K535" t="s">
        <v>57</v>
      </c>
      <c r="L535" t="s">
        <v>48</v>
      </c>
      <c r="M535" s="1">
        <v>46121.228472222225</v>
      </c>
      <c r="N535">
        <v>81</v>
      </c>
      <c r="O535" t="s">
        <v>127</v>
      </c>
      <c r="P535" t="s">
        <v>54</v>
      </c>
      <c r="Q535" t="s">
        <v>1802</v>
      </c>
      <c r="R535">
        <f t="shared" si="56"/>
        <v>51048501</v>
      </c>
      <c r="S535" t="str" cm="1">
        <f t="array" ref="S535">IF(C535="",IFERROR(INDEX($C$2:$C$1166,MATCH(MAX(COUNTIF($C$2:$C$1166,$C$2:$C$1166)),COUNTIF($C$2:$C$1166,$C$2:$C$1166),0)),"Unknown"),C535)</f>
        <v>Patricia Souza</v>
      </c>
      <c r="T535" s="4" t="str" cm="1">
        <f t="array" ref="T535">IF(D535="",IFERROR(INDEX($D$2:$D$1000,MATCH(MAX(COUNTIF($D$2:$D$1166,$D$2:$D$1166)),COUNTIF($D$2:$D$1166,$D$2:$D$1166),0)),"Unknown"),D535)</f>
        <v>Fatima Williams</v>
      </c>
      <c r="U535" t="str">
        <f t="shared" si="57"/>
        <v>CAD</v>
      </c>
      <c r="V535" s="7" t="str">
        <f t="shared" si="57"/>
        <v>CHF</v>
      </c>
      <c r="W535" s="7" t="str">
        <f t="shared" si="58"/>
        <v>Canada</v>
      </c>
      <c r="X535" s="7" t="str">
        <f t="shared" si="58"/>
        <v>India</v>
      </c>
      <c r="Y535" s="7" t="str" cm="1">
        <f t="array" ref="Y535">IF(H535="",IFERROR(INDEX($H$2:$H$1166,MATCH(MAX(COUNTIF($H$2:$H$1166,$H$2:$H$1166)),COUNTIF($H$2:$H$1166,$H$2:$H$1166),0)),"Unknown"),H535)</f>
        <v>Verified</v>
      </c>
      <c r="Z535" s="7" t="str">
        <f t="shared" si="59"/>
        <v>Inter-Transaction</v>
      </c>
      <c r="AA535" s="7">
        <f>IF(J535="",AVERAGE($J:$J),J535)</f>
        <v>12090.4</v>
      </c>
      <c r="AB535" s="7">
        <f>IF(N535="",AVERAGE($N:$N),N535)</f>
        <v>81</v>
      </c>
      <c r="AC535" s="7">
        <f t="shared" si="60"/>
        <v>2026</v>
      </c>
      <c r="AD535" s="7">
        <f t="shared" si="61"/>
        <v>4</v>
      </c>
      <c r="AE535" s="7">
        <f>COUNTIF(A:A,A535)</f>
        <v>1</v>
      </c>
      <c r="AF535" s="7" t="str">
        <f t="shared" si="62"/>
        <v>Yes</v>
      </c>
    </row>
    <row r="536" spans="1:32">
      <c r="A536" t="s">
        <v>1803</v>
      </c>
      <c r="B536">
        <v>82243277</v>
      </c>
      <c r="C536" t="s">
        <v>767</v>
      </c>
      <c r="D536" t="s">
        <v>629</v>
      </c>
      <c r="E536" t="b">
        <v>1</v>
      </c>
      <c r="F536" t="s">
        <v>35</v>
      </c>
      <c r="G536" t="s">
        <v>35</v>
      </c>
      <c r="H536" t="s">
        <v>103</v>
      </c>
      <c r="I536" t="s">
        <v>3376</v>
      </c>
      <c r="J536">
        <v>5313.46</v>
      </c>
      <c r="K536" t="s">
        <v>47</v>
      </c>
      <c r="L536" t="s">
        <v>81</v>
      </c>
      <c r="M536" s="1">
        <v>45804.673611111109</v>
      </c>
      <c r="N536">
        <v>44</v>
      </c>
      <c r="O536" t="s">
        <v>24</v>
      </c>
      <c r="P536" t="s">
        <v>24</v>
      </c>
      <c r="Q536" t="s">
        <v>1804</v>
      </c>
      <c r="R536">
        <f t="shared" si="56"/>
        <v>82243277</v>
      </c>
      <c r="S536" t="str" cm="1">
        <f t="array" ref="S536">IF(C536="",IFERROR(INDEX($C$2:$C$1166,MATCH(MAX(COUNTIF($C$2:$C$1166,$C$2:$C$1166)),COUNTIF($C$2:$C$1166,$C$2:$C$1166),0)),"Unknown"),C536)</f>
        <v>Linda Gonzalez</v>
      </c>
      <c r="T536" s="4" t="str" cm="1">
        <f t="array" ref="T536">IF(D536="",IFERROR(INDEX($D$2:$D$1000,MATCH(MAX(COUNTIF($D$2:$D$1166,$D$2:$D$1166)),COUNTIF($D$2:$D$1166,$D$2:$D$1166),0)),"Unknown"),D536)</f>
        <v>Nancy Rostova</v>
      </c>
      <c r="U536" t="str">
        <f t="shared" si="57"/>
        <v>EUR</v>
      </c>
      <c r="V536" s="7" t="str">
        <f t="shared" si="57"/>
        <v>EUR</v>
      </c>
      <c r="W536" s="7" t="str">
        <f t="shared" si="58"/>
        <v>Brazil</v>
      </c>
      <c r="X536" s="7" t="str">
        <f t="shared" si="58"/>
        <v>Brazil</v>
      </c>
      <c r="Y536" s="7" t="str" cm="1">
        <f t="array" ref="Y536">IF(H536="",IFERROR(INDEX($H$2:$H$1166,MATCH(MAX(COUNTIF($H$2:$H$1166,$H$2:$H$1166)),COUNTIF($H$2:$H$1166,$H$2:$H$1166),0)),"Unknown"),H536)</f>
        <v>Verified</v>
      </c>
      <c r="Z536" s="7" t="str">
        <f t="shared" si="59"/>
        <v>Internal</v>
      </c>
      <c r="AA536" s="7">
        <f>IF(J536="",AVERAGE($J:$J),J536)</f>
        <v>5313.46</v>
      </c>
      <c r="AB536" s="7">
        <f>IF(N536="",AVERAGE($N:$N),N536)</f>
        <v>44</v>
      </c>
      <c r="AC536" s="7">
        <f t="shared" si="60"/>
        <v>2025</v>
      </c>
      <c r="AD536" s="7">
        <f t="shared" si="61"/>
        <v>5</v>
      </c>
      <c r="AE536" s="7">
        <f>COUNTIF(A:A,A536)</f>
        <v>1</v>
      </c>
      <c r="AF536" s="7" t="str">
        <f t="shared" si="62"/>
        <v>No</v>
      </c>
    </row>
    <row r="537" spans="1:32">
      <c r="A537" t="s">
        <v>1805</v>
      </c>
      <c r="B537">
        <v>15472438</v>
      </c>
      <c r="C537" t="s">
        <v>297</v>
      </c>
      <c r="D537" t="s">
        <v>256</v>
      </c>
      <c r="E537" t="s">
        <v>3375</v>
      </c>
      <c r="F537" t="s">
        <v>80</v>
      </c>
      <c r="G537" t="s">
        <v>44</v>
      </c>
      <c r="H537" t="s">
        <v>74</v>
      </c>
      <c r="I537" t="s">
        <v>3371</v>
      </c>
      <c r="J537">
        <v>196.15</v>
      </c>
      <c r="K537" t="s">
        <v>47</v>
      </c>
      <c r="L537" t="s">
        <v>28</v>
      </c>
      <c r="M537" s="1">
        <v>44742.824305555558</v>
      </c>
      <c r="N537">
        <v>80</v>
      </c>
      <c r="O537" t="s">
        <v>36</v>
      </c>
      <c r="P537" t="s">
        <v>55</v>
      </c>
      <c r="Q537" t="s">
        <v>1806</v>
      </c>
      <c r="R537">
        <f t="shared" si="56"/>
        <v>15472438</v>
      </c>
      <c r="S537" t="str" cm="1">
        <f t="array" ref="S537">IF(C537="",IFERROR(INDEX($C$2:$C$1166,MATCH(MAX(COUNTIF($C$2:$C$1166,$C$2:$C$1166)),COUNTIF($C$2:$C$1166,$C$2:$C$1166),0)),"Unknown"),C537)</f>
        <v>Elizabeth Moore</v>
      </c>
      <c r="T537" s="4" t="str" cm="1">
        <f t="array" ref="T537">IF(D537="",IFERROR(INDEX($D$2:$D$1000,MATCH(MAX(COUNTIF($D$2:$D$1166,$D$2:$D$1166)),COUNTIF($D$2:$D$1166,$D$2:$D$1166),0)),"Unknown"),D537)</f>
        <v>Michael Velez</v>
      </c>
      <c r="U537" t="str">
        <f t="shared" si="57"/>
        <v>USD</v>
      </c>
      <c r="V537" s="7" t="str">
        <f t="shared" si="57"/>
        <v>SGD</v>
      </c>
      <c r="W537" s="7" t="str">
        <f t="shared" si="58"/>
        <v>Germany</v>
      </c>
      <c r="X537" s="7" t="str">
        <f t="shared" si="58"/>
        <v>UK</v>
      </c>
      <c r="Y537" s="7" t="str" cm="1">
        <f t="array" ref="Y537">IF(H537="",IFERROR(INDEX($H$2:$H$1166,MATCH(MAX(COUNTIF($H$2:$H$1166,$H$2:$H$1166)),COUNTIF($H$2:$H$1166,$H$2:$H$1166),0)),"Unknown"),H537)</f>
        <v>Non-KYC</v>
      </c>
      <c r="Z537" s="7" t="str">
        <f t="shared" si="59"/>
        <v>Outer-Transaction</v>
      </c>
      <c r="AA537" s="7">
        <f>IF(J537="",AVERAGE($J:$J),J537)</f>
        <v>196.15</v>
      </c>
      <c r="AB537" s="7">
        <f>IF(N537="",AVERAGE($N:$N),N537)</f>
        <v>80</v>
      </c>
      <c r="AC537" s="7">
        <f t="shared" si="60"/>
        <v>2022</v>
      </c>
      <c r="AD537" s="7">
        <f t="shared" si="61"/>
        <v>6</v>
      </c>
      <c r="AE537" s="7">
        <f>COUNTIF(A:A,A537)</f>
        <v>1</v>
      </c>
      <c r="AF537" s="7" t="str">
        <f t="shared" si="62"/>
        <v>No</v>
      </c>
    </row>
    <row r="538" spans="1:32">
      <c r="A538" t="s">
        <v>1807</v>
      </c>
      <c r="B538">
        <v>87236512</v>
      </c>
      <c r="C538" t="s">
        <v>1808</v>
      </c>
      <c r="D538" t="s">
        <v>1809</v>
      </c>
      <c r="E538" t="s">
        <v>20</v>
      </c>
      <c r="F538" t="s">
        <v>34</v>
      </c>
      <c r="G538" t="s">
        <v>53</v>
      </c>
      <c r="H538" t="s">
        <v>25</v>
      </c>
      <c r="I538" t="s">
        <v>3374</v>
      </c>
      <c r="J538">
        <v>2026.05</v>
      </c>
      <c r="K538" t="s">
        <v>47</v>
      </c>
      <c r="L538" t="s">
        <v>48</v>
      </c>
      <c r="M538" s="1">
        <v>45125.334027777775</v>
      </c>
      <c r="N538">
        <v>34</v>
      </c>
      <c r="O538" t="s">
        <v>54</v>
      </c>
      <c r="P538" t="s">
        <v>68</v>
      </c>
      <c r="Q538" t="s">
        <v>1810</v>
      </c>
      <c r="R538">
        <f t="shared" si="56"/>
        <v>87236512</v>
      </c>
      <c r="S538" t="str" cm="1">
        <f t="array" ref="S538">IF(C538="",IFERROR(INDEX($C$2:$C$1166,MATCH(MAX(COUNTIF($C$2:$C$1166,$C$2:$C$1166)),COUNTIF($C$2:$C$1166,$C$2:$C$1166),0)),"Unknown"),C538)</f>
        <v>Carlos Volkov</v>
      </c>
      <c r="T538" s="4" t="str" cm="1">
        <f t="array" ref="T538">IF(D538="",IFERROR(INDEX($D$2:$D$1000,MATCH(MAX(COUNTIF($D$2:$D$1166,$D$2:$D$1166)),COUNTIF($D$2:$D$1166,$D$2:$D$1166),0)),"Unknown"),D538)</f>
        <v>Joseph Al-Sayed</v>
      </c>
      <c r="U538" t="str">
        <f t="shared" si="57"/>
        <v>CAD</v>
      </c>
      <c r="V538" s="7" t="str">
        <f t="shared" si="57"/>
        <v>AED</v>
      </c>
      <c r="W538" s="7" t="str">
        <f t="shared" si="58"/>
        <v>India</v>
      </c>
      <c r="X538" s="7" t="str">
        <f t="shared" si="58"/>
        <v>UAE</v>
      </c>
      <c r="Y538" s="7" t="str" cm="1">
        <f t="array" ref="Y538">IF(H538="",IFERROR(INDEX($H$2:$H$1166,MATCH(MAX(COUNTIF($H$2:$H$1166,$H$2:$H$1166)),COUNTIF($H$2:$H$1166,$H$2:$H$1166),0)),"Unknown"),H538)</f>
        <v>KYC</v>
      </c>
      <c r="Z538" s="7" t="str">
        <f t="shared" si="59"/>
        <v>External</v>
      </c>
      <c r="AA538" s="7">
        <f>IF(J538="",AVERAGE($J:$J),J538)</f>
        <v>2026.05</v>
      </c>
      <c r="AB538" s="7">
        <f>IF(N538="",AVERAGE($N:$N),N538)</f>
        <v>34</v>
      </c>
      <c r="AC538" s="7">
        <f t="shared" si="60"/>
        <v>2023</v>
      </c>
      <c r="AD538" s="7">
        <f t="shared" si="61"/>
        <v>7</v>
      </c>
      <c r="AE538" s="7">
        <f>COUNTIF(A:A,A538)</f>
        <v>1</v>
      </c>
      <c r="AF538" s="7" t="str">
        <f t="shared" si="62"/>
        <v>No</v>
      </c>
    </row>
    <row r="539" spans="1:32">
      <c r="A539" t="s">
        <v>1811</v>
      </c>
      <c r="B539">
        <v>96565865</v>
      </c>
      <c r="C539" t="s">
        <v>1812</v>
      </c>
      <c r="D539" t="s">
        <v>1619</v>
      </c>
      <c r="E539" t="s">
        <v>3373</v>
      </c>
      <c r="F539" t="s">
        <v>80</v>
      </c>
      <c r="G539" t="s">
        <v>44</v>
      </c>
      <c r="H539" t="s">
        <v>38</v>
      </c>
      <c r="I539" t="s">
        <v>3372</v>
      </c>
      <c r="J539">
        <v>8389.35</v>
      </c>
      <c r="K539" t="s">
        <v>86</v>
      </c>
      <c r="L539" t="s">
        <v>75</v>
      </c>
      <c r="M539" s="1">
        <v>45633.166666666664</v>
      </c>
      <c r="N539">
        <v>50</v>
      </c>
      <c r="O539" t="s">
        <v>127</v>
      </c>
      <c r="P539" t="s">
        <v>93</v>
      </c>
      <c r="Q539" t="s">
        <v>1813</v>
      </c>
      <c r="R539">
        <f t="shared" si="56"/>
        <v>96565865</v>
      </c>
      <c r="S539" t="str" cm="1">
        <f t="array" ref="S539">IF(C539="",IFERROR(INDEX($C$2:$C$1166,MATCH(MAX(COUNTIF($C$2:$C$1166,$C$2:$C$1166)),COUNTIF($C$2:$C$1166,$C$2:$C$1166),0)),"Unknown"),C539)</f>
        <v>Karen Khan</v>
      </c>
      <c r="T539" s="4" t="str" cm="1">
        <f t="array" ref="T539">IF(D539="",IFERROR(INDEX($D$2:$D$1000,MATCH(MAX(COUNTIF($D$2:$D$1166,$D$2:$D$1166)),COUNTIF($D$2:$D$1166,$D$2:$D$1166),0)),"Unknown"),D539)</f>
        <v>Elizabeth Anderson</v>
      </c>
      <c r="U539" t="str">
        <f t="shared" si="57"/>
        <v>USD</v>
      </c>
      <c r="V539" s="7" t="str">
        <f t="shared" si="57"/>
        <v>SGD</v>
      </c>
      <c r="W539" s="7" t="str">
        <f t="shared" si="58"/>
        <v>Canada</v>
      </c>
      <c r="X539" s="7" t="str">
        <f t="shared" si="58"/>
        <v>USA</v>
      </c>
      <c r="Y539" s="7" t="str" cm="1">
        <f t="array" ref="Y539">IF(H539="",IFERROR(INDEX($H$2:$H$1166,MATCH(MAX(COUNTIF($H$2:$H$1166,$H$2:$H$1166)),COUNTIF($H$2:$H$1166,$H$2:$H$1166),0)),"Unknown"),H539)</f>
        <v>Pending</v>
      </c>
      <c r="Z539" s="7" t="str">
        <f t="shared" si="59"/>
        <v>Outer-Transaction</v>
      </c>
      <c r="AA539" s="7">
        <f>IF(J539="",AVERAGE($J:$J),J539)</f>
        <v>8389.35</v>
      </c>
      <c r="AB539" s="7">
        <f>IF(N539="",AVERAGE($N:$N),N539)</f>
        <v>50</v>
      </c>
      <c r="AC539" s="7">
        <f t="shared" si="60"/>
        <v>2024</v>
      </c>
      <c r="AD539" s="7">
        <f t="shared" si="61"/>
        <v>12</v>
      </c>
      <c r="AE539" s="7">
        <f>COUNTIF(A:A,A539)</f>
        <v>1</v>
      </c>
      <c r="AF539" s="7" t="str">
        <f t="shared" si="62"/>
        <v>Yes</v>
      </c>
    </row>
    <row r="540" spans="1:32">
      <c r="A540" t="s">
        <v>1814</v>
      </c>
      <c r="B540">
        <v>13701318</v>
      </c>
      <c r="C540" t="s">
        <v>420</v>
      </c>
      <c r="D540" t="s">
        <v>1815</v>
      </c>
      <c r="E540" t="s">
        <v>20</v>
      </c>
      <c r="F540" t="s">
        <v>21</v>
      </c>
      <c r="G540" t="s">
        <v>92</v>
      </c>
      <c r="H540" t="s">
        <v>38</v>
      </c>
      <c r="I540" t="s">
        <v>3376</v>
      </c>
      <c r="J540">
        <v>14194.55</v>
      </c>
      <c r="K540" t="s">
        <v>47</v>
      </c>
      <c r="L540" t="s">
        <v>75</v>
      </c>
      <c r="M540" s="1">
        <v>45584.149305555555</v>
      </c>
      <c r="N540">
        <v>46</v>
      </c>
      <c r="O540" t="s">
        <v>55</v>
      </c>
      <c r="P540" t="s">
        <v>24</v>
      </c>
      <c r="Q540" t="s">
        <v>1816</v>
      </c>
      <c r="R540">
        <f t="shared" si="56"/>
        <v>13701318</v>
      </c>
      <c r="S540" t="str" cm="1">
        <f t="array" ref="S540">IF(C540="",IFERROR(INDEX($C$2:$C$1166,MATCH(MAX(COUNTIF($C$2:$C$1166,$C$2:$C$1166)),COUNTIF($C$2:$C$1166,$C$2:$C$1166),0)),"Unknown"),C540)</f>
        <v>Elena Martin</v>
      </c>
      <c r="T540" s="4" t="str" cm="1">
        <f t="array" ref="T540">IF(D540="",IFERROR(INDEX($D$2:$D$1000,MATCH(MAX(COUNTIF($D$2:$D$1166,$D$2:$D$1166)),COUNTIF($D$2:$D$1166,$D$2:$D$1166),0)),"Unknown"),D540)</f>
        <v>Sarah Wilson</v>
      </c>
      <c r="U540" t="str">
        <f t="shared" si="57"/>
        <v>GBP</v>
      </c>
      <c r="V540" s="7" t="str">
        <f t="shared" si="57"/>
        <v>AUD</v>
      </c>
      <c r="W540" s="7" t="str">
        <f t="shared" si="58"/>
        <v>UK</v>
      </c>
      <c r="X540" s="7" t="str">
        <f t="shared" si="58"/>
        <v>Brazil</v>
      </c>
      <c r="Y540" s="7" t="str" cm="1">
        <f t="array" ref="Y540">IF(H540="",IFERROR(INDEX($H$2:$H$1166,MATCH(MAX(COUNTIF($H$2:$H$1166,$H$2:$H$1166)),COUNTIF($H$2:$H$1166,$H$2:$H$1166),0)),"Unknown"),H540)</f>
        <v>Pending</v>
      </c>
      <c r="Z540" s="7" t="str">
        <f t="shared" si="59"/>
        <v>Internal</v>
      </c>
      <c r="AA540" s="7">
        <f>IF(J540="",AVERAGE($J:$J),J540)</f>
        <v>14194.55</v>
      </c>
      <c r="AB540" s="7">
        <f>IF(N540="",AVERAGE($N:$N),N540)</f>
        <v>46</v>
      </c>
      <c r="AC540" s="7">
        <f t="shared" si="60"/>
        <v>2024</v>
      </c>
      <c r="AD540" s="7">
        <f t="shared" si="61"/>
        <v>10</v>
      </c>
      <c r="AE540" s="7">
        <f>COUNTIF(A:A,A540)</f>
        <v>1</v>
      </c>
      <c r="AF540" s="7" t="str">
        <f t="shared" si="62"/>
        <v>No</v>
      </c>
    </row>
    <row r="541" spans="1:32">
      <c r="A541" t="s">
        <v>1817</v>
      </c>
      <c r="B541">
        <v>31636866</v>
      </c>
      <c r="C541" t="s">
        <v>1818</v>
      </c>
      <c r="D541" t="s">
        <v>741</v>
      </c>
      <c r="E541" t="s">
        <v>20</v>
      </c>
      <c r="F541" t="s">
        <v>91</v>
      </c>
      <c r="G541" t="s">
        <v>21</v>
      </c>
      <c r="H541" t="s">
        <v>56</v>
      </c>
      <c r="I541" t="s">
        <v>3376</v>
      </c>
      <c r="J541">
        <v>10516.92</v>
      </c>
      <c r="K541" t="s">
        <v>39</v>
      </c>
      <c r="L541" t="s">
        <v>81</v>
      </c>
      <c r="M541" s="1">
        <v>43945.914583333331</v>
      </c>
      <c r="N541">
        <v>30</v>
      </c>
      <c r="O541" t="s">
        <v>24</v>
      </c>
      <c r="P541" t="s">
        <v>93</v>
      </c>
      <c r="Q541" t="s">
        <v>1819</v>
      </c>
      <c r="R541">
        <f t="shared" si="56"/>
        <v>31636866</v>
      </c>
      <c r="S541" t="str" cm="1">
        <f t="array" ref="S541">IF(C541="",IFERROR(INDEX($C$2:$C$1166,MATCH(MAX(COUNTIF($C$2:$C$1166,$C$2:$C$1166)),COUNTIF($C$2:$C$1166,$C$2:$C$1166),0)),"Unknown"),C541)</f>
        <v>Fatima Miller</v>
      </c>
      <c r="T541" s="4" t="str" cm="1">
        <f t="array" ref="T541">IF(D541="",IFERROR(INDEX($D$2:$D$1000,MATCH(MAX(COUNTIF($D$2:$D$1166,$D$2:$D$1166)),COUNTIF($D$2:$D$1166,$D$2:$D$1166),0)),"Unknown"),D541)</f>
        <v>Elizabeth Martin</v>
      </c>
      <c r="U541" t="str">
        <f t="shared" si="57"/>
        <v>gbp</v>
      </c>
      <c r="V541" s="7" t="str">
        <f t="shared" si="57"/>
        <v>GBP</v>
      </c>
      <c r="W541" s="7" t="str">
        <f t="shared" si="58"/>
        <v>Brazil</v>
      </c>
      <c r="X541" s="7" t="str">
        <f t="shared" si="58"/>
        <v>USA</v>
      </c>
      <c r="Y541" s="7" t="str" cm="1">
        <f t="array" ref="Y541">IF(H541="",IFERROR(INDEX($H$2:$H$1166,MATCH(MAX(COUNTIF($H$2:$H$1166,$H$2:$H$1166)),COUNTIF($H$2:$H$1166,$H$2:$H$1166),0)),"Unknown"),H541)</f>
        <v>Unverified</v>
      </c>
      <c r="Z541" s="7" t="str">
        <f t="shared" si="59"/>
        <v>Internal</v>
      </c>
      <c r="AA541" s="7">
        <f>IF(J541="",AVERAGE($J:$J),J541)</f>
        <v>10516.92</v>
      </c>
      <c r="AB541" s="7">
        <f>IF(N541="",AVERAGE($N:$N),N541)</f>
        <v>30</v>
      </c>
      <c r="AC541" s="7">
        <f t="shared" si="60"/>
        <v>2020</v>
      </c>
      <c r="AD541" s="7">
        <f t="shared" si="61"/>
        <v>4</v>
      </c>
      <c r="AE541" s="7">
        <f>COUNTIF(A:A,A541)</f>
        <v>1</v>
      </c>
      <c r="AF541" s="7" t="str">
        <f t="shared" si="62"/>
        <v>No</v>
      </c>
    </row>
    <row r="542" spans="1:32">
      <c r="A542" t="s">
        <v>1820</v>
      </c>
      <c r="B542">
        <v>77066159</v>
      </c>
      <c r="C542" t="s">
        <v>1821</v>
      </c>
      <c r="E542">
        <v>0</v>
      </c>
      <c r="F542" t="s">
        <v>34</v>
      </c>
      <c r="G542" t="s">
        <v>45</v>
      </c>
      <c r="H542" t="s">
        <v>38</v>
      </c>
      <c r="I542" t="s">
        <v>3377</v>
      </c>
      <c r="J542">
        <v>14730.33</v>
      </c>
      <c r="K542" t="s">
        <v>86</v>
      </c>
      <c r="L542" t="s">
        <v>75</v>
      </c>
      <c r="M542" s="1">
        <v>45434.088888888888</v>
      </c>
      <c r="N542">
        <v>63</v>
      </c>
      <c r="O542" t="s">
        <v>36</v>
      </c>
      <c r="P542" t="s">
        <v>54</v>
      </c>
      <c r="Q542" t="s">
        <v>1822</v>
      </c>
      <c r="R542">
        <f t="shared" si="56"/>
        <v>77066159</v>
      </c>
      <c r="S542" t="str" cm="1">
        <f t="array" ref="S542">IF(C542="",IFERROR(INDEX($C$2:$C$1166,MATCH(MAX(COUNTIF($C$2:$C$1166,$C$2:$C$1166)),COUNTIF($C$2:$C$1166,$C$2:$C$1166),0)),"Unknown"),C542)</f>
        <v>Robert Garcia</v>
      </c>
      <c r="T542" s="4" t="str" cm="1">
        <f t="array" ref="T542">IF(D542="",IFERROR(INDEX($D$2:$D$1000,MATCH(MAX(COUNTIF($D$2:$D$1166,$D$2:$D$1166)),COUNTIF($D$2:$D$1166,$D$2:$D$1166),0)),"Unknown"),D542)</f>
        <v>Patricia Smith</v>
      </c>
      <c r="U542" t="str">
        <f t="shared" si="57"/>
        <v>CAD</v>
      </c>
      <c r="V542" s="7" t="str">
        <f t="shared" si="57"/>
        <v>ZAR</v>
      </c>
      <c r="W542" s="7" t="str">
        <f t="shared" si="58"/>
        <v>Germany</v>
      </c>
      <c r="X542" s="7" t="str">
        <f t="shared" si="58"/>
        <v>India</v>
      </c>
      <c r="Y542" s="7" t="str" cm="1">
        <f t="array" ref="Y542">IF(H542="",IFERROR(INDEX($H$2:$H$1166,MATCH(MAX(COUNTIF($H$2:$H$1166,$H$2:$H$1166)),COUNTIF($H$2:$H$1166,$H$2:$H$1166),0)),"Unknown"),H542)</f>
        <v>Pending</v>
      </c>
      <c r="Z542" s="7" t="str">
        <f t="shared" si="59"/>
        <v>Inter-Transaction</v>
      </c>
      <c r="AA542" s="7">
        <f>IF(J542="",AVERAGE($J:$J),J542)</f>
        <v>14730.33</v>
      </c>
      <c r="AB542" s="7">
        <f>IF(N542="",AVERAGE($N:$N),N542)</f>
        <v>63</v>
      </c>
      <c r="AC542" s="7">
        <f t="shared" si="60"/>
        <v>2024</v>
      </c>
      <c r="AD542" s="7">
        <f t="shared" si="61"/>
        <v>5</v>
      </c>
      <c r="AE542" s="7">
        <f>COUNTIF(A:A,A542)</f>
        <v>1</v>
      </c>
      <c r="AF542" s="7" t="str">
        <f t="shared" si="62"/>
        <v>No</v>
      </c>
    </row>
    <row r="543" spans="1:32">
      <c r="A543" t="s">
        <v>1823</v>
      </c>
      <c r="B543">
        <v>85613530</v>
      </c>
      <c r="C543" t="s">
        <v>829</v>
      </c>
      <c r="D543" t="s">
        <v>1821</v>
      </c>
      <c r="E543" t="s">
        <v>20</v>
      </c>
      <c r="F543" t="s">
        <v>116</v>
      </c>
      <c r="G543" t="s">
        <v>44</v>
      </c>
      <c r="H543" t="s">
        <v>38</v>
      </c>
      <c r="I543" t="s">
        <v>3378</v>
      </c>
      <c r="J543">
        <v>8614.0400000000009</v>
      </c>
      <c r="K543" t="s">
        <v>39</v>
      </c>
      <c r="L543" t="s">
        <v>48</v>
      </c>
      <c r="M543" s="1">
        <v>45153.890277777777</v>
      </c>
      <c r="N543">
        <v>52</v>
      </c>
      <c r="O543" t="s">
        <v>24</v>
      </c>
      <c r="P543" t="s">
        <v>24</v>
      </c>
      <c r="Q543" t="s">
        <v>1824</v>
      </c>
      <c r="R543">
        <f t="shared" si="56"/>
        <v>85613530</v>
      </c>
      <c r="S543" t="str" cm="1">
        <f t="array" ref="S543">IF(C543="",IFERROR(INDEX($C$2:$C$1166,MATCH(MAX(COUNTIF($C$2:$C$1166,$C$2:$C$1166)),COUNTIF($C$2:$C$1166,$C$2:$C$1166),0)),"Unknown"),C543)</f>
        <v>Susan Malik</v>
      </c>
      <c r="T543" s="4" t="str" cm="1">
        <f t="array" ref="T543">IF(D543="",IFERROR(INDEX($D$2:$D$1000,MATCH(MAX(COUNTIF($D$2:$D$1166,$D$2:$D$1166)),COUNTIF($D$2:$D$1166,$D$2:$D$1166),0)),"Unknown"),D543)</f>
        <v>Robert Garcia</v>
      </c>
      <c r="U543" t="str">
        <f t="shared" si="57"/>
        <v>CHF</v>
      </c>
      <c r="V543" s="7" t="str">
        <f t="shared" si="57"/>
        <v>SGD</v>
      </c>
      <c r="W543" s="7" t="str">
        <f t="shared" si="58"/>
        <v>Brazil</v>
      </c>
      <c r="X543" s="7" t="str">
        <f t="shared" si="58"/>
        <v>Brazil</v>
      </c>
      <c r="Y543" s="7" t="str" cm="1">
        <f t="array" ref="Y543">IF(H543="",IFERROR(INDEX($H$2:$H$1166,MATCH(MAX(COUNTIF($H$2:$H$1166,$H$2:$H$1166)),COUNTIF($H$2:$H$1166,$H$2:$H$1166),0)),"Unknown"),H543)</f>
        <v>Pending</v>
      </c>
      <c r="Z543" s="7" t="str">
        <f t="shared" si="59"/>
        <v>Inter-Transaction</v>
      </c>
      <c r="AA543" s="7">
        <f>IF(J543="",AVERAGE($J:$J),J543)</f>
        <v>8614.0400000000009</v>
      </c>
      <c r="AB543" s="7">
        <f>IF(N543="",AVERAGE($N:$N),N543)</f>
        <v>52</v>
      </c>
      <c r="AC543" s="7">
        <f t="shared" si="60"/>
        <v>2023</v>
      </c>
      <c r="AD543" s="7">
        <f t="shared" si="61"/>
        <v>8</v>
      </c>
      <c r="AE543" s="7">
        <f>COUNTIF(A:A,A543)</f>
        <v>1</v>
      </c>
      <c r="AF543" s="7" t="str">
        <f t="shared" si="62"/>
        <v>No</v>
      </c>
    </row>
    <row r="544" spans="1:32">
      <c r="A544" t="s">
        <v>1825</v>
      </c>
      <c r="B544">
        <v>51831014</v>
      </c>
      <c r="C544" t="s">
        <v>314</v>
      </c>
      <c r="D544" t="s">
        <v>1314</v>
      </c>
      <c r="E544" t="b">
        <v>0</v>
      </c>
      <c r="F544" t="s">
        <v>116</v>
      </c>
      <c r="G544" t="s">
        <v>98</v>
      </c>
      <c r="H544" t="s">
        <v>103</v>
      </c>
      <c r="I544" t="s">
        <v>3372</v>
      </c>
      <c r="J544">
        <v>13929.81</v>
      </c>
      <c r="K544" t="s">
        <v>27</v>
      </c>
      <c r="L544" t="s">
        <v>81</v>
      </c>
      <c r="M544" s="1">
        <v>45691.464583333334</v>
      </c>
      <c r="N544">
        <v>23</v>
      </c>
      <c r="O544" t="s">
        <v>127</v>
      </c>
      <c r="P544" t="s">
        <v>36</v>
      </c>
      <c r="Q544" t="s">
        <v>1826</v>
      </c>
      <c r="R544">
        <f t="shared" si="56"/>
        <v>51831014</v>
      </c>
      <c r="S544" t="str" cm="1">
        <f t="array" ref="S544">IF(C544="",IFERROR(INDEX($C$2:$C$1166,MATCH(MAX(COUNTIF($C$2:$C$1166,$C$2:$C$1166)),COUNTIF($C$2:$C$1166,$C$2:$C$1166),0)),"Unknown"),C544)</f>
        <v>Priya Martinez</v>
      </c>
      <c r="T544" s="4" t="str" cm="1">
        <f t="array" ref="T544">IF(D544="",IFERROR(INDEX($D$2:$D$1000,MATCH(MAX(COUNTIF($D$2:$D$1166,$D$2:$D$1166)),COUNTIF($D$2:$D$1166,$D$2:$D$1166),0)),"Unknown"),D544)</f>
        <v>Patricia Lopez</v>
      </c>
      <c r="U544" t="str">
        <f t="shared" si="57"/>
        <v>CHF</v>
      </c>
      <c r="V544" s="7" t="str">
        <f t="shared" si="57"/>
        <v>JPY</v>
      </c>
      <c r="W544" s="7" t="str">
        <f t="shared" si="58"/>
        <v>Canada</v>
      </c>
      <c r="X544" s="7" t="str">
        <f t="shared" si="58"/>
        <v>Germany</v>
      </c>
      <c r="Y544" s="7" t="str" cm="1">
        <f t="array" ref="Y544">IF(H544="",IFERROR(INDEX($H$2:$H$1166,MATCH(MAX(COUNTIF($H$2:$H$1166,$H$2:$H$1166)),COUNTIF($H$2:$H$1166,$H$2:$H$1166),0)),"Unknown"),H544)</f>
        <v>Verified</v>
      </c>
      <c r="Z544" s="7" t="str">
        <f t="shared" si="59"/>
        <v>Outer-Transaction</v>
      </c>
      <c r="AA544" s="7">
        <f>IF(J544="",AVERAGE($J:$J),J544)</f>
        <v>13929.81</v>
      </c>
      <c r="AB544" s="7">
        <f>IF(N544="",AVERAGE($N:$N),N544)</f>
        <v>23</v>
      </c>
      <c r="AC544" s="7">
        <f t="shared" si="60"/>
        <v>2025</v>
      </c>
      <c r="AD544" s="7">
        <f t="shared" si="61"/>
        <v>2</v>
      </c>
      <c r="AE544" s="7">
        <f>COUNTIF(A:A,A544)</f>
        <v>1</v>
      </c>
      <c r="AF544" s="7" t="str">
        <f t="shared" si="62"/>
        <v>No</v>
      </c>
    </row>
    <row r="545" spans="1:32">
      <c r="A545" t="s">
        <v>1827</v>
      </c>
      <c r="B545">
        <v>64262173</v>
      </c>
      <c r="C545" t="s">
        <v>282</v>
      </c>
      <c r="D545" t="s">
        <v>1309</v>
      </c>
      <c r="E545" t="s">
        <v>20</v>
      </c>
      <c r="F545" t="s">
        <v>44</v>
      </c>
      <c r="G545" t="s">
        <v>45</v>
      </c>
      <c r="H545" t="s">
        <v>103</v>
      </c>
      <c r="I545" t="s">
        <v>3376</v>
      </c>
      <c r="J545">
        <v>8449.32</v>
      </c>
      <c r="K545" t="s">
        <v>27</v>
      </c>
      <c r="L545" t="s">
        <v>81</v>
      </c>
      <c r="M545" s="1">
        <v>46275.070833333331</v>
      </c>
      <c r="N545">
        <v>64</v>
      </c>
      <c r="O545" t="s">
        <v>37</v>
      </c>
      <c r="P545" t="s">
        <v>36</v>
      </c>
      <c r="Q545" t="s">
        <v>1828</v>
      </c>
      <c r="R545">
        <f t="shared" si="56"/>
        <v>64262173</v>
      </c>
      <c r="S545" t="str" cm="1">
        <f t="array" ref="S545">IF(C545="",IFERROR(INDEX($C$2:$C$1166,MATCH(MAX(COUNTIF($C$2:$C$1166,$C$2:$C$1166)),COUNTIF($C$2:$C$1166,$C$2:$C$1166),0)),"Unknown"),C545)</f>
        <v>Mary Lopez</v>
      </c>
      <c r="T545" s="4" t="str" cm="1">
        <f t="array" ref="T545">IF(D545="",IFERROR(INDEX($D$2:$D$1000,MATCH(MAX(COUNTIF($D$2:$D$1166,$D$2:$D$1166)),COUNTIF($D$2:$D$1166,$D$2:$D$1166),0)),"Unknown"),D545)</f>
        <v>Mary Souza</v>
      </c>
      <c r="U545" t="str">
        <f t="shared" si="57"/>
        <v>SGD</v>
      </c>
      <c r="V545" s="7" t="str">
        <f t="shared" si="57"/>
        <v>ZAR</v>
      </c>
      <c r="W545" s="7" t="str">
        <f t="shared" si="58"/>
        <v>South Africa</v>
      </c>
      <c r="X545" s="7" t="str">
        <f t="shared" si="58"/>
        <v>Germany</v>
      </c>
      <c r="Y545" s="7" t="str" cm="1">
        <f t="array" ref="Y545">IF(H545="",IFERROR(INDEX($H$2:$H$1166,MATCH(MAX(COUNTIF($H$2:$H$1166,$H$2:$H$1166)),COUNTIF($H$2:$H$1166,$H$2:$H$1166),0)),"Unknown"),H545)</f>
        <v>Verified</v>
      </c>
      <c r="Z545" s="7" t="str">
        <f t="shared" si="59"/>
        <v>Internal</v>
      </c>
      <c r="AA545" s="7">
        <f>IF(J545="",AVERAGE($J:$J),J545)</f>
        <v>8449.32</v>
      </c>
      <c r="AB545" s="7">
        <f>IF(N545="",AVERAGE($N:$N),N545)</f>
        <v>64</v>
      </c>
      <c r="AC545" s="7">
        <f t="shared" si="60"/>
        <v>2026</v>
      </c>
      <c r="AD545" s="7">
        <f t="shared" si="61"/>
        <v>9</v>
      </c>
      <c r="AE545" s="7">
        <f>COUNTIF(A:A,A545)</f>
        <v>1</v>
      </c>
      <c r="AF545" s="7" t="str">
        <f t="shared" si="62"/>
        <v>No</v>
      </c>
    </row>
    <row r="546" spans="1:32">
      <c r="A546" t="s">
        <v>1829</v>
      </c>
      <c r="B546">
        <v>75829144</v>
      </c>
      <c r="C546" t="s">
        <v>167</v>
      </c>
      <c r="D546" t="s">
        <v>500</v>
      </c>
      <c r="E546" t="s">
        <v>20</v>
      </c>
      <c r="F546" t="s">
        <v>116</v>
      </c>
      <c r="G546" t="s">
        <v>92</v>
      </c>
      <c r="H546" t="s">
        <v>38</v>
      </c>
      <c r="I546" t="s">
        <v>3377</v>
      </c>
      <c r="J546">
        <v>2829.3</v>
      </c>
      <c r="K546" t="s">
        <v>86</v>
      </c>
      <c r="L546" t="s">
        <v>75</v>
      </c>
      <c r="M546" s="1">
        <v>46272.395138888889</v>
      </c>
      <c r="N546">
        <v>42</v>
      </c>
      <c r="O546" t="s">
        <v>23</v>
      </c>
      <c r="P546" t="s">
        <v>68</v>
      </c>
      <c r="Q546" t="s">
        <v>1830</v>
      </c>
      <c r="R546">
        <f t="shared" si="56"/>
        <v>75829144</v>
      </c>
      <c r="S546" t="str" cm="1">
        <f t="array" ref="S546">IF(C546="",IFERROR(INDEX($C$2:$C$1166,MATCH(MAX(COUNTIF($C$2:$C$1166,$C$2:$C$1166)),COUNTIF($C$2:$C$1166,$C$2:$C$1166),0)),"Unknown"),C546)</f>
        <v>John Thomas</v>
      </c>
      <c r="T546" s="4" t="str" cm="1">
        <f t="array" ref="T546">IF(D546="",IFERROR(INDEX($D$2:$D$1000,MATCH(MAX(COUNTIF($D$2:$D$1166,$D$2:$D$1166)),COUNTIF($D$2:$D$1166,$D$2:$D$1166),0)),"Unknown"),D546)</f>
        <v>Patricia Hernandez</v>
      </c>
      <c r="U546" t="str">
        <f t="shared" si="57"/>
        <v>CHF</v>
      </c>
      <c r="V546" s="7" t="str">
        <f t="shared" si="57"/>
        <v>AUD</v>
      </c>
      <c r="W546" s="7" t="str">
        <f t="shared" si="58"/>
        <v>France</v>
      </c>
      <c r="X546" s="7" t="str">
        <f t="shared" si="58"/>
        <v>UAE</v>
      </c>
      <c r="Y546" s="7" t="str" cm="1">
        <f t="array" ref="Y546">IF(H546="",IFERROR(INDEX($H$2:$H$1166,MATCH(MAX(COUNTIF($H$2:$H$1166,$H$2:$H$1166)),COUNTIF($H$2:$H$1166,$H$2:$H$1166),0)),"Unknown"),H546)</f>
        <v>Pending</v>
      </c>
      <c r="Z546" s="7" t="str">
        <f t="shared" si="59"/>
        <v>Inter-Transaction</v>
      </c>
      <c r="AA546" s="7">
        <f>IF(J546="",AVERAGE($J:$J),J546)</f>
        <v>2829.3</v>
      </c>
      <c r="AB546" s="7">
        <f>IF(N546="",AVERAGE($N:$N),N546)</f>
        <v>42</v>
      </c>
      <c r="AC546" s="7">
        <f t="shared" si="60"/>
        <v>2026</v>
      </c>
      <c r="AD546" s="7">
        <f t="shared" si="61"/>
        <v>9</v>
      </c>
      <c r="AE546" s="7">
        <f>COUNTIF(A:A,A546)</f>
        <v>1</v>
      </c>
      <c r="AF546" s="7" t="str">
        <f t="shared" si="62"/>
        <v>No</v>
      </c>
    </row>
    <row r="547" spans="1:32">
      <c r="A547" t="s">
        <v>1831</v>
      </c>
      <c r="B547">
        <v>17037740</v>
      </c>
      <c r="C547" t="s">
        <v>1832</v>
      </c>
      <c r="D547" t="s">
        <v>886</v>
      </c>
      <c r="E547">
        <v>0</v>
      </c>
      <c r="F547" t="s">
        <v>98</v>
      </c>
      <c r="G547" t="s">
        <v>98</v>
      </c>
      <c r="H547" t="s">
        <v>56</v>
      </c>
      <c r="I547" t="s">
        <v>3371</v>
      </c>
      <c r="J547">
        <v>13386.42</v>
      </c>
      <c r="K547" t="s">
        <v>57</v>
      </c>
      <c r="L547" t="s">
        <v>28</v>
      </c>
      <c r="M547" s="1">
        <v>44929.878472222219</v>
      </c>
      <c r="N547">
        <v>83</v>
      </c>
      <c r="O547" t="s">
        <v>24</v>
      </c>
      <c r="P547" t="s">
        <v>93</v>
      </c>
      <c r="Q547" t="s">
        <v>1833</v>
      </c>
      <c r="R547">
        <f t="shared" si="56"/>
        <v>17037740</v>
      </c>
      <c r="S547" t="str" cm="1">
        <f t="array" ref="S547">IF(C547="",IFERROR(INDEX($C$2:$C$1166,MATCH(MAX(COUNTIF($C$2:$C$1166,$C$2:$C$1166)),COUNTIF($C$2:$C$1166,$C$2:$C$1166),0)),"Unknown"),C547)</f>
        <v xml:space="preserve">  AMIR KHAN </v>
      </c>
      <c r="T547" s="4" t="str" cm="1">
        <f t="array" ref="T547">IF(D547="",IFERROR(INDEX($D$2:$D$1000,MATCH(MAX(COUNTIF($D$2:$D$1166,$D$2:$D$1166)),COUNTIF($D$2:$D$1166,$D$2:$D$1166),0)),"Unknown"),D547)</f>
        <v>Marta Malik</v>
      </c>
      <c r="U547" t="str">
        <f t="shared" si="57"/>
        <v>JPY</v>
      </c>
      <c r="V547" s="7" t="str">
        <f t="shared" si="57"/>
        <v>JPY</v>
      </c>
      <c r="W547" s="7" t="str">
        <f t="shared" si="58"/>
        <v>Brazil</v>
      </c>
      <c r="X547" s="7" t="str">
        <f t="shared" si="58"/>
        <v>USA</v>
      </c>
      <c r="Y547" s="7" t="str" cm="1">
        <f t="array" ref="Y547">IF(H547="",IFERROR(INDEX($H$2:$H$1166,MATCH(MAX(COUNTIF($H$2:$H$1166,$H$2:$H$1166)),COUNTIF($H$2:$H$1166,$H$2:$H$1166),0)),"Unknown"),H547)</f>
        <v>Unverified</v>
      </c>
      <c r="Z547" s="7" t="str">
        <f t="shared" si="59"/>
        <v>Outer-Transaction</v>
      </c>
      <c r="AA547" s="7">
        <f>IF(J547="",AVERAGE($J:$J),J547)</f>
        <v>13386.42</v>
      </c>
      <c r="AB547" s="7">
        <f>IF(N547="",AVERAGE($N:$N),N547)</f>
        <v>83</v>
      </c>
      <c r="AC547" s="7">
        <f t="shared" si="60"/>
        <v>2023</v>
      </c>
      <c r="AD547" s="7">
        <f t="shared" si="61"/>
        <v>1</v>
      </c>
      <c r="AE547" s="7">
        <f>COUNTIF(A:A,A547)</f>
        <v>1</v>
      </c>
      <c r="AF547" s="7" t="str">
        <f t="shared" si="62"/>
        <v>No</v>
      </c>
    </row>
    <row r="548" spans="1:32">
      <c r="A548" t="s">
        <v>1834</v>
      </c>
      <c r="B548">
        <v>48982422</v>
      </c>
      <c r="C548" t="s">
        <v>220</v>
      </c>
      <c r="D548" t="s">
        <v>1835</v>
      </c>
      <c r="E548" t="s">
        <v>20</v>
      </c>
      <c r="F548" t="s">
        <v>34</v>
      </c>
      <c r="G548" t="s">
        <v>21</v>
      </c>
      <c r="I548" t="s">
        <v>3376</v>
      </c>
      <c r="J548">
        <v>3700.14</v>
      </c>
      <c r="K548" t="s">
        <v>57</v>
      </c>
      <c r="L548" t="s">
        <v>81</v>
      </c>
      <c r="M548" s="1">
        <v>44808.709027777775</v>
      </c>
      <c r="N548">
        <v>27</v>
      </c>
      <c r="O548" t="s">
        <v>55</v>
      </c>
      <c r="P548" t="s">
        <v>55</v>
      </c>
      <c r="Q548" t="s">
        <v>1836</v>
      </c>
      <c r="R548">
        <f t="shared" si="56"/>
        <v>48982422</v>
      </c>
      <c r="S548" t="str" cm="1">
        <f t="array" ref="S548">IF(C548="",IFERROR(INDEX($C$2:$C$1166,MATCH(MAX(COUNTIF($C$2:$C$1166,$C$2:$C$1166)),COUNTIF($C$2:$C$1166,$C$2:$C$1166),0)),"Unknown"),C548)</f>
        <v>John Volkov</v>
      </c>
      <c r="T548" s="4" t="str" cm="1">
        <f t="array" ref="T548">IF(D548="",IFERROR(INDEX($D$2:$D$1000,MATCH(MAX(COUNTIF($D$2:$D$1166,$D$2:$D$1166)),COUNTIF($D$2:$D$1166,$D$2:$D$1166),0)),"Unknown"),D548)</f>
        <v xml:space="preserve"> elizabeth velez   </v>
      </c>
      <c r="U548" t="str">
        <f t="shared" si="57"/>
        <v>CAD</v>
      </c>
      <c r="V548" s="7" t="str">
        <f t="shared" si="57"/>
        <v>GBP</v>
      </c>
      <c r="W548" s="7" t="str">
        <f t="shared" si="58"/>
        <v>UK</v>
      </c>
      <c r="X548" s="7" t="str">
        <f t="shared" si="58"/>
        <v>UK</v>
      </c>
      <c r="Y548" s="7" t="str" cm="1">
        <f t="array" ref="Y548">IF(H548="",IFERROR(INDEX($H$2:$H$1166,MATCH(MAX(COUNTIF($H$2:$H$1166,$H$2:$H$1166)),COUNTIF($H$2:$H$1166,$H$2:$H$1166),0)),"Unknown"),H548)</f>
        <v>Pending</v>
      </c>
      <c r="Z548" s="7" t="str">
        <f t="shared" si="59"/>
        <v>Internal</v>
      </c>
      <c r="AA548" s="7">
        <f>IF(J548="",AVERAGE($J:$J),J548)</f>
        <v>3700.14</v>
      </c>
      <c r="AB548" s="7">
        <f>IF(N548="",AVERAGE($N:$N),N548)</f>
        <v>27</v>
      </c>
      <c r="AC548" s="7">
        <f t="shared" si="60"/>
        <v>2022</v>
      </c>
      <c r="AD548" s="7">
        <f t="shared" si="61"/>
        <v>9</v>
      </c>
      <c r="AE548" s="7">
        <f>COUNTIF(A:A,A548)</f>
        <v>1</v>
      </c>
      <c r="AF548" s="7" t="str">
        <f t="shared" si="62"/>
        <v>No</v>
      </c>
    </row>
    <row r="549" spans="1:32">
      <c r="A549" t="s">
        <v>1837</v>
      </c>
      <c r="B549">
        <v>35433791</v>
      </c>
      <c r="C549" t="s">
        <v>196</v>
      </c>
      <c r="D549" t="s">
        <v>362</v>
      </c>
      <c r="E549" t="s">
        <v>20</v>
      </c>
      <c r="F549" t="s">
        <v>45</v>
      </c>
      <c r="G549" t="s">
        <v>22</v>
      </c>
      <c r="I549" t="s">
        <v>3377</v>
      </c>
      <c r="J549">
        <v>1738.02</v>
      </c>
      <c r="K549" t="s">
        <v>39</v>
      </c>
      <c r="L549" t="s">
        <v>28</v>
      </c>
      <c r="M549" s="1">
        <v>45336.063194444447</v>
      </c>
      <c r="N549">
        <v>73</v>
      </c>
      <c r="O549" t="s">
        <v>55</v>
      </c>
      <c r="P549" t="s">
        <v>54</v>
      </c>
      <c r="Q549" t="s">
        <v>1838</v>
      </c>
      <c r="R549">
        <f t="shared" si="56"/>
        <v>35433791</v>
      </c>
      <c r="S549" t="str" cm="1">
        <f t="array" ref="S549">IF(C549="",IFERROR(INDEX($C$2:$C$1166,MATCH(MAX(COUNTIF($C$2:$C$1166,$C$2:$C$1166)),COUNTIF($C$2:$C$1166,$C$2:$C$1166),0)),"Unknown"),C549)</f>
        <v>Amir Dubois</v>
      </c>
      <c r="T549" s="4" t="str" cm="1">
        <f t="array" ref="T549">IF(D549="",IFERROR(INDEX($D$2:$D$1000,MATCH(MAX(COUNTIF($D$2:$D$1166,$D$2:$D$1166)),COUNTIF($D$2:$D$1166,$D$2:$D$1166),0)),"Unknown"),D549)</f>
        <v>Sarah Rodriguez</v>
      </c>
      <c r="U549" t="str">
        <f t="shared" si="57"/>
        <v>ZAR</v>
      </c>
      <c r="V549" s="7" t="str">
        <f t="shared" si="57"/>
        <v>BRL</v>
      </c>
      <c r="W549" s="7" t="str">
        <f t="shared" si="58"/>
        <v>UK</v>
      </c>
      <c r="X549" s="7" t="str">
        <f t="shared" si="58"/>
        <v>India</v>
      </c>
      <c r="Y549" s="7" t="str" cm="1">
        <f t="array" ref="Y549">IF(H549="",IFERROR(INDEX($H$2:$H$1166,MATCH(MAX(COUNTIF($H$2:$H$1166,$H$2:$H$1166)),COUNTIF($H$2:$H$1166,$H$2:$H$1166),0)),"Unknown"),H549)</f>
        <v>Pending</v>
      </c>
      <c r="Z549" s="7" t="str">
        <f t="shared" si="59"/>
        <v>Inter-Transaction</v>
      </c>
      <c r="AA549" s="7">
        <f>IF(J549="",AVERAGE($J:$J),J549)</f>
        <v>1738.02</v>
      </c>
      <c r="AB549" s="7">
        <f>IF(N549="",AVERAGE($N:$N),N549)</f>
        <v>73</v>
      </c>
      <c r="AC549" s="7">
        <f t="shared" si="60"/>
        <v>2024</v>
      </c>
      <c r="AD549" s="7">
        <f t="shared" si="61"/>
        <v>2</v>
      </c>
      <c r="AE549" s="7">
        <f>COUNTIF(A:A,A549)</f>
        <v>1</v>
      </c>
      <c r="AF549" s="7" t="str">
        <f t="shared" si="62"/>
        <v>No</v>
      </c>
    </row>
    <row r="550" spans="1:32">
      <c r="A550" t="s">
        <v>1839</v>
      </c>
      <c r="C550" t="s">
        <v>293</v>
      </c>
      <c r="D550" t="s">
        <v>343</v>
      </c>
      <c r="E550" t="s">
        <v>20</v>
      </c>
      <c r="F550" t="s">
        <v>35</v>
      </c>
      <c r="G550" t="s">
        <v>92</v>
      </c>
      <c r="H550" t="s">
        <v>74</v>
      </c>
      <c r="I550" t="s">
        <v>3376</v>
      </c>
      <c r="J550">
        <v>14933.42</v>
      </c>
      <c r="K550" t="s">
        <v>39</v>
      </c>
      <c r="L550" t="s">
        <v>81</v>
      </c>
      <c r="M550" s="1">
        <v>44957.385416666664</v>
      </c>
      <c r="N550">
        <v>47</v>
      </c>
      <c r="O550" t="s">
        <v>93</v>
      </c>
      <c r="P550" t="s">
        <v>36</v>
      </c>
      <c r="Q550" t="s">
        <v>1840</v>
      </c>
      <c r="R550">
        <f t="shared" si="56"/>
        <v>0</v>
      </c>
      <c r="S550" t="str" cm="1">
        <f t="array" ref="S550">IF(C550="",IFERROR(INDEX($C$2:$C$1166,MATCH(MAX(COUNTIF($C$2:$C$1166,$C$2:$C$1166)),COUNTIF($C$2:$C$1166,$C$2:$C$1166),0)),"Unknown"),C550)</f>
        <v>Barbara Malik</v>
      </c>
      <c r="T550" s="4" t="str" cm="1">
        <f t="array" ref="T550">IF(D550="",IFERROR(INDEX($D$2:$D$1000,MATCH(MAX(COUNTIF($D$2:$D$1166,$D$2:$D$1166)),COUNTIF($D$2:$D$1166,$D$2:$D$1166),0)),"Unknown"),D550)</f>
        <v>Christopher Rodriguez</v>
      </c>
      <c r="U550" t="str">
        <f t="shared" si="57"/>
        <v>EUR</v>
      </c>
      <c r="V550" s="7" t="str">
        <f t="shared" si="57"/>
        <v>AUD</v>
      </c>
      <c r="W550" s="7" t="str">
        <f t="shared" si="58"/>
        <v>USA</v>
      </c>
      <c r="X550" s="7" t="str">
        <f t="shared" si="58"/>
        <v>Germany</v>
      </c>
      <c r="Y550" s="7" t="str" cm="1">
        <f t="array" ref="Y550">IF(H550="",IFERROR(INDEX($H$2:$H$1166,MATCH(MAX(COUNTIF($H$2:$H$1166,$H$2:$H$1166)),COUNTIF($H$2:$H$1166,$H$2:$H$1166),0)),"Unknown"),H550)</f>
        <v>Non-KYC</v>
      </c>
      <c r="Z550" s="7" t="str">
        <f t="shared" si="59"/>
        <v>Internal</v>
      </c>
      <c r="AA550" s="7">
        <f>IF(J550="",AVERAGE($J:$J),J550)</f>
        <v>14933.42</v>
      </c>
      <c r="AB550" s="7">
        <f>IF(N550="",AVERAGE($N:$N),N550)</f>
        <v>47</v>
      </c>
      <c r="AC550" s="7">
        <f t="shared" si="60"/>
        <v>2023</v>
      </c>
      <c r="AD550" s="7">
        <f t="shared" si="61"/>
        <v>1</v>
      </c>
      <c r="AE550" s="7">
        <f>COUNTIF(A:A,A550)</f>
        <v>1</v>
      </c>
      <c r="AF550" s="7" t="str">
        <f t="shared" si="62"/>
        <v>No</v>
      </c>
    </row>
    <row r="551" spans="1:32">
      <c r="A551" t="s">
        <v>1841</v>
      </c>
      <c r="B551">
        <v>59781610</v>
      </c>
      <c r="C551" t="s">
        <v>1578</v>
      </c>
      <c r="D551" t="s">
        <v>708</v>
      </c>
      <c r="E551" t="s">
        <v>20</v>
      </c>
      <c r="F551" t="s">
        <v>80</v>
      </c>
      <c r="G551" t="s">
        <v>45</v>
      </c>
      <c r="H551" t="s">
        <v>38</v>
      </c>
      <c r="I551" t="s">
        <v>3377</v>
      </c>
      <c r="J551">
        <v>14229.36</v>
      </c>
      <c r="K551" t="s">
        <v>57</v>
      </c>
      <c r="L551" t="s">
        <v>75</v>
      </c>
      <c r="M551" s="1">
        <v>44127.458333333336</v>
      </c>
      <c r="N551">
        <v>22</v>
      </c>
      <c r="O551" t="s">
        <v>24</v>
      </c>
      <c r="P551" t="s">
        <v>62</v>
      </c>
      <c r="Q551" t="s">
        <v>1842</v>
      </c>
      <c r="R551">
        <f t="shared" si="56"/>
        <v>59781610</v>
      </c>
      <c r="S551" t="str" cm="1">
        <f t="array" ref="S551">IF(C551="",IFERROR(INDEX($C$2:$C$1166,MATCH(MAX(COUNTIF($C$2:$C$1166,$C$2:$C$1166)),COUNTIF($C$2:$C$1166,$C$2:$C$1166),0)),"Unknown"),C551)</f>
        <v>Thomas Al-Sayed</v>
      </c>
      <c r="T551" s="4" t="str" cm="1">
        <f t="array" ref="T551">IF(D551="",IFERROR(INDEX($D$2:$D$1000,MATCH(MAX(COUNTIF($D$2:$D$1166,$D$2:$D$1166)),COUNTIF($D$2:$D$1166,$D$2:$D$1166),0)),"Unknown"),D551)</f>
        <v>Michael Anderson</v>
      </c>
      <c r="U551" t="str">
        <f t="shared" si="57"/>
        <v>USD</v>
      </c>
      <c r="V551" s="7" t="str">
        <f t="shared" si="57"/>
        <v>ZAR</v>
      </c>
      <c r="W551" s="7" t="str">
        <f t="shared" si="58"/>
        <v>Brazil</v>
      </c>
      <c r="X551" s="7" t="str">
        <f t="shared" si="58"/>
        <v>Australia</v>
      </c>
      <c r="Y551" s="7" t="str" cm="1">
        <f t="array" ref="Y551">IF(H551="",IFERROR(INDEX($H$2:$H$1166,MATCH(MAX(COUNTIF($H$2:$H$1166,$H$2:$H$1166)),COUNTIF($H$2:$H$1166,$H$2:$H$1166),0)),"Unknown"),H551)</f>
        <v>Pending</v>
      </c>
      <c r="Z551" s="7" t="str">
        <f t="shared" si="59"/>
        <v>Inter-Transaction</v>
      </c>
      <c r="AA551" s="7">
        <f>IF(J551="",AVERAGE($J:$J),J551)</f>
        <v>14229.36</v>
      </c>
      <c r="AB551" s="7">
        <f>IF(N551="",AVERAGE($N:$N),N551)</f>
        <v>22</v>
      </c>
      <c r="AC551" s="7">
        <f t="shared" si="60"/>
        <v>2020</v>
      </c>
      <c r="AD551" s="7">
        <f t="shared" si="61"/>
        <v>10</v>
      </c>
      <c r="AE551" s="7">
        <f>COUNTIF(A:A,A551)</f>
        <v>1</v>
      </c>
      <c r="AF551" s="7" t="str">
        <f t="shared" si="62"/>
        <v>No</v>
      </c>
    </row>
    <row r="552" spans="1:32">
      <c r="A552" t="s">
        <v>1843</v>
      </c>
      <c r="B552">
        <v>34691117</v>
      </c>
      <c r="C552" t="s">
        <v>184</v>
      </c>
      <c r="D552" t="s">
        <v>1844</v>
      </c>
      <c r="E552">
        <v>1</v>
      </c>
      <c r="F552" t="s">
        <v>112</v>
      </c>
      <c r="G552" t="s">
        <v>44</v>
      </c>
      <c r="H552" t="s">
        <v>103</v>
      </c>
      <c r="I552" t="s">
        <v>3377</v>
      </c>
      <c r="J552">
        <v>1679.37</v>
      </c>
      <c r="K552" t="s">
        <v>86</v>
      </c>
      <c r="L552" t="s">
        <v>81</v>
      </c>
      <c r="M552" s="1">
        <v>46056.838194444441</v>
      </c>
      <c r="N552">
        <v>50</v>
      </c>
      <c r="O552" t="s">
        <v>23</v>
      </c>
      <c r="P552" t="s">
        <v>127</v>
      </c>
      <c r="Q552" t="s">
        <v>1845</v>
      </c>
      <c r="R552">
        <f t="shared" si="56"/>
        <v>34691117</v>
      </c>
      <c r="S552" t="str" cm="1">
        <f t="array" ref="S552">IF(C552="",IFERROR(INDEX($C$2:$C$1166,MATCH(MAX(COUNTIF($C$2:$C$1166,$C$2:$C$1166)),COUNTIF($C$2:$C$1166,$C$2:$C$1166),0)),"Unknown"),C552)</f>
        <v>Sanjay Miller</v>
      </c>
      <c r="T552" s="4" t="str" cm="1">
        <f t="array" ref="T552">IF(D552="",IFERROR(INDEX($D$2:$D$1000,MATCH(MAX(COUNTIF($D$2:$D$1166,$D$2:$D$1166)),COUNTIF($D$2:$D$1166,$D$2:$D$1166),0)),"Unknown"),D552)</f>
        <v>Richard Velez</v>
      </c>
      <c r="U552" t="str">
        <f t="shared" si="57"/>
        <v>usd</v>
      </c>
      <c r="V552" s="7" t="str">
        <f t="shared" si="57"/>
        <v>SGD</v>
      </c>
      <c r="W552" s="7" t="str">
        <f t="shared" si="58"/>
        <v>France</v>
      </c>
      <c r="X552" s="7" t="str">
        <f t="shared" si="58"/>
        <v>Canada</v>
      </c>
      <c r="Y552" s="7" t="str" cm="1">
        <f t="array" ref="Y552">IF(H552="",IFERROR(INDEX($H$2:$H$1166,MATCH(MAX(COUNTIF($H$2:$H$1166,$H$2:$H$1166)),COUNTIF($H$2:$H$1166,$H$2:$H$1166),0)),"Unknown"),H552)</f>
        <v>Verified</v>
      </c>
      <c r="Z552" s="7" t="str">
        <f t="shared" si="59"/>
        <v>Inter-Transaction</v>
      </c>
      <c r="AA552" s="7">
        <f>IF(J552="",AVERAGE($J:$J),J552)</f>
        <v>1679.37</v>
      </c>
      <c r="AB552" s="7">
        <f>IF(N552="",AVERAGE($N:$N),N552)</f>
        <v>50</v>
      </c>
      <c r="AC552" s="7">
        <f t="shared" si="60"/>
        <v>2026</v>
      </c>
      <c r="AD552" s="7">
        <f t="shared" si="61"/>
        <v>2</v>
      </c>
      <c r="AE552" s="7">
        <f>COUNTIF(A:A,A552)</f>
        <v>1</v>
      </c>
      <c r="AF552" s="7" t="str">
        <f t="shared" si="62"/>
        <v>Yes</v>
      </c>
    </row>
    <row r="553" spans="1:32">
      <c r="A553" t="s">
        <v>1846</v>
      </c>
      <c r="B553">
        <v>61165595</v>
      </c>
      <c r="C553" t="s">
        <v>224</v>
      </c>
      <c r="D553" t="s">
        <v>1847</v>
      </c>
      <c r="E553" t="s">
        <v>20</v>
      </c>
      <c r="F553" t="s">
        <v>116</v>
      </c>
      <c r="G553" t="s">
        <v>99</v>
      </c>
      <c r="H553" t="s">
        <v>56</v>
      </c>
      <c r="I553" t="s">
        <v>3376</v>
      </c>
      <c r="J553">
        <v>9675.4</v>
      </c>
      <c r="K553" t="s">
        <v>57</v>
      </c>
      <c r="L553" t="s">
        <v>81</v>
      </c>
      <c r="M553" s="1">
        <v>46193.65902777778</v>
      </c>
      <c r="N553">
        <v>82</v>
      </c>
      <c r="O553" t="s">
        <v>68</v>
      </c>
      <c r="P553" t="s">
        <v>127</v>
      </c>
      <c r="Q553" t="s">
        <v>1848</v>
      </c>
      <c r="R553">
        <f t="shared" si="56"/>
        <v>61165595</v>
      </c>
      <c r="S553" t="str" cm="1">
        <f t="array" ref="S553">IF(C553="",IFERROR(INDEX($C$2:$C$1166,MATCH(MAX(COUNTIF($C$2:$C$1166,$C$2:$C$1166)),COUNTIF($C$2:$C$1166,$C$2:$C$1166),0)),"Unknown"),C553)</f>
        <v>John Jackson</v>
      </c>
      <c r="T553" s="4" t="str" cm="1">
        <f t="array" ref="T553">IF(D553="",IFERROR(INDEX($D$2:$D$1000,MATCH(MAX(COUNTIF($D$2:$D$1166,$D$2:$D$1166)),COUNTIF($D$2:$D$1166,$D$2:$D$1166),0)),"Unknown"),D553)</f>
        <v xml:space="preserve"> mary khan   </v>
      </c>
      <c r="U553" t="str">
        <f t="shared" si="57"/>
        <v>CHF</v>
      </c>
      <c r="V553" s="7" t="str">
        <f t="shared" si="57"/>
        <v>eur</v>
      </c>
      <c r="W553" s="7" t="str">
        <f t="shared" si="58"/>
        <v>UAE</v>
      </c>
      <c r="X553" s="7" t="str">
        <f t="shared" si="58"/>
        <v>Canada</v>
      </c>
      <c r="Y553" s="7" t="str" cm="1">
        <f t="array" ref="Y553">IF(H553="",IFERROR(INDEX($H$2:$H$1166,MATCH(MAX(COUNTIF($H$2:$H$1166,$H$2:$H$1166)),COUNTIF($H$2:$H$1166,$H$2:$H$1166),0)),"Unknown"),H553)</f>
        <v>Unverified</v>
      </c>
      <c r="Z553" s="7" t="str">
        <f t="shared" si="59"/>
        <v>Internal</v>
      </c>
      <c r="AA553" s="7">
        <f>IF(J553="",AVERAGE($J:$J),J553)</f>
        <v>9675.4</v>
      </c>
      <c r="AB553" s="7">
        <f>IF(N553="",AVERAGE($N:$N),N553)</f>
        <v>82</v>
      </c>
      <c r="AC553" s="7">
        <f t="shared" si="60"/>
        <v>2026</v>
      </c>
      <c r="AD553" s="7">
        <f t="shared" si="61"/>
        <v>6</v>
      </c>
      <c r="AE553" s="7">
        <f>COUNTIF(A:A,A553)</f>
        <v>1</v>
      </c>
      <c r="AF553" s="7" t="str">
        <f t="shared" si="62"/>
        <v>No</v>
      </c>
    </row>
    <row r="554" spans="1:32">
      <c r="A554" t="s">
        <v>1849</v>
      </c>
      <c r="B554">
        <v>30553823</v>
      </c>
      <c r="C554" t="s">
        <v>1850</v>
      </c>
      <c r="D554" t="s">
        <v>1851</v>
      </c>
      <c r="E554" t="s">
        <v>20</v>
      </c>
      <c r="F554" t="s">
        <v>53</v>
      </c>
      <c r="G554" t="s">
        <v>45</v>
      </c>
      <c r="I554" t="s">
        <v>3377</v>
      </c>
      <c r="J554">
        <v>6481.73</v>
      </c>
      <c r="K554" t="s">
        <v>57</v>
      </c>
      <c r="L554" t="s">
        <v>48</v>
      </c>
      <c r="M554" s="1">
        <v>44893.509722222225</v>
      </c>
      <c r="N554">
        <v>35</v>
      </c>
      <c r="O554" t="s">
        <v>62</v>
      </c>
      <c r="P554" t="s">
        <v>23</v>
      </c>
      <c r="Q554" t="s">
        <v>1852</v>
      </c>
      <c r="R554">
        <f t="shared" si="56"/>
        <v>30553823</v>
      </c>
      <c r="S554" t="str" cm="1">
        <f t="array" ref="S554">IF(C554="",IFERROR(INDEX($C$2:$C$1166,MATCH(MAX(COUNTIF($C$2:$C$1166,$C$2:$C$1166)),COUNTIF($C$2:$C$1166,$C$2:$C$1166),0)),"Unknown"),C554)</f>
        <v>Thomas Moore</v>
      </c>
      <c r="T554" s="4" t="str" cm="1">
        <f t="array" ref="T554">IF(D554="",IFERROR(INDEX($D$2:$D$1000,MATCH(MAX(COUNTIF($D$2:$D$1166,$D$2:$D$1166)),COUNTIF($D$2:$D$1166,$D$2:$D$1166),0)),"Unknown"),D554)</f>
        <v>Carlos Lopez</v>
      </c>
      <c r="U554" t="str">
        <f t="shared" si="57"/>
        <v>AED</v>
      </c>
      <c r="V554" s="7" t="str">
        <f t="shared" si="57"/>
        <v>ZAR</v>
      </c>
      <c r="W554" s="7" t="str">
        <f t="shared" si="58"/>
        <v>Australia</v>
      </c>
      <c r="X554" s="7" t="str">
        <f t="shared" si="58"/>
        <v>France</v>
      </c>
      <c r="Y554" s="7" t="str" cm="1">
        <f t="array" ref="Y554">IF(H554="",IFERROR(INDEX($H$2:$H$1166,MATCH(MAX(COUNTIF($H$2:$H$1166,$H$2:$H$1166)),COUNTIF($H$2:$H$1166,$H$2:$H$1166),0)),"Unknown"),H554)</f>
        <v>Pending</v>
      </c>
      <c r="Z554" s="7" t="str">
        <f t="shared" si="59"/>
        <v>Inter-Transaction</v>
      </c>
      <c r="AA554" s="7">
        <f>IF(J554="",AVERAGE($J:$J),J554)</f>
        <v>6481.73</v>
      </c>
      <c r="AB554" s="7">
        <f>IF(N554="",AVERAGE($N:$N),N554)</f>
        <v>35</v>
      </c>
      <c r="AC554" s="7">
        <f t="shared" si="60"/>
        <v>2022</v>
      </c>
      <c r="AD554" s="7">
        <f t="shared" si="61"/>
        <v>11</v>
      </c>
      <c r="AE554" s="7">
        <f>COUNTIF(A:A,A554)</f>
        <v>1</v>
      </c>
      <c r="AF554" s="7" t="str">
        <f t="shared" si="62"/>
        <v>No</v>
      </c>
    </row>
    <row r="555" spans="1:32">
      <c r="A555" t="s">
        <v>1853</v>
      </c>
      <c r="B555">
        <v>64464528</v>
      </c>
      <c r="C555" t="s">
        <v>1462</v>
      </c>
      <c r="D555" t="s">
        <v>861</v>
      </c>
      <c r="E555" t="s">
        <v>20</v>
      </c>
      <c r="F555" t="s">
        <v>44</v>
      </c>
      <c r="G555" t="s">
        <v>92</v>
      </c>
      <c r="H555" t="s">
        <v>74</v>
      </c>
      <c r="I555" t="s">
        <v>3371</v>
      </c>
      <c r="J555">
        <v>10691.72</v>
      </c>
      <c r="K555" t="s">
        <v>27</v>
      </c>
      <c r="L555" t="s">
        <v>48</v>
      </c>
      <c r="M555" s="1">
        <v>44089.863194444442</v>
      </c>
      <c r="N555">
        <v>66</v>
      </c>
      <c r="O555" t="s">
        <v>23</v>
      </c>
      <c r="P555" t="s">
        <v>55</v>
      </c>
      <c r="Q555" t="s">
        <v>1854</v>
      </c>
      <c r="R555">
        <f t="shared" si="56"/>
        <v>64464528</v>
      </c>
      <c r="S555" t="str" cm="1">
        <f t="array" ref="S555">IF(C555="",IFERROR(INDEX($C$2:$C$1166,MATCH(MAX(COUNTIF($C$2:$C$1166,$C$2:$C$1166)),COUNTIF($C$2:$C$1166,$C$2:$C$1166),0)),"Unknown"),C555)</f>
        <v>Jessica Volkov</v>
      </c>
      <c r="T555" s="4" t="str" cm="1">
        <f t="array" ref="T555">IF(D555="",IFERROR(INDEX($D$2:$D$1000,MATCH(MAX(COUNTIF($D$2:$D$1166,$D$2:$D$1166)),COUNTIF($D$2:$D$1166,$D$2:$D$1166),0)),"Unknown"),D555)</f>
        <v>Jessica Anderson</v>
      </c>
      <c r="U555" t="str">
        <f t="shared" si="57"/>
        <v>SGD</v>
      </c>
      <c r="V555" s="7" t="str">
        <f t="shared" si="57"/>
        <v>AUD</v>
      </c>
      <c r="W555" s="7" t="str">
        <f t="shared" si="58"/>
        <v>France</v>
      </c>
      <c r="X555" s="7" t="str">
        <f t="shared" si="58"/>
        <v>UK</v>
      </c>
      <c r="Y555" s="7" t="str" cm="1">
        <f t="array" ref="Y555">IF(H555="",IFERROR(INDEX($H$2:$H$1166,MATCH(MAX(COUNTIF($H$2:$H$1166,$H$2:$H$1166)),COUNTIF($H$2:$H$1166,$H$2:$H$1166),0)),"Unknown"),H555)</f>
        <v>Non-KYC</v>
      </c>
      <c r="Z555" s="7" t="str">
        <f t="shared" si="59"/>
        <v>Outer-Transaction</v>
      </c>
      <c r="AA555" s="7">
        <f>IF(J555="",AVERAGE($J:$J),J555)</f>
        <v>10691.72</v>
      </c>
      <c r="AB555" s="7">
        <f>IF(N555="",AVERAGE($N:$N),N555)</f>
        <v>66</v>
      </c>
      <c r="AC555" s="7">
        <f t="shared" si="60"/>
        <v>2020</v>
      </c>
      <c r="AD555" s="7">
        <f t="shared" si="61"/>
        <v>9</v>
      </c>
      <c r="AE555" s="7">
        <f>COUNTIF(A:A,A555)</f>
        <v>1</v>
      </c>
      <c r="AF555" s="7" t="str">
        <f t="shared" si="62"/>
        <v>No</v>
      </c>
    </row>
    <row r="556" spans="1:32">
      <c r="A556" t="s">
        <v>1855</v>
      </c>
      <c r="B556">
        <v>82857235</v>
      </c>
      <c r="C556" t="s">
        <v>1079</v>
      </c>
      <c r="D556" t="s">
        <v>1160</v>
      </c>
      <c r="E556">
        <v>0</v>
      </c>
      <c r="F556" t="s">
        <v>1084</v>
      </c>
      <c r="G556" t="s">
        <v>92</v>
      </c>
      <c r="H556" t="s">
        <v>38</v>
      </c>
      <c r="I556" t="s">
        <v>3372</v>
      </c>
      <c r="J556">
        <v>2712.93</v>
      </c>
      <c r="K556" t="s">
        <v>39</v>
      </c>
      <c r="L556" t="s">
        <v>28</v>
      </c>
      <c r="M556" s="1">
        <v>45885.29791666667</v>
      </c>
      <c r="N556">
        <v>28</v>
      </c>
      <c r="O556" t="s">
        <v>62</v>
      </c>
      <c r="P556" t="s">
        <v>127</v>
      </c>
      <c r="Q556" t="s">
        <v>1856</v>
      </c>
      <c r="R556">
        <f t="shared" si="56"/>
        <v>82857235</v>
      </c>
      <c r="S556" t="str" cm="1">
        <f t="array" ref="S556">IF(C556="",IFERROR(INDEX($C$2:$C$1166,MATCH(MAX(COUNTIF($C$2:$C$1166,$C$2:$C$1166)),COUNTIF($C$2:$C$1166,$C$2:$C$1166),0)),"Unknown"),C556)</f>
        <v>Sanjay Anderson</v>
      </c>
      <c r="T556" s="4" t="str" cm="1">
        <f t="array" ref="T556">IF(D556="",IFERROR(INDEX($D$2:$D$1000,MATCH(MAX(COUNTIF($D$2:$D$1166,$D$2:$D$1166)),COUNTIF($D$2:$D$1166,$D$2:$D$1166),0)),"Unknown"),D556)</f>
        <v>Barbara Volkov</v>
      </c>
      <c r="U556" t="str">
        <f t="shared" si="57"/>
        <v>chf</v>
      </c>
      <c r="V556" s="7" t="str">
        <f t="shared" si="57"/>
        <v>AUD</v>
      </c>
      <c r="W556" s="7" t="str">
        <f t="shared" si="58"/>
        <v>Australia</v>
      </c>
      <c r="X556" s="7" t="str">
        <f t="shared" si="58"/>
        <v>Canada</v>
      </c>
      <c r="Y556" s="7" t="str" cm="1">
        <f t="array" ref="Y556">IF(H556="",IFERROR(INDEX($H$2:$H$1166,MATCH(MAX(COUNTIF($H$2:$H$1166,$H$2:$H$1166)),COUNTIF($H$2:$H$1166,$H$2:$H$1166),0)),"Unknown"),H556)</f>
        <v>Pending</v>
      </c>
      <c r="Z556" s="7" t="str">
        <f t="shared" si="59"/>
        <v>Outer-Transaction</v>
      </c>
      <c r="AA556" s="7">
        <f>IF(J556="",AVERAGE($J:$J),J556)</f>
        <v>2712.93</v>
      </c>
      <c r="AB556" s="7">
        <f>IF(N556="",AVERAGE($N:$N),N556)</f>
        <v>28</v>
      </c>
      <c r="AC556" s="7">
        <f t="shared" si="60"/>
        <v>2025</v>
      </c>
      <c r="AD556" s="7">
        <f t="shared" si="61"/>
        <v>8</v>
      </c>
      <c r="AE556" s="7">
        <f>COUNTIF(A:A,A556)</f>
        <v>1</v>
      </c>
      <c r="AF556" s="7" t="str">
        <f t="shared" si="62"/>
        <v>No</v>
      </c>
    </row>
    <row r="557" spans="1:32">
      <c r="A557" t="s">
        <v>1857</v>
      </c>
      <c r="B557">
        <v>36549575</v>
      </c>
      <c r="C557" t="s">
        <v>630</v>
      </c>
      <c r="D557" t="s">
        <v>1858</v>
      </c>
      <c r="E557" t="s">
        <v>20</v>
      </c>
      <c r="F557" t="s">
        <v>22</v>
      </c>
      <c r="G557" t="s">
        <v>21</v>
      </c>
      <c r="I557" t="s">
        <v>3377</v>
      </c>
      <c r="J557">
        <v>10146.08</v>
      </c>
      <c r="K557" t="s">
        <v>86</v>
      </c>
      <c r="L557" t="s">
        <v>28</v>
      </c>
      <c r="M557" s="1">
        <v>45927.544444444444</v>
      </c>
      <c r="N557">
        <v>43</v>
      </c>
      <c r="O557" t="s">
        <v>62</v>
      </c>
      <c r="P557" t="s">
        <v>23</v>
      </c>
      <c r="Q557" t="s">
        <v>1859</v>
      </c>
      <c r="R557">
        <f t="shared" si="56"/>
        <v>36549575</v>
      </c>
      <c r="S557" t="str" cm="1">
        <f t="array" ref="S557">IF(C557="",IFERROR(INDEX($C$2:$C$1166,MATCH(MAX(COUNTIF($C$2:$C$1166,$C$2:$C$1166)),COUNTIF($C$2:$C$1166,$C$2:$C$1166),0)),"Unknown"),C557)</f>
        <v>Michael Wilson</v>
      </c>
      <c r="T557" s="4" t="str" cm="1">
        <f t="array" ref="T557">IF(D557="",IFERROR(INDEX($D$2:$D$1000,MATCH(MAX(COUNTIF($D$2:$D$1166,$D$2:$D$1166)),COUNTIF($D$2:$D$1166,$D$2:$D$1166),0)),"Unknown"),D557)</f>
        <v>Richard Anderson</v>
      </c>
      <c r="U557" t="str">
        <f t="shared" si="57"/>
        <v>BRL</v>
      </c>
      <c r="V557" s="7" t="str">
        <f t="shared" si="57"/>
        <v>GBP</v>
      </c>
      <c r="W557" s="7" t="str">
        <f t="shared" si="58"/>
        <v>Australia</v>
      </c>
      <c r="X557" s="7" t="str">
        <f t="shared" si="58"/>
        <v>France</v>
      </c>
      <c r="Y557" s="7" t="str" cm="1">
        <f t="array" ref="Y557">IF(H557="",IFERROR(INDEX($H$2:$H$1166,MATCH(MAX(COUNTIF($H$2:$H$1166,$H$2:$H$1166)),COUNTIF($H$2:$H$1166,$H$2:$H$1166),0)),"Unknown"),H557)</f>
        <v>Pending</v>
      </c>
      <c r="Z557" s="7" t="str">
        <f t="shared" si="59"/>
        <v>Inter-Transaction</v>
      </c>
      <c r="AA557" s="7">
        <f>IF(J557="",AVERAGE($J:$J),J557)</f>
        <v>10146.08</v>
      </c>
      <c r="AB557" s="7">
        <f>IF(N557="",AVERAGE($N:$N),N557)</f>
        <v>43</v>
      </c>
      <c r="AC557" s="7">
        <f t="shared" si="60"/>
        <v>2025</v>
      </c>
      <c r="AD557" s="7">
        <f t="shared" si="61"/>
        <v>9</v>
      </c>
      <c r="AE557" s="7">
        <f>COUNTIF(A:A,A557)</f>
        <v>1</v>
      </c>
      <c r="AF557" s="7" t="str">
        <f t="shared" si="62"/>
        <v>No</v>
      </c>
    </row>
    <row r="558" spans="1:32">
      <c r="A558" t="s">
        <v>1860</v>
      </c>
      <c r="B558">
        <v>30213583</v>
      </c>
      <c r="C558" t="s">
        <v>1861</v>
      </c>
      <c r="D558" t="s">
        <v>72</v>
      </c>
      <c r="E558">
        <v>1</v>
      </c>
      <c r="F558" t="s">
        <v>34</v>
      </c>
      <c r="G558" t="s">
        <v>116</v>
      </c>
      <c r="H558" t="s">
        <v>38</v>
      </c>
      <c r="I558" t="s">
        <v>3371</v>
      </c>
      <c r="J558">
        <v>13513.25</v>
      </c>
      <c r="K558" t="s">
        <v>47</v>
      </c>
      <c r="L558" t="s">
        <v>48</v>
      </c>
      <c r="M558" s="1">
        <v>46039.720833333333</v>
      </c>
      <c r="N558">
        <v>80</v>
      </c>
      <c r="O558" t="s">
        <v>37</v>
      </c>
      <c r="P558" t="s">
        <v>93</v>
      </c>
      <c r="Q558" t="s">
        <v>1862</v>
      </c>
      <c r="R558">
        <f t="shared" si="56"/>
        <v>30213583</v>
      </c>
      <c r="S558" t="str" cm="1">
        <f t="array" ref="S558">IF(C558="",IFERROR(INDEX($C$2:$C$1166,MATCH(MAX(COUNTIF($C$2:$C$1166,$C$2:$C$1166)),COUNTIF($C$2:$C$1166,$C$2:$C$1166),0)),"Unknown"),C558)</f>
        <v>William Martinez</v>
      </c>
      <c r="T558" s="4" t="str" cm="1">
        <f t="array" ref="T558">IF(D558="",IFERROR(INDEX($D$2:$D$1000,MATCH(MAX(COUNTIF($D$2:$D$1166,$D$2:$D$1166)),COUNTIF($D$2:$D$1166,$D$2:$D$1166),0)),"Unknown"),D558)</f>
        <v>Amir Williams</v>
      </c>
      <c r="U558" t="str">
        <f t="shared" si="57"/>
        <v>CAD</v>
      </c>
      <c r="V558" s="7" t="str">
        <f t="shared" si="57"/>
        <v>CHF</v>
      </c>
      <c r="W558" s="7" t="str">
        <f t="shared" si="58"/>
        <v>South Africa</v>
      </c>
      <c r="X558" s="7" t="str">
        <f t="shared" si="58"/>
        <v>USA</v>
      </c>
      <c r="Y558" s="7" t="str" cm="1">
        <f t="array" ref="Y558">IF(H558="",IFERROR(INDEX($H$2:$H$1166,MATCH(MAX(COUNTIF($H$2:$H$1166,$H$2:$H$1166)),COUNTIF($H$2:$H$1166,$H$2:$H$1166),0)),"Unknown"),H558)</f>
        <v>Pending</v>
      </c>
      <c r="Z558" s="7" t="str">
        <f t="shared" si="59"/>
        <v>Outer-Transaction</v>
      </c>
      <c r="AA558" s="7">
        <f>IF(J558="",AVERAGE($J:$J),J558)</f>
        <v>13513.25</v>
      </c>
      <c r="AB558" s="7">
        <f>IF(N558="",AVERAGE($N:$N),N558)</f>
        <v>80</v>
      </c>
      <c r="AC558" s="7">
        <f t="shared" si="60"/>
        <v>2026</v>
      </c>
      <c r="AD558" s="7">
        <f t="shared" si="61"/>
        <v>1</v>
      </c>
      <c r="AE558" s="7">
        <f>COUNTIF(A:A,A558)</f>
        <v>1</v>
      </c>
      <c r="AF558" s="7" t="str">
        <f t="shared" si="62"/>
        <v>Yes</v>
      </c>
    </row>
    <row r="559" spans="1:32">
      <c r="A559" t="s">
        <v>1863</v>
      </c>
      <c r="B559">
        <v>43472531</v>
      </c>
      <c r="C559" t="s">
        <v>1864</v>
      </c>
      <c r="D559" t="s">
        <v>1865</v>
      </c>
      <c r="E559" t="s">
        <v>20</v>
      </c>
      <c r="F559" t="s">
        <v>80</v>
      </c>
      <c r="G559" t="s">
        <v>21</v>
      </c>
      <c r="H559" t="s">
        <v>103</v>
      </c>
      <c r="I559" t="s">
        <v>3372</v>
      </c>
      <c r="J559">
        <v>8777.52</v>
      </c>
      <c r="K559" t="s">
        <v>47</v>
      </c>
      <c r="L559" t="s">
        <v>81</v>
      </c>
      <c r="M559" s="1">
        <v>45723.609027777777</v>
      </c>
      <c r="N559">
        <v>76</v>
      </c>
      <c r="O559" t="s">
        <v>93</v>
      </c>
      <c r="P559" t="s">
        <v>36</v>
      </c>
      <c r="Q559" t="s">
        <v>1866</v>
      </c>
      <c r="R559">
        <f t="shared" si="56"/>
        <v>43472531</v>
      </c>
      <c r="S559" t="str" cm="1">
        <f t="array" ref="S559">IF(C559="",IFERROR(INDEX($C$2:$C$1166,MATCH(MAX(COUNTIF($C$2:$C$1166,$C$2:$C$1166)),COUNTIF($C$2:$C$1166,$C$2:$C$1166),0)),"Unknown"),C559)</f>
        <v>Patricia Velez</v>
      </c>
      <c r="T559" s="4" t="str" cm="1">
        <f t="array" ref="T559">IF(D559="",IFERROR(INDEX($D$2:$D$1000,MATCH(MAX(COUNTIF($D$2:$D$1166,$D$2:$D$1166)),COUNTIF($D$2:$D$1166,$D$2:$D$1166),0)),"Unknown"),D559)</f>
        <v>Michael Souza</v>
      </c>
      <c r="U559" t="str">
        <f t="shared" si="57"/>
        <v>USD</v>
      </c>
      <c r="V559" s="7" t="str">
        <f t="shared" si="57"/>
        <v>GBP</v>
      </c>
      <c r="W559" s="7" t="str">
        <f t="shared" si="58"/>
        <v>USA</v>
      </c>
      <c r="X559" s="7" t="str">
        <f t="shared" si="58"/>
        <v>Germany</v>
      </c>
      <c r="Y559" s="7" t="str" cm="1">
        <f t="array" ref="Y559">IF(H559="",IFERROR(INDEX($H$2:$H$1166,MATCH(MAX(COUNTIF($H$2:$H$1166,$H$2:$H$1166)),COUNTIF($H$2:$H$1166,$H$2:$H$1166),0)),"Unknown"),H559)</f>
        <v>Verified</v>
      </c>
      <c r="Z559" s="7" t="str">
        <f t="shared" si="59"/>
        <v>Outer-Transaction</v>
      </c>
      <c r="AA559" s="7">
        <f>IF(J559="",AVERAGE($J:$J),J559)</f>
        <v>8777.52</v>
      </c>
      <c r="AB559" s="7">
        <f>IF(N559="",AVERAGE($N:$N),N559)</f>
        <v>76</v>
      </c>
      <c r="AC559" s="7">
        <f t="shared" si="60"/>
        <v>2025</v>
      </c>
      <c r="AD559" s="7">
        <f t="shared" si="61"/>
        <v>3</v>
      </c>
      <c r="AE559" s="7">
        <f>COUNTIF(A:A,A559)</f>
        <v>1</v>
      </c>
      <c r="AF559" s="7" t="str">
        <f t="shared" si="62"/>
        <v>No</v>
      </c>
    </row>
    <row r="560" spans="1:32">
      <c r="A560" t="s">
        <v>1867</v>
      </c>
      <c r="B560">
        <v>50279349</v>
      </c>
      <c r="C560" t="s">
        <v>195</v>
      </c>
      <c r="D560" t="s">
        <v>150</v>
      </c>
      <c r="E560" t="s">
        <v>20</v>
      </c>
      <c r="F560" t="s">
        <v>45</v>
      </c>
      <c r="G560" t="s">
        <v>121</v>
      </c>
      <c r="H560" t="s">
        <v>38</v>
      </c>
      <c r="I560" t="s">
        <v>3372</v>
      </c>
      <c r="J560">
        <v>249.17</v>
      </c>
      <c r="K560" t="s">
        <v>27</v>
      </c>
      <c r="L560" t="s">
        <v>81</v>
      </c>
      <c r="M560" s="1">
        <v>44006.452777777777</v>
      </c>
      <c r="N560">
        <v>44</v>
      </c>
      <c r="O560" t="s">
        <v>23</v>
      </c>
      <c r="P560" t="s">
        <v>36</v>
      </c>
      <c r="Q560" t="s">
        <v>1868</v>
      </c>
      <c r="R560">
        <f t="shared" si="56"/>
        <v>50279349</v>
      </c>
      <c r="S560" t="str" cm="1">
        <f t="array" ref="S560">IF(C560="",IFERROR(INDEX($C$2:$C$1166,MATCH(MAX(COUNTIF($C$2:$C$1166,$C$2:$C$1166)),COUNTIF($C$2:$C$1166,$C$2:$C$1166),0)),"Unknown"),C560)</f>
        <v>Marta Gonzalez</v>
      </c>
      <c r="T560" s="4" t="str" cm="1">
        <f t="array" ref="T560">IF(D560="",IFERROR(INDEX($D$2:$D$1000,MATCH(MAX(COUNTIF($D$2:$D$1166,$D$2:$D$1166)),COUNTIF($D$2:$D$1166,$D$2:$D$1166),0)),"Unknown"),D560)</f>
        <v>Priya Jones</v>
      </c>
      <c r="U560" t="str">
        <f t="shared" si="57"/>
        <v>ZAR</v>
      </c>
      <c r="V560" s="7" t="str">
        <f t="shared" si="57"/>
        <v>INR</v>
      </c>
      <c r="W560" s="7" t="str">
        <f t="shared" si="58"/>
        <v>France</v>
      </c>
      <c r="X560" s="7" t="str">
        <f t="shared" si="58"/>
        <v>Germany</v>
      </c>
      <c r="Y560" s="7" t="str" cm="1">
        <f t="array" ref="Y560">IF(H560="",IFERROR(INDEX($H$2:$H$1166,MATCH(MAX(COUNTIF($H$2:$H$1166,$H$2:$H$1166)),COUNTIF($H$2:$H$1166,$H$2:$H$1166),0)),"Unknown"),H560)</f>
        <v>Pending</v>
      </c>
      <c r="Z560" s="7" t="str">
        <f t="shared" si="59"/>
        <v>Outer-Transaction</v>
      </c>
      <c r="AA560" s="7">
        <f>IF(J560="",AVERAGE($J:$J),J560)</f>
        <v>249.17</v>
      </c>
      <c r="AB560" s="7">
        <f>IF(N560="",AVERAGE($N:$N),N560)</f>
        <v>44</v>
      </c>
      <c r="AC560" s="7">
        <f t="shared" si="60"/>
        <v>2020</v>
      </c>
      <c r="AD560" s="7">
        <f t="shared" si="61"/>
        <v>6</v>
      </c>
      <c r="AE560" s="7">
        <f>COUNTIF(A:A,A560)</f>
        <v>1</v>
      </c>
      <c r="AF560" s="7" t="str">
        <f t="shared" si="62"/>
        <v>No</v>
      </c>
    </row>
    <row r="561" spans="1:32">
      <c r="A561" t="s">
        <v>1869</v>
      </c>
      <c r="B561">
        <v>32398512</v>
      </c>
      <c r="C561" t="s">
        <v>943</v>
      </c>
      <c r="D561" t="s">
        <v>435</v>
      </c>
      <c r="E561" t="s">
        <v>3373</v>
      </c>
      <c r="F561" t="s">
        <v>44</v>
      </c>
      <c r="G561" t="s">
        <v>92</v>
      </c>
      <c r="H561" t="s">
        <v>103</v>
      </c>
      <c r="I561" t="s">
        <v>3376</v>
      </c>
      <c r="J561">
        <v>480.29</v>
      </c>
      <c r="K561" t="s">
        <v>27</v>
      </c>
      <c r="L561" t="s">
        <v>28</v>
      </c>
      <c r="M561" s="1">
        <v>44831.429861111108</v>
      </c>
      <c r="N561">
        <v>66</v>
      </c>
      <c r="O561" t="s">
        <v>23</v>
      </c>
      <c r="P561" t="s">
        <v>62</v>
      </c>
      <c r="Q561" t="s">
        <v>1870</v>
      </c>
      <c r="R561">
        <f t="shared" si="56"/>
        <v>32398512</v>
      </c>
      <c r="S561" t="str" cm="1">
        <f t="array" ref="S561">IF(C561="",IFERROR(INDEX($C$2:$C$1166,MATCH(MAX(COUNTIF($C$2:$C$1166,$C$2:$C$1166)),COUNTIF($C$2:$C$1166,$C$2:$C$1166),0)),"Unknown"),C561)</f>
        <v>Mary Nair</v>
      </c>
      <c r="T561" s="4" t="str" cm="1">
        <f t="array" ref="T561">IF(D561="",IFERROR(INDEX($D$2:$D$1000,MATCH(MAX(COUNTIF($D$2:$D$1166,$D$2:$D$1166)),COUNTIF($D$2:$D$1166,$D$2:$D$1166),0)),"Unknown"),D561)</f>
        <v>Elizabeth Rostova</v>
      </c>
      <c r="U561" t="str">
        <f t="shared" si="57"/>
        <v>SGD</v>
      </c>
      <c r="V561" s="7" t="str">
        <f t="shared" si="57"/>
        <v>AUD</v>
      </c>
      <c r="W561" s="7" t="str">
        <f t="shared" si="58"/>
        <v>France</v>
      </c>
      <c r="X561" s="7" t="str">
        <f t="shared" si="58"/>
        <v>Australia</v>
      </c>
      <c r="Y561" s="7" t="str" cm="1">
        <f t="array" ref="Y561">IF(H561="",IFERROR(INDEX($H$2:$H$1166,MATCH(MAX(COUNTIF($H$2:$H$1166,$H$2:$H$1166)),COUNTIF($H$2:$H$1166,$H$2:$H$1166),0)),"Unknown"),H561)</f>
        <v>Verified</v>
      </c>
      <c r="Z561" s="7" t="str">
        <f t="shared" si="59"/>
        <v>Internal</v>
      </c>
      <c r="AA561" s="7">
        <f>IF(J561="",AVERAGE($J:$J),J561)</f>
        <v>480.29</v>
      </c>
      <c r="AB561" s="7">
        <f>IF(N561="",AVERAGE($N:$N),N561)</f>
        <v>66</v>
      </c>
      <c r="AC561" s="7">
        <f t="shared" si="60"/>
        <v>2022</v>
      </c>
      <c r="AD561" s="7">
        <f t="shared" si="61"/>
        <v>9</v>
      </c>
      <c r="AE561" s="7">
        <f>COUNTIF(A:A,A561)</f>
        <v>1</v>
      </c>
      <c r="AF561" s="7" t="str">
        <f t="shared" si="62"/>
        <v>Yes</v>
      </c>
    </row>
    <row r="562" spans="1:32">
      <c r="A562" t="s">
        <v>1871</v>
      </c>
      <c r="B562">
        <v>59230243</v>
      </c>
      <c r="C562" t="s">
        <v>1872</v>
      </c>
      <c r="D562" t="s">
        <v>390</v>
      </c>
      <c r="E562" t="s">
        <v>20</v>
      </c>
      <c r="F562" t="s">
        <v>22</v>
      </c>
      <c r="G562" t="s">
        <v>34</v>
      </c>
      <c r="H562" t="s">
        <v>25</v>
      </c>
      <c r="I562" t="s">
        <v>3372</v>
      </c>
      <c r="J562">
        <v>13782.45</v>
      </c>
      <c r="K562" t="s">
        <v>86</v>
      </c>
      <c r="L562" t="s">
        <v>75</v>
      </c>
      <c r="M562" s="1">
        <v>45749.805555555555</v>
      </c>
      <c r="N562">
        <v>50</v>
      </c>
      <c r="O562" t="s">
        <v>37</v>
      </c>
      <c r="P562" t="s">
        <v>24</v>
      </c>
      <c r="Q562" t="s">
        <v>1873</v>
      </c>
      <c r="R562">
        <f t="shared" si="56"/>
        <v>59230243</v>
      </c>
      <c r="S562" t="str" cm="1">
        <f t="array" ref="S562">IF(C562="",IFERROR(INDEX($C$2:$C$1166,MATCH(MAX(COUNTIF($C$2:$C$1166,$C$2:$C$1166)),COUNTIF($C$2:$C$1166,$C$2:$C$1166),0)),"Unknown"),C562)</f>
        <v>Lucas Taylor</v>
      </c>
      <c r="T562" s="4" t="str" cm="1">
        <f t="array" ref="T562">IF(D562="",IFERROR(INDEX($D$2:$D$1000,MATCH(MAX(COUNTIF($D$2:$D$1166,$D$2:$D$1166)),COUNTIF($D$2:$D$1166,$D$2:$D$1166),0)),"Unknown"),D562)</f>
        <v>Zayn Silva</v>
      </c>
      <c r="U562" t="str">
        <f t="shared" si="57"/>
        <v>BRL</v>
      </c>
      <c r="V562" s="7" t="str">
        <f t="shared" si="57"/>
        <v>CAD</v>
      </c>
      <c r="W562" s="7" t="str">
        <f t="shared" si="58"/>
        <v>South Africa</v>
      </c>
      <c r="X562" s="7" t="str">
        <f t="shared" si="58"/>
        <v>Brazil</v>
      </c>
      <c r="Y562" s="7" t="str" cm="1">
        <f t="array" ref="Y562">IF(H562="",IFERROR(INDEX($H$2:$H$1166,MATCH(MAX(COUNTIF($H$2:$H$1166,$H$2:$H$1166)),COUNTIF($H$2:$H$1166,$H$2:$H$1166),0)),"Unknown"),H562)</f>
        <v>KYC</v>
      </c>
      <c r="Z562" s="7" t="str">
        <f t="shared" si="59"/>
        <v>Outer-Transaction</v>
      </c>
      <c r="AA562" s="7">
        <f>IF(J562="",AVERAGE($J:$J),J562)</f>
        <v>13782.45</v>
      </c>
      <c r="AB562" s="7">
        <f>IF(N562="",AVERAGE($N:$N),N562)</f>
        <v>50</v>
      </c>
      <c r="AC562" s="7">
        <f t="shared" si="60"/>
        <v>2025</v>
      </c>
      <c r="AD562" s="7">
        <f t="shared" si="61"/>
        <v>4</v>
      </c>
      <c r="AE562" s="7">
        <f>COUNTIF(A:A,A562)</f>
        <v>1</v>
      </c>
      <c r="AF562" s="7" t="str">
        <f t="shared" si="62"/>
        <v>No</v>
      </c>
    </row>
    <row r="563" spans="1:32">
      <c r="A563" t="s">
        <v>1874</v>
      </c>
      <c r="B563">
        <v>41802263</v>
      </c>
      <c r="C563" t="s">
        <v>1278</v>
      </c>
      <c r="D563" t="s">
        <v>1875</v>
      </c>
      <c r="E563" t="s">
        <v>20</v>
      </c>
      <c r="F563" t="s">
        <v>80</v>
      </c>
      <c r="H563" t="s">
        <v>56</v>
      </c>
      <c r="I563" t="s">
        <v>3374</v>
      </c>
      <c r="J563">
        <v>13102.29</v>
      </c>
      <c r="K563" t="s">
        <v>86</v>
      </c>
      <c r="L563" t="s">
        <v>28</v>
      </c>
      <c r="M563" s="1">
        <v>46333.74722222222</v>
      </c>
      <c r="N563">
        <v>18</v>
      </c>
      <c r="O563" t="s">
        <v>24</v>
      </c>
      <c r="P563" t="s">
        <v>127</v>
      </c>
      <c r="Q563" t="s">
        <v>1876</v>
      </c>
      <c r="R563">
        <f t="shared" si="56"/>
        <v>41802263</v>
      </c>
      <c r="S563" t="str" cm="1">
        <f t="array" ref="S563">IF(C563="",IFERROR(INDEX($C$2:$C$1166,MATCH(MAX(COUNTIF($C$2:$C$1166,$C$2:$C$1166)),COUNTIF($C$2:$C$1166,$C$2:$C$1166),0)),"Unknown"),C563)</f>
        <v>Jean-Pierre Williams</v>
      </c>
      <c r="T563" s="4" t="str" cm="1">
        <f t="array" ref="T563">IF(D563="",IFERROR(INDEX($D$2:$D$1000,MATCH(MAX(COUNTIF($D$2:$D$1166,$D$2:$D$1166)),COUNTIF($D$2:$D$1166,$D$2:$D$1166),0)),"Unknown"),D563)</f>
        <v>Zayn Williams</v>
      </c>
      <c r="U563" t="str">
        <f t="shared" si="57"/>
        <v>USD</v>
      </c>
      <c r="V563" s="7" t="str">
        <f t="shared" si="57"/>
        <v/>
      </c>
      <c r="W563" s="7" t="str">
        <f t="shared" si="58"/>
        <v>Brazil</v>
      </c>
      <c r="X563" s="7" t="str">
        <f t="shared" si="58"/>
        <v>Canada</v>
      </c>
      <c r="Y563" s="7" t="str" cm="1">
        <f t="array" ref="Y563">IF(H563="",IFERROR(INDEX($H$2:$H$1166,MATCH(MAX(COUNTIF($H$2:$H$1166,$H$2:$H$1166)),COUNTIF($H$2:$H$1166,$H$2:$H$1166),0)),"Unknown"),H563)</f>
        <v>Unverified</v>
      </c>
      <c r="Z563" s="7" t="str">
        <f t="shared" si="59"/>
        <v>External</v>
      </c>
      <c r="AA563" s="7">
        <f>IF(J563="",AVERAGE($J:$J),J563)</f>
        <v>13102.29</v>
      </c>
      <c r="AB563" s="7">
        <f>IF(N563="",AVERAGE($N:$N),N563)</f>
        <v>18</v>
      </c>
      <c r="AC563" s="7">
        <f t="shared" si="60"/>
        <v>2026</v>
      </c>
      <c r="AD563" s="7">
        <f t="shared" si="61"/>
        <v>11</v>
      </c>
      <c r="AE563" s="7">
        <f>COUNTIF(A:A,A563)</f>
        <v>1</v>
      </c>
      <c r="AF563" s="7" t="str">
        <f t="shared" si="62"/>
        <v>No</v>
      </c>
    </row>
    <row r="564" spans="1:32">
      <c r="A564" t="s">
        <v>1877</v>
      </c>
      <c r="C564" t="s">
        <v>1878</v>
      </c>
      <c r="D564" t="s">
        <v>331</v>
      </c>
      <c r="E564" t="s">
        <v>20</v>
      </c>
      <c r="F564" t="s">
        <v>45</v>
      </c>
      <c r="G564" t="s">
        <v>98</v>
      </c>
      <c r="H564" t="s">
        <v>56</v>
      </c>
      <c r="I564" t="s">
        <v>3378</v>
      </c>
      <c r="J564">
        <v>10976.16</v>
      </c>
      <c r="K564" t="s">
        <v>27</v>
      </c>
      <c r="L564" t="s">
        <v>28</v>
      </c>
      <c r="M564" s="1">
        <v>45498.714583333334</v>
      </c>
      <c r="N564">
        <v>38</v>
      </c>
      <c r="O564" t="s">
        <v>24</v>
      </c>
      <c r="P564" t="s">
        <v>93</v>
      </c>
      <c r="Q564" t="s">
        <v>1879</v>
      </c>
      <c r="R564">
        <f t="shared" si="56"/>
        <v>0</v>
      </c>
      <c r="S564" t="str" cm="1">
        <f t="array" ref="S564">IF(C564="",IFERROR(INDEX($C$2:$C$1166,MATCH(MAX(COUNTIF($C$2:$C$1166,$C$2:$C$1166)),COUNTIF($C$2:$C$1166,$C$2:$C$1166),0)),"Unknown"),C564)</f>
        <v>William Johnson</v>
      </c>
      <c r="T564" s="4" t="str" cm="1">
        <f t="array" ref="T564">IF(D564="",IFERROR(INDEX($D$2:$D$1000,MATCH(MAX(COUNTIF($D$2:$D$1166,$D$2:$D$1166)),COUNTIF($D$2:$D$1166,$D$2:$D$1166),0)),"Unknown"),D564)</f>
        <v>Elena Williams</v>
      </c>
      <c r="U564" t="str">
        <f t="shared" si="57"/>
        <v>ZAR</v>
      </c>
      <c r="V564" s="7" t="str">
        <f t="shared" si="57"/>
        <v>JPY</v>
      </c>
      <c r="W564" s="7" t="str">
        <f t="shared" si="58"/>
        <v>Brazil</v>
      </c>
      <c r="X564" s="7" t="str">
        <f t="shared" si="58"/>
        <v>USA</v>
      </c>
      <c r="Y564" s="7" t="str" cm="1">
        <f t="array" ref="Y564">IF(H564="",IFERROR(INDEX($H$2:$H$1166,MATCH(MAX(COUNTIF($H$2:$H$1166,$H$2:$H$1166)),COUNTIF($H$2:$H$1166,$H$2:$H$1166),0)),"Unknown"),H564)</f>
        <v>Unverified</v>
      </c>
      <c r="Z564" s="7" t="str">
        <f t="shared" si="59"/>
        <v>Inter-Transaction</v>
      </c>
      <c r="AA564" s="7">
        <f>IF(J564="",AVERAGE($J:$J),J564)</f>
        <v>10976.16</v>
      </c>
      <c r="AB564" s="7">
        <f>IF(N564="",AVERAGE($N:$N),N564)</f>
        <v>38</v>
      </c>
      <c r="AC564" s="7">
        <f t="shared" si="60"/>
        <v>2024</v>
      </c>
      <c r="AD564" s="7">
        <f t="shared" si="61"/>
        <v>7</v>
      </c>
      <c r="AE564" s="7">
        <f>COUNTIF(A:A,A564)</f>
        <v>1</v>
      </c>
      <c r="AF564" s="7" t="str">
        <f t="shared" si="62"/>
        <v>No</v>
      </c>
    </row>
    <row r="565" spans="1:32">
      <c r="A565" t="s">
        <v>1880</v>
      </c>
      <c r="B565">
        <v>26644381</v>
      </c>
      <c r="C565" t="s">
        <v>1881</v>
      </c>
      <c r="D565" t="s">
        <v>1882</v>
      </c>
      <c r="E565" t="s">
        <v>20</v>
      </c>
      <c r="F565" t="s">
        <v>34</v>
      </c>
      <c r="G565" t="s">
        <v>121</v>
      </c>
      <c r="H565" t="s">
        <v>103</v>
      </c>
      <c r="I565" t="s">
        <v>3371</v>
      </c>
      <c r="J565">
        <v>6403.58</v>
      </c>
      <c r="K565" t="s">
        <v>57</v>
      </c>
      <c r="L565" t="s">
        <v>48</v>
      </c>
      <c r="M565" s="1">
        <v>44106.059027777781</v>
      </c>
      <c r="N565">
        <v>72</v>
      </c>
      <c r="O565" t="s">
        <v>24</v>
      </c>
      <c r="P565" t="s">
        <v>37</v>
      </c>
      <c r="Q565" t="s">
        <v>1883</v>
      </c>
      <c r="R565">
        <f t="shared" si="56"/>
        <v>26644381</v>
      </c>
      <c r="S565" t="str" cm="1">
        <f t="array" ref="S565">IF(C565="",IFERROR(INDEX($C$2:$C$1166,MATCH(MAX(COUNTIF($C$2:$C$1166,$C$2:$C$1166)),COUNTIF($C$2:$C$1166,$C$2:$C$1166),0)),"Unknown"),C565)</f>
        <v>Elena Dubois</v>
      </c>
      <c r="T565" s="4" t="str" cm="1">
        <f t="array" ref="T565">IF(D565="",IFERROR(INDEX($D$2:$D$1000,MATCH(MAX(COUNTIF($D$2:$D$1166,$D$2:$D$1166)),COUNTIF($D$2:$D$1166,$D$2:$D$1166),0)),"Unknown"),D565)</f>
        <v>Robert Miller</v>
      </c>
      <c r="U565" t="str">
        <f t="shared" si="57"/>
        <v>CAD</v>
      </c>
      <c r="V565" s="7" t="str">
        <f t="shared" si="57"/>
        <v>INR</v>
      </c>
      <c r="W565" s="7" t="str">
        <f t="shared" si="58"/>
        <v>Brazil</v>
      </c>
      <c r="X565" s="7" t="str">
        <f t="shared" si="58"/>
        <v>South Africa</v>
      </c>
      <c r="Y565" s="7" t="str" cm="1">
        <f t="array" ref="Y565">IF(H565="",IFERROR(INDEX($H$2:$H$1166,MATCH(MAX(COUNTIF($H$2:$H$1166,$H$2:$H$1166)),COUNTIF($H$2:$H$1166,$H$2:$H$1166),0)),"Unknown"),H565)</f>
        <v>Verified</v>
      </c>
      <c r="Z565" s="7" t="str">
        <f t="shared" si="59"/>
        <v>Outer-Transaction</v>
      </c>
      <c r="AA565" s="7">
        <f>IF(J565="",AVERAGE($J:$J),J565)</f>
        <v>6403.58</v>
      </c>
      <c r="AB565" s="7">
        <f>IF(N565="",AVERAGE($N:$N),N565)</f>
        <v>72</v>
      </c>
      <c r="AC565" s="7">
        <f t="shared" si="60"/>
        <v>2020</v>
      </c>
      <c r="AD565" s="7">
        <f t="shared" si="61"/>
        <v>10</v>
      </c>
      <c r="AE565" s="7">
        <f>COUNTIF(A:A,A565)</f>
        <v>1</v>
      </c>
      <c r="AF565" s="7" t="str">
        <f t="shared" si="62"/>
        <v>No</v>
      </c>
    </row>
    <row r="566" spans="1:32">
      <c r="A566" t="s">
        <v>1884</v>
      </c>
      <c r="B566">
        <v>18107284</v>
      </c>
      <c r="C566" t="s">
        <v>1258</v>
      </c>
      <c r="D566" t="s">
        <v>1154</v>
      </c>
      <c r="E566" t="s">
        <v>3373</v>
      </c>
      <c r="F566" t="s">
        <v>392</v>
      </c>
      <c r="G566" t="s">
        <v>44</v>
      </c>
      <c r="H566" t="s">
        <v>103</v>
      </c>
      <c r="I566" t="s">
        <v>3374</v>
      </c>
      <c r="J566">
        <v>10219.4</v>
      </c>
      <c r="K566" t="s">
        <v>86</v>
      </c>
      <c r="L566" t="s">
        <v>75</v>
      </c>
      <c r="M566" s="1">
        <v>46376.364583333336</v>
      </c>
      <c r="N566">
        <v>23</v>
      </c>
      <c r="O566" t="s">
        <v>54</v>
      </c>
      <c r="P566" t="s">
        <v>127</v>
      </c>
      <c r="Q566" t="s">
        <v>1885</v>
      </c>
      <c r="R566">
        <f t="shared" si="56"/>
        <v>18107284</v>
      </c>
      <c r="S566" t="str" cm="1">
        <f t="array" ref="S566">IF(C566="",IFERROR(INDEX($C$2:$C$1166,MATCH(MAX(COUNTIF($C$2:$C$1166,$C$2:$C$1166)),COUNTIF($C$2:$C$1166,$C$2:$C$1166),0)),"Unknown"),C566)</f>
        <v>Nancy Dubois</v>
      </c>
      <c r="T566" s="4" t="str" cm="1">
        <f t="array" ref="T566">IF(D566="",IFERROR(INDEX($D$2:$D$1000,MATCH(MAX(COUNTIF($D$2:$D$1166,$D$2:$D$1166)),COUNTIF($D$2:$D$1166,$D$2:$D$1166),0)),"Unknown"),D566)</f>
        <v>Amir Wilson</v>
      </c>
      <c r="U566" t="str">
        <f t="shared" si="57"/>
        <v>brl</v>
      </c>
      <c r="V566" s="7" t="str">
        <f t="shared" si="57"/>
        <v>SGD</v>
      </c>
      <c r="W566" s="7" t="str">
        <f t="shared" si="58"/>
        <v>India</v>
      </c>
      <c r="X566" s="7" t="str">
        <f t="shared" si="58"/>
        <v>Canada</v>
      </c>
      <c r="Y566" s="7" t="str" cm="1">
        <f t="array" ref="Y566">IF(H566="",IFERROR(INDEX($H$2:$H$1166,MATCH(MAX(COUNTIF($H$2:$H$1166,$H$2:$H$1166)),COUNTIF($H$2:$H$1166,$H$2:$H$1166),0)),"Unknown"),H566)</f>
        <v>Verified</v>
      </c>
      <c r="Z566" s="7" t="str">
        <f t="shared" si="59"/>
        <v>External</v>
      </c>
      <c r="AA566" s="7">
        <f>IF(J566="",AVERAGE($J:$J),J566)</f>
        <v>10219.4</v>
      </c>
      <c r="AB566" s="7">
        <f>IF(N566="",AVERAGE($N:$N),N566)</f>
        <v>23</v>
      </c>
      <c r="AC566" s="7">
        <f t="shared" si="60"/>
        <v>2026</v>
      </c>
      <c r="AD566" s="7">
        <f t="shared" si="61"/>
        <v>12</v>
      </c>
      <c r="AE566" s="7">
        <f>COUNTIF(A:A,A566)</f>
        <v>1</v>
      </c>
      <c r="AF566" s="7" t="str">
        <f t="shared" si="62"/>
        <v>Yes</v>
      </c>
    </row>
    <row r="567" spans="1:32">
      <c r="A567" t="s">
        <v>1886</v>
      </c>
      <c r="B567">
        <v>35539627</v>
      </c>
      <c r="C567" t="s">
        <v>78</v>
      </c>
      <c r="D567" t="s">
        <v>286</v>
      </c>
      <c r="E567" t="s">
        <v>3375</v>
      </c>
      <c r="G567" t="s">
        <v>44</v>
      </c>
      <c r="H567" t="s">
        <v>56</v>
      </c>
      <c r="I567" t="s">
        <v>3372</v>
      </c>
      <c r="J567">
        <v>2298.75</v>
      </c>
      <c r="K567" t="s">
        <v>39</v>
      </c>
      <c r="L567" t="s">
        <v>81</v>
      </c>
      <c r="M567" s="1">
        <v>44506.770833333336</v>
      </c>
      <c r="N567">
        <v>22</v>
      </c>
      <c r="O567" t="s">
        <v>62</v>
      </c>
      <c r="P567" t="s">
        <v>55</v>
      </c>
      <c r="Q567" t="s">
        <v>1887</v>
      </c>
      <c r="R567">
        <f t="shared" si="56"/>
        <v>35539627</v>
      </c>
      <c r="S567" t="str" cm="1">
        <f t="array" ref="S567">IF(C567="",IFERROR(INDEX($C$2:$C$1166,MATCH(MAX(COUNTIF($C$2:$C$1166,$C$2:$C$1166)),COUNTIF($C$2:$C$1166,$C$2:$C$1166),0)),"Unknown"),C567)</f>
        <v>Elizabeth Jackson</v>
      </c>
      <c r="T567" s="4" t="str" cm="1">
        <f t="array" ref="T567">IF(D567="",IFERROR(INDEX($D$2:$D$1000,MATCH(MAX(COUNTIF($D$2:$D$1166,$D$2:$D$1166)),COUNTIF($D$2:$D$1166,$D$2:$D$1166),0)),"Unknown"),D567)</f>
        <v>Linda Johnson</v>
      </c>
      <c r="U567" t="str">
        <f t="shared" si="57"/>
        <v/>
      </c>
      <c r="V567" s="7" t="str">
        <f t="shared" si="57"/>
        <v>SGD</v>
      </c>
      <c r="W567" s="7" t="str">
        <f t="shared" si="58"/>
        <v>Australia</v>
      </c>
      <c r="X567" s="7" t="str">
        <f t="shared" si="58"/>
        <v>UK</v>
      </c>
      <c r="Y567" s="7" t="str" cm="1">
        <f t="array" ref="Y567">IF(H567="",IFERROR(INDEX($H$2:$H$1166,MATCH(MAX(COUNTIF($H$2:$H$1166,$H$2:$H$1166)),COUNTIF($H$2:$H$1166,$H$2:$H$1166),0)),"Unknown"),H567)</f>
        <v>Unverified</v>
      </c>
      <c r="Z567" s="7" t="str">
        <f t="shared" si="59"/>
        <v>Outer-Transaction</v>
      </c>
      <c r="AA567" s="7">
        <f>IF(J567="",AVERAGE($J:$J),J567)</f>
        <v>2298.75</v>
      </c>
      <c r="AB567" s="7">
        <f>IF(N567="",AVERAGE($N:$N),N567)</f>
        <v>22</v>
      </c>
      <c r="AC567" s="7">
        <f t="shared" si="60"/>
        <v>2021</v>
      </c>
      <c r="AD567" s="7">
        <f t="shared" si="61"/>
        <v>11</v>
      </c>
      <c r="AE567" s="7">
        <f>COUNTIF(A:A,A567)</f>
        <v>1</v>
      </c>
      <c r="AF567" s="7" t="str">
        <f t="shared" si="62"/>
        <v>No</v>
      </c>
    </row>
    <row r="568" spans="1:32">
      <c r="A568" t="s">
        <v>1888</v>
      </c>
      <c r="B568">
        <v>98821543</v>
      </c>
      <c r="C568" t="s">
        <v>1531</v>
      </c>
      <c r="D568" t="s">
        <v>700</v>
      </c>
      <c r="E568" t="s">
        <v>20</v>
      </c>
      <c r="F568" t="s">
        <v>126</v>
      </c>
      <c r="G568" t="s">
        <v>35</v>
      </c>
      <c r="H568" t="s">
        <v>74</v>
      </c>
      <c r="I568" t="s">
        <v>3378</v>
      </c>
      <c r="J568">
        <v>12448.37</v>
      </c>
      <c r="K568" t="s">
        <v>27</v>
      </c>
      <c r="L568" t="s">
        <v>75</v>
      </c>
      <c r="M568" s="1">
        <v>45654.412499999999</v>
      </c>
      <c r="N568">
        <v>20</v>
      </c>
      <c r="O568" t="s">
        <v>54</v>
      </c>
      <c r="P568" t="s">
        <v>24</v>
      </c>
      <c r="Q568" t="s">
        <v>1889</v>
      </c>
      <c r="R568">
        <f t="shared" si="56"/>
        <v>98821543</v>
      </c>
      <c r="S568" t="str" cm="1">
        <f t="array" ref="S568">IF(C568="",IFERROR(INDEX($C$2:$C$1166,MATCH(MAX(COUNTIF($C$2:$C$1166,$C$2:$C$1166)),COUNTIF($C$2:$C$1166,$C$2:$C$1166),0)),"Unknown"),C568)</f>
        <v>Carlos Garcia</v>
      </c>
      <c r="T568" s="4" t="str" cm="1">
        <f t="array" ref="T568">IF(D568="",IFERROR(INDEX($D$2:$D$1000,MATCH(MAX(COUNTIF($D$2:$D$1166,$D$2:$D$1166)),COUNTIF($D$2:$D$1166,$D$2:$D$1166),0)),"Unknown"),D568)</f>
        <v>Michael Jackson</v>
      </c>
      <c r="U568" t="str">
        <f t="shared" si="57"/>
        <v>inr</v>
      </c>
      <c r="V568" s="7" t="str">
        <f t="shared" si="57"/>
        <v>EUR</v>
      </c>
      <c r="W568" s="7" t="str">
        <f t="shared" si="58"/>
        <v>India</v>
      </c>
      <c r="X568" s="7" t="str">
        <f t="shared" si="58"/>
        <v>Brazil</v>
      </c>
      <c r="Y568" s="7" t="str" cm="1">
        <f t="array" ref="Y568">IF(H568="",IFERROR(INDEX($H$2:$H$1166,MATCH(MAX(COUNTIF($H$2:$H$1166,$H$2:$H$1166)),COUNTIF($H$2:$H$1166,$H$2:$H$1166),0)),"Unknown"),H568)</f>
        <v>Non-KYC</v>
      </c>
      <c r="Z568" s="7" t="str">
        <f t="shared" si="59"/>
        <v>Inter-Transaction</v>
      </c>
      <c r="AA568" s="7">
        <f>IF(J568="",AVERAGE($J:$J),J568)</f>
        <v>12448.37</v>
      </c>
      <c r="AB568" s="7">
        <f>IF(N568="",AVERAGE($N:$N),N568)</f>
        <v>20</v>
      </c>
      <c r="AC568" s="7">
        <f t="shared" si="60"/>
        <v>2024</v>
      </c>
      <c r="AD568" s="7">
        <f t="shared" si="61"/>
        <v>12</v>
      </c>
      <c r="AE568" s="7">
        <f>COUNTIF(A:A,A568)</f>
        <v>1</v>
      </c>
      <c r="AF568" s="7" t="str">
        <f t="shared" si="62"/>
        <v>No</v>
      </c>
    </row>
    <row r="569" spans="1:32">
      <c r="A569" t="s">
        <v>1890</v>
      </c>
      <c r="B569">
        <v>57428438</v>
      </c>
      <c r="C569" t="s">
        <v>569</v>
      </c>
      <c r="D569" t="s">
        <v>1891</v>
      </c>
      <c r="E569">
        <v>1</v>
      </c>
      <c r="F569" t="s">
        <v>53</v>
      </c>
      <c r="G569" t="s">
        <v>21</v>
      </c>
      <c r="H569" t="s">
        <v>103</v>
      </c>
      <c r="I569" t="s">
        <v>3374</v>
      </c>
      <c r="J569">
        <v>2387.4499999999998</v>
      </c>
      <c r="K569" t="s">
        <v>57</v>
      </c>
      <c r="L569" t="s">
        <v>81</v>
      </c>
      <c r="M569" s="1">
        <v>44882.128472222219</v>
      </c>
      <c r="N569">
        <v>70</v>
      </c>
      <c r="O569" t="s">
        <v>93</v>
      </c>
      <c r="P569" t="s">
        <v>127</v>
      </c>
      <c r="Q569" t="s">
        <v>1892</v>
      </c>
      <c r="R569">
        <f t="shared" si="56"/>
        <v>57428438</v>
      </c>
      <c r="S569" t="str" cm="1">
        <f t="array" ref="S569">IF(C569="",IFERROR(INDEX($C$2:$C$1166,MATCH(MAX(COUNTIF($C$2:$C$1166,$C$2:$C$1166)),COUNTIF($C$2:$C$1166,$C$2:$C$1166),0)),"Unknown"),C569)</f>
        <v>Patricia Williams</v>
      </c>
      <c r="T569" s="4" t="str" cm="1">
        <f t="array" ref="T569">IF(D569="",IFERROR(INDEX($D$2:$D$1000,MATCH(MAX(COUNTIF($D$2:$D$1166,$D$2:$D$1166)),COUNTIF($D$2:$D$1166,$D$2:$D$1166),0)),"Unknown"),D569)</f>
        <v xml:space="preserve"> richard rostova   </v>
      </c>
      <c r="U569" t="str">
        <f t="shared" si="57"/>
        <v>AED</v>
      </c>
      <c r="V569" s="7" t="str">
        <f t="shared" si="57"/>
        <v>GBP</v>
      </c>
      <c r="W569" s="7" t="str">
        <f t="shared" si="58"/>
        <v>USA</v>
      </c>
      <c r="X569" s="7" t="str">
        <f t="shared" si="58"/>
        <v>Canada</v>
      </c>
      <c r="Y569" s="7" t="str" cm="1">
        <f t="array" ref="Y569">IF(H569="",IFERROR(INDEX($H$2:$H$1166,MATCH(MAX(COUNTIF($H$2:$H$1166,$H$2:$H$1166)),COUNTIF($H$2:$H$1166,$H$2:$H$1166),0)),"Unknown"),H569)</f>
        <v>Verified</v>
      </c>
      <c r="Z569" s="7" t="str">
        <f t="shared" si="59"/>
        <v>External</v>
      </c>
      <c r="AA569" s="7">
        <f>IF(J569="",AVERAGE($J:$J),J569)</f>
        <v>2387.4499999999998</v>
      </c>
      <c r="AB569" s="7">
        <f>IF(N569="",AVERAGE($N:$N),N569)</f>
        <v>70</v>
      </c>
      <c r="AC569" s="7">
        <f t="shared" si="60"/>
        <v>2022</v>
      </c>
      <c r="AD569" s="7">
        <f t="shared" si="61"/>
        <v>11</v>
      </c>
      <c r="AE569" s="7">
        <f>COUNTIF(A:A,A569)</f>
        <v>1</v>
      </c>
      <c r="AF569" s="7" t="str">
        <f t="shared" si="62"/>
        <v>Yes</v>
      </c>
    </row>
    <row r="570" spans="1:32">
      <c r="A570" t="s">
        <v>1893</v>
      </c>
      <c r="B570">
        <v>73555187</v>
      </c>
      <c r="C570" t="s">
        <v>1894</v>
      </c>
      <c r="D570" t="s">
        <v>404</v>
      </c>
      <c r="E570" t="s">
        <v>20</v>
      </c>
      <c r="F570" t="s">
        <v>121</v>
      </c>
      <c r="G570" t="s">
        <v>34</v>
      </c>
      <c r="H570" t="s">
        <v>56</v>
      </c>
      <c r="I570" t="s">
        <v>3378</v>
      </c>
      <c r="J570">
        <v>8329.39</v>
      </c>
      <c r="K570" t="s">
        <v>27</v>
      </c>
      <c r="L570" t="s">
        <v>75</v>
      </c>
      <c r="M570" s="1">
        <v>45187.543749999997</v>
      </c>
      <c r="N570">
        <v>40</v>
      </c>
      <c r="O570" t="s">
        <v>37</v>
      </c>
      <c r="P570" t="s">
        <v>93</v>
      </c>
      <c r="Q570" t="s">
        <v>1895</v>
      </c>
      <c r="R570">
        <f t="shared" si="56"/>
        <v>73555187</v>
      </c>
      <c r="S570" t="str" cm="1">
        <f t="array" ref="S570">IF(C570="",IFERROR(INDEX($C$2:$C$1166,MATCH(MAX(COUNTIF($C$2:$C$1166,$C$2:$C$1166)),COUNTIF($C$2:$C$1166,$C$2:$C$1166),0)),"Unknown"),C570)</f>
        <v>Robert Smith</v>
      </c>
      <c r="T570" s="4" t="str" cm="1">
        <f t="array" ref="T570">IF(D570="",IFERROR(INDEX($D$2:$D$1000,MATCH(MAX(COUNTIF($D$2:$D$1166,$D$2:$D$1166)),COUNTIF($D$2:$D$1166,$D$2:$D$1166),0)),"Unknown"),D570)</f>
        <v>Thomas Lopez</v>
      </c>
      <c r="U570" t="str">
        <f t="shared" si="57"/>
        <v>INR</v>
      </c>
      <c r="V570" s="7" t="str">
        <f t="shared" si="57"/>
        <v>CAD</v>
      </c>
      <c r="W570" s="7" t="str">
        <f t="shared" si="58"/>
        <v>South Africa</v>
      </c>
      <c r="X570" s="7" t="str">
        <f t="shared" si="58"/>
        <v>USA</v>
      </c>
      <c r="Y570" s="7" t="str" cm="1">
        <f t="array" ref="Y570">IF(H570="",IFERROR(INDEX($H$2:$H$1166,MATCH(MAX(COUNTIF($H$2:$H$1166,$H$2:$H$1166)),COUNTIF($H$2:$H$1166,$H$2:$H$1166),0)),"Unknown"),H570)</f>
        <v>Unverified</v>
      </c>
      <c r="Z570" s="7" t="str">
        <f t="shared" si="59"/>
        <v>Inter-Transaction</v>
      </c>
      <c r="AA570" s="7">
        <f>IF(J570="",AVERAGE($J:$J),J570)</f>
        <v>8329.39</v>
      </c>
      <c r="AB570" s="7">
        <f>IF(N570="",AVERAGE($N:$N),N570)</f>
        <v>40</v>
      </c>
      <c r="AC570" s="7">
        <f t="shared" si="60"/>
        <v>2023</v>
      </c>
      <c r="AD570" s="7">
        <f t="shared" si="61"/>
        <v>9</v>
      </c>
      <c r="AE570" s="7">
        <f>COUNTIF(A:A,A570)</f>
        <v>1</v>
      </c>
      <c r="AF570" s="7" t="str">
        <f t="shared" si="62"/>
        <v>No</v>
      </c>
    </row>
    <row r="571" spans="1:32">
      <c r="A571" t="s">
        <v>1896</v>
      </c>
      <c r="B571">
        <v>43433510</v>
      </c>
      <c r="C571" t="s">
        <v>456</v>
      </c>
      <c r="D571" t="s">
        <v>1897</v>
      </c>
      <c r="E571" t="s">
        <v>3375</v>
      </c>
      <c r="G571" t="s">
        <v>35</v>
      </c>
      <c r="I571" t="s">
        <v>3378</v>
      </c>
      <c r="J571">
        <v>1013.21</v>
      </c>
      <c r="K571" t="s">
        <v>39</v>
      </c>
      <c r="L571" t="s">
        <v>48</v>
      </c>
      <c r="M571" s="1">
        <v>45934.615972222222</v>
      </c>
      <c r="N571">
        <v>70</v>
      </c>
      <c r="O571" t="s">
        <v>23</v>
      </c>
      <c r="P571" t="s">
        <v>127</v>
      </c>
      <c r="Q571" t="s">
        <v>1898</v>
      </c>
      <c r="R571">
        <f t="shared" si="56"/>
        <v>43433510</v>
      </c>
      <c r="S571" t="str" cm="1">
        <f t="array" ref="S571">IF(C571="",IFERROR(INDEX($C$2:$C$1166,MATCH(MAX(COUNTIF($C$2:$C$1166,$C$2:$C$1166)),COUNTIF($C$2:$C$1166,$C$2:$C$1166),0)),"Unknown"),C571)</f>
        <v>Sarah Jackson</v>
      </c>
      <c r="T571" s="4" t="str" cm="1">
        <f t="array" ref="T571">IF(D571="",IFERROR(INDEX($D$2:$D$1000,MATCH(MAX(COUNTIF($D$2:$D$1166,$D$2:$D$1166)),COUNTIF($D$2:$D$1166,$D$2:$D$1166),0)),"Unknown"),D571)</f>
        <v>Sarah Volkov</v>
      </c>
      <c r="U571" t="str">
        <f t="shared" si="57"/>
        <v/>
      </c>
      <c r="V571" s="7" t="str">
        <f t="shared" si="57"/>
        <v>EUR</v>
      </c>
      <c r="W571" s="7" t="str">
        <f t="shared" si="58"/>
        <v>France</v>
      </c>
      <c r="X571" s="7" t="str">
        <f t="shared" si="58"/>
        <v>Canada</v>
      </c>
      <c r="Y571" s="7" t="str" cm="1">
        <f t="array" ref="Y571">IF(H571="",IFERROR(INDEX($H$2:$H$1166,MATCH(MAX(COUNTIF($H$2:$H$1166,$H$2:$H$1166)),COUNTIF($H$2:$H$1166,$H$2:$H$1166),0)),"Unknown"),H571)</f>
        <v>Pending</v>
      </c>
      <c r="Z571" s="7" t="str">
        <f t="shared" si="59"/>
        <v>Inter-Transaction</v>
      </c>
      <c r="AA571" s="7">
        <f>IF(J571="",AVERAGE($J:$J),J571)</f>
        <v>1013.21</v>
      </c>
      <c r="AB571" s="7">
        <f>IF(N571="",AVERAGE($N:$N),N571)</f>
        <v>70</v>
      </c>
      <c r="AC571" s="7">
        <f t="shared" si="60"/>
        <v>2025</v>
      </c>
      <c r="AD571" s="7">
        <f t="shared" si="61"/>
        <v>10</v>
      </c>
      <c r="AE571" s="7">
        <f>COUNTIF(A:A,A571)</f>
        <v>1</v>
      </c>
      <c r="AF571" s="7" t="str">
        <f t="shared" si="62"/>
        <v>No</v>
      </c>
    </row>
    <row r="572" spans="1:32">
      <c r="A572" t="s">
        <v>1899</v>
      </c>
      <c r="B572">
        <v>93302571</v>
      </c>
      <c r="C572" t="s">
        <v>1900</v>
      </c>
      <c r="D572" t="s">
        <v>244</v>
      </c>
      <c r="E572" t="s">
        <v>20</v>
      </c>
      <c r="F572" t="s">
        <v>34</v>
      </c>
      <c r="G572" t="s">
        <v>44</v>
      </c>
      <c r="I572" t="s">
        <v>3376</v>
      </c>
      <c r="J572">
        <v>1814.23</v>
      </c>
      <c r="K572" t="s">
        <v>86</v>
      </c>
      <c r="L572" t="s">
        <v>48</v>
      </c>
      <c r="M572" s="1">
        <v>44377.261111111111</v>
      </c>
      <c r="N572">
        <v>54</v>
      </c>
      <c r="O572" t="s">
        <v>62</v>
      </c>
      <c r="P572" t="s">
        <v>55</v>
      </c>
      <c r="Q572" t="s">
        <v>1901</v>
      </c>
      <c r="R572">
        <f t="shared" si="56"/>
        <v>93302571</v>
      </c>
      <c r="S572" t="str" cm="1">
        <f t="array" ref="S572">IF(C572="",IFERROR(INDEX($C$2:$C$1166,MATCH(MAX(COUNTIF($C$2:$C$1166,$C$2:$C$1166)),COUNTIF($C$2:$C$1166,$C$2:$C$1166),0)),"Unknown"),C572)</f>
        <v>Sarah Moore</v>
      </c>
      <c r="T572" s="4" t="str" cm="1">
        <f t="array" ref="T572">IF(D572="",IFERROR(INDEX($D$2:$D$1000,MATCH(MAX(COUNTIF($D$2:$D$1166,$D$2:$D$1166)),COUNTIF($D$2:$D$1166,$D$2:$D$1166),0)),"Unknown"),D572)</f>
        <v>Michael Silva</v>
      </c>
      <c r="U572" t="str">
        <f t="shared" si="57"/>
        <v>CAD</v>
      </c>
      <c r="V572" s="7" t="str">
        <f t="shared" si="57"/>
        <v>SGD</v>
      </c>
      <c r="W572" s="7" t="str">
        <f t="shared" si="58"/>
        <v>Australia</v>
      </c>
      <c r="X572" s="7" t="str">
        <f t="shared" si="58"/>
        <v>UK</v>
      </c>
      <c r="Y572" s="7" t="str" cm="1">
        <f t="array" ref="Y572">IF(H572="",IFERROR(INDEX($H$2:$H$1166,MATCH(MAX(COUNTIF($H$2:$H$1166,$H$2:$H$1166)),COUNTIF($H$2:$H$1166,$H$2:$H$1166),0)),"Unknown"),H572)</f>
        <v>Pending</v>
      </c>
      <c r="Z572" s="7" t="str">
        <f t="shared" si="59"/>
        <v>Internal</v>
      </c>
      <c r="AA572" s="7">
        <f>IF(J572="",AVERAGE($J:$J),J572)</f>
        <v>1814.23</v>
      </c>
      <c r="AB572" s="7">
        <f>IF(N572="",AVERAGE($N:$N),N572)</f>
        <v>54</v>
      </c>
      <c r="AC572" s="7">
        <f t="shared" si="60"/>
        <v>2021</v>
      </c>
      <c r="AD572" s="7">
        <f t="shared" si="61"/>
        <v>6</v>
      </c>
      <c r="AE572" s="7">
        <f>COUNTIF(A:A,A572)</f>
        <v>1</v>
      </c>
      <c r="AF572" s="7" t="str">
        <f t="shared" si="62"/>
        <v>No</v>
      </c>
    </row>
    <row r="573" spans="1:32">
      <c r="A573" t="s">
        <v>1902</v>
      </c>
      <c r="B573">
        <v>13393520</v>
      </c>
      <c r="C573" t="s">
        <v>307</v>
      </c>
      <c r="D573" t="s">
        <v>342</v>
      </c>
      <c r="E573" t="s">
        <v>20</v>
      </c>
      <c r="G573" t="s">
        <v>44</v>
      </c>
      <c r="H573" t="s">
        <v>56</v>
      </c>
      <c r="I573" t="s">
        <v>3378</v>
      </c>
      <c r="J573">
        <v>1625.1</v>
      </c>
      <c r="K573" t="s">
        <v>57</v>
      </c>
      <c r="L573" t="s">
        <v>81</v>
      </c>
      <c r="M573" s="1">
        <v>44966.784722222219</v>
      </c>
      <c r="N573">
        <v>34</v>
      </c>
      <c r="O573" t="s">
        <v>54</v>
      </c>
      <c r="P573" t="s">
        <v>37</v>
      </c>
      <c r="Q573" t="s">
        <v>1903</v>
      </c>
      <c r="R573">
        <f t="shared" si="56"/>
        <v>13393520</v>
      </c>
      <c r="S573" t="str" cm="1">
        <f t="array" ref="S573">IF(C573="",IFERROR(INDEX($C$2:$C$1166,MATCH(MAX(COUNTIF($C$2:$C$1166,$C$2:$C$1166)),COUNTIF($C$2:$C$1166,$C$2:$C$1166),0)),"Unknown"),C573)</f>
        <v>John Nair</v>
      </c>
      <c r="T573" s="4" t="str" cm="1">
        <f t="array" ref="T573">IF(D573="",IFERROR(INDEX($D$2:$D$1000,MATCH(MAX(COUNTIF($D$2:$D$1166,$D$2:$D$1166)),COUNTIF($D$2:$D$1166,$D$2:$D$1166),0)),"Unknown"),D573)</f>
        <v>Sanjay Dubois</v>
      </c>
      <c r="U573" t="str">
        <f t="shared" si="57"/>
        <v/>
      </c>
      <c r="V573" s="7" t="str">
        <f t="shared" si="57"/>
        <v>SGD</v>
      </c>
      <c r="W573" s="7" t="str">
        <f t="shared" si="58"/>
        <v>India</v>
      </c>
      <c r="X573" s="7" t="str">
        <f t="shared" si="58"/>
        <v>South Africa</v>
      </c>
      <c r="Y573" s="7" t="str" cm="1">
        <f t="array" ref="Y573">IF(H573="",IFERROR(INDEX($H$2:$H$1166,MATCH(MAX(COUNTIF($H$2:$H$1166,$H$2:$H$1166)),COUNTIF($H$2:$H$1166,$H$2:$H$1166),0)),"Unknown"),H573)</f>
        <v>Unverified</v>
      </c>
      <c r="Z573" s="7" t="str">
        <f t="shared" si="59"/>
        <v>Inter-Transaction</v>
      </c>
      <c r="AA573" s="7">
        <f>IF(J573="",AVERAGE($J:$J),J573)</f>
        <v>1625.1</v>
      </c>
      <c r="AB573" s="7">
        <f>IF(N573="",AVERAGE($N:$N),N573)</f>
        <v>34</v>
      </c>
      <c r="AC573" s="7">
        <f t="shared" si="60"/>
        <v>2023</v>
      </c>
      <c r="AD573" s="7">
        <f t="shared" si="61"/>
        <v>2</v>
      </c>
      <c r="AE573" s="7">
        <f>COUNTIF(A:A,A573)</f>
        <v>1</v>
      </c>
      <c r="AF573" s="7" t="str">
        <f t="shared" si="62"/>
        <v>No</v>
      </c>
    </row>
    <row r="574" spans="1:32">
      <c r="A574" t="s">
        <v>1904</v>
      </c>
      <c r="B574">
        <v>53827193</v>
      </c>
      <c r="C574" t="s">
        <v>1905</v>
      </c>
      <c r="D574" t="s">
        <v>995</v>
      </c>
      <c r="E574" t="s">
        <v>20</v>
      </c>
      <c r="F574" t="s">
        <v>22</v>
      </c>
      <c r="G574" t="s">
        <v>92</v>
      </c>
      <c r="H574" t="s">
        <v>25</v>
      </c>
      <c r="I574" t="s">
        <v>3374</v>
      </c>
      <c r="J574">
        <v>4250.8</v>
      </c>
      <c r="K574" t="s">
        <v>27</v>
      </c>
      <c r="L574" t="s">
        <v>28</v>
      </c>
      <c r="M574" s="1">
        <v>45914.670138888891</v>
      </c>
      <c r="N574">
        <v>18</v>
      </c>
      <c r="O574" t="s">
        <v>54</v>
      </c>
      <c r="P574" t="s">
        <v>54</v>
      </c>
      <c r="Q574" t="s">
        <v>1906</v>
      </c>
      <c r="R574">
        <f t="shared" si="56"/>
        <v>53827193</v>
      </c>
      <c r="S574" t="str" cm="1">
        <f t="array" ref="S574">IF(C574="",IFERROR(INDEX($C$2:$C$1166,MATCH(MAX(COUNTIF($C$2:$C$1166,$C$2:$C$1166)),COUNTIF($C$2:$C$1166,$C$2:$C$1166),0)),"Unknown"),C574)</f>
        <v>Karen Thomas</v>
      </c>
      <c r="T574" s="4" t="str" cm="1">
        <f t="array" ref="T574">IF(D574="",IFERROR(INDEX($D$2:$D$1000,MATCH(MAX(COUNTIF($D$2:$D$1166,$D$2:$D$1166)),COUNTIF($D$2:$D$1166,$D$2:$D$1166),0)),"Unknown"),D574)</f>
        <v>Susan Jones</v>
      </c>
      <c r="U574" t="str">
        <f t="shared" si="57"/>
        <v>BRL</v>
      </c>
      <c r="V574" s="7" t="str">
        <f t="shared" si="57"/>
        <v>AUD</v>
      </c>
      <c r="W574" s="7" t="str">
        <f t="shared" si="58"/>
        <v>India</v>
      </c>
      <c r="X574" s="7" t="str">
        <f t="shared" si="58"/>
        <v>India</v>
      </c>
      <c r="Y574" s="7" t="str" cm="1">
        <f t="array" ref="Y574">IF(H574="",IFERROR(INDEX($H$2:$H$1166,MATCH(MAX(COUNTIF($H$2:$H$1166,$H$2:$H$1166)),COUNTIF($H$2:$H$1166,$H$2:$H$1166),0)),"Unknown"),H574)</f>
        <v>KYC</v>
      </c>
      <c r="Z574" s="7" t="str">
        <f t="shared" si="59"/>
        <v>External</v>
      </c>
      <c r="AA574" s="7">
        <f>IF(J574="",AVERAGE($J:$J),J574)</f>
        <v>4250.8</v>
      </c>
      <c r="AB574" s="7">
        <f>IF(N574="",AVERAGE($N:$N),N574)</f>
        <v>18</v>
      </c>
      <c r="AC574" s="7">
        <f t="shared" si="60"/>
        <v>2025</v>
      </c>
      <c r="AD574" s="7">
        <f t="shared" si="61"/>
        <v>9</v>
      </c>
      <c r="AE574" s="7">
        <f>COUNTIF(A:A,A574)</f>
        <v>1</v>
      </c>
      <c r="AF574" s="7" t="str">
        <f t="shared" si="62"/>
        <v>No</v>
      </c>
    </row>
    <row r="575" spans="1:32">
      <c r="A575" t="s">
        <v>1907</v>
      </c>
      <c r="B575">
        <v>41542991</v>
      </c>
      <c r="C575" t="s">
        <v>61</v>
      </c>
      <c r="D575" t="s">
        <v>601</v>
      </c>
      <c r="E575" t="s">
        <v>3375</v>
      </c>
      <c r="F575" t="s">
        <v>92</v>
      </c>
      <c r="G575" t="s">
        <v>34</v>
      </c>
      <c r="H575" t="s">
        <v>56</v>
      </c>
      <c r="I575" t="s">
        <v>3374</v>
      </c>
      <c r="J575">
        <v>2333.21</v>
      </c>
      <c r="K575" t="s">
        <v>86</v>
      </c>
      <c r="L575" t="s">
        <v>48</v>
      </c>
      <c r="M575" s="1">
        <v>45871.427083333336</v>
      </c>
      <c r="N575">
        <v>68</v>
      </c>
      <c r="O575" t="s">
        <v>36</v>
      </c>
      <c r="P575" t="s">
        <v>68</v>
      </c>
      <c r="Q575" t="s">
        <v>1908</v>
      </c>
      <c r="R575">
        <f t="shared" si="56"/>
        <v>41542991</v>
      </c>
      <c r="S575" t="str" cm="1">
        <f t="array" ref="S575">IF(C575="",IFERROR(INDEX($C$2:$C$1166,MATCH(MAX(COUNTIF($C$2:$C$1166,$C$2:$C$1166)),COUNTIF($C$2:$C$1166,$C$2:$C$1166),0)),"Unknown"),C575)</f>
        <v>Robert Dubois</v>
      </c>
      <c r="T575" s="4" t="str" cm="1">
        <f t="array" ref="T575">IF(D575="",IFERROR(INDEX($D$2:$D$1000,MATCH(MAX(COUNTIF($D$2:$D$1166,$D$2:$D$1166)),COUNTIF($D$2:$D$1166,$D$2:$D$1166),0)),"Unknown"),D575)</f>
        <v>Susan Lopez</v>
      </c>
      <c r="U575" t="str">
        <f t="shared" si="57"/>
        <v>AUD</v>
      </c>
      <c r="V575" s="7" t="str">
        <f t="shared" si="57"/>
        <v>CAD</v>
      </c>
      <c r="W575" s="7" t="str">
        <f t="shared" si="58"/>
        <v>Germany</v>
      </c>
      <c r="X575" s="7" t="str">
        <f t="shared" si="58"/>
        <v>UAE</v>
      </c>
      <c r="Y575" s="7" t="str" cm="1">
        <f t="array" ref="Y575">IF(H575="",IFERROR(INDEX($H$2:$H$1166,MATCH(MAX(COUNTIF($H$2:$H$1166,$H$2:$H$1166)),COUNTIF($H$2:$H$1166,$H$2:$H$1166),0)),"Unknown"),H575)</f>
        <v>Unverified</v>
      </c>
      <c r="Z575" s="7" t="str">
        <f t="shared" si="59"/>
        <v>External</v>
      </c>
      <c r="AA575" s="7">
        <f>IF(J575="",AVERAGE($J:$J),J575)</f>
        <v>2333.21</v>
      </c>
      <c r="AB575" s="7">
        <f>IF(N575="",AVERAGE($N:$N),N575)</f>
        <v>68</v>
      </c>
      <c r="AC575" s="7">
        <f t="shared" si="60"/>
        <v>2025</v>
      </c>
      <c r="AD575" s="7">
        <f t="shared" si="61"/>
        <v>8</v>
      </c>
      <c r="AE575" s="7">
        <f>COUNTIF(A:A,A575)</f>
        <v>1</v>
      </c>
      <c r="AF575" s="7" t="str">
        <f t="shared" si="62"/>
        <v>No</v>
      </c>
    </row>
    <row r="576" spans="1:32">
      <c r="A576" t="s">
        <v>1909</v>
      </c>
      <c r="B576">
        <v>96288920</v>
      </c>
      <c r="C576" t="s">
        <v>1910</v>
      </c>
      <c r="D576" t="s">
        <v>1911</v>
      </c>
      <c r="E576" t="s">
        <v>3373</v>
      </c>
      <c r="F576" t="s">
        <v>121</v>
      </c>
      <c r="G576" t="s">
        <v>121</v>
      </c>
      <c r="I576" t="s">
        <v>3374</v>
      </c>
      <c r="J576">
        <v>5943.17</v>
      </c>
      <c r="K576" t="s">
        <v>27</v>
      </c>
      <c r="L576" t="s">
        <v>75</v>
      </c>
      <c r="M576" s="1">
        <v>44269.298611111109</v>
      </c>
      <c r="N576">
        <v>62</v>
      </c>
      <c r="O576" t="s">
        <v>54</v>
      </c>
      <c r="P576" t="s">
        <v>37</v>
      </c>
      <c r="Q576" t="s">
        <v>1912</v>
      </c>
      <c r="R576">
        <f t="shared" si="56"/>
        <v>96288920</v>
      </c>
      <c r="S576" t="str" cm="1">
        <f t="array" ref="S576">IF(C576="",IFERROR(INDEX($C$2:$C$1166,MATCH(MAX(COUNTIF($C$2:$C$1166,$C$2:$C$1166)),COUNTIF($C$2:$C$1166,$C$2:$C$1166),0)),"Unknown"),C576)</f>
        <v>Amir Rostova</v>
      </c>
      <c r="T576" s="4" t="str" cm="1">
        <f t="array" ref="T576">IF(D576="",IFERROR(INDEX($D$2:$D$1000,MATCH(MAX(COUNTIF($D$2:$D$1166,$D$2:$D$1166)),COUNTIF($D$2:$D$1166,$D$2:$D$1166),0)),"Unknown"),D576)</f>
        <v>Elizabeth Thomas</v>
      </c>
      <c r="U576" t="str">
        <f t="shared" si="57"/>
        <v>INR</v>
      </c>
      <c r="V576" s="7" t="str">
        <f t="shared" si="57"/>
        <v>INR</v>
      </c>
      <c r="W576" s="7" t="str">
        <f t="shared" si="58"/>
        <v>India</v>
      </c>
      <c r="X576" s="7" t="str">
        <f t="shared" si="58"/>
        <v>South Africa</v>
      </c>
      <c r="Y576" s="7" t="str" cm="1">
        <f t="array" ref="Y576">IF(H576="",IFERROR(INDEX($H$2:$H$1166,MATCH(MAX(COUNTIF($H$2:$H$1166,$H$2:$H$1166)),COUNTIF($H$2:$H$1166,$H$2:$H$1166),0)),"Unknown"),H576)</f>
        <v>Pending</v>
      </c>
      <c r="Z576" s="7" t="str">
        <f t="shared" si="59"/>
        <v>External</v>
      </c>
      <c r="AA576" s="7">
        <f>IF(J576="",AVERAGE($J:$J),J576)</f>
        <v>5943.17</v>
      </c>
      <c r="AB576" s="7">
        <f>IF(N576="",AVERAGE($N:$N),N576)</f>
        <v>62</v>
      </c>
      <c r="AC576" s="7">
        <f t="shared" si="60"/>
        <v>2021</v>
      </c>
      <c r="AD576" s="7">
        <f t="shared" si="61"/>
        <v>3</v>
      </c>
      <c r="AE576" s="7">
        <f>COUNTIF(A:A,A576)</f>
        <v>1</v>
      </c>
      <c r="AF576" s="7" t="str">
        <f t="shared" si="62"/>
        <v>Yes</v>
      </c>
    </row>
    <row r="577" spans="1:32">
      <c r="A577" t="s">
        <v>1913</v>
      </c>
      <c r="B577">
        <v>75963322</v>
      </c>
      <c r="C577" t="s">
        <v>1350</v>
      </c>
      <c r="D577" t="s">
        <v>331</v>
      </c>
      <c r="E577" t="s">
        <v>20</v>
      </c>
      <c r="F577" t="s">
        <v>34</v>
      </c>
      <c r="G577" t="s">
        <v>98</v>
      </c>
      <c r="I577" t="s">
        <v>3376</v>
      </c>
      <c r="J577">
        <v>4228.4399999999996</v>
      </c>
      <c r="K577" t="s">
        <v>27</v>
      </c>
      <c r="L577" t="s">
        <v>75</v>
      </c>
      <c r="M577" s="1">
        <v>45583.267361111109</v>
      </c>
      <c r="N577">
        <v>21</v>
      </c>
      <c r="O577" t="s">
        <v>68</v>
      </c>
      <c r="P577" t="s">
        <v>23</v>
      </c>
      <c r="Q577" t="s">
        <v>1914</v>
      </c>
      <c r="R577">
        <f t="shared" si="56"/>
        <v>75963322</v>
      </c>
      <c r="S577" t="str" cm="1">
        <f t="array" ref="S577">IF(C577="",IFERROR(INDEX($C$2:$C$1166,MATCH(MAX(COUNTIF($C$2:$C$1166,$C$2:$C$1166)),COUNTIF($C$2:$C$1166,$C$2:$C$1166),0)),"Unknown"),C577)</f>
        <v>John Lopez</v>
      </c>
      <c r="T577" s="4" t="str" cm="1">
        <f t="array" ref="T577">IF(D577="",IFERROR(INDEX($D$2:$D$1000,MATCH(MAX(COUNTIF($D$2:$D$1166,$D$2:$D$1166)),COUNTIF($D$2:$D$1166,$D$2:$D$1166),0)),"Unknown"),D577)</f>
        <v>Elena Williams</v>
      </c>
      <c r="U577" t="str">
        <f t="shared" si="57"/>
        <v>CAD</v>
      </c>
      <c r="V577" s="7" t="str">
        <f t="shared" si="57"/>
        <v>JPY</v>
      </c>
      <c r="W577" s="7" t="str">
        <f t="shared" si="58"/>
        <v>UAE</v>
      </c>
      <c r="X577" s="7" t="str">
        <f t="shared" si="58"/>
        <v>France</v>
      </c>
      <c r="Y577" s="7" t="str" cm="1">
        <f t="array" ref="Y577">IF(H577="",IFERROR(INDEX($H$2:$H$1166,MATCH(MAX(COUNTIF($H$2:$H$1166,$H$2:$H$1166)),COUNTIF($H$2:$H$1166,$H$2:$H$1166),0)),"Unknown"),H577)</f>
        <v>Pending</v>
      </c>
      <c r="Z577" s="7" t="str">
        <f t="shared" si="59"/>
        <v>Internal</v>
      </c>
      <c r="AA577" s="7">
        <f>IF(J577="",AVERAGE($J:$J),J577)</f>
        <v>4228.4399999999996</v>
      </c>
      <c r="AB577" s="7">
        <f>IF(N577="",AVERAGE($N:$N),N577)</f>
        <v>21</v>
      </c>
      <c r="AC577" s="7">
        <f t="shared" si="60"/>
        <v>2024</v>
      </c>
      <c r="AD577" s="7">
        <f t="shared" si="61"/>
        <v>10</v>
      </c>
      <c r="AE577" s="7">
        <f>COUNTIF(A:A,A577)</f>
        <v>1</v>
      </c>
      <c r="AF577" s="7" t="str">
        <f t="shared" si="62"/>
        <v>No</v>
      </c>
    </row>
    <row r="578" spans="1:32">
      <c r="A578" t="s">
        <v>1915</v>
      </c>
      <c r="B578">
        <v>97303617</v>
      </c>
      <c r="C578" t="s">
        <v>1916</v>
      </c>
      <c r="D578" t="s">
        <v>1917</v>
      </c>
      <c r="E578" t="s">
        <v>20</v>
      </c>
      <c r="F578" t="s">
        <v>45</v>
      </c>
      <c r="G578" t="s">
        <v>45</v>
      </c>
      <c r="I578" t="s">
        <v>3371</v>
      </c>
      <c r="J578">
        <v>3010.14</v>
      </c>
      <c r="K578" t="s">
        <v>27</v>
      </c>
      <c r="L578" t="s">
        <v>75</v>
      </c>
      <c r="M578" s="1">
        <v>45446.972916666666</v>
      </c>
      <c r="N578">
        <v>79</v>
      </c>
      <c r="O578" t="s">
        <v>23</v>
      </c>
      <c r="P578" t="s">
        <v>127</v>
      </c>
      <c r="Q578" t="s">
        <v>1918</v>
      </c>
      <c r="R578">
        <f t="shared" ref="R578:R641" si="63">IF(B578="",0,B578)</f>
        <v>97303617</v>
      </c>
      <c r="S578" t="str" cm="1">
        <f t="array" ref="S578">IF(C578="",IFERROR(INDEX($C$2:$C$1166,MATCH(MAX(COUNTIF($C$2:$C$1166,$C$2:$C$1166)),COUNTIF($C$2:$C$1166,$C$2:$C$1166),0)),"Unknown"),C578)</f>
        <v xml:space="preserve">  BARBARA ANDERSON </v>
      </c>
      <c r="T578" s="4" t="str" cm="1">
        <f t="array" ref="T578">IF(D578="",IFERROR(INDEX($D$2:$D$1000,MATCH(MAX(COUNTIF($D$2:$D$1166,$D$2:$D$1166)),COUNTIF($D$2:$D$1166,$D$2:$D$1166),0)),"Unknown"),D578)</f>
        <v>John Anderson</v>
      </c>
      <c r="U578" t="str">
        <f t="shared" ref="U578:V641" si="64">TRIM(F578)</f>
        <v>ZAR</v>
      </c>
      <c r="V578" s="7" t="str">
        <f t="shared" si="64"/>
        <v>ZAR</v>
      </c>
      <c r="W578" s="7" t="str">
        <f t="shared" ref="W578:X641" si="65">TRIM(O578)</f>
        <v>France</v>
      </c>
      <c r="X578" s="7" t="str">
        <f t="shared" si="65"/>
        <v>Canada</v>
      </c>
      <c r="Y578" s="7" t="str" cm="1">
        <f t="array" ref="Y578">IF(H578="",IFERROR(INDEX($H$2:$H$1166,MATCH(MAX(COUNTIF($H$2:$H$1166,$H$2:$H$1166)),COUNTIF($H$2:$H$1166,$H$2:$H$1166),0)),"Unknown"),H578)</f>
        <v>Pending</v>
      </c>
      <c r="Z578" s="7" t="str">
        <f t="shared" ref="Z578:Z641" si="66">PROPER(I578)</f>
        <v>Outer-Transaction</v>
      </c>
      <c r="AA578" s="7">
        <f>IF(J578="",AVERAGE($J:$J),J578)</f>
        <v>3010.14</v>
      </c>
      <c r="AB578" s="7">
        <f>IF(N578="",AVERAGE($N:$N),N578)</f>
        <v>79</v>
      </c>
      <c r="AC578" s="7">
        <f t="shared" ref="AC578:AC641" si="67">YEAR(M578)</f>
        <v>2024</v>
      </c>
      <c r="AD578" s="7">
        <f t="shared" ref="AD578:AD641" si="68">MONTH(M578)</f>
        <v>6</v>
      </c>
      <c r="AE578" s="7">
        <f>COUNTIF(A:A,A578)</f>
        <v>1</v>
      </c>
      <c r="AF578" s="7" t="str">
        <f t="shared" ref="AF578:AF641" si="69">IF(E578="","",IF(OR(E578="Yes",E578="Y",E578="TRUE",E578=1),"Yes","No"))</f>
        <v>No</v>
      </c>
    </row>
    <row r="579" spans="1:32">
      <c r="A579" t="s">
        <v>1919</v>
      </c>
      <c r="B579">
        <v>39099216</v>
      </c>
      <c r="D579" t="s">
        <v>1022</v>
      </c>
      <c r="E579" t="s">
        <v>20</v>
      </c>
      <c r="G579" t="s">
        <v>34</v>
      </c>
      <c r="H579" t="s">
        <v>38</v>
      </c>
      <c r="I579" t="s">
        <v>3371</v>
      </c>
      <c r="J579">
        <v>13813.08</v>
      </c>
      <c r="K579" t="s">
        <v>39</v>
      </c>
      <c r="L579" t="s">
        <v>75</v>
      </c>
      <c r="M579" s="1">
        <v>45680.770833333336</v>
      </c>
      <c r="N579">
        <v>82</v>
      </c>
      <c r="O579" t="s">
        <v>68</v>
      </c>
      <c r="P579" t="s">
        <v>36</v>
      </c>
      <c r="Q579" t="s">
        <v>1920</v>
      </c>
      <c r="R579">
        <f t="shared" si="63"/>
        <v>39099216</v>
      </c>
      <c r="S579" t="str" cm="1">
        <f t="array" ref="S579">IF(C579="",IFERROR(INDEX($C$2:$C$1166,MATCH(MAX(COUNTIF($C$2:$C$1166,$C$2:$C$1166)),COUNTIF($C$2:$C$1166,$C$2:$C$1166),0)),"Unknown"),C579)</f>
        <v>Fatima Brown</v>
      </c>
      <c r="T579" s="4" t="str" cm="1">
        <f t="array" ref="T579">IF(D579="",IFERROR(INDEX($D$2:$D$1000,MATCH(MAX(COUNTIF($D$2:$D$1166,$D$2:$D$1166)),COUNTIF($D$2:$D$1166,$D$2:$D$1166),0)),"Unknown"),D579)</f>
        <v>Barbara Smith</v>
      </c>
      <c r="U579" t="str">
        <f t="shared" si="64"/>
        <v/>
      </c>
      <c r="V579" s="7" t="str">
        <f t="shared" si="64"/>
        <v>CAD</v>
      </c>
      <c r="W579" s="7" t="str">
        <f t="shared" si="65"/>
        <v>UAE</v>
      </c>
      <c r="X579" s="7" t="str">
        <f t="shared" si="65"/>
        <v>Germany</v>
      </c>
      <c r="Y579" s="7" t="str" cm="1">
        <f t="array" ref="Y579">IF(H579="",IFERROR(INDEX($H$2:$H$1166,MATCH(MAX(COUNTIF($H$2:$H$1166,$H$2:$H$1166)),COUNTIF($H$2:$H$1166,$H$2:$H$1166),0)),"Unknown"),H579)</f>
        <v>Pending</v>
      </c>
      <c r="Z579" s="7" t="str">
        <f t="shared" si="66"/>
        <v>Outer-Transaction</v>
      </c>
      <c r="AA579" s="7">
        <f>IF(J579="",AVERAGE($J:$J),J579)</f>
        <v>13813.08</v>
      </c>
      <c r="AB579" s="7">
        <f>IF(N579="",AVERAGE($N:$N),N579)</f>
        <v>82</v>
      </c>
      <c r="AC579" s="7">
        <f t="shared" si="67"/>
        <v>2025</v>
      </c>
      <c r="AD579" s="7">
        <f t="shared" si="68"/>
        <v>1</v>
      </c>
      <c r="AE579" s="7">
        <f>COUNTIF(A:A,A579)</f>
        <v>1</v>
      </c>
      <c r="AF579" s="7" t="str">
        <f t="shared" si="69"/>
        <v>No</v>
      </c>
    </row>
    <row r="580" spans="1:32">
      <c r="A580" t="s">
        <v>1921</v>
      </c>
      <c r="B580">
        <v>10001272</v>
      </c>
      <c r="C580" t="s">
        <v>102</v>
      </c>
      <c r="D580" t="s">
        <v>1809</v>
      </c>
      <c r="E580" t="s">
        <v>20</v>
      </c>
      <c r="F580" t="s">
        <v>91</v>
      </c>
      <c r="G580" t="s">
        <v>35</v>
      </c>
      <c r="H580" t="s">
        <v>25</v>
      </c>
      <c r="I580" t="s">
        <v>3378</v>
      </c>
      <c r="J580">
        <v>6268.13</v>
      </c>
      <c r="K580" t="s">
        <v>86</v>
      </c>
      <c r="L580" t="s">
        <v>75</v>
      </c>
      <c r="M580" s="1">
        <v>45431.402777777781</v>
      </c>
      <c r="N580">
        <v>49</v>
      </c>
      <c r="O580" t="s">
        <v>23</v>
      </c>
      <c r="P580" t="s">
        <v>62</v>
      </c>
      <c r="Q580" t="s">
        <v>1922</v>
      </c>
      <c r="R580">
        <f t="shared" si="63"/>
        <v>10001272</v>
      </c>
      <c r="S580" t="str" cm="1">
        <f t="array" ref="S580">IF(C580="",IFERROR(INDEX($C$2:$C$1166,MATCH(MAX(COUNTIF($C$2:$C$1166,$C$2:$C$1166)),COUNTIF($C$2:$C$1166,$C$2:$C$1166),0)),"Unknown"),C580)</f>
        <v>Barbara Anderson</v>
      </c>
      <c r="T580" s="4" t="str" cm="1">
        <f t="array" ref="T580">IF(D580="",IFERROR(INDEX($D$2:$D$1000,MATCH(MAX(COUNTIF($D$2:$D$1166,$D$2:$D$1166)),COUNTIF($D$2:$D$1166,$D$2:$D$1166),0)),"Unknown"),D580)</f>
        <v>Joseph Al-Sayed</v>
      </c>
      <c r="U580" t="str">
        <f t="shared" si="64"/>
        <v>gbp</v>
      </c>
      <c r="V580" s="7" t="str">
        <f t="shared" si="64"/>
        <v>EUR</v>
      </c>
      <c r="W580" s="7" t="str">
        <f t="shared" si="65"/>
        <v>France</v>
      </c>
      <c r="X580" s="7" t="str">
        <f t="shared" si="65"/>
        <v>Australia</v>
      </c>
      <c r="Y580" s="7" t="str" cm="1">
        <f t="array" ref="Y580">IF(H580="",IFERROR(INDEX($H$2:$H$1166,MATCH(MAX(COUNTIF($H$2:$H$1166,$H$2:$H$1166)),COUNTIF($H$2:$H$1166,$H$2:$H$1166),0)),"Unknown"),H580)</f>
        <v>KYC</v>
      </c>
      <c r="Z580" s="7" t="str">
        <f t="shared" si="66"/>
        <v>Inter-Transaction</v>
      </c>
      <c r="AA580" s="7">
        <f>IF(J580="",AVERAGE($J:$J),J580)</f>
        <v>6268.13</v>
      </c>
      <c r="AB580" s="7">
        <f>IF(N580="",AVERAGE($N:$N),N580)</f>
        <v>49</v>
      </c>
      <c r="AC580" s="7">
        <f t="shared" si="67"/>
        <v>2024</v>
      </c>
      <c r="AD580" s="7">
        <f t="shared" si="68"/>
        <v>5</v>
      </c>
      <c r="AE580" s="7">
        <f>COUNTIF(A:A,A580)</f>
        <v>1</v>
      </c>
      <c r="AF580" s="7" t="str">
        <f t="shared" si="69"/>
        <v>No</v>
      </c>
    </row>
    <row r="581" spans="1:32">
      <c r="A581" t="s">
        <v>1923</v>
      </c>
      <c r="B581">
        <v>95457740</v>
      </c>
      <c r="C581" t="s">
        <v>232</v>
      </c>
      <c r="D581" t="s">
        <v>1924</v>
      </c>
      <c r="E581" t="s">
        <v>20</v>
      </c>
      <c r="F581" t="s">
        <v>686</v>
      </c>
      <c r="G581" t="s">
        <v>21</v>
      </c>
      <c r="I581" t="s">
        <v>3378</v>
      </c>
      <c r="J581">
        <v>4058.3</v>
      </c>
      <c r="K581" t="s">
        <v>27</v>
      </c>
      <c r="L581" t="s">
        <v>81</v>
      </c>
      <c r="M581" s="1">
        <v>45494.140277777777</v>
      </c>
      <c r="N581">
        <v>51</v>
      </c>
      <c r="O581" t="s">
        <v>37</v>
      </c>
      <c r="P581" t="s">
        <v>36</v>
      </c>
      <c r="Q581" t="s">
        <v>1925</v>
      </c>
      <c r="R581">
        <f t="shared" si="63"/>
        <v>95457740</v>
      </c>
      <c r="S581" t="str" cm="1">
        <f t="array" ref="S581">IF(C581="",IFERROR(INDEX($C$2:$C$1166,MATCH(MAX(COUNTIF($C$2:$C$1166,$C$2:$C$1166)),COUNTIF($C$2:$C$1166,$C$2:$C$1166),0)),"Unknown"),C581)</f>
        <v>Fatima Velez</v>
      </c>
      <c r="T581" s="4" t="str" cm="1">
        <f t="array" ref="T581">IF(D581="",IFERROR(INDEX($D$2:$D$1000,MATCH(MAX(COUNTIF($D$2:$D$1166,$D$2:$D$1166)),COUNTIF($D$2:$D$1166,$D$2:$D$1166),0)),"Unknown"),D581)</f>
        <v>Lucas Smith</v>
      </c>
      <c r="U581" t="str">
        <f t="shared" si="64"/>
        <v>sgd</v>
      </c>
      <c r="V581" s="7" t="str">
        <f t="shared" si="64"/>
        <v>GBP</v>
      </c>
      <c r="W581" s="7" t="str">
        <f t="shared" si="65"/>
        <v>South Africa</v>
      </c>
      <c r="X581" s="7" t="str">
        <f t="shared" si="65"/>
        <v>Germany</v>
      </c>
      <c r="Y581" s="7" t="str" cm="1">
        <f t="array" ref="Y581">IF(H581="",IFERROR(INDEX($H$2:$H$1166,MATCH(MAX(COUNTIF($H$2:$H$1166,$H$2:$H$1166)),COUNTIF($H$2:$H$1166,$H$2:$H$1166),0)),"Unknown"),H581)</f>
        <v>Pending</v>
      </c>
      <c r="Z581" s="7" t="str">
        <f t="shared" si="66"/>
        <v>Inter-Transaction</v>
      </c>
      <c r="AA581" s="7">
        <f>IF(J581="",AVERAGE($J:$J),J581)</f>
        <v>4058.3</v>
      </c>
      <c r="AB581" s="7">
        <f>IF(N581="",AVERAGE($N:$N),N581)</f>
        <v>51</v>
      </c>
      <c r="AC581" s="7">
        <f t="shared" si="67"/>
        <v>2024</v>
      </c>
      <c r="AD581" s="7">
        <f t="shared" si="68"/>
        <v>7</v>
      </c>
      <c r="AE581" s="7">
        <f>COUNTIF(A:A,A581)</f>
        <v>1</v>
      </c>
      <c r="AF581" s="7" t="str">
        <f t="shared" si="69"/>
        <v>No</v>
      </c>
    </row>
    <row r="582" spans="1:32">
      <c r="A582" t="s">
        <v>1926</v>
      </c>
      <c r="B582">
        <v>65354646</v>
      </c>
      <c r="C582" t="s">
        <v>1050</v>
      </c>
      <c r="D582" t="s">
        <v>618</v>
      </c>
      <c r="E582" t="s">
        <v>20</v>
      </c>
      <c r="F582" t="s">
        <v>35</v>
      </c>
      <c r="G582" t="s">
        <v>53</v>
      </c>
      <c r="H582" t="s">
        <v>74</v>
      </c>
      <c r="I582" t="s">
        <v>3371</v>
      </c>
      <c r="J582">
        <v>10348.23</v>
      </c>
      <c r="K582" t="s">
        <v>86</v>
      </c>
      <c r="L582" t="s">
        <v>28</v>
      </c>
      <c r="M582" s="1">
        <v>44137.591666666667</v>
      </c>
      <c r="N582">
        <v>56</v>
      </c>
      <c r="O582" t="s">
        <v>23</v>
      </c>
      <c r="P582" t="s">
        <v>37</v>
      </c>
      <c r="Q582" t="s">
        <v>1927</v>
      </c>
      <c r="R582">
        <f t="shared" si="63"/>
        <v>65354646</v>
      </c>
      <c r="S582" t="str" cm="1">
        <f t="array" ref="S582">IF(C582="",IFERROR(INDEX($C$2:$C$1166,MATCH(MAX(COUNTIF($C$2:$C$1166,$C$2:$C$1166)),COUNTIF($C$2:$C$1166,$C$2:$C$1166),0)),"Unknown"),C582)</f>
        <v>Linda Smith</v>
      </c>
      <c r="T582" s="4" t="str" cm="1">
        <f t="array" ref="T582">IF(D582="",IFERROR(INDEX($D$2:$D$1000,MATCH(MAX(COUNTIF($D$2:$D$1166,$D$2:$D$1166)),COUNTIF($D$2:$D$1166,$D$2:$D$1166),0)),"Unknown"),D582)</f>
        <v>Christopher Volkov</v>
      </c>
      <c r="U582" t="str">
        <f t="shared" si="64"/>
        <v>EUR</v>
      </c>
      <c r="V582" s="7" t="str">
        <f t="shared" si="64"/>
        <v>AED</v>
      </c>
      <c r="W582" s="7" t="str">
        <f t="shared" si="65"/>
        <v>France</v>
      </c>
      <c r="X582" s="7" t="str">
        <f t="shared" si="65"/>
        <v>South Africa</v>
      </c>
      <c r="Y582" s="7" t="str" cm="1">
        <f t="array" ref="Y582">IF(H582="",IFERROR(INDEX($H$2:$H$1166,MATCH(MAX(COUNTIF($H$2:$H$1166,$H$2:$H$1166)),COUNTIF($H$2:$H$1166,$H$2:$H$1166),0)),"Unknown"),H582)</f>
        <v>Non-KYC</v>
      </c>
      <c r="Z582" s="7" t="str">
        <f t="shared" si="66"/>
        <v>Outer-Transaction</v>
      </c>
      <c r="AA582" s="7">
        <f>IF(J582="",AVERAGE($J:$J),J582)</f>
        <v>10348.23</v>
      </c>
      <c r="AB582" s="7">
        <f>IF(N582="",AVERAGE($N:$N),N582)</f>
        <v>56</v>
      </c>
      <c r="AC582" s="7">
        <f t="shared" si="67"/>
        <v>2020</v>
      </c>
      <c r="AD582" s="7">
        <f t="shared" si="68"/>
        <v>11</v>
      </c>
      <c r="AE582" s="7">
        <f>COUNTIF(A:A,A582)</f>
        <v>1</v>
      </c>
      <c r="AF582" s="7" t="str">
        <f t="shared" si="69"/>
        <v>No</v>
      </c>
    </row>
    <row r="583" spans="1:32">
      <c r="A583" t="s">
        <v>1928</v>
      </c>
      <c r="B583">
        <v>71237842</v>
      </c>
      <c r="C583" t="s">
        <v>593</v>
      </c>
      <c r="D583" t="s">
        <v>865</v>
      </c>
      <c r="E583" t="s">
        <v>20</v>
      </c>
      <c r="F583" t="s">
        <v>34</v>
      </c>
      <c r="G583" t="s">
        <v>22</v>
      </c>
      <c r="H583" t="s">
        <v>56</v>
      </c>
      <c r="I583" t="s">
        <v>3378</v>
      </c>
      <c r="J583">
        <v>7017.59</v>
      </c>
      <c r="K583" t="s">
        <v>57</v>
      </c>
      <c r="L583" t="s">
        <v>75</v>
      </c>
      <c r="M583" s="1">
        <v>44449.042361111111</v>
      </c>
      <c r="N583">
        <v>43</v>
      </c>
      <c r="O583" t="s">
        <v>68</v>
      </c>
      <c r="P583" t="s">
        <v>36</v>
      </c>
      <c r="Q583" t="s">
        <v>1929</v>
      </c>
      <c r="R583">
        <f t="shared" si="63"/>
        <v>71237842</v>
      </c>
      <c r="S583" t="str" cm="1">
        <f t="array" ref="S583">IF(C583="",IFERROR(INDEX($C$2:$C$1166,MATCH(MAX(COUNTIF($C$2:$C$1166,$C$2:$C$1166)),COUNTIF($C$2:$C$1166,$C$2:$C$1166),0)),"Unknown"),C583)</f>
        <v>Amir Thomas</v>
      </c>
      <c r="T583" s="4" t="str" cm="1">
        <f t="array" ref="T583">IF(D583="",IFERROR(INDEX($D$2:$D$1000,MATCH(MAX(COUNTIF($D$2:$D$1166,$D$2:$D$1166)),COUNTIF($D$2:$D$1166,$D$2:$D$1166),0)),"Unknown"),D583)</f>
        <v>Karen Garcia</v>
      </c>
      <c r="U583" t="str">
        <f t="shared" si="64"/>
        <v>CAD</v>
      </c>
      <c r="V583" s="7" t="str">
        <f t="shared" si="64"/>
        <v>BRL</v>
      </c>
      <c r="W583" s="7" t="str">
        <f t="shared" si="65"/>
        <v>UAE</v>
      </c>
      <c r="X583" s="7" t="str">
        <f t="shared" si="65"/>
        <v>Germany</v>
      </c>
      <c r="Y583" s="7" t="str" cm="1">
        <f t="array" ref="Y583">IF(H583="",IFERROR(INDEX($H$2:$H$1166,MATCH(MAX(COUNTIF($H$2:$H$1166,$H$2:$H$1166)),COUNTIF($H$2:$H$1166,$H$2:$H$1166),0)),"Unknown"),H583)</f>
        <v>Unverified</v>
      </c>
      <c r="Z583" s="7" t="str">
        <f t="shared" si="66"/>
        <v>Inter-Transaction</v>
      </c>
      <c r="AA583" s="7">
        <f>IF(J583="",AVERAGE($J:$J),J583)</f>
        <v>7017.59</v>
      </c>
      <c r="AB583" s="7">
        <f>IF(N583="",AVERAGE($N:$N),N583)</f>
        <v>43</v>
      </c>
      <c r="AC583" s="7">
        <f t="shared" si="67"/>
        <v>2021</v>
      </c>
      <c r="AD583" s="7">
        <f t="shared" si="68"/>
        <v>9</v>
      </c>
      <c r="AE583" s="7">
        <f>COUNTIF(A:A,A583)</f>
        <v>1</v>
      </c>
      <c r="AF583" s="7" t="str">
        <f t="shared" si="69"/>
        <v>No</v>
      </c>
    </row>
    <row r="584" spans="1:32">
      <c r="A584" t="s">
        <v>1930</v>
      </c>
      <c r="B584">
        <v>28473928</v>
      </c>
      <c r="C584" t="s">
        <v>1686</v>
      </c>
      <c r="D584" t="s">
        <v>790</v>
      </c>
      <c r="E584" t="s">
        <v>20</v>
      </c>
      <c r="F584" t="s">
        <v>98</v>
      </c>
      <c r="G584" t="s">
        <v>45</v>
      </c>
      <c r="H584" t="s">
        <v>38</v>
      </c>
      <c r="I584" t="s">
        <v>3378</v>
      </c>
      <c r="J584">
        <v>8107.76</v>
      </c>
      <c r="K584" t="s">
        <v>47</v>
      </c>
      <c r="L584" t="s">
        <v>48</v>
      </c>
      <c r="M584" s="1">
        <v>44963.630555555559</v>
      </c>
      <c r="N584">
        <v>51</v>
      </c>
      <c r="O584" t="s">
        <v>23</v>
      </c>
      <c r="P584" t="s">
        <v>93</v>
      </c>
      <c r="Q584" t="s">
        <v>1931</v>
      </c>
      <c r="R584">
        <f t="shared" si="63"/>
        <v>28473928</v>
      </c>
      <c r="S584" t="str" cm="1">
        <f t="array" ref="S584">IF(C584="",IFERROR(INDEX($C$2:$C$1166,MATCH(MAX(COUNTIF($C$2:$C$1166,$C$2:$C$1166)),COUNTIF($C$2:$C$1166,$C$2:$C$1166),0)),"Unknown"),C584)</f>
        <v>Richard Souza</v>
      </c>
      <c r="T584" s="4" t="str" cm="1">
        <f t="array" ref="T584">IF(D584="",IFERROR(INDEX($D$2:$D$1000,MATCH(MAX(COUNTIF($D$2:$D$1166,$D$2:$D$1166)),COUNTIF($D$2:$D$1166,$D$2:$D$1166),0)),"Unknown"),D584)</f>
        <v>Susan Nair</v>
      </c>
      <c r="U584" t="str">
        <f t="shared" si="64"/>
        <v>JPY</v>
      </c>
      <c r="V584" s="7" t="str">
        <f t="shared" si="64"/>
        <v>ZAR</v>
      </c>
      <c r="W584" s="7" t="str">
        <f t="shared" si="65"/>
        <v>France</v>
      </c>
      <c r="X584" s="7" t="str">
        <f t="shared" si="65"/>
        <v>USA</v>
      </c>
      <c r="Y584" s="7" t="str" cm="1">
        <f t="array" ref="Y584">IF(H584="",IFERROR(INDEX($H$2:$H$1166,MATCH(MAX(COUNTIF($H$2:$H$1166,$H$2:$H$1166)),COUNTIF($H$2:$H$1166,$H$2:$H$1166),0)),"Unknown"),H584)</f>
        <v>Pending</v>
      </c>
      <c r="Z584" s="7" t="str">
        <f t="shared" si="66"/>
        <v>Inter-Transaction</v>
      </c>
      <c r="AA584" s="7">
        <f>IF(J584="",AVERAGE($J:$J),J584)</f>
        <v>8107.76</v>
      </c>
      <c r="AB584" s="7">
        <f>IF(N584="",AVERAGE($N:$N),N584)</f>
        <v>51</v>
      </c>
      <c r="AC584" s="7">
        <f t="shared" si="67"/>
        <v>2023</v>
      </c>
      <c r="AD584" s="7">
        <f t="shared" si="68"/>
        <v>2</v>
      </c>
      <c r="AE584" s="7">
        <f>COUNTIF(A:A,A584)</f>
        <v>1</v>
      </c>
      <c r="AF584" s="7" t="str">
        <f t="shared" si="69"/>
        <v>No</v>
      </c>
    </row>
    <row r="585" spans="1:32">
      <c r="A585" t="s">
        <v>1932</v>
      </c>
      <c r="B585">
        <v>10542306</v>
      </c>
      <c r="C585" t="s">
        <v>1933</v>
      </c>
      <c r="D585" t="s">
        <v>1045</v>
      </c>
      <c r="E585" t="b">
        <v>1</v>
      </c>
      <c r="F585" t="s">
        <v>22</v>
      </c>
      <c r="G585" t="s">
        <v>121</v>
      </c>
      <c r="H585" t="s">
        <v>103</v>
      </c>
      <c r="I585" t="s">
        <v>3376</v>
      </c>
      <c r="J585">
        <v>14054.55</v>
      </c>
      <c r="K585" t="s">
        <v>27</v>
      </c>
      <c r="L585" t="s">
        <v>81</v>
      </c>
      <c r="M585" s="1">
        <v>45226.523611111108</v>
      </c>
      <c r="N585">
        <v>71</v>
      </c>
      <c r="O585" t="s">
        <v>37</v>
      </c>
      <c r="P585" t="s">
        <v>36</v>
      </c>
      <c r="Q585" t="s">
        <v>1934</v>
      </c>
      <c r="R585">
        <f t="shared" si="63"/>
        <v>10542306</v>
      </c>
      <c r="S585" t="str" cm="1">
        <f t="array" ref="S585">IF(C585="",IFERROR(INDEX($C$2:$C$1166,MATCH(MAX(COUNTIF($C$2:$C$1166,$C$2:$C$1166)),COUNTIF($C$2:$C$1166,$C$2:$C$1166),0)),"Unknown"),C585)</f>
        <v>David Souza</v>
      </c>
      <c r="T585" s="4" t="str" cm="1">
        <f t="array" ref="T585">IF(D585="",IFERROR(INDEX($D$2:$D$1000,MATCH(MAX(COUNTIF($D$2:$D$1166,$D$2:$D$1166)),COUNTIF($D$2:$D$1166,$D$2:$D$1166),0)),"Unknown"),D585)</f>
        <v>Karen Velez</v>
      </c>
      <c r="U585" t="str">
        <f t="shared" si="64"/>
        <v>BRL</v>
      </c>
      <c r="V585" s="7" t="str">
        <f t="shared" si="64"/>
        <v>INR</v>
      </c>
      <c r="W585" s="7" t="str">
        <f t="shared" si="65"/>
        <v>South Africa</v>
      </c>
      <c r="X585" s="7" t="str">
        <f t="shared" si="65"/>
        <v>Germany</v>
      </c>
      <c r="Y585" s="7" t="str" cm="1">
        <f t="array" ref="Y585">IF(H585="",IFERROR(INDEX($H$2:$H$1166,MATCH(MAX(COUNTIF($H$2:$H$1166,$H$2:$H$1166)),COUNTIF($H$2:$H$1166,$H$2:$H$1166),0)),"Unknown"),H585)</f>
        <v>Verified</v>
      </c>
      <c r="Z585" s="7" t="str">
        <f t="shared" si="66"/>
        <v>Internal</v>
      </c>
      <c r="AA585" s="7">
        <f>IF(J585="",AVERAGE($J:$J),J585)</f>
        <v>14054.55</v>
      </c>
      <c r="AB585" s="7">
        <f>IF(N585="",AVERAGE($N:$N),N585)</f>
        <v>71</v>
      </c>
      <c r="AC585" s="7">
        <f t="shared" si="67"/>
        <v>2023</v>
      </c>
      <c r="AD585" s="7">
        <f t="shared" si="68"/>
        <v>10</v>
      </c>
      <c r="AE585" s="7">
        <f>COUNTIF(A:A,A585)</f>
        <v>1</v>
      </c>
      <c r="AF585" s="7" t="str">
        <f t="shared" si="69"/>
        <v>No</v>
      </c>
    </row>
    <row r="586" spans="1:32">
      <c r="A586" t="s">
        <v>1935</v>
      </c>
      <c r="B586">
        <v>35277376</v>
      </c>
      <c r="C586" t="s">
        <v>1404</v>
      </c>
      <c r="D586" t="s">
        <v>1479</v>
      </c>
      <c r="E586" t="s">
        <v>20</v>
      </c>
      <c r="F586" t="s">
        <v>35</v>
      </c>
      <c r="G586" t="s">
        <v>44</v>
      </c>
      <c r="H586" t="s">
        <v>74</v>
      </c>
      <c r="I586" t="s">
        <v>3376</v>
      </c>
      <c r="J586">
        <v>9577.35</v>
      </c>
      <c r="K586" t="s">
        <v>47</v>
      </c>
      <c r="L586" t="s">
        <v>28</v>
      </c>
      <c r="M586" s="1">
        <v>46235.341666666667</v>
      </c>
      <c r="N586">
        <v>20</v>
      </c>
      <c r="O586" t="s">
        <v>37</v>
      </c>
      <c r="P586" t="s">
        <v>24</v>
      </c>
      <c r="Q586" t="s">
        <v>1936</v>
      </c>
      <c r="R586">
        <f t="shared" si="63"/>
        <v>35277376</v>
      </c>
      <c r="S586" t="str" cm="1">
        <f t="array" ref="S586">IF(C586="",IFERROR(INDEX($C$2:$C$1166,MATCH(MAX(COUNTIF($C$2:$C$1166,$C$2:$C$1166)),COUNTIF($C$2:$C$1166,$C$2:$C$1166),0)),"Unknown"),C586)</f>
        <v>Elena Smith</v>
      </c>
      <c r="T586" s="4" t="str" cm="1">
        <f t="array" ref="T586">IF(D586="",IFERROR(INDEX($D$2:$D$1000,MATCH(MAX(COUNTIF($D$2:$D$1166,$D$2:$D$1166)),COUNTIF($D$2:$D$1166,$D$2:$D$1166),0)),"Unknown"),D586)</f>
        <v>Carlos Silva</v>
      </c>
      <c r="U586" t="str">
        <f t="shared" si="64"/>
        <v>EUR</v>
      </c>
      <c r="V586" s="7" t="str">
        <f t="shared" si="64"/>
        <v>SGD</v>
      </c>
      <c r="W586" s="7" t="str">
        <f t="shared" si="65"/>
        <v>South Africa</v>
      </c>
      <c r="X586" s="7" t="str">
        <f t="shared" si="65"/>
        <v>Brazil</v>
      </c>
      <c r="Y586" s="7" t="str" cm="1">
        <f t="array" ref="Y586">IF(H586="",IFERROR(INDEX($H$2:$H$1166,MATCH(MAX(COUNTIF($H$2:$H$1166,$H$2:$H$1166)),COUNTIF($H$2:$H$1166,$H$2:$H$1166),0)),"Unknown"),H586)</f>
        <v>Non-KYC</v>
      </c>
      <c r="Z586" s="7" t="str">
        <f t="shared" si="66"/>
        <v>Internal</v>
      </c>
      <c r="AA586" s="7">
        <f>IF(J586="",AVERAGE($J:$J),J586)</f>
        <v>9577.35</v>
      </c>
      <c r="AB586" s="7">
        <f>IF(N586="",AVERAGE($N:$N),N586)</f>
        <v>20</v>
      </c>
      <c r="AC586" s="7">
        <f t="shared" si="67"/>
        <v>2026</v>
      </c>
      <c r="AD586" s="7">
        <f t="shared" si="68"/>
        <v>8</v>
      </c>
      <c r="AE586" s="7">
        <f>COUNTIF(A:A,A586)</f>
        <v>1</v>
      </c>
      <c r="AF586" s="7" t="str">
        <f t="shared" si="69"/>
        <v>No</v>
      </c>
    </row>
    <row r="587" spans="1:32">
      <c r="A587" t="s">
        <v>1937</v>
      </c>
      <c r="C587" t="s">
        <v>1505</v>
      </c>
      <c r="D587" t="s">
        <v>1938</v>
      </c>
      <c r="E587" t="s">
        <v>20</v>
      </c>
      <c r="F587" t="s">
        <v>53</v>
      </c>
      <c r="G587" t="s">
        <v>34</v>
      </c>
      <c r="H587" t="s">
        <v>38</v>
      </c>
      <c r="I587" t="s">
        <v>3376</v>
      </c>
      <c r="J587">
        <v>637.70000000000005</v>
      </c>
      <c r="K587" t="s">
        <v>39</v>
      </c>
      <c r="L587" t="s">
        <v>28</v>
      </c>
      <c r="M587" s="1">
        <v>46059.854861111111</v>
      </c>
      <c r="N587">
        <v>67</v>
      </c>
      <c r="O587" t="s">
        <v>93</v>
      </c>
      <c r="P587" t="s">
        <v>54</v>
      </c>
      <c r="Q587" t="s">
        <v>1939</v>
      </c>
      <c r="R587">
        <f t="shared" si="63"/>
        <v>0</v>
      </c>
      <c r="S587" t="str" cm="1">
        <f t="array" ref="S587">IF(C587="",IFERROR(INDEX($C$2:$C$1166,MATCH(MAX(COUNTIF($C$2:$C$1166,$C$2:$C$1166)),COUNTIF($C$2:$C$1166,$C$2:$C$1166),0)),"Unknown"),C587)</f>
        <v>Susan Velez</v>
      </c>
      <c r="T587" s="4" t="str" cm="1">
        <f t="array" ref="T587">IF(D587="",IFERROR(INDEX($D$2:$D$1000,MATCH(MAX(COUNTIF($D$2:$D$1166,$D$2:$D$1166)),COUNTIF($D$2:$D$1166,$D$2:$D$1166),0)),"Unknown"),D587)</f>
        <v>Joseph Smith</v>
      </c>
      <c r="U587" t="str">
        <f t="shared" si="64"/>
        <v>AED</v>
      </c>
      <c r="V587" s="7" t="str">
        <f t="shared" si="64"/>
        <v>CAD</v>
      </c>
      <c r="W587" s="7" t="str">
        <f t="shared" si="65"/>
        <v>USA</v>
      </c>
      <c r="X587" s="7" t="str">
        <f t="shared" si="65"/>
        <v>India</v>
      </c>
      <c r="Y587" s="7" t="str" cm="1">
        <f t="array" ref="Y587">IF(H587="",IFERROR(INDEX($H$2:$H$1166,MATCH(MAX(COUNTIF($H$2:$H$1166,$H$2:$H$1166)),COUNTIF($H$2:$H$1166,$H$2:$H$1166),0)),"Unknown"),H587)</f>
        <v>Pending</v>
      </c>
      <c r="Z587" s="7" t="str">
        <f t="shared" si="66"/>
        <v>Internal</v>
      </c>
      <c r="AA587" s="7">
        <f>IF(J587="",AVERAGE($J:$J),J587)</f>
        <v>637.70000000000005</v>
      </c>
      <c r="AB587" s="7">
        <f>IF(N587="",AVERAGE($N:$N),N587)</f>
        <v>67</v>
      </c>
      <c r="AC587" s="7">
        <f t="shared" si="67"/>
        <v>2026</v>
      </c>
      <c r="AD587" s="7">
        <f t="shared" si="68"/>
        <v>2</v>
      </c>
      <c r="AE587" s="7">
        <f>COUNTIF(A:A,A587)</f>
        <v>1</v>
      </c>
      <c r="AF587" s="7" t="str">
        <f t="shared" si="69"/>
        <v>No</v>
      </c>
    </row>
    <row r="588" spans="1:32">
      <c r="A588" t="s">
        <v>1940</v>
      </c>
      <c r="B588">
        <v>88802545</v>
      </c>
      <c r="C588" t="s">
        <v>1469</v>
      </c>
      <c r="D588" t="s">
        <v>1505</v>
      </c>
      <c r="E588" t="s">
        <v>20</v>
      </c>
      <c r="F588" t="s">
        <v>112</v>
      </c>
      <c r="G588" t="s">
        <v>92</v>
      </c>
      <c r="H588" t="s">
        <v>25</v>
      </c>
      <c r="I588" t="s">
        <v>3371</v>
      </c>
      <c r="J588">
        <v>10866.94</v>
      </c>
      <c r="K588" t="s">
        <v>86</v>
      </c>
      <c r="L588" t="s">
        <v>81</v>
      </c>
      <c r="M588" s="1">
        <v>45210.897916666669</v>
      </c>
      <c r="N588">
        <v>29</v>
      </c>
      <c r="O588" t="s">
        <v>23</v>
      </c>
      <c r="P588" t="s">
        <v>127</v>
      </c>
      <c r="Q588" t="s">
        <v>1941</v>
      </c>
      <c r="R588">
        <f t="shared" si="63"/>
        <v>88802545</v>
      </c>
      <c r="S588" t="str" cm="1">
        <f t="array" ref="S588">IF(C588="",IFERROR(INDEX($C$2:$C$1166,MATCH(MAX(COUNTIF($C$2:$C$1166,$C$2:$C$1166)),COUNTIF($C$2:$C$1166,$C$2:$C$1166),0)),"Unknown"),C588)</f>
        <v>Nancy Volkov</v>
      </c>
      <c r="T588" s="4" t="str" cm="1">
        <f t="array" ref="T588">IF(D588="",IFERROR(INDEX($D$2:$D$1000,MATCH(MAX(COUNTIF($D$2:$D$1166,$D$2:$D$1166)),COUNTIF($D$2:$D$1166,$D$2:$D$1166),0)),"Unknown"),D588)</f>
        <v>Susan Velez</v>
      </c>
      <c r="U588" t="str">
        <f t="shared" si="64"/>
        <v>usd</v>
      </c>
      <c r="V588" s="7" t="str">
        <f t="shared" si="64"/>
        <v>AUD</v>
      </c>
      <c r="W588" s="7" t="str">
        <f t="shared" si="65"/>
        <v>France</v>
      </c>
      <c r="X588" s="7" t="str">
        <f t="shared" si="65"/>
        <v>Canada</v>
      </c>
      <c r="Y588" s="7" t="str" cm="1">
        <f t="array" ref="Y588">IF(H588="",IFERROR(INDEX($H$2:$H$1166,MATCH(MAX(COUNTIF($H$2:$H$1166,$H$2:$H$1166)),COUNTIF($H$2:$H$1166,$H$2:$H$1166),0)),"Unknown"),H588)</f>
        <v>KYC</v>
      </c>
      <c r="Z588" s="7" t="str">
        <f t="shared" si="66"/>
        <v>Outer-Transaction</v>
      </c>
      <c r="AA588" s="7">
        <f>IF(J588="",AVERAGE($J:$J),J588)</f>
        <v>10866.94</v>
      </c>
      <c r="AB588" s="7">
        <f>IF(N588="",AVERAGE($N:$N),N588)</f>
        <v>29</v>
      </c>
      <c r="AC588" s="7">
        <f t="shared" si="67"/>
        <v>2023</v>
      </c>
      <c r="AD588" s="7">
        <f t="shared" si="68"/>
        <v>10</v>
      </c>
      <c r="AE588" s="7">
        <f>COUNTIF(A:A,A588)</f>
        <v>1</v>
      </c>
      <c r="AF588" s="7" t="str">
        <f t="shared" si="69"/>
        <v>No</v>
      </c>
    </row>
    <row r="589" spans="1:32">
      <c r="A589" t="s">
        <v>1942</v>
      </c>
      <c r="B589">
        <v>39065567</v>
      </c>
      <c r="C589" t="s">
        <v>1943</v>
      </c>
      <c r="D589" t="s">
        <v>18</v>
      </c>
      <c r="E589" t="s">
        <v>20</v>
      </c>
      <c r="F589" t="s">
        <v>116</v>
      </c>
      <c r="G589" t="s">
        <v>45</v>
      </c>
      <c r="I589" t="s">
        <v>3376</v>
      </c>
      <c r="J589">
        <v>5828.79</v>
      </c>
      <c r="K589" t="s">
        <v>27</v>
      </c>
      <c r="L589" t="s">
        <v>28</v>
      </c>
      <c r="M589" s="1">
        <v>45530.331944444442</v>
      </c>
      <c r="N589">
        <v>82</v>
      </c>
      <c r="O589" t="s">
        <v>36</v>
      </c>
      <c r="P589" t="s">
        <v>36</v>
      </c>
      <c r="Q589" t="s">
        <v>1944</v>
      </c>
      <c r="R589">
        <f t="shared" si="63"/>
        <v>39065567</v>
      </c>
      <c r="S589" t="str" cm="1">
        <f t="array" ref="S589">IF(C589="",IFERROR(INDEX($C$2:$C$1166,MATCH(MAX(COUNTIF($C$2:$C$1166,$C$2:$C$1166)),COUNTIF($C$2:$C$1166,$C$2:$C$1166),0)),"Unknown"),C589)</f>
        <v>Nancy Wilson</v>
      </c>
      <c r="T589" s="4" t="str" cm="1">
        <f t="array" ref="T589">IF(D589="",IFERROR(INDEX($D$2:$D$1000,MATCH(MAX(COUNTIF($D$2:$D$1166,$D$2:$D$1166)),COUNTIF($D$2:$D$1166,$D$2:$D$1166),0)),"Unknown"),D589)</f>
        <v>Patricia Smith</v>
      </c>
      <c r="U589" t="str">
        <f t="shared" si="64"/>
        <v>CHF</v>
      </c>
      <c r="V589" s="7" t="str">
        <f t="shared" si="64"/>
        <v>ZAR</v>
      </c>
      <c r="W589" s="7" t="str">
        <f t="shared" si="65"/>
        <v>Germany</v>
      </c>
      <c r="X589" s="7" t="str">
        <f t="shared" si="65"/>
        <v>Germany</v>
      </c>
      <c r="Y589" s="7" t="str" cm="1">
        <f t="array" ref="Y589">IF(H589="",IFERROR(INDEX($H$2:$H$1166,MATCH(MAX(COUNTIF($H$2:$H$1166,$H$2:$H$1166)),COUNTIF($H$2:$H$1166,$H$2:$H$1166),0)),"Unknown"),H589)</f>
        <v>Pending</v>
      </c>
      <c r="Z589" s="7" t="str">
        <f t="shared" si="66"/>
        <v>Internal</v>
      </c>
      <c r="AA589" s="7">
        <f>IF(J589="",AVERAGE($J:$J),J589)</f>
        <v>5828.79</v>
      </c>
      <c r="AB589" s="7">
        <f>IF(N589="",AVERAGE($N:$N),N589)</f>
        <v>82</v>
      </c>
      <c r="AC589" s="7">
        <f t="shared" si="67"/>
        <v>2024</v>
      </c>
      <c r="AD589" s="7">
        <f t="shared" si="68"/>
        <v>8</v>
      </c>
      <c r="AE589" s="7">
        <f>COUNTIF(A:A,A589)</f>
        <v>1</v>
      </c>
      <c r="AF589" s="7" t="str">
        <f t="shared" si="69"/>
        <v>No</v>
      </c>
    </row>
    <row r="590" spans="1:32">
      <c r="A590" t="s">
        <v>1945</v>
      </c>
      <c r="B590">
        <v>54481849</v>
      </c>
      <c r="C590" t="s">
        <v>761</v>
      </c>
      <c r="D590" t="s">
        <v>290</v>
      </c>
      <c r="E590" t="s">
        <v>20</v>
      </c>
      <c r="F590" t="s">
        <v>35</v>
      </c>
      <c r="G590" t="s">
        <v>121</v>
      </c>
      <c r="H590" t="s">
        <v>74</v>
      </c>
      <c r="I590" t="s">
        <v>3372</v>
      </c>
      <c r="J590">
        <v>667.68</v>
      </c>
      <c r="K590" t="s">
        <v>47</v>
      </c>
      <c r="L590" t="s">
        <v>48</v>
      </c>
      <c r="M590" s="1">
        <v>45946.365972222222</v>
      </c>
      <c r="N590">
        <v>71</v>
      </c>
      <c r="O590" t="s">
        <v>24</v>
      </c>
      <c r="P590" t="s">
        <v>55</v>
      </c>
      <c r="Q590" t="s">
        <v>1946</v>
      </c>
      <c r="R590">
        <f t="shared" si="63"/>
        <v>54481849</v>
      </c>
      <c r="S590" t="str" cm="1">
        <f t="array" ref="S590">IF(C590="",IFERROR(INDEX($C$2:$C$1166,MATCH(MAX(COUNTIF($C$2:$C$1166,$C$2:$C$1166)),COUNTIF($C$2:$C$1166,$C$2:$C$1166),0)),"Unknown"),C590)</f>
        <v>Jessica Brown</v>
      </c>
      <c r="T590" s="4" t="str" cm="1">
        <f t="array" ref="T590">IF(D590="",IFERROR(INDEX($D$2:$D$1000,MATCH(MAX(COUNTIF($D$2:$D$1166,$D$2:$D$1166)),COUNTIF($D$2:$D$1166,$D$2:$D$1166),0)),"Unknown"),D590)</f>
        <v>Marta Jones</v>
      </c>
      <c r="U590" t="str">
        <f t="shared" si="64"/>
        <v>EUR</v>
      </c>
      <c r="V590" s="7" t="str">
        <f t="shared" si="64"/>
        <v>INR</v>
      </c>
      <c r="W590" s="7" t="str">
        <f t="shared" si="65"/>
        <v>Brazil</v>
      </c>
      <c r="X590" s="7" t="str">
        <f t="shared" si="65"/>
        <v>UK</v>
      </c>
      <c r="Y590" s="7" t="str" cm="1">
        <f t="array" ref="Y590">IF(H590="",IFERROR(INDEX($H$2:$H$1166,MATCH(MAX(COUNTIF($H$2:$H$1166,$H$2:$H$1166)),COUNTIF($H$2:$H$1166,$H$2:$H$1166),0)),"Unknown"),H590)</f>
        <v>Non-KYC</v>
      </c>
      <c r="Z590" s="7" t="str">
        <f t="shared" si="66"/>
        <v>Outer-Transaction</v>
      </c>
      <c r="AA590" s="7">
        <f>IF(J590="",AVERAGE($J:$J),J590)</f>
        <v>667.68</v>
      </c>
      <c r="AB590" s="7">
        <f>IF(N590="",AVERAGE($N:$N),N590)</f>
        <v>71</v>
      </c>
      <c r="AC590" s="7">
        <f t="shared" si="67"/>
        <v>2025</v>
      </c>
      <c r="AD590" s="7">
        <f t="shared" si="68"/>
        <v>10</v>
      </c>
      <c r="AE590" s="7">
        <f>COUNTIF(A:A,A590)</f>
        <v>1</v>
      </c>
      <c r="AF590" s="7" t="str">
        <f t="shared" si="69"/>
        <v>No</v>
      </c>
    </row>
    <row r="591" spans="1:32">
      <c r="A591" t="s">
        <v>1947</v>
      </c>
      <c r="B591">
        <v>28683820</v>
      </c>
      <c r="C591" t="s">
        <v>264</v>
      </c>
      <c r="D591" t="s">
        <v>764</v>
      </c>
      <c r="E591" t="b">
        <v>1</v>
      </c>
      <c r="F591" t="s">
        <v>44</v>
      </c>
      <c r="G591" t="s">
        <v>34</v>
      </c>
      <c r="H591" t="s">
        <v>38</v>
      </c>
      <c r="I591" t="s">
        <v>3377</v>
      </c>
      <c r="J591">
        <v>6285.18</v>
      </c>
      <c r="K591" t="s">
        <v>86</v>
      </c>
      <c r="L591" t="s">
        <v>75</v>
      </c>
      <c r="M591" s="1">
        <v>46170.067361111112</v>
      </c>
      <c r="N591">
        <v>22</v>
      </c>
      <c r="O591" t="s">
        <v>55</v>
      </c>
      <c r="P591" t="s">
        <v>54</v>
      </c>
      <c r="Q591" t="s">
        <v>1948</v>
      </c>
      <c r="R591">
        <f t="shared" si="63"/>
        <v>28683820</v>
      </c>
      <c r="S591" t="str" cm="1">
        <f t="array" ref="S591">IF(C591="",IFERROR(INDEX($C$2:$C$1166,MATCH(MAX(COUNTIF($C$2:$C$1166,$C$2:$C$1166)),COUNTIF($C$2:$C$1166,$C$2:$C$1166),0)),"Unknown"),C591)</f>
        <v>Michael Al-Sayed</v>
      </c>
      <c r="T591" s="4" t="str" cm="1">
        <f t="array" ref="T591">IF(D591="",IFERROR(INDEX($D$2:$D$1000,MATCH(MAX(COUNTIF($D$2:$D$1166,$D$2:$D$1166)),COUNTIF($D$2:$D$1166,$D$2:$D$1166),0)),"Unknown"),D591)</f>
        <v>Nancy Jackson</v>
      </c>
      <c r="U591" t="str">
        <f t="shared" si="64"/>
        <v>SGD</v>
      </c>
      <c r="V591" s="7" t="str">
        <f t="shared" si="64"/>
        <v>CAD</v>
      </c>
      <c r="W591" s="7" t="str">
        <f t="shared" si="65"/>
        <v>UK</v>
      </c>
      <c r="X591" s="7" t="str">
        <f t="shared" si="65"/>
        <v>India</v>
      </c>
      <c r="Y591" s="7" t="str" cm="1">
        <f t="array" ref="Y591">IF(H591="",IFERROR(INDEX($H$2:$H$1166,MATCH(MAX(COUNTIF($H$2:$H$1166,$H$2:$H$1166)),COUNTIF($H$2:$H$1166,$H$2:$H$1166),0)),"Unknown"),H591)</f>
        <v>Pending</v>
      </c>
      <c r="Z591" s="7" t="str">
        <f t="shared" si="66"/>
        <v>Inter-Transaction</v>
      </c>
      <c r="AA591" s="7">
        <f>IF(J591="",AVERAGE($J:$J),J591)</f>
        <v>6285.18</v>
      </c>
      <c r="AB591" s="7">
        <f>IF(N591="",AVERAGE($N:$N),N591)</f>
        <v>22</v>
      </c>
      <c r="AC591" s="7">
        <f t="shared" si="67"/>
        <v>2026</v>
      </c>
      <c r="AD591" s="7">
        <f t="shared" si="68"/>
        <v>5</v>
      </c>
      <c r="AE591" s="7">
        <f>COUNTIF(A:A,A591)</f>
        <v>1</v>
      </c>
      <c r="AF591" s="7" t="str">
        <f t="shared" si="69"/>
        <v>No</v>
      </c>
    </row>
    <row r="592" spans="1:32">
      <c r="A592" t="s">
        <v>1949</v>
      </c>
      <c r="B592">
        <v>42646040</v>
      </c>
      <c r="C592" t="s">
        <v>1088</v>
      </c>
      <c r="D592" t="s">
        <v>1950</v>
      </c>
      <c r="E592" t="b">
        <v>0</v>
      </c>
      <c r="G592" t="s">
        <v>35</v>
      </c>
      <c r="H592" t="s">
        <v>103</v>
      </c>
      <c r="I592" t="s">
        <v>3372</v>
      </c>
      <c r="J592">
        <v>1011.62</v>
      </c>
      <c r="K592" t="s">
        <v>47</v>
      </c>
      <c r="L592" t="s">
        <v>81</v>
      </c>
      <c r="M592" s="1">
        <v>44011.902083333334</v>
      </c>
      <c r="N592">
        <v>74</v>
      </c>
      <c r="O592" t="s">
        <v>37</v>
      </c>
      <c r="P592" t="s">
        <v>54</v>
      </c>
      <c r="Q592" t="s">
        <v>1951</v>
      </c>
      <c r="R592">
        <f t="shared" si="63"/>
        <v>42646040</v>
      </c>
      <c r="S592" t="str" cm="1">
        <f t="array" ref="S592">IF(C592="",IFERROR(INDEX($C$2:$C$1166,MATCH(MAX(COUNTIF($C$2:$C$1166,$C$2:$C$1166)),COUNTIF($C$2:$C$1166,$C$2:$C$1166),0)),"Unknown"),C592)</f>
        <v>Priya Souza</v>
      </c>
      <c r="T592" s="4" t="str" cm="1">
        <f t="array" ref="T592">IF(D592="",IFERROR(INDEX($D$2:$D$1000,MATCH(MAX(COUNTIF($D$2:$D$1166,$D$2:$D$1166)),COUNTIF($D$2:$D$1166,$D$2:$D$1166),0)),"Unknown"),D592)</f>
        <v>Carlos Jones</v>
      </c>
      <c r="U592" t="str">
        <f t="shared" si="64"/>
        <v/>
      </c>
      <c r="V592" s="7" t="str">
        <f t="shared" si="64"/>
        <v>EUR</v>
      </c>
      <c r="W592" s="7" t="str">
        <f t="shared" si="65"/>
        <v>South Africa</v>
      </c>
      <c r="X592" s="7" t="str">
        <f t="shared" si="65"/>
        <v>India</v>
      </c>
      <c r="Y592" s="7" t="str" cm="1">
        <f t="array" ref="Y592">IF(H592="",IFERROR(INDEX($H$2:$H$1166,MATCH(MAX(COUNTIF($H$2:$H$1166,$H$2:$H$1166)),COUNTIF($H$2:$H$1166,$H$2:$H$1166),0)),"Unknown"),H592)</f>
        <v>Verified</v>
      </c>
      <c r="Z592" s="7" t="str">
        <f t="shared" si="66"/>
        <v>Outer-Transaction</v>
      </c>
      <c r="AA592" s="7">
        <f>IF(J592="",AVERAGE($J:$J),J592)</f>
        <v>1011.62</v>
      </c>
      <c r="AB592" s="7">
        <f>IF(N592="",AVERAGE($N:$N),N592)</f>
        <v>74</v>
      </c>
      <c r="AC592" s="7">
        <f t="shared" si="67"/>
        <v>2020</v>
      </c>
      <c r="AD592" s="7">
        <f t="shared" si="68"/>
        <v>6</v>
      </c>
      <c r="AE592" s="7">
        <f>COUNTIF(A:A,A592)</f>
        <v>1</v>
      </c>
      <c r="AF592" s="7" t="str">
        <f t="shared" si="69"/>
        <v>No</v>
      </c>
    </row>
    <row r="593" spans="1:32">
      <c r="A593" t="s">
        <v>1952</v>
      </c>
      <c r="B593">
        <v>11632815</v>
      </c>
      <c r="C593" t="s">
        <v>1662</v>
      </c>
      <c r="D593" t="s">
        <v>1445</v>
      </c>
      <c r="E593" t="s">
        <v>20</v>
      </c>
      <c r="F593" t="s">
        <v>80</v>
      </c>
      <c r="G593" t="s">
        <v>53</v>
      </c>
      <c r="H593" t="s">
        <v>74</v>
      </c>
      <c r="I593" t="s">
        <v>3374</v>
      </c>
      <c r="J593">
        <v>7126.65</v>
      </c>
      <c r="K593" t="s">
        <v>39</v>
      </c>
      <c r="L593" t="s">
        <v>48</v>
      </c>
      <c r="M593" s="1">
        <v>46312.194444444445</v>
      </c>
      <c r="N593">
        <v>34</v>
      </c>
      <c r="O593" t="s">
        <v>127</v>
      </c>
      <c r="P593" t="s">
        <v>36</v>
      </c>
      <c r="Q593" t="s">
        <v>1953</v>
      </c>
      <c r="R593">
        <f t="shared" si="63"/>
        <v>11632815</v>
      </c>
      <c r="S593" t="str" cm="1">
        <f t="array" ref="S593">IF(C593="",IFERROR(INDEX($C$2:$C$1166,MATCH(MAX(COUNTIF($C$2:$C$1166,$C$2:$C$1166)),COUNTIF($C$2:$C$1166,$C$2:$C$1166),0)),"Unknown"),C593)</f>
        <v>Patricia Taylor</v>
      </c>
      <c r="T593" s="4" t="str" cm="1">
        <f t="array" ref="T593">IF(D593="",IFERROR(INDEX($D$2:$D$1000,MATCH(MAX(COUNTIF($D$2:$D$1166,$D$2:$D$1166)),COUNTIF($D$2:$D$1166,$D$2:$D$1166),0)),"Unknown"),D593)</f>
        <v>Marta Rodriguez</v>
      </c>
      <c r="U593" t="str">
        <f t="shared" si="64"/>
        <v>USD</v>
      </c>
      <c r="V593" s="7" t="str">
        <f t="shared" si="64"/>
        <v>AED</v>
      </c>
      <c r="W593" s="7" t="str">
        <f t="shared" si="65"/>
        <v>Canada</v>
      </c>
      <c r="X593" s="7" t="str">
        <f t="shared" si="65"/>
        <v>Germany</v>
      </c>
      <c r="Y593" s="7" t="str" cm="1">
        <f t="array" ref="Y593">IF(H593="",IFERROR(INDEX($H$2:$H$1166,MATCH(MAX(COUNTIF($H$2:$H$1166,$H$2:$H$1166)),COUNTIF($H$2:$H$1166,$H$2:$H$1166),0)),"Unknown"),H593)</f>
        <v>Non-KYC</v>
      </c>
      <c r="Z593" s="7" t="str">
        <f t="shared" si="66"/>
        <v>External</v>
      </c>
      <c r="AA593" s="7">
        <f>IF(J593="",AVERAGE($J:$J),J593)</f>
        <v>7126.65</v>
      </c>
      <c r="AB593" s="7">
        <f>IF(N593="",AVERAGE($N:$N),N593)</f>
        <v>34</v>
      </c>
      <c r="AC593" s="7">
        <f t="shared" si="67"/>
        <v>2026</v>
      </c>
      <c r="AD593" s="7">
        <f t="shared" si="68"/>
        <v>10</v>
      </c>
      <c r="AE593" s="7">
        <f>COUNTIF(A:A,A593)</f>
        <v>1</v>
      </c>
      <c r="AF593" s="7" t="str">
        <f t="shared" si="69"/>
        <v>No</v>
      </c>
    </row>
    <row r="594" spans="1:32">
      <c r="A594" t="s">
        <v>1954</v>
      </c>
      <c r="B594">
        <v>29515608</v>
      </c>
      <c r="C594" t="s">
        <v>139</v>
      </c>
      <c r="D594" t="s">
        <v>1955</v>
      </c>
      <c r="E594" t="s">
        <v>20</v>
      </c>
      <c r="F594" t="s">
        <v>35</v>
      </c>
      <c r="G594" t="s">
        <v>116</v>
      </c>
      <c r="H594" t="s">
        <v>103</v>
      </c>
      <c r="I594" t="s">
        <v>3372</v>
      </c>
      <c r="J594">
        <v>904.5</v>
      </c>
      <c r="K594" t="s">
        <v>39</v>
      </c>
      <c r="L594" t="s">
        <v>28</v>
      </c>
      <c r="M594" s="1">
        <v>45318.027777777781</v>
      </c>
      <c r="N594">
        <v>64</v>
      </c>
      <c r="O594" t="s">
        <v>24</v>
      </c>
      <c r="P594" t="s">
        <v>54</v>
      </c>
      <c r="Q594" t="s">
        <v>1956</v>
      </c>
      <c r="R594">
        <f t="shared" si="63"/>
        <v>29515608</v>
      </c>
      <c r="S594" t="str" cm="1">
        <f t="array" ref="S594">IF(C594="",IFERROR(INDEX($C$2:$C$1166,MATCH(MAX(COUNTIF($C$2:$C$1166,$C$2:$C$1166)),COUNTIF($C$2:$C$1166,$C$2:$C$1166),0)),"Unknown"),C594)</f>
        <v>Zayn Dubois</v>
      </c>
      <c r="T594" s="4" t="str" cm="1">
        <f t="array" ref="T594">IF(D594="",IFERROR(INDEX($D$2:$D$1000,MATCH(MAX(COUNTIF($D$2:$D$1166,$D$2:$D$1166)),COUNTIF($D$2:$D$1166,$D$2:$D$1166),0)),"Unknown"),D594)</f>
        <v>Robert Thomas</v>
      </c>
      <c r="U594" t="str">
        <f t="shared" si="64"/>
        <v>EUR</v>
      </c>
      <c r="V594" s="7" t="str">
        <f t="shared" si="64"/>
        <v>CHF</v>
      </c>
      <c r="W594" s="7" t="str">
        <f t="shared" si="65"/>
        <v>Brazil</v>
      </c>
      <c r="X594" s="7" t="str">
        <f t="shared" si="65"/>
        <v>India</v>
      </c>
      <c r="Y594" s="7" t="str" cm="1">
        <f t="array" ref="Y594">IF(H594="",IFERROR(INDEX($H$2:$H$1166,MATCH(MAX(COUNTIF($H$2:$H$1166,$H$2:$H$1166)),COUNTIF($H$2:$H$1166,$H$2:$H$1166),0)),"Unknown"),H594)</f>
        <v>Verified</v>
      </c>
      <c r="Z594" s="7" t="str">
        <f t="shared" si="66"/>
        <v>Outer-Transaction</v>
      </c>
      <c r="AA594" s="7">
        <f>IF(J594="",AVERAGE($J:$J),J594)</f>
        <v>904.5</v>
      </c>
      <c r="AB594" s="7">
        <f>IF(N594="",AVERAGE($N:$N),N594)</f>
        <v>64</v>
      </c>
      <c r="AC594" s="7">
        <f t="shared" si="67"/>
        <v>2024</v>
      </c>
      <c r="AD594" s="7">
        <f t="shared" si="68"/>
        <v>1</v>
      </c>
      <c r="AE594" s="7">
        <f>COUNTIF(A:A,A594)</f>
        <v>1</v>
      </c>
      <c r="AF594" s="7" t="str">
        <f t="shared" si="69"/>
        <v>No</v>
      </c>
    </row>
    <row r="595" spans="1:32">
      <c r="A595" t="s">
        <v>1957</v>
      </c>
      <c r="B595">
        <v>27089453</v>
      </c>
      <c r="C595" t="s">
        <v>1958</v>
      </c>
      <c r="D595" t="s">
        <v>1872</v>
      </c>
      <c r="E595" t="s">
        <v>20</v>
      </c>
      <c r="F595" t="s">
        <v>45</v>
      </c>
      <c r="G595" t="s">
        <v>45</v>
      </c>
      <c r="H595" t="s">
        <v>25</v>
      </c>
      <c r="I595" t="s">
        <v>3372</v>
      </c>
      <c r="J595">
        <v>1004.35</v>
      </c>
      <c r="K595" t="s">
        <v>86</v>
      </c>
      <c r="L595" t="s">
        <v>48</v>
      </c>
      <c r="M595" s="1">
        <v>44744.412499999999</v>
      </c>
      <c r="N595">
        <v>40</v>
      </c>
      <c r="O595" t="s">
        <v>62</v>
      </c>
      <c r="P595" t="s">
        <v>62</v>
      </c>
      <c r="Q595" t="s">
        <v>1959</v>
      </c>
      <c r="R595">
        <f t="shared" si="63"/>
        <v>27089453</v>
      </c>
      <c r="S595" t="str" cm="1">
        <f t="array" ref="S595">IF(C595="",IFERROR(INDEX($C$2:$C$1166,MATCH(MAX(COUNTIF($C$2:$C$1166,$C$2:$C$1166)),COUNTIF($C$2:$C$1166,$C$2:$C$1166),0)),"Unknown"),C595)</f>
        <v>Sarah Martin</v>
      </c>
      <c r="T595" s="4" t="str" cm="1">
        <f t="array" ref="T595">IF(D595="",IFERROR(INDEX($D$2:$D$1000,MATCH(MAX(COUNTIF($D$2:$D$1166,$D$2:$D$1166)),COUNTIF($D$2:$D$1166,$D$2:$D$1166),0)),"Unknown"),D595)</f>
        <v>Lucas Taylor</v>
      </c>
      <c r="U595" t="str">
        <f t="shared" si="64"/>
        <v>ZAR</v>
      </c>
      <c r="V595" s="7" t="str">
        <f t="shared" si="64"/>
        <v>ZAR</v>
      </c>
      <c r="W595" s="7" t="str">
        <f t="shared" si="65"/>
        <v>Australia</v>
      </c>
      <c r="X595" s="7" t="str">
        <f t="shared" si="65"/>
        <v>Australia</v>
      </c>
      <c r="Y595" s="7" t="str" cm="1">
        <f t="array" ref="Y595">IF(H595="",IFERROR(INDEX($H$2:$H$1166,MATCH(MAX(COUNTIF($H$2:$H$1166,$H$2:$H$1166)),COUNTIF($H$2:$H$1166,$H$2:$H$1166),0)),"Unknown"),H595)</f>
        <v>KYC</v>
      </c>
      <c r="Z595" s="7" t="str">
        <f t="shared" si="66"/>
        <v>Outer-Transaction</v>
      </c>
      <c r="AA595" s="7">
        <f>IF(J595="",AVERAGE($J:$J),J595)</f>
        <v>1004.35</v>
      </c>
      <c r="AB595" s="7">
        <f>IF(N595="",AVERAGE($N:$N),N595)</f>
        <v>40</v>
      </c>
      <c r="AC595" s="7">
        <f t="shared" si="67"/>
        <v>2022</v>
      </c>
      <c r="AD595" s="7">
        <f t="shared" si="68"/>
        <v>7</v>
      </c>
      <c r="AE595" s="7">
        <f>COUNTIF(A:A,A595)</f>
        <v>1</v>
      </c>
      <c r="AF595" s="7" t="str">
        <f t="shared" si="69"/>
        <v>No</v>
      </c>
    </row>
    <row r="596" spans="1:32">
      <c r="A596" t="s">
        <v>1960</v>
      </c>
      <c r="B596">
        <v>53900976</v>
      </c>
      <c r="C596" t="s">
        <v>314</v>
      </c>
      <c r="D596" t="s">
        <v>771</v>
      </c>
      <c r="E596" t="b">
        <v>1</v>
      </c>
      <c r="F596" t="s">
        <v>92</v>
      </c>
      <c r="G596" t="s">
        <v>22</v>
      </c>
      <c r="H596" t="s">
        <v>74</v>
      </c>
      <c r="I596" t="s">
        <v>3372</v>
      </c>
      <c r="J596">
        <v>5062.76</v>
      </c>
      <c r="K596" t="s">
        <v>39</v>
      </c>
      <c r="L596" t="s">
        <v>75</v>
      </c>
      <c r="M596" s="1">
        <v>45388.148611111108</v>
      </c>
      <c r="N596">
        <v>31</v>
      </c>
      <c r="O596" t="s">
        <v>23</v>
      </c>
      <c r="P596" t="s">
        <v>36</v>
      </c>
      <c r="Q596" t="s">
        <v>1961</v>
      </c>
      <c r="R596">
        <f t="shared" si="63"/>
        <v>53900976</v>
      </c>
      <c r="S596" t="str" cm="1">
        <f t="array" ref="S596">IF(C596="",IFERROR(INDEX($C$2:$C$1166,MATCH(MAX(COUNTIF($C$2:$C$1166,$C$2:$C$1166)),COUNTIF($C$2:$C$1166,$C$2:$C$1166),0)),"Unknown"),C596)</f>
        <v>Priya Martinez</v>
      </c>
      <c r="T596" s="4" t="str" cm="1">
        <f t="array" ref="T596">IF(D596="",IFERROR(INDEX($D$2:$D$1000,MATCH(MAX(COUNTIF($D$2:$D$1166,$D$2:$D$1166)),COUNTIF($D$2:$D$1166,$D$2:$D$1166),0)),"Unknown"),D596)</f>
        <v>Zayn Thomas</v>
      </c>
      <c r="U596" t="str">
        <f t="shared" si="64"/>
        <v>AUD</v>
      </c>
      <c r="V596" s="7" t="str">
        <f t="shared" si="64"/>
        <v>BRL</v>
      </c>
      <c r="W596" s="7" t="str">
        <f t="shared" si="65"/>
        <v>France</v>
      </c>
      <c r="X596" s="7" t="str">
        <f t="shared" si="65"/>
        <v>Germany</v>
      </c>
      <c r="Y596" s="7" t="str" cm="1">
        <f t="array" ref="Y596">IF(H596="",IFERROR(INDEX($H$2:$H$1166,MATCH(MAX(COUNTIF($H$2:$H$1166,$H$2:$H$1166)),COUNTIF($H$2:$H$1166,$H$2:$H$1166),0)),"Unknown"),H596)</f>
        <v>Non-KYC</v>
      </c>
      <c r="Z596" s="7" t="str">
        <f t="shared" si="66"/>
        <v>Outer-Transaction</v>
      </c>
      <c r="AA596" s="7">
        <f>IF(J596="",AVERAGE($J:$J),J596)</f>
        <v>5062.76</v>
      </c>
      <c r="AB596" s="7">
        <f>IF(N596="",AVERAGE($N:$N),N596)</f>
        <v>31</v>
      </c>
      <c r="AC596" s="7">
        <f t="shared" si="67"/>
        <v>2024</v>
      </c>
      <c r="AD596" s="7">
        <f t="shared" si="68"/>
        <v>4</v>
      </c>
      <c r="AE596" s="7">
        <f>COUNTIF(A:A,A596)</f>
        <v>1</v>
      </c>
      <c r="AF596" s="7" t="str">
        <f t="shared" si="69"/>
        <v>No</v>
      </c>
    </row>
    <row r="597" spans="1:32">
      <c r="A597" t="s">
        <v>1962</v>
      </c>
      <c r="B597">
        <v>42133709</v>
      </c>
      <c r="C597" t="s">
        <v>1216</v>
      </c>
      <c r="D597" t="s">
        <v>1963</v>
      </c>
      <c r="E597" t="b">
        <v>0</v>
      </c>
      <c r="F597" t="s">
        <v>34</v>
      </c>
      <c r="G597" t="s">
        <v>98</v>
      </c>
      <c r="H597" t="s">
        <v>38</v>
      </c>
      <c r="I597" t="s">
        <v>3371</v>
      </c>
      <c r="J597">
        <v>12035.64</v>
      </c>
      <c r="K597" t="s">
        <v>57</v>
      </c>
      <c r="L597" t="s">
        <v>48</v>
      </c>
      <c r="M597" s="1">
        <v>45944.406944444447</v>
      </c>
      <c r="N597">
        <v>83</v>
      </c>
      <c r="O597" t="s">
        <v>68</v>
      </c>
      <c r="P597" t="s">
        <v>93</v>
      </c>
      <c r="Q597" t="s">
        <v>1964</v>
      </c>
      <c r="R597">
        <f t="shared" si="63"/>
        <v>42133709</v>
      </c>
      <c r="S597" t="str" cm="1">
        <f t="array" ref="S597">IF(C597="",IFERROR(INDEX($C$2:$C$1166,MATCH(MAX(COUNTIF($C$2:$C$1166,$C$2:$C$1166)),COUNTIF($C$2:$C$1166,$C$2:$C$1166),0)),"Unknown"),C597)</f>
        <v>Christopher Miller</v>
      </c>
      <c r="T597" s="4" t="str" cm="1">
        <f t="array" ref="T597">IF(D597="",IFERROR(INDEX($D$2:$D$1000,MATCH(MAX(COUNTIF($D$2:$D$1166,$D$2:$D$1166)),COUNTIF($D$2:$D$1166,$D$2:$D$1166),0)),"Unknown"),D597)</f>
        <v>Susan Martinez</v>
      </c>
      <c r="U597" t="str">
        <f t="shared" si="64"/>
        <v>CAD</v>
      </c>
      <c r="V597" s="7" t="str">
        <f t="shared" si="64"/>
        <v>JPY</v>
      </c>
      <c r="W597" s="7" t="str">
        <f t="shared" si="65"/>
        <v>UAE</v>
      </c>
      <c r="X597" s="7" t="str">
        <f t="shared" si="65"/>
        <v>USA</v>
      </c>
      <c r="Y597" s="7" t="str" cm="1">
        <f t="array" ref="Y597">IF(H597="",IFERROR(INDEX($H$2:$H$1166,MATCH(MAX(COUNTIF($H$2:$H$1166,$H$2:$H$1166)),COUNTIF($H$2:$H$1166,$H$2:$H$1166),0)),"Unknown"),H597)</f>
        <v>Pending</v>
      </c>
      <c r="Z597" s="7" t="str">
        <f t="shared" si="66"/>
        <v>Outer-Transaction</v>
      </c>
      <c r="AA597" s="7">
        <f>IF(J597="",AVERAGE($J:$J),J597)</f>
        <v>12035.64</v>
      </c>
      <c r="AB597" s="7">
        <f>IF(N597="",AVERAGE($N:$N),N597)</f>
        <v>83</v>
      </c>
      <c r="AC597" s="7">
        <f t="shared" si="67"/>
        <v>2025</v>
      </c>
      <c r="AD597" s="7">
        <f t="shared" si="68"/>
        <v>10</v>
      </c>
      <c r="AE597" s="7">
        <f>COUNTIF(A:A,A597)</f>
        <v>1</v>
      </c>
      <c r="AF597" s="7" t="str">
        <f t="shared" si="69"/>
        <v>No</v>
      </c>
    </row>
    <row r="598" spans="1:32">
      <c r="A598" t="s">
        <v>1965</v>
      </c>
      <c r="B598">
        <v>49119248</v>
      </c>
      <c r="C598" t="s">
        <v>1966</v>
      </c>
      <c r="D598" t="s">
        <v>1967</v>
      </c>
      <c r="E598" t="s">
        <v>20</v>
      </c>
      <c r="F598" t="s">
        <v>34</v>
      </c>
      <c r="G598" t="s">
        <v>21</v>
      </c>
      <c r="I598" t="s">
        <v>3372</v>
      </c>
      <c r="J598">
        <v>8065.76</v>
      </c>
      <c r="K598" t="s">
        <v>47</v>
      </c>
      <c r="L598" t="s">
        <v>75</v>
      </c>
      <c r="M598" s="1">
        <v>44875.425694444442</v>
      </c>
      <c r="N598">
        <v>68</v>
      </c>
      <c r="O598" t="s">
        <v>55</v>
      </c>
      <c r="P598" t="s">
        <v>37</v>
      </c>
      <c r="Q598" t="s">
        <v>1968</v>
      </c>
      <c r="R598">
        <f t="shared" si="63"/>
        <v>49119248</v>
      </c>
      <c r="S598" t="str" cm="1">
        <f t="array" ref="S598">IF(C598="",IFERROR(INDEX($C$2:$C$1166,MATCH(MAX(COUNTIF($C$2:$C$1166,$C$2:$C$1166)),COUNTIF($C$2:$C$1166,$C$2:$C$1166),0)),"Unknown"),C598)</f>
        <v>Sanjay Davis</v>
      </c>
      <c r="T598" s="4" t="str" cm="1">
        <f t="array" ref="T598">IF(D598="",IFERROR(INDEX($D$2:$D$1000,MATCH(MAX(COUNTIF($D$2:$D$1166,$D$2:$D$1166)),COUNTIF($D$2:$D$1166,$D$2:$D$1166),0)),"Unknown"),D598)</f>
        <v>William Martin</v>
      </c>
      <c r="U598" t="str">
        <f t="shared" si="64"/>
        <v>CAD</v>
      </c>
      <c r="V598" s="7" t="str">
        <f t="shared" si="64"/>
        <v>GBP</v>
      </c>
      <c r="W598" s="7" t="str">
        <f t="shared" si="65"/>
        <v>UK</v>
      </c>
      <c r="X598" s="7" t="str">
        <f t="shared" si="65"/>
        <v>South Africa</v>
      </c>
      <c r="Y598" s="7" t="str" cm="1">
        <f t="array" ref="Y598">IF(H598="",IFERROR(INDEX($H$2:$H$1166,MATCH(MAX(COUNTIF($H$2:$H$1166,$H$2:$H$1166)),COUNTIF($H$2:$H$1166,$H$2:$H$1166),0)),"Unknown"),H598)</f>
        <v>Pending</v>
      </c>
      <c r="Z598" s="7" t="str">
        <f t="shared" si="66"/>
        <v>Outer-Transaction</v>
      </c>
      <c r="AA598" s="7">
        <f>IF(J598="",AVERAGE($J:$J),J598)</f>
        <v>8065.76</v>
      </c>
      <c r="AB598" s="7">
        <f>IF(N598="",AVERAGE($N:$N),N598)</f>
        <v>68</v>
      </c>
      <c r="AC598" s="7">
        <f t="shared" si="67"/>
        <v>2022</v>
      </c>
      <c r="AD598" s="7">
        <f t="shared" si="68"/>
        <v>11</v>
      </c>
      <c r="AE598" s="7">
        <f>COUNTIF(A:A,A598)</f>
        <v>1</v>
      </c>
      <c r="AF598" s="7" t="str">
        <f t="shared" si="69"/>
        <v>No</v>
      </c>
    </row>
    <row r="599" spans="1:32">
      <c r="A599" t="s">
        <v>1969</v>
      </c>
      <c r="B599">
        <v>76445238</v>
      </c>
      <c r="C599" t="s">
        <v>1970</v>
      </c>
      <c r="D599" t="s">
        <v>1971</v>
      </c>
      <c r="E599" t="s">
        <v>20</v>
      </c>
      <c r="F599" t="s">
        <v>98</v>
      </c>
      <c r="G599" t="s">
        <v>116</v>
      </c>
      <c r="H599" t="s">
        <v>25</v>
      </c>
      <c r="I599" t="s">
        <v>3372</v>
      </c>
      <c r="J599">
        <v>6563.21</v>
      </c>
      <c r="K599" t="s">
        <v>57</v>
      </c>
      <c r="L599" t="s">
        <v>28</v>
      </c>
      <c r="M599" s="1">
        <v>45466.21597222222</v>
      </c>
      <c r="N599">
        <v>55</v>
      </c>
      <c r="O599" t="s">
        <v>127</v>
      </c>
      <c r="P599" t="s">
        <v>24</v>
      </c>
      <c r="Q599" t="s">
        <v>1972</v>
      </c>
      <c r="R599">
        <f t="shared" si="63"/>
        <v>76445238</v>
      </c>
      <c r="S599" t="str" cm="1">
        <f t="array" ref="S599">IF(C599="",IFERROR(INDEX($C$2:$C$1166,MATCH(MAX(COUNTIF($C$2:$C$1166,$C$2:$C$1166)),COUNTIF($C$2:$C$1166,$C$2:$C$1166),0)),"Unknown"),C599)</f>
        <v>Thomas Souza</v>
      </c>
      <c r="T599" s="4" t="str" cm="1">
        <f t="array" ref="T599">IF(D599="",IFERROR(INDEX($D$2:$D$1000,MATCH(MAX(COUNTIF($D$2:$D$1166,$D$2:$D$1166)),COUNTIF($D$2:$D$1166,$D$2:$D$1166),0)),"Unknown"),D599)</f>
        <v>Karen Jackson</v>
      </c>
      <c r="U599" t="str">
        <f t="shared" si="64"/>
        <v>JPY</v>
      </c>
      <c r="V599" s="7" t="str">
        <f t="shared" si="64"/>
        <v>CHF</v>
      </c>
      <c r="W599" s="7" t="str">
        <f t="shared" si="65"/>
        <v>Canada</v>
      </c>
      <c r="X599" s="7" t="str">
        <f t="shared" si="65"/>
        <v>Brazil</v>
      </c>
      <c r="Y599" s="7" t="str" cm="1">
        <f t="array" ref="Y599">IF(H599="",IFERROR(INDEX($H$2:$H$1166,MATCH(MAX(COUNTIF($H$2:$H$1166,$H$2:$H$1166)),COUNTIF($H$2:$H$1166,$H$2:$H$1166),0)),"Unknown"),H599)</f>
        <v>KYC</v>
      </c>
      <c r="Z599" s="7" t="str">
        <f t="shared" si="66"/>
        <v>Outer-Transaction</v>
      </c>
      <c r="AA599" s="7">
        <f>IF(J599="",AVERAGE($J:$J),J599)</f>
        <v>6563.21</v>
      </c>
      <c r="AB599" s="7">
        <f>IF(N599="",AVERAGE($N:$N),N599)</f>
        <v>55</v>
      </c>
      <c r="AC599" s="7">
        <f t="shared" si="67"/>
        <v>2024</v>
      </c>
      <c r="AD599" s="7">
        <f t="shared" si="68"/>
        <v>6</v>
      </c>
      <c r="AE599" s="7">
        <f>COUNTIF(A:A,A599)</f>
        <v>1</v>
      </c>
      <c r="AF599" s="7" t="str">
        <f t="shared" si="69"/>
        <v>No</v>
      </c>
    </row>
    <row r="600" spans="1:32">
      <c r="A600" t="s">
        <v>1973</v>
      </c>
      <c r="B600">
        <v>46025956</v>
      </c>
      <c r="C600" t="s">
        <v>244</v>
      </c>
      <c r="D600" t="s">
        <v>1801</v>
      </c>
      <c r="E600" t="s">
        <v>20</v>
      </c>
      <c r="F600" t="s">
        <v>160</v>
      </c>
      <c r="G600" t="s">
        <v>126</v>
      </c>
      <c r="I600" t="s">
        <v>3378</v>
      </c>
      <c r="J600">
        <v>4269.9799999999996</v>
      </c>
      <c r="K600" t="s">
        <v>47</v>
      </c>
      <c r="L600" t="s">
        <v>48</v>
      </c>
      <c r="M600" s="1">
        <v>46262.511111111111</v>
      </c>
      <c r="N600">
        <v>81</v>
      </c>
      <c r="O600" t="s">
        <v>24</v>
      </c>
      <c r="P600" t="s">
        <v>68</v>
      </c>
      <c r="Q600" t="s">
        <v>1974</v>
      </c>
      <c r="R600">
        <f t="shared" si="63"/>
        <v>46025956</v>
      </c>
      <c r="S600" t="str" cm="1">
        <f t="array" ref="S600">IF(C600="",IFERROR(INDEX($C$2:$C$1166,MATCH(MAX(COUNTIF($C$2:$C$1166,$C$2:$C$1166)),COUNTIF($C$2:$C$1166,$C$2:$C$1166),0)),"Unknown"),C600)</f>
        <v>Michael Silva</v>
      </c>
      <c r="T600" s="4" t="str" cm="1">
        <f t="array" ref="T600">IF(D600="",IFERROR(INDEX($D$2:$D$1000,MATCH(MAX(COUNTIF($D$2:$D$1166,$D$2:$D$1166)),COUNTIF($D$2:$D$1166,$D$2:$D$1166),0)),"Unknown"),D600)</f>
        <v>Patricia Souza</v>
      </c>
      <c r="U600" t="str">
        <f t="shared" si="64"/>
        <v>aud</v>
      </c>
      <c r="V600" s="7" t="str">
        <f t="shared" si="64"/>
        <v>inr</v>
      </c>
      <c r="W600" s="7" t="str">
        <f t="shared" si="65"/>
        <v>Brazil</v>
      </c>
      <c r="X600" s="7" t="str">
        <f t="shared" si="65"/>
        <v>UAE</v>
      </c>
      <c r="Y600" s="7" t="str" cm="1">
        <f t="array" ref="Y600">IF(H600="",IFERROR(INDEX($H$2:$H$1166,MATCH(MAX(COUNTIF($H$2:$H$1166,$H$2:$H$1166)),COUNTIF($H$2:$H$1166,$H$2:$H$1166),0)),"Unknown"),H600)</f>
        <v>Pending</v>
      </c>
      <c r="Z600" s="7" t="str">
        <f t="shared" si="66"/>
        <v>Inter-Transaction</v>
      </c>
      <c r="AA600" s="7">
        <f>IF(J600="",AVERAGE($J:$J),J600)</f>
        <v>4269.9799999999996</v>
      </c>
      <c r="AB600" s="7">
        <f>IF(N600="",AVERAGE($N:$N),N600)</f>
        <v>81</v>
      </c>
      <c r="AC600" s="7">
        <f t="shared" si="67"/>
        <v>2026</v>
      </c>
      <c r="AD600" s="7">
        <f t="shared" si="68"/>
        <v>8</v>
      </c>
      <c r="AE600" s="7">
        <f>COUNTIF(A:A,A600)</f>
        <v>1</v>
      </c>
      <c r="AF600" s="7" t="str">
        <f t="shared" si="69"/>
        <v>No</v>
      </c>
    </row>
    <row r="601" spans="1:32">
      <c r="A601" t="s">
        <v>1975</v>
      </c>
      <c r="B601">
        <v>52509142</v>
      </c>
      <c r="C601" t="s">
        <v>143</v>
      </c>
      <c r="D601" t="s">
        <v>536</v>
      </c>
      <c r="E601" t="s">
        <v>20</v>
      </c>
      <c r="G601" t="s">
        <v>121</v>
      </c>
      <c r="H601" t="s">
        <v>103</v>
      </c>
      <c r="I601" t="s">
        <v>3372</v>
      </c>
      <c r="J601">
        <v>1877.2</v>
      </c>
      <c r="K601" t="s">
        <v>47</v>
      </c>
      <c r="L601" t="s">
        <v>81</v>
      </c>
      <c r="M601" s="1">
        <v>45469.648611111108</v>
      </c>
      <c r="N601">
        <v>55</v>
      </c>
      <c r="O601" t="s">
        <v>23</v>
      </c>
      <c r="P601" t="s">
        <v>23</v>
      </c>
      <c r="Q601" t="s">
        <v>1976</v>
      </c>
      <c r="R601">
        <f t="shared" si="63"/>
        <v>52509142</v>
      </c>
      <c r="S601" t="str" cm="1">
        <f t="array" ref="S601">IF(C601="",IFERROR(INDEX($C$2:$C$1166,MATCH(MAX(COUNTIF($C$2:$C$1166,$C$2:$C$1166)),COUNTIF($C$2:$C$1166,$C$2:$C$1166),0)),"Unknown"),C601)</f>
        <v>Jean-Pierre Davis</v>
      </c>
      <c r="T601" s="4" t="str" cm="1">
        <f t="array" ref="T601">IF(D601="",IFERROR(INDEX($D$2:$D$1000,MATCH(MAX(COUNTIF($D$2:$D$1166,$D$2:$D$1166)),COUNTIF($D$2:$D$1166,$D$2:$D$1166),0)),"Unknown"),D601)</f>
        <v>Linda Silva</v>
      </c>
      <c r="U601" t="str">
        <f t="shared" si="64"/>
        <v/>
      </c>
      <c r="V601" s="7" t="str">
        <f t="shared" si="64"/>
        <v>INR</v>
      </c>
      <c r="W601" s="7" t="str">
        <f t="shared" si="65"/>
        <v>France</v>
      </c>
      <c r="X601" s="7" t="str">
        <f t="shared" si="65"/>
        <v>France</v>
      </c>
      <c r="Y601" s="7" t="str" cm="1">
        <f t="array" ref="Y601">IF(H601="",IFERROR(INDEX($H$2:$H$1166,MATCH(MAX(COUNTIF($H$2:$H$1166,$H$2:$H$1166)),COUNTIF($H$2:$H$1166,$H$2:$H$1166),0)),"Unknown"),H601)</f>
        <v>Verified</v>
      </c>
      <c r="Z601" s="7" t="str">
        <f t="shared" si="66"/>
        <v>Outer-Transaction</v>
      </c>
      <c r="AA601" s="7">
        <f>IF(J601="",AVERAGE($J:$J),J601)</f>
        <v>1877.2</v>
      </c>
      <c r="AB601" s="7">
        <f>IF(N601="",AVERAGE($N:$N),N601)</f>
        <v>55</v>
      </c>
      <c r="AC601" s="7">
        <f t="shared" si="67"/>
        <v>2024</v>
      </c>
      <c r="AD601" s="7">
        <f t="shared" si="68"/>
        <v>6</v>
      </c>
      <c r="AE601" s="7">
        <f>COUNTIF(A:A,A601)</f>
        <v>1</v>
      </c>
      <c r="AF601" s="7" t="str">
        <f t="shared" si="69"/>
        <v>No</v>
      </c>
    </row>
    <row r="602" spans="1:32">
      <c r="A602" t="s">
        <v>1977</v>
      </c>
      <c r="B602">
        <v>68410653</v>
      </c>
      <c r="C602" t="s">
        <v>1978</v>
      </c>
      <c r="D602" t="s">
        <v>1979</v>
      </c>
      <c r="E602" t="s">
        <v>3375</v>
      </c>
      <c r="F602" t="s">
        <v>121</v>
      </c>
      <c r="G602" t="s">
        <v>121</v>
      </c>
      <c r="I602" t="s">
        <v>3376</v>
      </c>
      <c r="J602">
        <v>11262.91</v>
      </c>
      <c r="K602" t="s">
        <v>86</v>
      </c>
      <c r="L602" t="s">
        <v>75</v>
      </c>
      <c r="M602" s="1">
        <v>45413.048611111109</v>
      </c>
      <c r="N602">
        <v>67</v>
      </c>
      <c r="O602" t="s">
        <v>93</v>
      </c>
      <c r="P602" t="s">
        <v>54</v>
      </c>
      <c r="Q602" t="s">
        <v>1980</v>
      </c>
      <c r="R602">
        <f t="shared" si="63"/>
        <v>68410653</v>
      </c>
      <c r="S602" t="str" cm="1">
        <f t="array" ref="S602">IF(C602="",IFERROR(INDEX($C$2:$C$1166,MATCH(MAX(COUNTIF($C$2:$C$1166,$C$2:$C$1166)),COUNTIF($C$2:$C$1166,$C$2:$C$1166),0)),"Unknown"),C602)</f>
        <v>Christopher Malik</v>
      </c>
      <c r="T602" s="4" t="str" cm="1">
        <f t="array" ref="T602">IF(D602="",IFERROR(INDEX($D$2:$D$1000,MATCH(MAX(COUNTIF($D$2:$D$1166,$D$2:$D$1166)),COUNTIF($D$2:$D$1166,$D$2:$D$1166),0)),"Unknown"),D602)</f>
        <v>Nancy Malik</v>
      </c>
      <c r="U602" t="str">
        <f t="shared" si="64"/>
        <v>INR</v>
      </c>
      <c r="V602" s="7" t="str">
        <f t="shared" si="64"/>
        <v>INR</v>
      </c>
      <c r="W602" s="7" t="str">
        <f t="shared" si="65"/>
        <v>USA</v>
      </c>
      <c r="X602" s="7" t="str">
        <f t="shared" si="65"/>
        <v>India</v>
      </c>
      <c r="Y602" s="7" t="str" cm="1">
        <f t="array" ref="Y602">IF(H602="",IFERROR(INDEX($H$2:$H$1166,MATCH(MAX(COUNTIF($H$2:$H$1166,$H$2:$H$1166)),COUNTIF($H$2:$H$1166,$H$2:$H$1166),0)),"Unknown"),H602)</f>
        <v>Pending</v>
      </c>
      <c r="Z602" s="7" t="str">
        <f t="shared" si="66"/>
        <v>Internal</v>
      </c>
      <c r="AA602" s="7">
        <f>IF(J602="",AVERAGE($J:$J),J602)</f>
        <v>11262.91</v>
      </c>
      <c r="AB602" s="7">
        <f>IF(N602="",AVERAGE($N:$N),N602)</f>
        <v>67</v>
      </c>
      <c r="AC602" s="7">
        <f t="shared" si="67"/>
        <v>2024</v>
      </c>
      <c r="AD602" s="7">
        <f t="shared" si="68"/>
        <v>5</v>
      </c>
      <c r="AE602" s="7">
        <f>COUNTIF(A:A,A602)</f>
        <v>1</v>
      </c>
      <c r="AF602" s="7" t="str">
        <f t="shared" si="69"/>
        <v>No</v>
      </c>
    </row>
    <row r="603" spans="1:32">
      <c r="A603" t="s">
        <v>1981</v>
      </c>
      <c r="B603">
        <v>69349666</v>
      </c>
      <c r="C603" t="s">
        <v>1130</v>
      </c>
      <c r="D603" t="s">
        <v>995</v>
      </c>
      <c r="E603" t="s">
        <v>20</v>
      </c>
      <c r="F603" t="s">
        <v>116</v>
      </c>
      <c r="G603" t="s">
        <v>22</v>
      </c>
      <c r="H603" t="s">
        <v>103</v>
      </c>
      <c r="I603" t="s">
        <v>3371</v>
      </c>
      <c r="J603">
        <v>10726.86</v>
      </c>
      <c r="K603" t="s">
        <v>47</v>
      </c>
      <c r="L603" t="s">
        <v>81</v>
      </c>
      <c r="M603" s="1">
        <v>45917.334722222222</v>
      </c>
      <c r="N603">
        <v>47</v>
      </c>
      <c r="O603" t="s">
        <v>62</v>
      </c>
      <c r="P603" t="s">
        <v>93</v>
      </c>
      <c r="Q603" t="s">
        <v>1982</v>
      </c>
      <c r="R603">
        <f t="shared" si="63"/>
        <v>69349666</v>
      </c>
      <c r="S603" t="str" cm="1">
        <f t="array" ref="S603">IF(C603="",IFERROR(INDEX($C$2:$C$1166,MATCH(MAX(COUNTIF($C$2:$C$1166,$C$2:$C$1166)),COUNTIF($C$2:$C$1166,$C$2:$C$1166),0)),"Unknown"),C603)</f>
        <v>Nancy Miller</v>
      </c>
      <c r="T603" s="4" t="str" cm="1">
        <f t="array" ref="T603">IF(D603="",IFERROR(INDEX($D$2:$D$1000,MATCH(MAX(COUNTIF($D$2:$D$1166,$D$2:$D$1166)),COUNTIF($D$2:$D$1166,$D$2:$D$1166),0)),"Unknown"),D603)</f>
        <v>Susan Jones</v>
      </c>
      <c r="U603" t="str">
        <f t="shared" si="64"/>
        <v>CHF</v>
      </c>
      <c r="V603" s="7" t="str">
        <f t="shared" si="64"/>
        <v>BRL</v>
      </c>
      <c r="W603" s="7" t="str">
        <f t="shared" si="65"/>
        <v>Australia</v>
      </c>
      <c r="X603" s="7" t="str">
        <f t="shared" si="65"/>
        <v>USA</v>
      </c>
      <c r="Y603" s="7" t="str" cm="1">
        <f t="array" ref="Y603">IF(H603="",IFERROR(INDEX($H$2:$H$1166,MATCH(MAX(COUNTIF($H$2:$H$1166,$H$2:$H$1166)),COUNTIF($H$2:$H$1166,$H$2:$H$1166),0)),"Unknown"),H603)</f>
        <v>Verified</v>
      </c>
      <c r="Z603" s="7" t="str">
        <f t="shared" si="66"/>
        <v>Outer-Transaction</v>
      </c>
      <c r="AA603" s="7">
        <f>IF(J603="",AVERAGE($J:$J),J603)</f>
        <v>10726.86</v>
      </c>
      <c r="AB603" s="7">
        <f>IF(N603="",AVERAGE($N:$N),N603)</f>
        <v>47</v>
      </c>
      <c r="AC603" s="7">
        <f t="shared" si="67"/>
        <v>2025</v>
      </c>
      <c r="AD603" s="7">
        <f t="shared" si="68"/>
        <v>9</v>
      </c>
      <c r="AE603" s="7">
        <f>COUNTIF(A:A,A603)</f>
        <v>1</v>
      </c>
      <c r="AF603" s="7" t="str">
        <f t="shared" si="69"/>
        <v>No</v>
      </c>
    </row>
    <row r="604" spans="1:32">
      <c r="A604" t="s">
        <v>1983</v>
      </c>
      <c r="B604">
        <v>56329832</v>
      </c>
      <c r="C604" t="s">
        <v>326</v>
      </c>
      <c r="D604" t="s">
        <v>167</v>
      </c>
      <c r="E604" t="s">
        <v>20</v>
      </c>
      <c r="F604" t="s">
        <v>44</v>
      </c>
      <c r="G604" t="s">
        <v>92</v>
      </c>
      <c r="H604" t="s">
        <v>56</v>
      </c>
      <c r="I604" t="s">
        <v>3371</v>
      </c>
      <c r="J604">
        <v>2536.44</v>
      </c>
      <c r="K604" t="s">
        <v>27</v>
      </c>
      <c r="L604" t="s">
        <v>48</v>
      </c>
      <c r="M604" s="1">
        <v>45139.72152777778</v>
      </c>
      <c r="N604">
        <v>68</v>
      </c>
      <c r="O604" t="s">
        <v>55</v>
      </c>
      <c r="P604" t="s">
        <v>127</v>
      </c>
      <c r="Q604" t="s">
        <v>1984</v>
      </c>
      <c r="R604">
        <f t="shared" si="63"/>
        <v>56329832</v>
      </c>
      <c r="S604" t="str" cm="1">
        <f t="array" ref="S604">IF(C604="",IFERROR(INDEX($C$2:$C$1166,MATCH(MAX(COUNTIF($C$2:$C$1166,$C$2:$C$1166)),COUNTIF($C$2:$C$1166,$C$2:$C$1166),0)),"Unknown"),C604)</f>
        <v>Susan Gonzalez</v>
      </c>
      <c r="T604" s="4" t="str" cm="1">
        <f t="array" ref="T604">IF(D604="",IFERROR(INDEX($D$2:$D$1000,MATCH(MAX(COUNTIF($D$2:$D$1166,$D$2:$D$1166)),COUNTIF($D$2:$D$1166,$D$2:$D$1166),0)),"Unknown"),D604)</f>
        <v>John Thomas</v>
      </c>
      <c r="U604" t="str">
        <f t="shared" si="64"/>
        <v>SGD</v>
      </c>
      <c r="V604" s="7" t="str">
        <f t="shared" si="64"/>
        <v>AUD</v>
      </c>
      <c r="W604" s="7" t="str">
        <f t="shared" si="65"/>
        <v>UK</v>
      </c>
      <c r="X604" s="7" t="str">
        <f t="shared" si="65"/>
        <v>Canada</v>
      </c>
      <c r="Y604" s="7" t="str" cm="1">
        <f t="array" ref="Y604">IF(H604="",IFERROR(INDEX($H$2:$H$1166,MATCH(MAX(COUNTIF($H$2:$H$1166,$H$2:$H$1166)),COUNTIF($H$2:$H$1166,$H$2:$H$1166),0)),"Unknown"),H604)</f>
        <v>Unverified</v>
      </c>
      <c r="Z604" s="7" t="str">
        <f t="shared" si="66"/>
        <v>Outer-Transaction</v>
      </c>
      <c r="AA604" s="7">
        <f>IF(J604="",AVERAGE($J:$J),J604)</f>
        <v>2536.44</v>
      </c>
      <c r="AB604" s="7">
        <f>IF(N604="",AVERAGE($N:$N),N604)</f>
        <v>68</v>
      </c>
      <c r="AC604" s="7">
        <f t="shared" si="67"/>
        <v>2023</v>
      </c>
      <c r="AD604" s="7">
        <f t="shared" si="68"/>
        <v>8</v>
      </c>
      <c r="AE604" s="7">
        <f>COUNTIF(A:A,A604)</f>
        <v>1</v>
      </c>
      <c r="AF604" s="7" t="str">
        <f t="shared" si="69"/>
        <v>No</v>
      </c>
    </row>
    <row r="605" spans="1:32">
      <c r="A605" t="s">
        <v>1985</v>
      </c>
      <c r="B605">
        <v>43606927</v>
      </c>
      <c r="C605" t="s">
        <v>391</v>
      </c>
      <c r="D605" t="s">
        <v>1986</v>
      </c>
      <c r="E605" t="s">
        <v>33</v>
      </c>
      <c r="F605" t="s">
        <v>53</v>
      </c>
      <c r="G605" t="s">
        <v>21</v>
      </c>
      <c r="I605" t="s">
        <v>3377</v>
      </c>
      <c r="J605">
        <v>3484.92</v>
      </c>
      <c r="K605" t="s">
        <v>86</v>
      </c>
      <c r="L605" t="s">
        <v>28</v>
      </c>
      <c r="M605" s="1">
        <v>44652.592361111114</v>
      </c>
      <c r="N605">
        <v>80</v>
      </c>
      <c r="O605" t="s">
        <v>36</v>
      </c>
      <c r="P605" t="s">
        <v>127</v>
      </c>
      <c r="Q605" t="s">
        <v>1987</v>
      </c>
      <c r="R605">
        <f t="shared" si="63"/>
        <v>43606927</v>
      </c>
      <c r="S605" t="str" cm="1">
        <f t="array" ref="S605">IF(C605="",IFERROR(INDEX($C$2:$C$1166,MATCH(MAX(COUNTIF($C$2:$C$1166,$C$2:$C$1166)),COUNTIF($C$2:$C$1166,$C$2:$C$1166),0)),"Unknown"),C605)</f>
        <v>Robert Taylor</v>
      </c>
      <c r="T605" s="4" t="str" cm="1">
        <f t="array" ref="T605">IF(D605="",IFERROR(INDEX($D$2:$D$1000,MATCH(MAX(COUNTIF($D$2:$D$1166,$D$2:$D$1166)),COUNTIF($D$2:$D$1166,$D$2:$D$1166),0)),"Unknown"),D605)</f>
        <v>Priya Rodriguez</v>
      </c>
      <c r="U605" t="str">
        <f t="shared" si="64"/>
        <v>AED</v>
      </c>
      <c r="V605" s="7" t="str">
        <f t="shared" si="64"/>
        <v>GBP</v>
      </c>
      <c r="W605" s="7" t="str">
        <f t="shared" si="65"/>
        <v>Germany</v>
      </c>
      <c r="X605" s="7" t="str">
        <f t="shared" si="65"/>
        <v>Canada</v>
      </c>
      <c r="Y605" s="7" t="str" cm="1">
        <f t="array" ref="Y605">IF(H605="",IFERROR(INDEX($H$2:$H$1166,MATCH(MAX(COUNTIF($H$2:$H$1166,$H$2:$H$1166)),COUNTIF($H$2:$H$1166,$H$2:$H$1166),0)),"Unknown"),H605)</f>
        <v>Pending</v>
      </c>
      <c r="Z605" s="7" t="str">
        <f t="shared" si="66"/>
        <v>Inter-Transaction</v>
      </c>
      <c r="AA605" s="7">
        <f>IF(J605="",AVERAGE($J:$J),J605)</f>
        <v>3484.92</v>
      </c>
      <c r="AB605" s="7">
        <f>IF(N605="",AVERAGE($N:$N),N605)</f>
        <v>80</v>
      </c>
      <c r="AC605" s="7">
        <f t="shared" si="67"/>
        <v>2022</v>
      </c>
      <c r="AD605" s="7">
        <f t="shared" si="68"/>
        <v>4</v>
      </c>
      <c r="AE605" s="7">
        <f>COUNTIF(A:A,A605)</f>
        <v>1</v>
      </c>
      <c r="AF605" s="7" t="str">
        <f t="shared" si="69"/>
        <v>Yes</v>
      </c>
    </row>
    <row r="606" spans="1:32">
      <c r="A606" t="s">
        <v>1988</v>
      </c>
      <c r="C606" t="s">
        <v>61</v>
      </c>
      <c r="D606" t="s">
        <v>1989</v>
      </c>
      <c r="E606" t="s">
        <v>20</v>
      </c>
      <c r="F606" t="s">
        <v>21</v>
      </c>
      <c r="G606" t="s">
        <v>98</v>
      </c>
      <c r="H606" t="s">
        <v>74</v>
      </c>
      <c r="I606" t="s">
        <v>3371</v>
      </c>
      <c r="J606">
        <v>11805.76</v>
      </c>
      <c r="K606" t="s">
        <v>57</v>
      </c>
      <c r="L606" t="s">
        <v>48</v>
      </c>
      <c r="M606" s="1">
        <v>44432.074999999997</v>
      </c>
      <c r="N606">
        <v>69</v>
      </c>
      <c r="O606" t="s">
        <v>93</v>
      </c>
      <c r="P606" t="s">
        <v>23</v>
      </c>
      <c r="Q606" t="s">
        <v>1990</v>
      </c>
      <c r="R606">
        <f t="shared" si="63"/>
        <v>0</v>
      </c>
      <c r="S606" t="str" cm="1">
        <f t="array" ref="S606">IF(C606="",IFERROR(INDEX($C$2:$C$1166,MATCH(MAX(COUNTIF($C$2:$C$1166,$C$2:$C$1166)),COUNTIF($C$2:$C$1166,$C$2:$C$1166),0)),"Unknown"),C606)</f>
        <v>Robert Dubois</v>
      </c>
      <c r="T606" s="4" t="str" cm="1">
        <f t="array" ref="T606">IF(D606="",IFERROR(INDEX($D$2:$D$1000,MATCH(MAX(COUNTIF($D$2:$D$1166,$D$2:$D$1166)),COUNTIF($D$2:$D$1166,$D$2:$D$1166),0)),"Unknown"),D606)</f>
        <v>Patricia Rodriguez</v>
      </c>
      <c r="U606" t="str">
        <f t="shared" si="64"/>
        <v>GBP</v>
      </c>
      <c r="V606" s="7" t="str">
        <f t="shared" si="64"/>
        <v>JPY</v>
      </c>
      <c r="W606" s="7" t="str">
        <f t="shared" si="65"/>
        <v>USA</v>
      </c>
      <c r="X606" s="7" t="str">
        <f t="shared" si="65"/>
        <v>France</v>
      </c>
      <c r="Y606" s="7" t="str" cm="1">
        <f t="array" ref="Y606">IF(H606="",IFERROR(INDEX($H$2:$H$1166,MATCH(MAX(COUNTIF($H$2:$H$1166,$H$2:$H$1166)),COUNTIF($H$2:$H$1166,$H$2:$H$1166),0)),"Unknown"),H606)</f>
        <v>Non-KYC</v>
      </c>
      <c r="Z606" s="7" t="str">
        <f t="shared" si="66"/>
        <v>Outer-Transaction</v>
      </c>
      <c r="AA606" s="7">
        <f>IF(J606="",AVERAGE($J:$J),J606)</f>
        <v>11805.76</v>
      </c>
      <c r="AB606" s="7">
        <f>IF(N606="",AVERAGE($N:$N),N606)</f>
        <v>69</v>
      </c>
      <c r="AC606" s="7">
        <f t="shared" si="67"/>
        <v>2021</v>
      </c>
      <c r="AD606" s="7">
        <f t="shared" si="68"/>
        <v>8</v>
      </c>
      <c r="AE606" s="7">
        <f>COUNTIF(A:A,A606)</f>
        <v>1</v>
      </c>
      <c r="AF606" s="7" t="str">
        <f t="shared" si="69"/>
        <v>No</v>
      </c>
    </row>
    <row r="607" spans="1:32">
      <c r="A607" t="s">
        <v>1991</v>
      </c>
      <c r="B607">
        <v>27755795</v>
      </c>
      <c r="C607" t="s">
        <v>208</v>
      </c>
      <c r="D607" t="s">
        <v>1992</v>
      </c>
      <c r="E607" t="s">
        <v>20</v>
      </c>
      <c r="F607" t="s">
        <v>53</v>
      </c>
      <c r="G607" t="s">
        <v>44</v>
      </c>
      <c r="H607" t="s">
        <v>25</v>
      </c>
      <c r="I607" t="s">
        <v>3377</v>
      </c>
      <c r="J607">
        <v>14743.02</v>
      </c>
      <c r="K607" t="s">
        <v>47</v>
      </c>
      <c r="L607" t="s">
        <v>28</v>
      </c>
      <c r="M607" s="1">
        <v>45451.895833333336</v>
      </c>
      <c r="N607">
        <v>55</v>
      </c>
      <c r="O607" t="s">
        <v>127</v>
      </c>
      <c r="P607" t="s">
        <v>24</v>
      </c>
      <c r="Q607" t="s">
        <v>1993</v>
      </c>
      <c r="R607">
        <f t="shared" si="63"/>
        <v>27755795</v>
      </c>
      <c r="S607" t="str" cm="1">
        <f t="array" ref="S607">IF(C607="",IFERROR(INDEX($C$2:$C$1166,MATCH(MAX(COUNTIF($C$2:$C$1166,$C$2:$C$1166)),COUNTIF($C$2:$C$1166,$C$2:$C$1166),0)),"Unknown"),C607)</f>
        <v>Elizabeth Malik</v>
      </c>
      <c r="T607" s="4" t="str" cm="1">
        <f t="array" ref="T607">IF(D607="",IFERROR(INDEX($D$2:$D$1000,MATCH(MAX(COUNTIF($D$2:$D$1166,$D$2:$D$1166)),COUNTIF($D$2:$D$1166,$D$2:$D$1166),0)),"Unknown"),D607)</f>
        <v>Nancy Khan</v>
      </c>
      <c r="U607" t="str">
        <f t="shared" si="64"/>
        <v>AED</v>
      </c>
      <c r="V607" s="7" t="str">
        <f t="shared" si="64"/>
        <v>SGD</v>
      </c>
      <c r="W607" s="7" t="str">
        <f t="shared" si="65"/>
        <v>Canada</v>
      </c>
      <c r="X607" s="7" t="str">
        <f t="shared" si="65"/>
        <v>Brazil</v>
      </c>
      <c r="Y607" s="7" t="str" cm="1">
        <f t="array" ref="Y607">IF(H607="",IFERROR(INDEX($H$2:$H$1166,MATCH(MAX(COUNTIF($H$2:$H$1166,$H$2:$H$1166)),COUNTIF($H$2:$H$1166,$H$2:$H$1166),0)),"Unknown"),H607)</f>
        <v>KYC</v>
      </c>
      <c r="Z607" s="7" t="str">
        <f t="shared" si="66"/>
        <v>Inter-Transaction</v>
      </c>
      <c r="AA607" s="7">
        <f>IF(J607="",AVERAGE($J:$J),J607)</f>
        <v>14743.02</v>
      </c>
      <c r="AB607" s="7">
        <f>IF(N607="",AVERAGE($N:$N),N607)</f>
        <v>55</v>
      </c>
      <c r="AC607" s="7">
        <f t="shared" si="67"/>
        <v>2024</v>
      </c>
      <c r="AD607" s="7">
        <f t="shared" si="68"/>
        <v>6</v>
      </c>
      <c r="AE607" s="7">
        <f>COUNTIF(A:A,A607)</f>
        <v>1</v>
      </c>
      <c r="AF607" s="7" t="str">
        <f t="shared" si="69"/>
        <v>No</v>
      </c>
    </row>
    <row r="608" spans="1:32">
      <c r="A608" t="s">
        <v>1994</v>
      </c>
      <c r="B608">
        <v>96886282</v>
      </c>
      <c r="C608" t="s">
        <v>517</v>
      </c>
      <c r="D608" t="s">
        <v>1995</v>
      </c>
      <c r="E608" t="s">
        <v>20</v>
      </c>
      <c r="F608" t="s">
        <v>22</v>
      </c>
      <c r="H608" t="s">
        <v>25</v>
      </c>
      <c r="I608" t="s">
        <v>3371</v>
      </c>
      <c r="J608">
        <v>1110.52</v>
      </c>
      <c r="K608" t="s">
        <v>57</v>
      </c>
      <c r="L608" t="s">
        <v>75</v>
      </c>
      <c r="M608" s="1">
        <v>44615.320138888892</v>
      </c>
      <c r="N608">
        <v>47</v>
      </c>
      <c r="O608" t="s">
        <v>55</v>
      </c>
      <c r="P608" t="s">
        <v>54</v>
      </c>
      <c r="Q608" t="s">
        <v>1996</v>
      </c>
      <c r="R608">
        <f t="shared" si="63"/>
        <v>96886282</v>
      </c>
      <c r="S608" t="str" cm="1">
        <f t="array" ref="S608">IF(C608="",IFERROR(INDEX($C$2:$C$1166,MATCH(MAX(COUNTIF($C$2:$C$1166,$C$2:$C$1166)),COUNTIF($C$2:$C$1166,$C$2:$C$1166),0)),"Unknown"),C608)</f>
        <v>Charles Lopez</v>
      </c>
      <c r="T608" s="4" t="str" cm="1">
        <f t="array" ref="T608">IF(D608="",IFERROR(INDEX($D$2:$D$1000,MATCH(MAX(COUNTIF($D$2:$D$1166,$D$2:$D$1166)),COUNTIF($D$2:$D$1166,$D$2:$D$1166),0)),"Unknown"),D608)</f>
        <v>Lucas Martin</v>
      </c>
      <c r="U608" t="str">
        <f t="shared" si="64"/>
        <v>BRL</v>
      </c>
      <c r="V608" s="7" t="str">
        <f t="shared" si="64"/>
        <v/>
      </c>
      <c r="W608" s="7" t="str">
        <f t="shared" si="65"/>
        <v>UK</v>
      </c>
      <c r="X608" s="7" t="str">
        <f t="shared" si="65"/>
        <v>India</v>
      </c>
      <c r="Y608" s="7" t="str" cm="1">
        <f t="array" ref="Y608">IF(H608="",IFERROR(INDEX($H$2:$H$1166,MATCH(MAX(COUNTIF($H$2:$H$1166,$H$2:$H$1166)),COUNTIF($H$2:$H$1166,$H$2:$H$1166),0)),"Unknown"),H608)</f>
        <v>KYC</v>
      </c>
      <c r="Z608" s="7" t="str">
        <f t="shared" si="66"/>
        <v>Outer-Transaction</v>
      </c>
      <c r="AA608" s="7">
        <f>IF(J608="",AVERAGE($J:$J),J608)</f>
        <v>1110.52</v>
      </c>
      <c r="AB608" s="7">
        <f>IF(N608="",AVERAGE($N:$N),N608)</f>
        <v>47</v>
      </c>
      <c r="AC608" s="7">
        <f t="shared" si="67"/>
        <v>2022</v>
      </c>
      <c r="AD608" s="7">
        <f t="shared" si="68"/>
        <v>2</v>
      </c>
      <c r="AE608" s="7">
        <f>COUNTIF(A:A,A608)</f>
        <v>1</v>
      </c>
      <c r="AF608" s="7" t="str">
        <f t="shared" si="69"/>
        <v>No</v>
      </c>
    </row>
    <row r="609" spans="1:32">
      <c r="A609" t="s">
        <v>1997</v>
      </c>
      <c r="B609">
        <v>68456858</v>
      </c>
      <c r="C609" t="s">
        <v>1998</v>
      </c>
      <c r="D609" t="s">
        <v>1205</v>
      </c>
      <c r="E609" t="s">
        <v>20</v>
      </c>
      <c r="F609" t="s">
        <v>116</v>
      </c>
      <c r="G609" t="s">
        <v>22</v>
      </c>
      <c r="H609" t="s">
        <v>56</v>
      </c>
      <c r="I609" t="s">
        <v>3378</v>
      </c>
      <c r="J609">
        <v>7306.77</v>
      </c>
      <c r="K609" t="s">
        <v>39</v>
      </c>
      <c r="L609" t="s">
        <v>81</v>
      </c>
      <c r="M609" s="1">
        <v>45042.728472222225</v>
      </c>
      <c r="N609">
        <v>68</v>
      </c>
      <c r="O609" t="s">
        <v>93</v>
      </c>
      <c r="P609" t="s">
        <v>62</v>
      </c>
      <c r="Q609" t="s">
        <v>1999</v>
      </c>
      <c r="R609">
        <f t="shared" si="63"/>
        <v>68456858</v>
      </c>
      <c r="S609" t="str" cm="1">
        <f t="array" ref="S609">IF(C609="",IFERROR(INDEX($C$2:$C$1166,MATCH(MAX(COUNTIF($C$2:$C$1166,$C$2:$C$1166)),COUNTIF($C$2:$C$1166,$C$2:$C$1166),0)),"Unknown"),C609)</f>
        <v>Jean-Pierre Nair</v>
      </c>
      <c r="T609" s="4" t="str" cm="1">
        <f t="array" ref="T609">IF(D609="",IFERROR(INDEX($D$2:$D$1000,MATCH(MAX(COUNTIF($D$2:$D$1166,$D$2:$D$1166)),COUNTIF($D$2:$D$1166,$D$2:$D$1166),0)),"Unknown"),D609)</f>
        <v>Jean-Pierre Jones</v>
      </c>
      <c r="U609" t="str">
        <f t="shared" si="64"/>
        <v>CHF</v>
      </c>
      <c r="V609" s="7" t="str">
        <f t="shared" si="64"/>
        <v>BRL</v>
      </c>
      <c r="W609" s="7" t="str">
        <f t="shared" si="65"/>
        <v>USA</v>
      </c>
      <c r="X609" s="7" t="str">
        <f t="shared" si="65"/>
        <v>Australia</v>
      </c>
      <c r="Y609" s="7" t="str" cm="1">
        <f t="array" ref="Y609">IF(H609="",IFERROR(INDEX($H$2:$H$1166,MATCH(MAX(COUNTIF($H$2:$H$1166,$H$2:$H$1166)),COUNTIF($H$2:$H$1166,$H$2:$H$1166),0)),"Unknown"),H609)</f>
        <v>Unverified</v>
      </c>
      <c r="Z609" s="7" t="str">
        <f t="shared" si="66"/>
        <v>Inter-Transaction</v>
      </c>
      <c r="AA609" s="7">
        <f>IF(J609="",AVERAGE($J:$J),J609)</f>
        <v>7306.77</v>
      </c>
      <c r="AB609" s="7">
        <f>IF(N609="",AVERAGE($N:$N),N609)</f>
        <v>68</v>
      </c>
      <c r="AC609" s="7">
        <f t="shared" si="67"/>
        <v>2023</v>
      </c>
      <c r="AD609" s="7">
        <f t="shared" si="68"/>
        <v>4</v>
      </c>
      <c r="AE609" s="7">
        <f>COUNTIF(A:A,A609)</f>
        <v>1</v>
      </c>
      <c r="AF609" s="7" t="str">
        <f t="shared" si="69"/>
        <v>No</v>
      </c>
    </row>
    <row r="610" spans="1:32">
      <c r="A610" t="s">
        <v>2000</v>
      </c>
      <c r="B610">
        <v>60202214</v>
      </c>
      <c r="C610" t="s">
        <v>282</v>
      </c>
      <c r="D610" t="s">
        <v>2001</v>
      </c>
      <c r="E610" t="s">
        <v>20</v>
      </c>
      <c r="F610" t="s">
        <v>180</v>
      </c>
      <c r="G610" t="s">
        <v>92</v>
      </c>
      <c r="H610" t="s">
        <v>56</v>
      </c>
      <c r="I610" t="s">
        <v>3377</v>
      </c>
      <c r="J610">
        <v>5293.71</v>
      </c>
      <c r="K610" t="s">
        <v>47</v>
      </c>
      <c r="L610" t="s">
        <v>75</v>
      </c>
      <c r="M610" s="1">
        <v>44501.754861111112</v>
      </c>
      <c r="N610">
        <v>22</v>
      </c>
      <c r="O610" t="s">
        <v>62</v>
      </c>
      <c r="P610" t="s">
        <v>23</v>
      </c>
      <c r="Q610" t="s">
        <v>2002</v>
      </c>
      <c r="R610">
        <f t="shared" si="63"/>
        <v>60202214</v>
      </c>
      <c r="S610" t="str" cm="1">
        <f t="array" ref="S610">IF(C610="",IFERROR(INDEX($C$2:$C$1166,MATCH(MAX(COUNTIF($C$2:$C$1166,$C$2:$C$1166)),COUNTIF($C$2:$C$1166,$C$2:$C$1166),0)),"Unknown"),C610)</f>
        <v>Mary Lopez</v>
      </c>
      <c r="T610" s="4" t="str" cm="1">
        <f t="array" ref="T610">IF(D610="",IFERROR(INDEX($D$2:$D$1000,MATCH(MAX(COUNTIF($D$2:$D$1166,$D$2:$D$1166)),COUNTIF($D$2:$D$1166,$D$2:$D$1166),0)),"Unknown"),D610)</f>
        <v xml:space="preserve"> thomas souza   </v>
      </c>
      <c r="U610" t="str">
        <f t="shared" si="64"/>
        <v>zar</v>
      </c>
      <c r="V610" s="7" t="str">
        <f t="shared" si="64"/>
        <v>AUD</v>
      </c>
      <c r="W610" s="7" t="str">
        <f t="shared" si="65"/>
        <v>Australia</v>
      </c>
      <c r="X610" s="7" t="str">
        <f t="shared" si="65"/>
        <v>France</v>
      </c>
      <c r="Y610" s="7" t="str" cm="1">
        <f t="array" ref="Y610">IF(H610="",IFERROR(INDEX($H$2:$H$1166,MATCH(MAX(COUNTIF($H$2:$H$1166,$H$2:$H$1166)),COUNTIF($H$2:$H$1166,$H$2:$H$1166),0)),"Unknown"),H610)</f>
        <v>Unverified</v>
      </c>
      <c r="Z610" s="7" t="str">
        <f t="shared" si="66"/>
        <v>Inter-Transaction</v>
      </c>
      <c r="AA610" s="7">
        <f>IF(J610="",AVERAGE($J:$J),J610)</f>
        <v>5293.71</v>
      </c>
      <c r="AB610" s="7">
        <f>IF(N610="",AVERAGE($N:$N),N610)</f>
        <v>22</v>
      </c>
      <c r="AC610" s="7">
        <f t="shared" si="67"/>
        <v>2021</v>
      </c>
      <c r="AD610" s="7">
        <f t="shared" si="68"/>
        <v>11</v>
      </c>
      <c r="AE610" s="7">
        <f>COUNTIF(A:A,A610)</f>
        <v>1</v>
      </c>
      <c r="AF610" s="7" t="str">
        <f t="shared" si="69"/>
        <v>No</v>
      </c>
    </row>
    <row r="611" spans="1:32">
      <c r="A611" t="s">
        <v>2003</v>
      </c>
      <c r="B611">
        <v>79939654</v>
      </c>
      <c r="C611" t="s">
        <v>693</v>
      </c>
      <c r="D611" t="s">
        <v>2004</v>
      </c>
      <c r="E611" t="s">
        <v>3375</v>
      </c>
      <c r="F611" t="s">
        <v>116</v>
      </c>
      <c r="G611" t="s">
        <v>44</v>
      </c>
      <c r="H611" t="s">
        <v>56</v>
      </c>
      <c r="I611" t="s">
        <v>3372</v>
      </c>
      <c r="J611">
        <v>6506.79</v>
      </c>
      <c r="K611" t="s">
        <v>27</v>
      </c>
      <c r="L611" t="s">
        <v>28</v>
      </c>
      <c r="M611" s="1">
        <v>45097.3125</v>
      </c>
      <c r="N611">
        <v>46</v>
      </c>
      <c r="O611" t="s">
        <v>36</v>
      </c>
      <c r="P611" t="s">
        <v>24</v>
      </c>
      <c r="Q611" t="s">
        <v>2005</v>
      </c>
      <c r="R611">
        <f t="shared" si="63"/>
        <v>79939654</v>
      </c>
      <c r="S611" t="str" cm="1">
        <f t="array" ref="S611">IF(C611="",IFERROR(INDEX($C$2:$C$1166,MATCH(MAX(COUNTIF($C$2:$C$1166,$C$2:$C$1166)),COUNTIF($C$2:$C$1166,$C$2:$C$1166),0)),"Unknown"),C611)</f>
        <v>Susan Smith</v>
      </c>
      <c r="T611" s="4" t="str" cm="1">
        <f t="array" ref="T611">IF(D611="",IFERROR(INDEX($D$2:$D$1000,MATCH(MAX(COUNTIF($D$2:$D$1166,$D$2:$D$1166)),COUNTIF($D$2:$D$1166,$D$2:$D$1166),0)),"Unknown"),D611)</f>
        <v>Thomas Gonzalez</v>
      </c>
      <c r="U611" t="str">
        <f t="shared" si="64"/>
        <v>CHF</v>
      </c>
      <c r="V611" s="7" t="str">
        <f t="shared" si="64"/>
        <v>SGD</v>
      </c>
      <c r="W611" s="7" t="str">
        <f t="shared" si="65"/>
        <v>Germany</v>
      </c>
      <c r="X611" s="7" t="str">
        <f t="shared" si="65"/>
        <v>Brazil</v>
      </c>
      <c r="Y611" s="7" t="str" cm="1">
        <f t="array" ref="Y611">IF(H611="",IFERROR(INDEX($H$2:$H$1166,MATCH(MAX(COUNTIF($H$2:$H$1166,$H$2:$H$1166)),COUNTIF($H$2:$H$1166,$H$2:$H$1166),0)),"Unknown"),H611)</f>
        <v>Unverified</v>
      </c>
      <c r="Z611" s="7" t="str">
        <f t="shared" si="66"/>
        <v>Outer-Transaction</v>
      </c>
      <c r="AA611" s="7">
        <f>IF(J611="",AVERAGE($J:$J),J611)</f>
        <v>6506.79</v>
      </c>
      <c r="AB611" s="7">
        <f>IF(N611="",AVERAGE($N:$N),N611)</f>
        <v>46</v>
      </c>
      <c r="AC611" s="7">
        <f t="shared" si="67"/>
        <v>2023</v>
      </c>
      <c r="AD611" s="7">
        <f t="shared" si="68"/>
        <v>6</v>
      </c>
      <c r="AE611" s="7">
        <f>COUNTIF(A:A,A611)</f>
        <v>1</v>
      </c>
      <c r="AF611" s="7" t="str">
        <f t="shared" si="69"/>
        <v>No</v>
      </c>
    </row>
    <row r="612" spans="1:32">
      <c r="A612" t="s">
        <v>2006</v>
      </c>
      <c r="B612">
        <v>29087269</v>
      </c>
      <c r="C612" t="s">
        <v>2007</v>
      </c>
      <c r="D612" t="s">
        <v>2008</v>
      </c>
      <c r="E612" t="s">
        <v>20</v>
      </c>
      <c r="F612" t="s">
        <v>53</v>
      </c>
      <c r="G612" t="s">
        <v>160</v>
      </c>
      <c r="H612" t="s">
        <v>74</v>
      </c>
      <c r="I612" t="s">
        <v>3372</v>
      </c>
      <c r="J612">
        <v>11994.08</v>
      </c>
      <c r="K612" t="s">
        <v>47</v>
      </c>
      <c r="L612" t="s">
        <v>81</v>
      </c>
      <c r="M612" s="1">
        <v>44927.084722222222</v>
      </c>
      <c r="N612">
        <v>21</v>
      </c>
      <c r="O612" t="s">
        <v>93</v>
      </c>
      <c r="P612" t="s">
        <v>54</v>
      </c>
      <c r="Q612" t="s">
        <v>2009</v>
      </c>
      <c r="R612">
        <f t="shared" si="63"/>
        <v>29087269</v>
      </c>
      <c r="S612" t="str" cm="1">
        <f t="array" ref="S612">IF(C612="",IFERROR(INDEX($C$2:$C$1166,MATCH(MAX(COUNTIF($C$2:$C$1166,$C$2:$C$1166)),COUNTIF($C$2:$C$1166,$C$2:$C$1166),0)),"Unknown"),C612)</f>
        <v>Jean-Pierre Souza</v>
      </c>
      <c r="T612" s="4" t="str" cm="1">
        <f t="array" ref="T612">IF(D612="",IFERROR(INDEX($D$2:$D$1000,MATCH(MAX(COUNTIF($D$2:$D$1166,$D$2:$D$1166)),COUNTIF($D$2:$D$1166,$D$2:$D$1166),0)),"Unknown"),D612)</f>
        <v>William Williams</v>
      </c>
      <c r="U612" t="str">
        <f t="shared" si="64"/>
        <v>AED</v>
      </c>
      <c r="V612" s="7" t="str">
        <f t="shared" si="64"/>
        <v>aud</v>
      </c>
      <c r="W612" s="7" t="str">
        <f t="shared" si="65"/>
        <v>USA</v>
      </c>
      <c r="X612" s="7" t="str">
        <f t="shared" si="65"/>
        <v>India</v>
      </c>
      <c r="Y612" s="7" t="str" cm="1">
        <f t="array" ref="Y612">IF(H612="",IFERROR(INDEX($H$2:$H$1166,MATCH(MAX(COUNTIF($H$2:$H$1166,$H$2:$H$1166)),COUNTIF($H$2:$H$1166,$H$2:$H$1166),0)),"Unknown"),H612)</f>
        <v>Non-KYC</v>
      </c>
      <c r="Z612" s="7" t="str">
        <f t="shared" si="66"/>
        <v>Outer-Transaction</v>
      </c>
      <c r="AA612" s="7">
        <f>IF(J612="",AVERAGE($J:$J),J612)</f>
        <v>11994.08</v>
      </c>
      <c r="AB612" s="7">
        <f>IF(N612="",AVERAGE($N:$N),N612)</f>
        <v>21</v>
      </c>
      <c r="AC612" s="7">
        <f t="shared" si="67"/>
        <v>2023</v>
      </c>
      <c r="AD612" s="7">
        <f t="shared" si="68"/>
        <v>1</v>
      </c>
      <c r="AE612" s="7">
        <f>COUNTIF(A:A,A612)</f>
        <v>1</v>
      </c>
      <c r="AF612" s="7" t="str">
        <f t="shared" si="69"/>
        <v>No</v>
      </c>
    </row>
    <row r="613" spans="1:32">
      <c r="A613" t="s">
        <v>2010</v>
      </c>
      <c r="B613">
        <v>32226983</v>
      </c>
      <c r="C613" t="s">
        <v>1242</v>
      </c>
      <c r="D613" t="s">
        <v>745</v>
      </c>
      <c r="E613" t="s">
        <v>20</v>
      </c>
      <c r="F613" t="s">
        <v>44</v>
      </c>
      <c r="G613" t="s">
        <v>34</v>
      </c>
      <c r="H613" t="s">
        <v>38</v>
      </c>
      <c r="I613" t="s">
        <v>3376</v>
      </c>
      <c r="J613">
        <v>13338.66</v>
      </c>
      <c r="K613" t="s">
        <v>57</v>
      </c>
      <c r="L613" t="s">
        <v>75</v>
      </c>
      <c r="M613" s="1">
        <v>46357.472916666666</v>
      </c>
      <c r="N613">
        <v>27</v>
      </c>
      <c r="O613" t="s">
        <v>54</v>
      </c>
      <c r="P613" t="s">
        <v>93</v>
      </c>
      <c r="Q613" t="s">
        <v>2011</v>
      </c>
      <c r="R613">
        <f t="shared" si="63"/>
        <v>32226983</v>
      </c>
      <c r="S613" t="str" cm="1">
        <f t="array" ref="S613">IF(C613="",IFERROR(INDEX($C$2:$C$1166,MATCH(MAX(COUNTIF($C$2:$C$1166,$C$2:$C$1166)),COUNTIF($C$2:$C$1166,$C$2:$C$1166),0)),"Unknown"),C613)</f>
        <v>Priya Velez</v>
      </c>
      <c r="T613" s="4" t="str" cm="1">
        <f t="array" ref="T613">IF(D613="",IFERROR(INDEX($D$2:$D$1000,MATCH(MAX(COUNTIF($D$2:$D$1166,$D$2:$D$1166)),COUNTIF($D$2:$D$1166,$D$2:$D$1166),0)),"Unknown"),D613)</f>
        <v>Sarah Brown</v>
      </c>
      <c r="U613" t="str">
        <f t="shared" si="64"/>
        <v>SGD</v>
      </c>
      <c r="V613" s="7" t="str">
        <f t="shared" si="64"/>
        <v>CAD</v>
      </c>
      <c r="W613" s="7" t="str">
        <f t="shared" si="65"/>
        <v>India</v>
      </c>
      <c r="X613" s="7" t="str">
        <f t="shared" si="65"/>
        <v>USA</v>
      </c>
      <c r="Y613" s="7" t="str" cm="1">
        <f t="array" ref="Y613">IF(H613="",IFERROR(INDEX($H$2:$H$1166,MATCH(MAX(COUNTIF($H$2:$H$1166,$H$2:$H$1166)),COUNTIF($H$2:$H$1166,$H$2:$H$1166),0)),"Unknown"),H613)</f>
        <v>Pending</v>
      </c>
      <c r="Z613" s="7" t="str">
        <f t="shared" si="66"/>
        <v>Internal</v>
      </c>
      <c r="AA613" s="7">
        <f>IF(J613="",AVERAGE($J:$J),J613)</f>
        <v>13338.66</v>
      </c>
      <c r="AB613" s="7">
        <f>IF(N613="",AVERAGE($N:$N),N613)</f>
        <v>27</v>
      </c>
      <c r="AC613" s="7">
        <f t="shared" si="67"/>
        <v>2026</v>
      </c>
      <c r="AD613" s="7">
        <f t="shared" si="68"/>
        <v>12</v>
      </c>
      <c r="AE613" s="7">
        <f>COUNTIF(A:A,A613)</f>
        <v>1</v>
      </c>
      <c r="AF613" s="7" t="str">
        <f t="shared" si="69"/>
        <v>No</v>
      </c>
    </row>
    <row r="614" spans="1:32">
      <c r="A614" t="s">
        <v>2012</v>
      </c>
      <c r="B614">
        <v>12983015</v>
      </c>
      <c r="C614" t="s">
        <v>1346</v>
      </c>
      <c r="D614" t="s">
        <v>1483</v>
      </c>
      <c r="E614" t="s">
        <v>20</v>
      </c>
      <c r="F614" t="s">
        <v>53</v>
      </c>
      <c r="G614" t="s">
        <v>686</v>
      </c>
      <c r="H614" t="s">
        <v>103</v>
      </c>
      <c r="I614" t="s">
        <v>3377</v>
      </c>
      <c r="J614">
        <v>12362.79</v>
      </c>
      <c r="K614" t="s">
        <v>27</v>
      </c>
      <c r="L614" t="s">
        <v>48</v>
      </c>
      <c r="M614" s="1">
        <v>45828.690972222219</v>
      </c>
      <c r="N614">
        <v>73</v>
      </c>
      <c r="O614" t="s">
        <v>36</v>
      </c>
      <c r="P614" t="s">
        <v>37</v>
      </c>
      <c r="Q614" t="s">
        <v>2013</v>
      </c>
      <c r="R614">
        <f t="shared" si="63"/>
        <v>12983015</v>
      </c>
      <c r="S614" t="str" cm="1">
        <f t="array" ref="S614">IF(C614="",IFERROR(INDEX($C$2:$C$1166,MATCH(MAX(COUNTIF($C$2:$C$1166,$C$2:$C$1166)),COUNTIF($C$2:$C$1166,$C$2:$C$1166),0)),"Unknown"),C614)</f>
        <v>Jessica Thomas</v>
      </c>
      <c r="T614" s="4" t="str" cm="1">
        <f t="array" ref="T614">IF(D614="",IFERROR(INDEX($D$2:$D$1000,MATCH(MAX(COUNTIF($D$2:$D$1166,$D$2:$D$1166)),COUNTIF($D$2:$D$1166,$D$2:$D$1166),0)),"Unknown"),D614)</f>
        <v>David Hernandez</v>
      </c>
      <c r="U614" t="str">
        <f t="shared" si="64"/>
        <v>AED</v>
      </c>
      <c r="V614" s="7" t="str">
        <f t="shared" si="64"/>
        <v>sgd</v>
      </c>
      <c r="W614" s="7" t="str">
        <f t="shared" si="65"/>
        <v>Germany</v>
      </c>
      <c r="X614" s="7" t="str">
        <f t="shared" si="65"/>
        <v>South Africa</v>
      </c>
      <c r="Y614" s="7" t="str" cm="1">
        <f t="array" ref="Y614">IF(H614="",IFERROR(INDEX($H$2:$H$1166,MATCH(MAX(COUNTIF($H$2:$H$1166,$H$2:$H$1166)),COUNTIF($H$2:$H$1166,$H$2:$H$1166),0)),"Unknown"),H614)</f>
        <v>Verified</v>
      </c>
      <c r="Z614" s="7" t="str">
        <f t="shared" si="66"/>
        <v>Inter-Transaction</v>
      </c>
      <c r="AA614" s="7">
        <f>IF(J614="",AVERAGE($J:$J),J614)</f>
        <v>12362.79</v>
      </c>
      <c r="AB614" s="7">
        <f>IF(N614="",AVERAGE($N:$N),N614)</f>
        <v>73</v>
      </c>
      <c r="AC614" s="7">
        <f t="shared" si="67"/>
        <v>2025</v>
      </c>
      <c r="AD614" s="7">
        <f t="shared" si="68"/>
        <v>6</v>
      </c>
      <c r="AE614" s="7">
        <f>COUNTIF(A:A,A614)</f>
        <v>1</v>
      </c>
      <c r="AF614" s="7" t="str">
        <f t="shared" si="69"/>
        <v>No</v>
      </c>
    </row>
    <row r="615" spans="1:32">
      <c r="A615" t="s">
        <v>2014</v>
      </c>
      <c r="B615">
        <v>86044123</v>
      </c>
      <c r="C615" t="s">
        <v>661</v>
      </c>
      <c r="D615" t="s">
        <v>2015</v>
      </c>
      <c r="E615" t="s">
        <v>20</v>
      </c>
      <c r="F615" t="s">
        <v>686</v>
      </c>
      <c r="G615" t="s">
        <v>45</v>
      </c>
      <c r="H615" t="s">
        <v>74</v>
      </c>
      <c r="I615" t="s">
        <v>3372</v>
      </c>
      <c r="J615">
        <v>7102.88</v>
      </c>
      <c r="K615" t="s">
        <v>86</v>
      </c>
      <c r="L615" t="s">
        <v>75</v>
      </c>
      <c r="M615" s="1">
        <v>43931.675694444442</v>
      </c>
      <c r="N615">
        <v>34</v>
      </c>
      <c r="O615" t="s">
        <v>127</v>
      </c>
      <c r="P615" t="s">
        <v>62</v>
      </c>
      <c r="Q615" t="s">
        <v>2016</v>
      </c>
      <c r="R615">
        <f t="shared" si="63"/>
        <v>86044123</v>
      </c>
      <c r="S615" t="str" cm="1">
        <f t="array" ref="S615">IF(C615="",IFERROR(INDEX($C$2:$C$1166,MATCH(MAX(COUNTIF($C$2:$C$1166,$C$2:$C$1166)),COUNTIF($C$2:$C$1166,$C$2:$C$1166),0)),"Unknown"),C615)</f>
        <v>Richard Martinez</v>
      </c>
      <c r="T615" s="4" t="str" cm="1">
        <f t="array" ref="T615">IF(D615="",IFERROR(INDEX($D$2:$D$1000,MATCH(MAX(COUNTIF($D$2:$D$1166,$D$2:$D$1166)),COUNTIF($D$2:$D$1166,$D$2:$D$1166),0)),"Unknown"),D615)</f>
        <v>Robert Davis</v>
      </c>
      <c r="U615" t="str">
        <f t="shared" si="64"/>
        <v>sgd</v>
      </c>
      <c r="V615" s="7" t="str">
        <f t="shared" si="64"/>
        <v>ZAR</v>
      </c>
      <c r="W615" s="7" t="str">
        <f t="shared" si="65"/>
        <v>Canada</v>
      </c>
      <c r="X615" s="7" t="str">
        <f t="shared" si="65"/>
        <v>Australia</v>
      </c>
      <c r="Y615" s="7" t="str" cm="1">
        <f t="array" ref="Y615">IF(H615="",IFERROR(INDEX($H$2:$H$1166,MATCH(MAX(COUNTIF($H$2:$H$1166,$H$2:$H$1166)),COUNTIF($H$2:$H$1166,$H$2:$H$1166),0)),"Unknown"),H615)</f>
        <v>Non-KYC</v>
      </c>
      <c r="Z615" s="7" t="str">
        <f t="shared" si="66"/>
        <v>Outer-Transaction</v>
      </c>
      <c r="AA615" s="7">
        <f>IF(J615="",AVERAGE($J:$J),J615)</f>
        <v>7102.88</v>
      </c>
      <c r="AB615" s="7">
        <f>IF(N615="",AVERAGE($N:$N),N615)</f>
        <v>34</v>
      </c>
      <c r="AC615" s="7">
        <f t="shared" si="67"/>
        <v>2020</v>
      </c>
      <c r="AD615" s="7">
        <f t="shared" si="68"/>
        <v>4</v>
      </c>
      <c r="AE615" s="7">
        <f>COUNTIF(A:A,A615)</f>
        <v>1</v>
      </c>
      <c r="AF615" s="7" t="str">
        <f t="shared" si="69"/>
        <v>No</v>
      </c>
    </row>
    <row r="616" spans="1:32">
      <c r="A616" t="s">
        <v>2017</v>
      </c>
      <c r="B616">
        <v>41556108</v>
      </c>
      <c r="C616" t="s">
        <v>409</v>
      </c>
      <c r="D616" t="s">
        <v>449</v>
      </c>
      <c r="E616" t="s">
        <v>20</v>
      </c>
      <c r="F616" t="s">
        <v>21</v>
      </c>
      <c r="G616" t="s">
        <v>116</v>
      </c>
      <c r="H616" t="s">
        <v>25</v>
      </c>
      <c r="I616" t="s">
        <v>3371</v>
      </c>
      <c r="J616">
        <v>8110.15</v>
      </c>
      <c r="K616" t="s">
        <v>39</v>
      </c>
      <c r="L616" t="s">
        <v>28</v>
      </c>
      <c r="M616" s="1">
        <v>45610.755555555559</v>
      </c>
      <c r="N616">
        <v>34</v>
      </c>
      <c r="O616" t="s">
        <v>62</v>
      </c>
      <c r="P616" t="s">
        <v>68</v>
      </c>
      <c r="Q616" t="s">
        <v>2018</v>
      </c>
      <c r="R616">
        <f t="shared" si="63"/>
        <v>41556108</v>
      </c>
      <c r="S616" t="str" cm="1">
        <f t="array" ref="S616">IF(C616="",IFERROR(INDEX($C$2:$C$1166,MATCH(MAX(COUNTIF($C$2:$C$1166,$C$2:$C$1166)),COUNTIF($C$2:$C$1166,$C$2:$C$1166),0)),"Unknown"),C616)</f>
        <v>Barbara Davis</v>
      </c>
      <c r="T616" s="4" t="str" cm="1">
        <f t="array" ref="T616">IF(D616="",IFERROR(INDEX($D$2:$D$1000,MATCH(MAX(COUNTIF($D$2:$D$1166,$D$2:$D$1166)),COUNTIF($D$2:$D$1166,$D$2:$D$1166),0)),"Unknown"),D616)</f>
        <v>Nancy Silva</v>
      </c>
      <c r="U616" t="str">
        <f t="shared" si="64"/>
        <v>GBP</v>
      </c>
      <c r="V616" s="7" t="str">
        <f t="shared" si="64"/>
        <v>CHF</v>
      </c>
      <c r="W616" s="7" t="str">
        <f t="shared" si="65"/>
        <v>Australia</v>
      </c>
      <c r="X616" s="7" t="str">
        <f t="shared" si="65"/>
        <v>UAE</v>
      </c>
      <c r="Y616" s="7" t="str" cm="1">
        <f t="array" ref="Y616">IF(H616="",IFERROR(INDEX($H$2:$H$1166,MATCH(MAX(COUNTIF($H$2:$H$1166,$H$2:$H$1166)),COUNTIF($H$2:$H$1166,$H$2:$H$1166),0)),"Unknown"),H616)</f>
        <v>KYC</v>
      </c>
      <c r="Z616" s="7" t="str">
        <f t="shared" si="66"/>
        <v>Outer-Transaction</v>
      </c>
      <c r="AA616" s="7">
        <f>IF(J616="",AVERAGE($J:$J),J616)</f>
        <v>8110.15</v>
      </c>
      <c r="AB616" s="7">
        <f>IF(N616="",AVERAGE($N:$N),N616)</f>
        <v>34</v>
      </c>
      <c r="AC616" s="7">
        <f t="shared" si="67"/>
        <v>2024</v>
      </c>
      <c r="AD616" s="7">
        <f t="shared" si="68"/>
        <v>11</v>
      </c>
      <c r="AE616" s="7">
        <f>COUNTIF(A:A,A616)</f>
        <v>1</v>
      </c>
      <c r="AF616" s="7" t="str">
        <f t="shared" si="69"/>
        <v>No</v>
      </c>
    </row>
    <row r="617" spans="1:32">
      <c r="A617" t="s">
        <v>2019</v>
      </c>
      <c r="B617">
        <v>57949350</v>
      </c>
      <c r="C617" t="s">
        <v>2020</v>
      </c>
      <c r="D617" t="s">
        <v>2021</v>
      </c>
      <c r="E617" t="s">
        <v>20</v>
      </c>
      <c r="F617" t="s">
        <v>53</v>
      </c>
      <c r="G617" t="s">
        <v>34</v>
      </c>
      <c r="H617" t="s">
        <v>74</v>
      </c>
      <c r="I617" t="s">
        <v>3371</v>
      </c>
      <c r="J617">
        <v>13456.87</v>
      </c>
      <c r="K617" t="s">
        <v>39</v>
      </c>
      <c r="L617" t="s">
        <v>28</v>
      </c>
      <c r="M617" s="1">
        <v>44006.84097222222</v>
      </c>
      <c r="N617">
        <v>51</v>
      </c>
      <c r="O617" t="s">
        <v>23</v>
      </c>
      <c r="P617" t="s">
        <v>127</v>
      </c>
      <c r="Q617" t="s">
        <v>2022</v>
      </c>
      <c r="R617">
        <f t="shared" si="63"/>
        <v>57949350</v>
      </c>
      <c r="S617" t="str" cm="1">
        <f t="array" ref="S617">IF(C617="",IFERROR(INDEX($C$2:$C$1166,MATCH(MAX(COUNTIF($C$2:$C$1166,$C$2:$C$1166)),COUNTIF($C$2:$C$1166,$C$2:$C$1166),0)),"Unknown"),C617)</f>
        <v xml:space="preserve">  MARTA JACKSON </v>
      </c>
      <c r="T617" s="4" t="str" cm="1">
        <f t="array" ref="T617">IF(D617="",IFERROR(INDEX($D$2:$D$1000,MATCH(MAX(COUNTIF($D$2:$D$1166,$D$2:$D$1166)),COUNTIF($D$2:$D$1166,$D$2:$D$1166),0)),"Unknown"),D617)</f>
        <v xml:space="preserve"> robert johnson   </v>
      </c>
      <c r="U617" t="str">
        <f t="shared" si="64"/>
        <v>AED</v>
      </c>
      <c r="V617" s="7" t="str">
        <f t="shared" si="64"/>
        <v>CAD</v>
      </c>
      <c r="W617" s="7" t="str">
        <f t="shared" si="65"/>
        <v>France</v>
      </c>
      <c r="X617" s="7" t="str">
        <f t="shared" si="65"/>
        <v>Canada</v>
      </c>
      <c r="Y617" s="7" t="str" cm="1">
        <f t="array" ref="Y617">IF(H617="",IFERROR(INDEX($H$2:$H$1166,MATCH(MAX(COUNTIF($H$2:$H$1166,$H$2:$H$1166)),COUNTIF($H$2:$H$1166,$H$2:$H$1166),0)),"Unknown"),H617)</f>
        <v>Non-KYC</v>
      </c>
      <c r="Z617" s="7" t="str">
        <f t="shared" si="66"/>
        <v>Outer-Transaction</v>
      </c>
      <c r="AA617" s="7">
        <f>IF(J617="",AVERAGE($J:$J),J617)</f>
        <v>13456.87</v>
      </c>
      <c r="AB617" s="7">
        <f>IF(N617="",AVERAGE($N:$N),N617)</f>
        <v>51</v>
      </c>
      <c r="AC617" s="7">
        <f t="shared" si="67"/>
        <v>2020</v>
      </c>
      <c r="AD617" s="7">
        <f t="shared" si="68"/>
        <v>6</v>
      </c>
      <c r="AE617" s="7">
        <f>COUNTIF(A:A,A617)</f>
        <v>1</v>
      </c>
      <c r="AF617" s="7" t="str">
        <f t="shared" si="69"/>
        <v>No</v>
      </c>
    </row>
    <row r="618" spans="1:32">
      <c r="A618" t="s">
        <v>2023</v>
      </c>
      <c r="B618">
        <v>44894223</v>
      </c>
      <c r="C618" t="s">
        <v>2024</v>
      </c>
      <c r="D618" t="s">
        <v>818</v>
      </c>
      <c r="E618" t="s">
        <v>20</v>
      </c>
      <c r="F618" t="s">
        <v>44</v>
      </c>
      <c r="G618" t="s">
        <v>116</v>
      </c>
      <c r="H618" t="s">
        <v>56</v>
      </c>
      <c r="I618" t="s">
        <v>3372</v>
      </c>
      <c r="J618">
        <v>5387.69</v>
      </c>
      <c r="K618" t="s">
        <v>27</v>
      </c>
      <c r="L618" t="s">
        <v>75</v>
      </c>
      <c r="M618" s="1">
        <v>44068.188194444447</v>
      </c>
      <c r="N618">
        <v>23</v>
      </c>
      <c r="O618" t="s">
        <v>68</v>
      </c>
      <c r="P618" t="s">
        <v>55</v>
      </c>
      <c r="Q618" t="s">
        <v>2025</v>
      </c>
      <c r="R618">
        <f t="shared" si="63"/>
        <v>44894223</v>
      </c>
      <c r="S618" t="str" cm="1">
        <f t="array" ref="S618">IF(C618="",IFERROR(INDEX($C$2:$C$1166,MATCH(MAX(COUNTIF($C$2:$C$1166,$C$2:$C$1166)),COUNTIF($C$2:$C$1166,$C$2:$C$1166),0)),"Unknown"),C618)</f>
        <v>Linda Nair</v>
      </c>
      <c r="T618" s="4" t="str" cm="1">
        <f t="array" ref="T618">IF(D618="",IFERROR(INDEX($D$2:$D$1000,MATCH(MAX(COUNTIF($D$2:$D$1166,$D$2:$D$1166)),COUNTIF($D$2:$D$1166,$D$2:$D$1166),0)),"Unknown"),D618)</f>
        <v>Jean-Pierre Rostova</v>
      </c>
      <c r="U618" t="str">
        <f t="shared" si="64"/>
        <v>SGD</v>
      </c>
      <c r="V618" s="7" t="str">
        <f t="shared" si="64"/>
        <v>CHF</v>
      </c>
      <c r="W618" s="7" t="str">
        <f t="shared" si="65"/>
        <v>UAE</v>
      </c>
      <c r="X618" s="7" t="str">
        <f t="shared" si="65"/>
        <v>UK</v>
      </c>
      <c r="Y618" s="7" t="str" cm="1">
        <f t="array" ref="Y618">IF(H618="",IFERROR(INDEX($H$2:$H$1166,MATCH(MAX(COUNTIF($H$2:$H$1166,$H$2:$H$1166)),COUNTIF($H$2:$H$1166,$H$2:$H$1166),0)),"Unknown"),H618)</f>
        <v>Unverified</v>
      </c>
      <c r="Z618" s="7" t="str">
        <f t="shared" si="66"/>
        <v>Outer-Transaction</v>
      </c>
      <c r="AA618" s="7">
        <f>IF(J618="",AVERAGE($J:$J),J618)</f>
        <v>5387.69</v>
      </c>
      <c r="AB618" s="7">
        <f>IF(N618="",AVERAGE($N:$N),N618)</f>
        <v>23</v>
      </c>
      <c r="AC618" s="7">
        <f t="shared" si="67"/>
        <v>2020</v>
      </c>
      <c r="AD618" s="7">
        <f t="shared" si="68"/>
        <v>8</v>
      </c>
      <c r="AE618" s="7">
        <f>COUNTIF(A:A,A618)</f>
        <v>1</v>
      </c>
      <c r="AF618" s="7" t="str">
        <f t="shared" si="69"/>
        <v>No</v>
      </c>
    </row>
    <row r="619" spans="1:32">
      <c r="A619" t="s">
        <v>2026</v>
      </c>
      <c r="B619">
        <v>38259178</v>
      </c>
      <c r="C619" t="s">
        <v>1619</v>
      </c>
      <c r="D619" t="s">
        <v>460</v>
      </c>
      <c r="E619" t="s">
        <v>20</v>
      </c>
      <c r="F619" t="s">
        <v>35</v>
      </c>
      <c r="G619" t="s">
        <v>80</v>
      </c>
      <c r="H619" t="s">
        <v>25</v>
      </c>
      <c r="I619" t="s">
        <v>3378</v>
      </c>
      <c r="J619">
        <v>11557.8</v>
      </c>
      <c r="K619" t="s">
        <v>57</v>
      </c>
      <c r="L619" t="s">
        <v>48</v>
      </c>
      <c r="M619" s="1">
        <v>44953.429861111108</v>
      </c>
      <c r="N619">
        <v>70</v>
      </c>
      <c r="O619" t="s">
        <v>68</v>
      </c>
      <c r="P619" t="s">
        <v>93</v>
      </c>
      <c r="Q619" t="s">
        <v>2027</v>
      </c>
      <c r="R619">
        <f t="shared" si="63"/>
        <v>38259178</v>
      </c>
      <c r="S619" t="str" cm="1">
        <f t="array" ref="S619">IF(C619="",IFERROR(INDEX($C$2:$C$1166,MATCH(MAX(COUNTIF($C$2:$C$1166,$C$2:$C$1166)),COUNTIF($C$2:$C$1166,$C$2:$C$1166),0)),"Unknown"),C619)</f>
        <v>Elizabeth Anderson</v>
      </c>
      <c r="T619" s="4" t="str" cm="1">
        <f t="array" ref="T619">IF(D619="",IFERROR(INDEX($D$2:$D$1000,MATCH(MAX(COUNTIF($D$2:$D$1166,$D$2:$D$1166)),COUNTIF($D$2:$D$1166,$D$2:$D$1166),0)),"Unknown"),D619)</f>
        <v>Michael Rostova</v>
      </c>
      <c r="U619" t="str">
        <f t="shared" si="64"/>
        <v>EUR</v>
      </c>
      <c r="V619" s="7" t="str">
        <f t="shared" si="64"/>
        <v>USD</v>
      </c>
      <c r="W619" s="7" t="str">
        <f t="shared" si="65"/>
        <v>UAE</v>
      </c>
      <c r="X619" s="7" t="str">
        <f t="shared" si="65"/>
        <v>USA</v>
      </c>
      <c r="Y619" s="7" t="str" cm="1">
        <f t="array" ref="Y619">IF(H619="",IFERROR(INDEX($H$2:$H$1166,MATCH(MAX(COUNTIF($H$2:$H$1166,$H$2:$H$1166)),COUNTIF($H$2:$H$1166,$H$2:$H$1166),0)),"Unknown"),H619)</f>
        <v>KYC</v>
      </c>
      <c r="Z619" s="7" t="str">
        <f t="shared" si="66"/>
        <v>Inter-Transaction</v>
      </c>
      <c r="AA619" s="7">
        <f>IF(J619="",AVERAGE($J:$J),J619)</f>
        <v>11557.8</v>
      </c>
      <c r="AB619" s="7">
        <f>IF(N619="",AVERAGE($N:$N),N619)</f>
        <v>70</v>
      </c>
      <c r="AC619" s="7">
        <f t="shared" si="67"/>
        <v>2023</v>
      </c>
      <c r="AD619" s="7">
        <f t="shared" si="68"/>
        <v>1</v>
      </c>
      <c r="AE619" s="7">
        <f>COUNTIF(A:A,A619)</f>
        <v>1</v>
      </c>
      <c r="AF619" s="7" t="str">
        <f t="shared" si="69"/>
        <v>No</v>
      </c>
    </row>
    <row r="620" spans="1:32">
      <c r="A620" t="s">
        <v>2028</v>
      </c>
      <c r="B620">
        <v>38155104</v>
      </c>
      <c r="C620" t="s">
        <v>1380</v>
      </c>
      <c r="D620" t="s">
        <v>2029</v>
      </c>
      <c r="E620" t="s">
        <v>3375</v>
      </c>
      <c r="F620" t="s">
        <v>92</v>
      </c>
      <c r="G620" t="s">
        <v>121</v>
      </c>
      <c r="H620" t="s">
        <v>56</v>
      </c>
      <c r="I620" t="s">
        <v>3372</v>
      </c>
      <c r="J620">
        <v>9878.36</v>
      </c>
      <c r="K620" t="s">
        <v>39</v>
      </c>
      <c r="L620" t="s">
        <v>75</v>
      </c>
      <c r="M620" s="1">
        <v>45808.119444444441</v>
      </c>
      <c r="N620">
        <v>83</v>
      </c>
      <c r="O620" t="s">
        <v>68</v>
      </c>
      <c r="P620" t="s">
        <v>127</v>
      </c>
      <c r="Q620" t="s">
        <v>2030</v>
      </c>
      <c r="R620">
        <f t="shared" si="63"/>
        <v>38155104</v>
      </c>
      <c r="S620" t="str" cm="1">
        <f t="array" ref="S620">IF(C620="",IFERROR(INDEX($C$2:$C$1166,MATCH(MAX(COUNTIF($C$2:$C$1166,$C$2:$C$1166)),COUNTIF($C$2:$C$1166,$C$2:$C$1166),0)),"Unknown"),C620)</f>
        <v>Carlos Thomas</v>
      </c>
      <c r="T620" s="4" t="str" cm="1">
        <f t="array" ref="T620">IF(D620="",IFERROR(INDEX($D$2:$D$1000,MATCH(MAX(COUNTIF($D$2:$D$1166,$D$2:$D$1166)),COUNTIF($D$2:$D$1166,$D$2:$D$1166),0)),"Unknown"),D620)</f>
        <v>Sanjay Johnson</v>
      </c>
      <c r="U620" t="str">
        <f t="shared" si="64"/>
        <v>AUD</v>
      </c>
      <c r="V620" s="7" t="str">
        <f t="shared" si="64"/>
        <v>INR</v>
      </c>
      <c r="W620" s="7" t="str">
        <f t="shared" si="65"/>
        <v>UAE</v>
      </c>
      <c r="X620" s="7" t="str">
        <f t="shared" si="65"/>
        <v>Canada</v>
      </c>
      <c r="Y620" s="7" t="str" cm="1">
        <f t="array" ref="Y620">IF(H620="",IFERROR(INDEX($H$2:$H$1166,MATCH(MAX(COUNTIF($H$2:$H$1166,$H$2:$H$1166)),COUNTIF($H$2:$H$1166,$H$2:$H$1166),0)),"Unknown"),H620)</f>
        <v>Unverified</v>
      </c>
      <c r="Z620" s="7" t="str">
        <f t="shared" si="66"/>
        <v>Outer-Transaction</v>
      </c>
      <c r="AA620" s="7">
        <f>IF(J620="",AVERAGE($J:$J),J620)</f>
        <v>9878.36</v>
      </c>
      <c r="AB620" s="7">
        <f>IF(N620="",AVERAGE($N:$N),N620)</f>
        <v>83</v>
      </c>
      <c r="AC620" s="7">
        <f t="shared" si="67"/>
        <v>2025</v>
      </c>
      <c r="AD620" s="7">
        <f t="shared" si="68"/>
        <v>5</v>
      </c>
      <c r="AE620" s="7">
        <f>COUNTIF(A:A,A620)</f>
        <v>1</v>
      </c>
      <c r="AF620" s="7" t="str">
        <f t="shared" si="69"/>
        <v>No</v>
      </c>
    </row>
    <row r="621" spans="1:32">
      <c r="A621" t="s">
        <v>2031</v>
      </c>
      <c r="C621" t="s">
        <v>637</v>
      </c>
      <c r="D621" t="s">
        <v>2032</v>
      </c>
      <c r="E621" t="s">
        <v>3373</v>
      </c>
      <c r="F621" t="s">
        <v>92</v>
      </c>
      <c r="G621" t="s">
        <v>35</v>
      </c>
      <c r="H621" t="s">
        <v>38</v>
      </c>
      <c r="I621" t="s">
        <v>3372</v>
      </c>
      <c r="J621">
        <v>14356.37</v>
      </c>
      <c r="K621" t="s">
        <v>47</v>
      </c>
      <c r="L621" t="s">
        <v>48</v>
      </c>
      <c r="M621" s="1">
        <v>46373.614583333336</v>
      </c>
      <c r="N621">
        <v>60</v>
      </c>
      <c r="O621" t="s">
        <v>55</v>
      </c>
      <c r="P621" t="s">
        <v>36</v>
      </c>
      <c r="Q621" t="s">
        <v>2033</v>
      </c>
      <c r="R621">
        <f t="shared" si="63"/>
        <v>0</v>
      </c>
      <c r="S621" t="str" cm="1">
        <f t="array" ref="S621">IF(C621="",IFERROR(INDEX($C$2:$C$1166,MATCH(MAX(COUNTIF($C$2:$C$1166,$C$2:$C$1166)),COUNTIF($C$2:$C$1166,$C$2:$C$1166),0)),"Unknown"),C621)</f>
        <v>John Malik</v>
      </c>
      <c r="T621" s="4" t="str" cm="1">
        <f t="array" ref="T621">IF(D621="",IFERROR(INDEX($D$2:$D$1000,MATCH(MAX(COUNTIF($D$2:$D$1166,$D$2:$D$1166)),COUNTIF($D$2:$D$1166,$D$2:$D$1166),0)),"Unknown"),D621)</f>
        <v>Lucas Garcia</v>
      </c>
      <c r="U621" t="str">
        <f t="shared" si="64"/>
        <v>AUD</v>
      </c>
      <c r="V621" s="7" t="str">
        <f t="shared" si="64"/>
        <v>EUR</v>
      </c>
      <c r="W621" s="7" t="str">
        <f t="shared" si="65"/>
        <v>UK</v>
      </c>
      <c r="X621" s="7" t="str">
        <f t="shared" si="65"/>
        <v>Germany</v>
      </c>
      <c r="Y621" s="7" t="str" cm="1">
        <f t="array" ref="Y621">IF(H621="",IFERROR(INDEX($H$2:$H$1166,MATCH(MAX(COUNTIF($H$2:$H$1166,$H$2:$H$1166)),COUNTIF($H$2:$H$1166,$H$2:$H$1166),0)),"Unknown"),H621)</f>
        <v>Pending</v>
      </c>
      <c r="Z621" s="7" t="str">
        <f t="shared" si="66"/>
        <v>Outer-Transaction</v>
      </c>
      <c r="AA621" s="7">
        <f>IF(J621="",AVERAGE($J:$J),J621)</f>
        <v>14356.37</v>
      </c>
      <c r="AB621" s="7">
        <f>IF(N621="",AVERAGE($N:$N),N621)</f>
        <v>60</v>
      </c>
      <c r="AC621" s="7">
        <f t="shared" si="67"/>
        <v>2026</v>
      </c>
      <c r="AD621" s="7">
        <f t="shared" si="68"/>
        <v>12</v>
      </c>
      <c r="AE621" s="7">
        <f>COUNTIF(A:A,A621)</f>
        <v>1</v>
      </c>
      <c r="AF621" s="7" t="str">
        <f t="shared" si="69"/>
        <v>Yes</v>
      </c>
    </row>
    <row r="622" spans="1:32">
      <c r="A622" t="s">
        <v>2034</v>
      </c>
      <c r="B622">
        <v>77253402</v>
      </c>
      <c r="C622" t="s">
        <v>2035</v>
      </c>
      <c r="E622">
        <v>0</v>
      </c>
      <c r="F622" t="s">
        <v>22</v>
      </c>
      <c r="G622" t="s">
        <v>22</v>
      </c>
      <c r="H622" t="s">
        <v>38</v>
      </c>
      <c r="I622" t="s">
        <v>3371</v>
      </c>
      <c r="J622">
        <v>6529.72</v>
      </c>
      <c r="K622" t="s">
        <v>86</v>
      </c>
      <c r="L622" t="s">
        <v>81</v>
      </c>
      <c r="M622" s="1">
        <v>45834.45208333333</v>
      </c>
      <c r="N622">
        <v>40</v>
      </c>
      <c r="O622" t="s">
        <v>127</v>
      </c>
      <c r="P622" t="s">
        <v>55</v>
      </c>
      <c r="Q622" t="s">
        <v>2036</v>
      </c>
      <c r="R622">
        <f t="shared" si="63"/>
        <v>77253402</v>
      </c>
      <c r="S622" t="str" cm="1">
        <f t="array" ref="S622">IF(C622="",IFERROR(INDEX($C$2:$C$1166,MATCH(MAX(COUNTIF($C$2:$C$1166,$C$2:$C$1166)),COUNTIF($C$2:$C$1166,$C$2:$C$1166),0)),"Unknown"),C622)</f>
        <v>William Miller</v>
      </c>
      <c r="T622" s="4" t="str" cm="1">
        <f t="array" ref="T622">IF(D622="",IFERROR(INDEX($D$2:$D$1000,MATCH(MAX(COUNTIF($D$2:$D$1166,$D$2:$D$1166)),COUNTIF($D$2:$D$1166,$D$2:$D$1166),0)),"Unknown"),D622)</f>
        <v>Patricia Smith</v>
      </c>
      <c r="U622" t="str">
        <f t="shared" si="64"/>
        <v>BRL</v>
      </c>
      <c r="V622" s="7" t="str">
        <f t="shared" si="64"/>
        <v>BRL</v>
      </c>
      <c r="W622" s="7" t="str">
        <f t="shared" si="65"/>
        <v>Canada</v>
      </c>
      <c r="X622" s="7" t="str">
        <f t="shared" si="65"/>
        <v>UK</v>
      </c>
      <c r="Y622" s="7" t="str" cm="1">
        <f t="array" ref="Y622">IF(H622="",IFERROR(INDEX($H$2:$H$1166,MATCH(MAX(COUNTIF($H$2:$H$1166,$H$2:$H$1166)),COUNTIF($H$2:$H$1166,$H$2:$H$1166),0)),"Unknown"),H622)</f>
        <v>Pending</v>
      </c>
      <c r="Z622" s="7" t="str">
        <f t="shared" si="66"/>
        <v>Outer-Transaction</v>
      </c>
      <c r="AA622" s="7">
        <f>IF(J622="",AVERAGE($J:$J),J622)</f>
        <v>6529.72</v>
      </c>
      <c r="AB622" s="7">
        <f>IF(N622="",AVERAGE($N:$N),N622)</f>
        <v>40</v>
      </c>
      <c r="AC622" s="7">
        <f t="shared" si="67"/>
        <v>2025</v>
      </c>
      <c r="AD622" s="7">
        <f t="shared" si="68"/>
        <v>6</v>
      </c>
      <c r="AE622" s="7">
        <f>COUNTIF(A:A,A622)</f>
        <v>1</v>
      </c>
      <c r="AF622" s="7" t="str">
        <f t="shared" si="69"/>
        <v>No</v>
      </c>
    </row>
    <row r="623" spans="1:32">
      <c r="A623" t="s">
        <v>2037</v>
      </c>
      <c r="B623">
        <v>66001691</v>
      </c>
      <c r="C623" t="s">
        <v>712</v>
      </c>
      <c r="D623" t="s">
        <v>1159</v>
      </c>
      <c r="E623" t="s">
        <v>20</v>
      </c>
      <c r="G623" t="s">
        <v>34</v>
      </c>
      <c r="H623" t="s">
        <v>74</v>
      </c>
      <c r="I623" t="s">
        <v>3374</v>
      </c>
      <c r="J623">
        <v>13566.66</v>
      </c>
      <c r="K623" t="s">
        <v>57</v>
      </c>
      <c r="L623" t="s">
        <v>81</v>
      </c>
      <c r="M623" s="1">
        <v>45368.293749999997</v>
      </c>
      <c r="N623">
        <v>72</v>
      </c>
      <c r="O623" t="s">
        <v>62</v>
      </c>
      <c r="P623" t="s">
        <v>127</v>
      </c>
      <c r="Q623" t="s">
        <v>2038</v>
      </c>
      <c r="R623">
        <f t="shared" si="63"/>
        <v>66001691</v>
      </c>
      <c r="S623" t="str" cm="1">
        <f t="array" ref="S623">IF(C623="",IFERROR(INDEX($C$2:$C$1166,MATCH(MAX(COUNTIF($C$2:$C$1166,$C$2:$C$1166)),COUNTIF($C$2:$C$1166,$C$2:$C$1166),0)),"Unknown"),C623)</f>
        <v>Priya Anderson</v>
      </c>
      <c r="T623" s="4" t="str" cm="1">
        <f t="array" ref="T623">IF(D623="",IFERROR(INDEX($D$2:$D$1000,MATCH(MAX(COUNTIF($D$2:$D$1166,$D$2:$D$1166)),COUNTIF($D$2:$D$1166,$D$2:$D$1166),0)),"Unknown"),D623)</f>
        <v>Priya Volkov</v>
      </c>
      <c r="U623" t="str">
        <f t="shared" si="64"/>
        <v/>
      </c>
      <c r="V623" s="7" t="str">
        <f t="shared" si="64"/>
        <v>CAD</v>
      </c>
      <c r="W623" s="7" t="str">
        <f t="shared" si="65"/>
        <v>Australia</v>
      </c>
      <c r="X623" s="7" t="str">
        <f t="shared" si="65"/>
        <v>Canada</v>
      </c>
      <c r="Y623" s="7" t="str" cm="1">
        <f t="array" ref="Y623">IF(H623="",IFERROR(INDEX($H$2:$H$1166,MATCH(MAX(COUNTIF($H$2:$H$1166,$H$2:$H$1166)),COUNTIF($H$2:$H$1166,$H$2:$H$1166),0)),"Unknown"),H623)</f>
        <v>Non-KYC</v>
      </c>
      <c r="Z623" s="7" t="str">
        <f t="shared" si="66"/>
        <v>External</v>
      </c>
      <c r="AA623" s="7">
        <f>IF(J623="",AVERAGE($J:$J),J623)</f>
        <v>13566.66</v>
      </c>
      <c r="AB623" s="7">
        <f>IF(N623="",AVERAGE($N:$N),N623)</f>
        <v>72</v>
      </c>
      <c r="AC623" s="7">
        <f t="shared" si="67"/>
        <v>2024</v>
      </c>
      <c r="AD623" s="7">
        <f t="shared" si="68"/>
        <v>3</v>
      </c>
      <c r="AE623" s="7">
        <f>COUNTIF(A:A,A623)</f>
        <v>1</v>
      </c>
      <c r="AF623" s="7" t="str">
        <f t="shared" si="69"/>
        <v>No</v>
      </c>
    </row>
    <row r="624" spans="1:32">
      <c r="A624" t="s">
        <v>2039</v>
      </c>
      <c r="B624">
        <v>20214735</v>
      </c>
      <c r="C624" t="s">
        <v>2040</v>
      </c>
      <c r="D624" t="s">
        <v>551</v>
      </c>
      <c r="E624" t="s">
        <v>3375</v>
      </c>
      <c r="F624" t="s">
        <v>294</v>
      </c>
      <c r="G624" t="s">
        <v>92</v>
      </c>
      <c r="H624" t="s">
        <v>38</v>
      </c>
      <c r="I624" t="s">
        <v>3374</v>
      </c>
      <c r="J624">
        <v>777.42</v>
      </c>
      <c r="K624" t="s">
        <v>27</v>
      </c>
      <c r="L624" t="s">
        <v>48</v>
      </c>
      <c r="M624" s="1">
        <v>44585.48541666667</v>
      </c>
      <c r="N624">
        <v>33</v>
      </c>
      <c r="O624" t="s">
        <v>36</v>
      </c>
      <c r="P624" t="s">
        <v>24</v>
      </c>
      <c r="Q624" t="s">
        <v>2041</v>
      </c>
      <c r="R624">
        <f t="shared" si="63"/>
        <v>20214735</v>
      </c>
      <c r="S624" t="str" cm="1">
        <f t="array" ref="S624">IF(C624="",IFERROR(INDEX($C$2:$C$1166,MATCH(MAX(COUNTIF($C$2:$C$1166,$C$2:$C$1166)),COUNTIF($C$2:$C$1166,$C$2:$C$1166),0)),"Unknown"),C624)</f>
        <v>Lucas Silva</v>
      </c>
      <c r="T624" s="4" t="str" cm="1">
        <f t="array" ref="T624">IF(D624="",IFERROR(INDEX($D$2:$D$1000,MATCH(MAX(COUNTIF($D$2:$D$1166,$D$2:$D$1166)),COUNTIF($D$2:$D$1166,$D$2:$D$1166),0)),"Unknown"),D624)</f>
        <v>David Moore</v>
      </c>
      <c r="U624" t="str">
        <f t="shared" si="64"/>
        <v>jpy</v>
      </c>
      <c r="V624" s="7" t="str">
        <f t="shared" si="64"/>
        <v>AUD</v>
      </c>
      <c r="W624" s="7" t="str">
        <f t="shared" si="65"/>
        <v>Germany</v>
      </c>
      <c r="X624" s="7" t="str">
        <f t="shared" si="65"/>
        <v>Brazil</v>
      </c>
      <c r="Y624" s="7" t="str" cm="1">
        <f t="array" ref="Y624">IF(H624="",IFERROR(INDEX($H$2:$H$1166,MATCH(MAX(COUNTIF($H$2:$H$1166,$H$2:$H$1166)),COUNTIF($H$2:$H$1166,$H$2:$H$1166),0)),"Unknown"),H624)</f>
        <v>Pending</v>
      </c>
      <c r="Z624" s="7" t="str">
        <f t="shared" si="66"/>
        <v>External</v>
      </c>
      <c r="AA624" s="7">
        <f>IF(J624="",AVERAGE($J:$J),J624)</f>
        <v>777.42</v>
      </c>
      <c r="AB624" s="7">
        <f>IF(N624="",AVERAGE($N:$N),N624)</f>
        <v>33</v>
      </c>
      <c r="AC624" s="7">
        <f t="shared" si="67"/>
        <v>2022</v>
      </c>
      <c r="AD624" s="7">
        <f t="shared" si="68"/>
        <v>1</v>
      </c>
      <c r="AE624" s="7">
        <f>COUNTIF(A:A,A624)</f>
        <v>1</v>
      </c>
      <c r="AF624" s="7" t="str">
        <f t="shared" si="69"/>
        <v>No</v>
      </c>
    </row>
    <row r="625" spans="1:32">
      <c r="A625" t="s">
        <v>2042</v>
      </c>
      <c r="B625">
        <v>67646579</v>
      </c>
      <c r="C625" t="s">
        <v>2043</v>
      </c>
      <c r="D625" t="s">
        <v>1966</v>
      </c>
      <c r="E625" t="s">
        <v>20</v>
      </c>
      <c r="F625" t="s">
        <v>80</v>
      </c>
      <c r="G625" t="s">
        <v>35</v>
      </c>
      <c r="H625" t="s">
        <v>56</v>
      </c>
      <c r="I625" t="s">
        <v>3371</v>
      </c>
      <c r="J625">
        <v>13590.26</v>
      </c>
      <c r="K625" t="s">
        <v>47</v>
      </c>
      <c r="L625" t="s">
        <v>48</v>
      </c>
      <c r="M625" s="1">
        <v>46089.240277777775</v>
      </c>
      <c r="N625">
        <v>25</v>
      </c>
      <c r="O625" t="s">
        <v>55</v>
      </c>
      <c r="P625" t="s">
        <v>62</v>
      </c>
      <c r="Q625" t="s">
        <v>2044</v>
      </c>
      <c r="R625">
        <f t="shared" si="63"/>
        <v>67646579</v>
      </c>
      <c r="S625" t="str" cm="1">
        <f t="array" ref="S625">IF(C625="",IFERROR(INDEX($C$2:$C$1166,MATCH(MAX(COUNTIF($C$2:$C$1166,$C$2:$C$1166)),COUNTIF($C$2:$C$1166,$C$2:$C$1166),0)),"Unknown"),C625)</f>
        <v>Robert Hernandez</v>
      </c>
      <c r="T625" s="4" t="str" cm="1">
        <f t="array" ref="T625">IF(D625="",IFERROR(INDEX($D$2:$D$1000,MATCH(MAX(COUNTIF($D$2:$D$1166,$D$2:$D$1166)),COUNTIF($D$2:$D$1166,$D$2:$D$1166),0)),"Unknown"),D625)</f>
        <v>Sanjay Davis</v>
      </c>
      <c r="U625" t="str">
        <f t="shared" si="64"/>
        <v>USD</v>
      </c>
      <c r="V625" s="7" t="str">
        <f t="shared" si="64"/>
        <v>EUR</v>
      </c>
      <c r="W625" s="7" t="str">
        <f t="shared" si="65"/>
        <v>UK</v>
      </c>
      <c r="X625" s="7" t="str">
        <f t="shared" si="65"/>
        <v>Australia</v>
      </c>
      <c r="Y625" s="7" t="str" cm="1">
        <f t="array" ref="Y625">IF(H625="",IFERROR(INDEX($H$2:$H$1166,MATCH(MAX(COUNTIF($H$2:$H$1166,$H$2:$H$1166)),COUNTIF($H$2:$H$1166,$H$2:$H$1166),0)),"Unknown"),H625)</f>
        <v>Unverified</v>
      </c>
      <c r="Z625" s="7" t="str">
        <f t="shared" si="66"/>
        <v>Outer-Transaction</v>
      </c>
      <c r="AA625" s="7">
        <f>IF(J625="",AVERAGE($J:$J),J625)</f>
        <v>13590.26</v>
      </c>
      <c r="AB625" s="7">
        <f>IF(N625="",AVERAGE($N:$N),N625)</f>
        <v>25</v>
      </c>
      <c r="AC625" s="7">
        <f t="shared" si="67"/>
        <v>2026</v>
      </c>
      <c r="AD625" s="7">
        <f t="shared" si="68"/>
        <v>3</v>
      </c>
      <c r="AE625" s="7">
        <f>COUNTIF(A:A,A625)</f>
        <v>1</v>
      </c>
      <c r="AF625" s="7" t="str">
        <f t="shared" si="69"/>
        <v>No</v>
      </c>
    </row>
    <row r="626" spans="1:32">
      <c r="A626" t="s">
        <v>2045</v>
      </c>
      <c r="B626">
        <v>26299519</v>
      </c>
      <c r="C626" t="s">
        <v>2046</v>
      </c>
      <c r="D626" t="s">
        <v>2047</v>
      </c>
      <c r="E626" t="s">
        <v>3375</v>
      </c>
      <c r="F626" t="s">
        <v>53</v>
      </c>
      <c r="H626" t="s">
        <v>56</v>
      </c>
      <c r="I626" t="s">
        <v>3376</v>
      </c>
      <c r="J626">
        <v>1840.24</v>
      </c>
      <c r="K626" t="s">
        <v>27</v>
      </c>
      <c r="L626" t="s">
        <v>75</v>
      </c>
      <c r="M626" s="1">
        <v>44977.490972222222</v>
      </c>
      <c r="N626">
        <v>21</v>
      </c>
      <c r="O626" t="s">
        <v>127</v>
      </c>
      <c r="P626" t="s">
        <v>127</v>
      </c>
      <c r="Q626" t="s">
        <v>2048</v>
      </c>
      <c r="R626">
        <f t="shared" si="63"/>
        <v>26299519</v>
      </c>
      <c r="S626" t="str" cm="1">
        <f t="array" ref="S626">IF(C626="",IFERROR(INDEX($C$2:$C$1166,MATCH(MAX(COUNTIF($C$2:$C$1166,$C$2:$C$1166)),COUNTIF($C$2:$C$1166,$C$2:$C$1166),0)),"Unknown"),C626)</f>
        <v>Zayn Souza</v>
      </c>
      <c r="T626" s="4" t="str" cm="1">
        <f t="array" ref="T626">IF(D626="",IFERROR(INDEX($D$2:$D$1000,MATCH(MAX(COUNTIF($D$2:$D$1166,$D$2:$D$1166)),COUNTIF($D$2:$D$1166,$D$2:$D$1166),0)),"Unknown"),D626)</f>
        <v>John Davis</v>
      </c>
      <c r="U626" t="str">
        <f t="shared" si="64"/>
        <v>AED</v>
      </c>
      <c r="V626" s="7" t="str">
        <f t="shared" si="64"/>
        <v/>
      </c>
      <c r="W626" s="7" t="str">
        <f t="shared" si="65"/>
        <v>Canada</v>
      </c>
      <c r="X626" s="7" t="str">
        <f t="shared" si="65"/>
        <v>Canada</v>
      </c>
      <c r="Y626" s="7" t="str" cm="1">
        <f t="array" ref="Y626">IF(H626="",IFERROR(INDEX($H$2:$H$1166,MATCH(MAX(COUNTIF($H$2:$H$1166,$H$2:$H$1166)),COUNTIF($H$2:$H$1166,$H$2:$H$1166),0)),"Unknown"),H626)</f>
        <v>Unverified</v>
      </c>
      <c r="Z626" s="7" t="str">
        <f t="shared" si="66"/>
        <v>Internal</v>
      </c>
      <c r="AA626" s="7">
        <f>IF(J626="",AVERAGE($J:$J),J626)</f>
        <v>1840.24</v>
      </c>
      <c r="AB626" s="7">
        <f>IF(N626="",AVERAGE($N:$N),N626)</f>
        <v>21</v>
      </c>
      <c r="AC626" s="7">
        <f t="shared" si="67"/>
        <v>2023</v>
      </c>
      <c r="AD626" s="7">
        <f t="shared" si="68"/>
        <v>2</v>
      </c>
      <c r="AE626" s="7">
        <f>COUNTIF(A:A,A626)</f>
        <v>1</v>
      </c>
      <c r="AF626" s="7" t="str">
        <f t="shared" si="69"/>
        <v>No</v>
      </c>
    </row>
    <row r="627" spans="1:32">
      <c r="A627" t="s">
        <v>2049</v>
      </c>
      <c r="B627">
        <v>93260889</v>
      </c>
      <c r="C627" t="s">
        <v>2040</v>
      </c>
      <c r="D627" t="s">
        <v>1278</v>
      </c>
      <c r="E627" t="s">
        <v>20</v>
      </c>
      <c r="F627" t="s">
        <v>21</v>
      </c>
      <c r="G627" t="s">
        <v>21</v>
      </c>
      <c r="I627" t="s">
        <v>3378</v>
      </c>
      <c r="J627">
        <v>456.54</v>
      </c>
      <c r="K627" t="s">
        <v>39</v>
      </c>
      <c r="L627" t="s">
        <v>81</v>
      </c>
      <c r="M627" s="1">
        <v>45242.643055555556</v>
      </c>
      <c r="N627">
        <v>21</v>
      </c>
      <c r="O627" t="s">
        <v>23</v>
      </c>
      <c r="P627" t="s">
        <v>68</v>
      </c>
      <c r="Q627" t="s">
        <v>2050</v>
      </c>
      <c r="R627">
        <f t="shared" si="63"/>
        <v>93260889</v>
      </c>
      <c r="S627" t="str" cm="1">
        <f t="array" ref="S627">IF(C627="",IFERROR(INDEX($C$2:$C$1166,MATCH(MAX(COUNTIF($C$2:$C$1166,$C$2:$C$1166)),COUNTIF($C$2:$C$1166,$C$2:$C$1166),0)),"Unknown"),C627)</f>
        <v>Lucas Silva</v>
      </c>
      <c r="T627" s="4" t="str" cm="1">
        <f t="array" ref="T627">IF(D627="",IFERROR(INDEX($D$2:$D$1000,MATCH(MAX(COUNTIF($D$2:$D$1166,$D$2:$D$1166)),COUNTIF($D$2:$D$1166,$D$2:$D$1166),0)),"Unknown"),D627)</f>
        <v>Jean-Pierre Williams</v>
      </c>
      <c r="U627" t="str">
        <f t="shared" si="64"/>
        <v>GBP</v>
      </c>
      <c r="V627" s="7" t="str">
        <f t="shared" si="64"/>
        <v>GBP</v>
      </c>
      <c r="W627" s="7" t="str">
        <f t="shared" si="65"/>
        <v>France</v>
      </c>
      <c r="X627" s="7" t="str">
        <f t="shared" si="65"/>
        <v>UAE</v>
      </c>
      <c r="Y627" s="7" t="str" cm="1">
        <f t="array" ref="Y627">IF(H627="",IFERROR(INDEX($H$2:$H$1166,MATCH(MAX(COUNTIF($H$2:$H$1166,$H$2:$H$1166)),COUNTIF($H$2:$H$1166,$H$2:$H$1166),0)),"Unknown"),H627)</f>
        <v>Pending</v>
      </c>
      <c r="Z627" s="7" t="str">
        <f t="shared" si="66"/>
        <v>Inter-Transaction</v>
      </c>
      <c r="AA627" s="7">
        <f>IF(J627="",AVERAGE($J:$J),J627)</f>
        <v>456.54</v>
      </c>
      <c r="AB627" s="7">
        <f>IF(N627="",AVERAGE($N:$N),N627)</f>
        <v>21</v>
      </c>
      <c r="AC627" s="7">
        <f t="shared" si="67"/>
        <v>2023</v>
      </c>
      <c r="AD627" s="7">
        <f t="shared" si="68"/>
        <v>11</v>
      </c>
      <c r="AE627" s="7">
        <f>COUNTIF(A:A,A627)</f>
        <v>1</v>
      </c>
      <c r="AF627" s="7" t="str">
        <f t="shared" si="69"/>
        <v>No</v>
      </c>
    </row>
    <row r="628" spans="1:32">
      <c r="A628" t="s">
        <v>2051</v>
      </c>
      <c r="B628">
        <v>18979241</v>
      </c>
      <c r="C628" t="s">
        <v>802</v>
      </c>
      <c r="D628" t="s">
        <v>2052</v>
      </c>
      <c r="E628" t="s">
        <v>3375</v>
      </c>
      <c r="F628" t="s">
        <v>44</v>
      </c>
      <c r="G628" t="s">
        <v>98</v>
      </c>
      <c r="H628" t="s">
        <v>56</v>
      </c>
      <c r="I628" t="s">
        <v>3371</v>
      </c>
      <c r="J628">
        <v>65.790000000000006</v>
      </c>
      <c r="K628" t="s">
        <v>57</v>
      </c>
      <c r="L628" t="s">
        <v>28</v>
      </c>
      <c r="M628" s="1">
        <v>43970.868750000001</v>
      </c>
      <c r="N628">
        <v>73</v>
      </c>
      <c r="O628" t="s">
        <v>54</v>
      </c>
      <c r="P628" t="s">
        <v>37</v>
      </c>
      <c r="Q628" t="s">
        <v>2053</v>
      </c>
      <c r="R628">
        <f t="shared" si="63"/>
        <v>18979241</v>
      </c>
      <c r="S628" t="str" cm="1">
        <f t="array" ref="S628">IF(C628="",IFERROR(INDEX($C$2:$C$1166,MATCH(MAX(COUNTIF($C$2:$C$1166,$C$2:$C$1166)),COUNTIF($C$2:$C$1166,$C$2:$C$1166),0)),"Unknown"),C628)</f>
        <v>Fatima Davis</v>
      </c>
      <c r="T628" s="4" t="str" cm="1">
        <f t="array" ref="T628">IF(D628="",IFERROR(INDEX($D$2:$D$1000,MATCH(MAX(COUNTIF($D$2:$D$1166,$D$2:$D$1166)),COUNTIF($D$2:$D$1166,$D$2:$D$1166),0)),"Unknown"),D628)</f>
        <v xml:space="preserve"> amir velez   </v>
      </c>
      <c r="U628" t="str">
        <f t="shared" si="64"/>
        <v>SGD</v>
      </c>
      <c r="V628" s="7" t="str">
        <f t="shared" si="64"/>
        <v>JPY</v>
      </c>
      <c r="W628" s="7" t="str">
        <f t="shared" si="65"/>
        <v>India</v>
      </c>
      <c r="X628" s="7" t="str">
        <f t="shared" si="65"/>
        <v>South Africa</v>
      </c>
      <c r="Y628" s="7" t="str" cm="1">
        <f t="array" ref="Y628">IF(H628="",IFERROR(INDEX($H$2:$H$1166,MATCH(MAX(COUNTIF($H$2:$H$1166,$H$2:$H$1166)),COUNTIF($H$2:$H$1166,$H$2:$H$1166),0)),"Unknown"),H628)</f>
        <v>Unverified</v>
      </c>
      <c r="Z628" s="7" t="str">
        <f t="shared" si="66"/>
        <v>Outer-Transaction</v>
      </c>
      <c r="AA628" s="7">
        <f>IF(J628="",AVERAGE($J:$J),J628)</f>
        <v>65.790000000000006</v>
      </c>
      <c r="AB628" s="7">
        <f>IF(N628="",AVERAGE($N:$N),N628)</f>
        <v>73</v>
      </c>
      <c r="AC628" s="7">
        <f t="shared" si="67"/>
        <v>2020</v>
      </c>
      <c r="AD628" s="7">
        <f t="shared" si="68"/>
        <v>5</v>
      </c>
      <c r="AE628" s="7">
        <f>COUNTIF(A:A,A628)</f>
        <v>1</v>
      </c>
      <c r="AF628" s="7" t="str">
        <f t="shared" si="69"/>
        <v>No</v>
      </c>
    </row>
    <row r="629" spans="1:32">
      <c r="A629" t="s">
        <v>2054</v>
      </c>
      <c r="B629">
        <v>89812369</v>
      </c>
      <c r="C629" t="s">
        <v>270</v>
      </c>
      <c r="D629" t="s">
        <v>966</v>
      </c>
      <c r="E629" t="s">
        <v>20</v>
      </c>
      <c r="F629" t="s">
        <v>44</v>
      </c>
      <c r="G629" t="s">
        <v>44</v>
      </c>
      <c r="I629" t="s">
        <v>3378</v>
      </c>
      <c r="J629">
        <v>3698.1</v>
      </c>
      <c r="K629" t="s">
        <v>27</v>
      </c>
      <c r="L629" t="s">
        <v>81</v>
      </c>
      <c r="M629" s="1">
        <v>44371.832638888889</v>
      </c>
      <c r="N629">
        <v>42</v>
      </c>
      <c r="O629" t="s">
        <v>62</v>
      </c>
      <c r="P629" t="s">
        <v>24</v>
      </c>
      <c r="Q629" t="s">
        <v>2055</v>
      </c>
      <c r="R629">
        <f t="shared" si="63"/>
        <v>89812369</v>
      </c>
      <c r="S629" t="str" cm="1">
        <f t="array" ref="S629">IF(C629="",IFERROR(INDEX($C$2:$C$1166,MATCH(MAX(COUNTIF($C$2:$C$1166,$C$2:$C$1166)),COUNTIF($C$2:$C$1166,$C$2:$C$1166),0)),"Unknown"),C629)</f>
        <v>Charles Moore</v>
      </c>
      <c r="T629" s="4" t="str" cm="1">
        <f t="array" ref="T629">IF(D629="",IFERROR(INDEX($D$2:$D$1000,MATCH(MAX(COUNTIF($D$2:$D$1166,$D$2:$D$1166)),COUNTIF($D$2:$D$1166,$D$2:$D$1166),0)),"Unknown"),D629)</f>
        <v>Jean-Pierre Brown</v>
      </c>
      <c r="U629" t="str">
        <f t="shared" si="64"/>
        <v>SGD</v>
      </c>
      <c r="V629" s="7" t="str">
        <f t="shared" si="64"/>
        <v>SGD</v>
      </c>
      <c r="W629" s="7" t="str">
        <f t="shared" si="65"/>
        <v>Australia</v>
      </c>
      <c r="X629" s="7" t="str">
        <f t="shared" si="65"/>
        <v>Brazil</v>
      </c>
      <c r="Y629" s="7" t="str" cm="1">
        <f t="array" ref="Y629">IF(H629="",IFERROR(INDEX($H$2:$H$1166,MATCH(MAX(COUNTIF($H$2:$H$1166,$H$2:$H$1166)),COUNTIF($H$2:$H$1166,$H$2:$H$1166),0)),"Unknown"),H629)</f>
        <v>Pending</v>
      </c>
      <c r="Z629" s="7" t="str">
        <f t="shared" si="66"/>
        <v>Inter-Transaction</v>
      </c>
      <c r="AA629" s="7">
        <f>IF(J629="",AVERAGE($J:$J),J629)</f>
        <v>3698.1</v>
      </c>
      <c r="AB629" s="7">
        <f>IF(N629="",AVERAGE($N:$N),N629)</f>
        <v>42</v>
      </c>
      <c r="AC629" s="7">
        <f t="shared" si="67"/>
        <v>2021</v>
      </c>
      <c r="AD629" s="7">
        <f t="shared" si="68"/>
        <v>6</v>
      </c>
      <c r="AE629" s="7">
        <f>COUNTIF(A:A,A629)</f>
        <v>1</v>
      </c>
      <c r="AF629" s="7" t="str">
        <f t="shared" si="69"/>
        <v>No</v>
      </c>
    </row>
    <row r="630" spans="1:32">
      <c r="A630" t="s">
        <v>2056</v>
      </c>
      <c r="B630">
        <v>30540246</v>
      </c>
      <c r="C630" t="s">
        <v>2057</v>
      </c>
      <c r="D630" t="s">
        <v>2058</v>
      </c>
      <c r="E630" t="s">
        <v>20</v>
      </c>
      <c r="F630" t="s">
        <v>294</v>
      </c>
      <c r="G630" t="s">
        <v>34</v>
      </c>
      <c r="H630" t="s">
        <v>103</v>
      </c>
      <c r="I630" t="s">
        <v>3371</v>
      </c>
      <c r="J630">
        <v>10679.89</v>
      </c>
      <c r="K630" t="s">
        <v>47</v>
      </c>
      <c r="L630" t="s">
        <v>28</v>
      </c>
      <c r="M630" s="1">
        <v>45245.131944444445</v>
      </c>
      <c r="N630">
        <v>84</v>
      </c>
      <c r="O630" t="s">
        <v>68</v>
      </c>
      <c r="P630" t="s">
        <v>93</v>
      </c>
      <c r="Q630" t="s">
        <v>2059</v>
      </c>
      <c r="R630">
        <f t="shared" si="63"/>
        <v>30540246</v>
      </c>
      <c r="S630" t="str" cm="1">
        <f t="array" ref="S630">IF(C630="",IFERROR(INDEX($C$2:$C$1166,MATCH(MAX(COUNTIF($C$2:$C$1166,$C$2:$C$1166)),COUNTIF($C$2:$C$1166,$C$2:$C$1166),0)),"Unknown"),C630)</f>
        <v xml:space="preserve">  DAVID HERNANDEZ </v>
      </c>
      <c r="T630" s="4" t="str" cm="1">
        <f t="array" ref="T630">IF(D630="",IFERROR(INDEX($D$2:$D$1000,MATCH(MAX(COUNTIF($D$2:$D$1166,$D$2:$D$1166)),COUNTIF($D$2:$D$1166,$D$2:$D$1166),0)),"Unknown"),D630)</f>
        <v>Zayn Wilson</v>
      </c>
      <c r="U630" t="str">
        <f t="shared" si="64"/>
        <v>jpy</v>
      </c>
      <c r="V630" s="7" t="str">
        <f t="shared" si="64"/>
        <v>CAD</v>
      </c>
      <c r="W630" s="7" t="str">
        <f t="shared" si="65"/>
        <v>UAE</v>
      </c>
      <c r="X630" s="7" t="str">
        <f t="shared" si="65"/>
        <v>USA</v>
      </c>
      <c r="Y630" s="7" t="str" cm="1">
        <f t="array" ref="Y630">IF(H630="",IFERROR(INDEX($H$2:$H$1166,MATCH(MAX(COUNTIF($H$2:$H$1166,$H$2:$H$1166)),COUNTIF($H$2:$H$1166,$H$2:$H$1166),0)),"Unknown"),H630)</f>
        <v>Verified</v>
      </c>
      <c r="Z630" s="7" t="str">
        <f t="shared" si="66"/>
        <v>Outer-Transaction</v>
      </c>
      <c r="AA630" s="7">
        <f>IF(J630="",AVERAGE($J:$J),J630)</f>
        <v>10679.89</v>
      </c>
      <c r="AB630" s="7">
        <f>IF(N630="",AVERAGE($N:$N),N630)</f>
        <v>84</v>
      </c>
      <c r="AC630" s="7">
        <f t="shared" si="67"/>
        <v>2023</v>
      </c>
      <c r="AD630" s="7">
        <f t="shared" si="68"/>
        <v>11</v>
      </c>
      <c r="AE630" s="7">
        <f>COUNTIF(A:A,A630)</f>
        <v>1</v>
      </c>
      <c r="AF630" s="7" t="str">
        <f t="shared" si="69"/>
        <v>No</v>
      </c>
    </row>
    <row r="631" spans="1:32">
      <c r="A631" t="s">
        <v>2060</v>
      </c>
      <c r="B631">
        <v>20581573</v>
      </c>
      <c r="C631" t="s">
        <v>2061</v>
      </c>
      <c r="D631" t="s">
        <v>2062</v>
      </c>
      <c r="E631" t="s">
        <v>3375</v>
      </c>
      <c r="F631" t="s">
        <v>98</v>
      </c>
      <c r="G631" t="s">
        <v>98</v>
      </c>
      <c r="H631" t="s">
        <v>38</v>
      </c>
      <c r="I631" t="s">
        <v>3378</v>
      </c>
      <c r="J631">
        <v>13595.73</v>
      </c>
      <c r="K631" t="s">
        <v>57</v>
      </c>
      <c r="L631" t="s">
        <v>28</v>
      </c>
      <c r="M631" s="1">
        <v>44100.505555555559</v>
      </c>
      <c r="N631">
        <v>84</v>
      </c>
      <c r="O631" t="s">
        <v>93</v>
      </c>
      <c r="P631" t="s">
        <v>93</v>
      </c>
      <c r="Q631" t="s">
        <v>2063</v>
      </c>
      <c r="R631">
        <f t="shared" si="63"/>
        <v>20581573</v>
      </c>
      <c r="S631" t="str" cm="1">
        <f t="array" ref="S631">IF(C631="",IFERROR(INDEX($C$2:$C$1166,MATCH(MAX(COUNTIF($C$2:$C$1166,$C$2:$C$1166)),COUNTIF($C$2:$C$1166,$C$2:$C$1166),0)),"Unknown"),C631)</f>
        <v>Elizabeth Johnson</v>
      </c>
      <c r="T631" s="4" t="str" cm="1">
        <f t="array" ref="T631">IF(D631="",IFERROR(INDEX($D$2:$D$1000,MATCH(MAX(COUNTIF($D$2:$D$1166,$D$2:$D$1166)),COUNTIF($D$2:$D$1166,$D$2:$D$1166),0)),"Unknown"),D631)</f>
        <v>David Martinez</v>
      </c>
      <c r="U631" t="str">
        <f t="shared" si="64"/>
        <v>JPY</v>
      </c>
      <c r="V631" s="7" t="str">
        <f t="shared" si="64"/>
        <v>JPY</v>
      </c>
      <c r="W631" s="7" t="str">
        <f t="shared" si="65"/>
        <v>USA</v>
      </c>
      <c r="X631" s="7" t="str">
        <f t="shared" si="65"/>
        <v>USA</v>
      </c>
      <c r="Y631" s="7" t="str" cm="1">
        <f t="array" ref="Y631">IF(H631="",IFERROR(INDEX($H$2:$H$1166,MATCH(MAX(COUNTIF($H$2:$H$1166,$H$2:$H$1166)),COUNTIF($H$2:$H$1166,$H$2:$H$1166),0)),"Unknown"),H631)</f>
        <v>Pending</v>
      </c>
      <c r="Z631" s="7" t="str">
        <f t="shared" si="66"/>
        <v>Inter-Transaction</v>
      </c>
      <c r="AA631" s="7">
        <f>IF(J631="",AVERAGE($J:$J),J631)</f>
        <v>13595.73</v>
      </c>
      <c r="AB631" s="7">
        <f>IF(N631="",AVERAGE($N:$N),N631)</f>
        <v>84</v>
      </c>
      <c r="AC631" s="7">
        <f t="shared" si="67"/>
        <v>2020</v>
      </c>
      <c r="AD631" s="7">
        <f t="shared" si="68"/>
        <v>9</v>
      </c>
      <c r="AE631" s="7">
        <f>COUNTIF(A:A,A631)</f>
        <v>1</v>
      </c>
      <c r="AF631" s="7" t="str">
        <f t="shared" si="69"/>
        <v>No</v>
      </c>
    </row>
    <row r="632" spans="1:32">
      <c r="A632" t="s">
        <v>2064</v>
      </c>
      <c r="B632">
        <v>88960861</v>
      </c>
      <c r="C632" t="s">
        <v>1465</v>
      </c>
      <c r="D632" t="s">
        <v>1380</v>
      </c>
      <c r="E632" t="s">
        <v>20</v>
      </c>
      <c r="F632" t="s">
        <v>34</v>
      </c>
      <c r="G632" t="s">
        <v>92</v>
      </c>
      <c r="H632" t="s">
        <v>25</v>
      </c>
      <c r="I632" t="s">
        <v>3378</v>
      </c>
      <c r="J632">
        <v>2534.0100000000002</v>
      </c>
      <c r="K632" t="s">
        <v>27</v>
      </c>
      <c r="L632" t="s">
        <v>28</v>
      </c>
      <c r="M632" s="1">
        <v>44866.132638888892</v>
      </c>
      <c r="N632">
        <v>44</v>
      </c>
      <c r="O632" t="s">
        <v>62</v>
      </c>
      <c r="P632" t="s">
        <v>93</v>
      </c>
      <c r="Q632" t="s">
        <v>2065</v>
      </c>
      <c r="R632">
        <f t="shared" si="63"/>
        <v>88960861</v>
      </c>
      <c r="S632" t="str" cm="1">
        <f t="array" ref="S632">IF(C632="",IFERROR(INDEX($C$2:$C$1166,MATCH(MAX(COUNTIF($C$2:$C$1166,$C$2:$C$1166)),COUNTIF($C$2:$C$1166,$C$2:$C$1166),0)),"Unknown"),C632)</f>
        <v>John Brown</v>
      </c>
      <c r="T632" s="4" t="str" cm="1">
        <f t="array" ref="T632">IF(D632="",IFERROR(INDEX($D$2:$D$1000,MATCH(MAX(COUNTIF($D$2:$D$1166,$D$2:$D$1166)),COUNTIF($D$2:$D$1166,$D$2:$D$1166),0)),"Unknown"),D632)</f>
        <v>Carlos Thomas</v>
      </c>
      <c r="U632" t="str">
        <f t="shared" si="64"/>
        <v>CAD</v>
      </c>
      <c r="V632" s="7" t="str">
        <f t="shared" si="64"/>
        <v>AUD</v>
      </c>
      <c r="W632" s="7" t="str">
        <f t="shared" si="65"/>
        <v>Australia</v>
      </c>
      <c r="X632" s="7" t="str">
        <f t="shared" si="65"/>
        <v>USA</v>
      </c>
      <c r="Y632" s="7" t="str" cm="1">
        <f t="array" ref="Y632">IF(H632="",IFERROR(INDEX($H$2:$H$1166,MATCH(MAX(COUNTIF($H$2:$H$1166,$H$2:$H$1166)),COUNTIF($H$2:$H$1166,$H$2:$H$1166),0)),"Unknown"),H632)</f>
        <v>KYC</v>
      </c>
      <c r="Z632" s="7" t="str">
        <f t="shared" si="66"/>
        <v>Inter-Transaction</v>
      </c>
      <c r="AA632" s="7">
        <f>IF(J632="",AVERAGE($J:$J),J632)</f>
        <v>2534.0100000000002</v>
      </c>
      <c r="AB632" s="7">
        <f>IF(N632="",AVERAGE($N:$N),N632)</f>
        <v>44</v>
      </c>
      <c r="AC632" s="7">
        <f t="shared" si="67"/>
        <v>2022</v>
      </c>
      <c r="AD632" s="7">
        <f t="shared" si="68"/>
        <v>11</v>
      </c>
      <c r="AE632" s="7">
        <f>COUNTIF(A:A,A632)</f>
        <v>1</v>
      </c>
      <c r="AF632" s="7" t="str">
        <f t="shared" si="69"/>
        <v>No</v>
      </c>
    </row>
    <row r="633" spans="1:32">
      <c r="A633" t="s">
        <v>2066</v>
      </c>
      <c r="B633">
        <v>64748819</v>
      </c>
      <c r="C633" t="s">
        <v>2067</v>
      </c>
      <c r="D633" t="s">
        <v>2068</v>
      </c>
      <c r="E633" t="s">
        <v>20</v>
      </c>
      <c r="F633" t="s">
        <v>22</v>
      </c>
      <c r="H633" t="s">
        <v>38</v>
      </c>
      <c r="I633" t="s">
        <v>3378</v>
      </c>
      <c r="J633">
        <v>5170.58</v>
      </c>
      <c r="K633" t="s">
        <v>39</v>
      </c>
      <c r="L633" t="s">
        <v>81</v>
      </c>
      <c r="M633" s="1">
        <v>45721.341666666667</v>
      </c>
      <c r="N633">
        <v>49</v>
      </c>
      <c r="O633" t="s">
        <v>37</v>
      </c>
      <c r="P633" t="s">
        <v>93</v>
      </c>
      <c r="Q633" t="s">
        <v>2069</v>
      </c>
      <c r="R633">
        <f t="shared" si="63"/>
        <v>64748819</v>
      </c>
      <c r="S633" t="str" cm="1">
        <f t="array" ref="S633">IF(C633="",IFERROR(INDEX($C$2:$C$1166,MATCH(MAX(COUNTIF($C$2:$C$1166,$C$2:$C$1166)),COUNTIF($C$2:$C$1166,$C$2:$C$1166),0)),"Unknown"),C633)</f>
        <v>John Velez</v>
      </c>
      <c r="T633" s="4" t="str" cm="1">
        <f t="array" ref="T633">IF(D633="",IFERROR(INDEX($D$2:$D$1000,MATCH(MAX(COUNTIF($D$2:$D$1166,$D$2:$D$1166)),COUNTIF($D$2:$D$1166,$D$2:$D$1166),0)),"Unknown"),D633)</f>
        <v>Charles Volkov</v>
      </c>
      <c r="U633" t="str">
        <f t="shared" si="64"/>
        <v>BRL</v>
      </c>
      <c r="V633" s="7" t="str">
        <f t="shared" si="64"/>
        <v/>
      </c>
      <c r="W633" s="7" t="str">
        <f t="shared" si="65"/>
        <v>South Africa</v>
      </c>
      <c r="X633" s="7" t="str">
        <f t="shared" si="65"/>
        <v>USA</v>
      </c>
      <c r="Y633" s="7" t="str" cm="1">
        <f t="array" ref="Y633">IF(H633="",IFERROR(INDEX($H$2:$H$1166,MATCH(MAX(COUNTIF($H$2:$H$1166,$H$2:$H$1166)),COUNTIF($H$2:$H$1166,$H$2:$H$1166),0)),"Unknown"),H633)</f>
        <v>Pending</v>
      </c>
      <c r="Z633" s="7" t="str">
        <f t="shared" si="66"/>
        <v>Inter-Transaction</v>
      </c>
      <c r="AA633" s="7">
        <f>IF(J633="",AVERAGE($J:$J),J633)</f>
        <v>5170.58</v>
      </c>
      <c r="AB633" s="7">
        <f>IF(N633="",AVERAGE($N:$N),N633)</f>
        <v>49</v>
      </c>
      <c r="AC633" s="7">
        <f t="shared" si="67"/>
        <v>2025</v>
      </c>
      <c r="AD633" s="7">
        <f t="shared" si="68"/>
        <v>3</v>
      </c>
      <c r="AE633" s="7">
        <f>COUNTIF(A:A,A633)</f>
        <v>1</v>
      </c>
      <c r="AF633" s="7" t="str">
        <f t="shared" si="69"/>
        <v>No</v>
      </c>
    </row>
    <row r="634" spans="1:32">
      <c r="A634" t="s">
        <v>2070</v>
      </c>
      <c r="B634">
        <v>25382790</v>
      </c>
      <c r="C634" t="s">
        <v>559</v>
      </c>
      <c r="E634" t="s">
        <v>20</v>
      </c>
      <c r="F634" t="s">
        <v>21</v>
      </c>
      <c r="G634" t="s">
        <v>116</v>
      </c>
      <c r="H634" t="s">
        <v>25</v>
      </c>
      <c r="I634" t="s">
        <v>3371</v>
      </c>
      <c r="J634">
        <v>14972.19</v>
      </c>
      <c r="K634" t="s">
        <v>86</v>
      </c>
      <c r="L634" t="s">
        <v>28</v>
      </c>
      <c r="M634" s="1">
        <v>44336.642361111109</v>
      </c>
      <c r="N634">
        <v>67</v>
      </c>
      <c r="O634" t="s">
        <v>127</v>
      </c>
      <c r="P634" t="s">
        <v>37</v>
      </c>
      <c r="Q634" t="s">
        <v>2071</v>
      </c>
      <c r="R634">
        <f t="shared" si="63"/>
        <v>25382790</v>
      </c>
      <c r="S634" t="str" cm="1">
        <f t="array" ref="S634">IF(C634="",IFERROR(INDEX($C$2:$C$1166,MATCH(MAX(COUNTIF($C$2:$C$1166,$C$2:$C$1166)),COUNTIF($C$2:$C$1166,$C$2:$C$1166),0)),"Unknown"),C634)</f>
        <v>Joseph Jackson</v>
      </c>
      <c r="T634" s="4" t="str" cm="1">
        <f t="array" ref="T634">IF(D634="",IFERROR(INDEX($D$2:$D$1000,MATCH(MAX(COUNTIF($D$2:$D$1166,$D$2:$D$1166)),COUNTIF($D$2:$D$1166,$D$2:$D$1166),0)),"Unknown"),D634)</f>
        <v>Patricia Smith</v>
      </c>
      <c r="U634" t="str">
        <f t="shared" si="64"/>
        <v>GBP</v>
      </c>
      <c r="V634" s="7" t="str">
        <f t="shared" si="64"/>
        <v>CHF</v>
      </c>
      <c r="W634" s="7" t="str">
        <f t="shared" si="65"/>
        <v>Canada</v>
      </c>
      <c r="X634" s="7" t="str">
        <f t="shared" si="65"/>
        <v>South Africa</v>
      </c>
      <c r="Y634" s="7" t="str" cm="1">
        <f t="array" ref="Y634">IF(H634="",IFERROR(INDEX($H$2:$H$1166,MATCH(MAX(COUNTIF($H$2:$H$1166,$H$2:$H$1166)),COUNTIF($H$2:$H$1166,$H$2:$H$1166),0)),"Unknown"),H634)</f>
        <v>KYC</v>
      </c>
      <c r="Z634" s="7" t="str">
        <f t="shared" si="66"/>
        <v>Outer-Transaction</v>
      </c>
      <c r="AA634" s="7">
        <f>IF(J634="",AVERAGE($J:$J),J634)</f>
        <v>14972.19</v>
      </c>
      <c r="AB634" s="7">
        <f>IF(N634="",AVERAGE($N:$N),N634)</f>
        <v>67</v>
      </c>
      <c r="AC634" s="7">
        <f t="shared" si="67"/>
        <v>2021</v>
      </c>
      <c r="AD634" s="7">
        <f t="shared" si="68"/>
        <v>5</v>
      </c>
      <c r="AE634" s="7">
        <f>COUNTIF(A:A,A634)</f>
        <v>1</v>
      </c>
      <c r="AF634" s="7" t="str">
        <f t="shared" si="69"/>
        <v>No</v>
      </c>
    </row>
    <row r="635" spans="1:32">
      <c r="A635" t="s">
        <v>2072</v>
      </c>
      <c r="B635">
        <v>65479681</v>
      </c>
      <c r="C635" t="s">
        <v>500</v>
      </c>
      <c r="D635" t="s">
        <v>742</v>
      </c>
      <c r="E635" t="s">
        <v>33</v>
      </c>
      <c r="F635" t="s">
        <v>22</v>
      </c>
      <c r="G635" t="s">
        <v>45</v>
      </c>
      <c r="I635" t="s">
        <v>3378</v>
      </c>
      <c r="J635">
        <v>6656.74</v>
      </c>
      <c r="K635" t="s">
        <v>47</v>
      </c>
      <c r="L635" t="s">
        <v>48</v>
      </c>
      <c r="M635" s="1">
        <v>44960.236805555556</v>
      </c>
      <c r="N635">
        <v>78</v>
      </c>
      <c r="O635" t="s">
        <v>24</v>
      </c>
      <c r="P635" t="s">
        <v>127</v>
      </c>
      <c r="Q635" t="s">
        <v>2073</v>
      </c>
      <c r="R635">
        <f t="shared" si="63"/>
        <v>65479681</v>
      </c>
      <c r="S635" t="str" cm="1">
        <f t="array" ref="S635">IF(C635="",IFERROR(INDEX($C$2:$C$1166,MATCH(MAX(COUNTIF($C$2:$C$1166,$C$2:$C$1166)),COUNTIF($C$2:$C$1166,$C$2:$C$1166),0)),"Unknown"),C635)</f>
        <v>Patricia Hernandez</v>
      </c>
      <c r="T635" s="4" t="str" cm="1">
        <f t="array" ref="T635">IF(D635="",IFERROR(INDEX($D$2:$D$1000,MATCH(MAX(COUNTIF($D$2:$D$1166,$D$2:$D$1166)),COUNTIF($D$2:$D$1166,$D$2:$D$1166),0)),"Unknown"),D635)</f>
        <v>William Anderson</v>
      </c>
      <c r="U635" t="str">
        <f t="shared" si="64"/>
        <v>BRL</v>
      </c>
      <c r="V635" s="7" t="str">
        <f t="shared" si="64"/>
        <v>ZAR</v>
      </c>
      <c r="W635" s="7" t="str">
        <f t="shared" si="65"/>
        <v>Brazil</v>
      </c>
      <c r="X635" s="7" t="str">
        <f t="shared" si="65"/>
        <v>Canada</v>
      </c>
      <c r="Y635" s="7" t="str" cm="1">
        <f t="array" ref="Y635">IF(H635="",IFERROR(INDEX($H$2:$H$1166,MATCH(MAX(COUNTIF($H$2:$H$1166,$H$2:$H$1166)),COUNTIF($H$2:$H$1166,$H$2:$H$1166),0)),"Unknown"),H635)</f>
        <v>Pending</v>
      </c>
      <c r="Z635" s="7" t="str">
        <f t="shared" si="66"/>
        <v>Inter-Transaction</v>
      </c>
      <c r="AA635" s="7">
        <f>IF(J635="",AVERAGE($J:$J),J635)</f>
        <v>6656.74</v>
      </c>
      <c r="AB635" s="7">
        <f>IF(N635="",AVERAGE($N:$N),N635)</f>
        <v>78</v>
      </c>
      <c r="AC635" s="7">
        <f t="shared" si="67"/>
        <v>2023</v>
      </c>
      <c r="AD635" s="7">
        <f t="shared" si="68"/>
        <v>2</v>
      </c>
      <c r="AE635" s="7">
        <f>COUNTIF(A:A,A635)</f>
        <v>1</v>
      </c>
      <c r="AF635" s="7" t="str">
        <f t="shared" si="69"/>
        <v>Yes</v>
      </c>
    </row>
    <row r="636" spans="1:32">
      <c r="A636" t="s">
        <v>2074</v>
      </c>
      <c r="B636">
        <v>16567733</v>
      </c>
      <c r="C636" t="s">
        <v>2075</v>
      </c>
      <c r="D636" t="s">
        <v>861</v>
      </c>
      <c r="E636" t="s">
        <v>20</v>
      </c>
      <c r="F636" t="s">
        <v>80</v>
      </c>
      <c r="G636" t="s">
        <v>22</v>
      </c>
      <c r="H636" t="s">
        <v>103</v>
      </c>
      <c r="I636" t="s">
        <v>3371</v>
      </c>
      <c r="J636">
        <v>6398.02</v>
      </c>
      <c r="K636" t="s">
        <v>86</v>
      </c>
      <c r="L636" t="s">
        <v>81</v>
      </c>
      <c r="M636" s="1">
        <v>45910.526388888888</v>
      </c>
      <c r="N636">
        <v>68</v>
      </c>
      <c r="O636" t="s">
        <v>23</v>
      </c>
      <c r="P636" t="s">
        <v>54</v>
      </c>
      <c r="Q636" t="s">
        <v>2076</v>
      </c>
      <c r="R636">
        <f t="shared" si="63"/>
        <v>16567733</v>
      </c>
      <c r="S636" t="str" cm="1">
        <f t="array" ref="S636">IF(C636="",IFERROR(INDEX($C$2:$C$1166,MATCH(MAX(COUNTIF($C$2:$C$1166,$C$2:$C$1166)),COUNTIF($C$2:$C$1166,$C$2:$C$1166),0)),"Unknown"),C636)</f>
        <v>David Smith</v>
      </c>
      <c r="T636" s="4" t="str" cm="1">
        <f t="array" ref="T636">IF(D636="",IFERROR(INDEX($D$2:$D$1000,MATCH(MAX(COUNTIF($D$2:$D$1166,$D$2:$D$1166)),COUNTIF($D$2:$D$1166,$D$2:$D$1166),0)),"Unknown"),D636)</f>
        <v>Jessica Anderson</v>
      </c>
      <c r="U636" t="str">
        <f t="shared" si="64"/>
        <v>USD</v>
      </c>
      <c r="V636" s="7" t="str">
        <f t="shared" si="64"/>
        <v>BRL</v>
      </c>
      <c r="W636" s="7" t="str">
        <f t="shared" si="65"/>
        <v>France</v>
      </c>
      <c r="X636" s="7" t="str">
        <f t="shared" si="65"/>
        <v>India</v>
      </c>
      <c r="Y636" s="7" t="str" cm="1">
        <f t="array" ref="Y636">IF(H636="",IFERROR(INDEX($H$2:$H$1166,MATCH(MAX(COUNTIF($H$2:$H$1166,$H$2:$H$1166)),COUNTIF($H$2:$H$1166,$H$2:$H$1166),0)),"Unknown"),H636)</f>
        <v>Verified</v>
      </c>
      <c r="Z636" s="7" t="str">
        <f t="shared" si="66"/>
        <v>Outer-Transaction</v>
      </c>
      <c r="AA636" s="7">
        <f>IF(J636="",AVERAGE($J:$J),J636)</f>
        <v>6398.02</v>
      </c>
      <c r="AB636" s="7">
        <f>IF(N636="",AVERAGE($N:$N),N636)</f>
        <v>68</v>
      </c>
      <c r="AC636" s="7">
        <f t="shared" si="67"/>
        <v>2025</v>
      </c>
      <c r="AD636" s="7">
        <f t="shared" si="68"/>
        <v>9</v>
      </c>
      <c r="AE636" s="7">
        <f>COUNTIF(A:A,A636)</f>
        <v>1</v>
      </c>
      <c r="AF636" s="7" t="str">
        <f t="shared" si="69"/>
        <v>No</v>
      </c>
    </row>
    <row r="637" spans="1:32">
      <c r="A637" t="s">
        <v>2077</v>
      </c>
      <c r="B637">
        <v>62424760</v>
      </c>
      <c r="C637" t="s">
        <v>2078</v>
      </c>
      <c r="D637" t="s">
        <v>1197</v>
      </c>
      <c r="E637" t="s">
        <v>20</v>
      </c>
      <c r="F637" t="s">
        <v>21</v>
      </c>
      <c r="G637" t="s">
        <v>80</v>
      </c>
      <c r="I637" t="s">
        <v>3371</v>
      </c>
      <c r="J637">
        <v>1656.27</v>
      </c>
      <c r="K637" t="s">
        <v>57</v>
      </c>
      <c r="L637" t="s">
        <v>75</v>
      </c>
      <c r="M637" s="1">
        <v>45703.765972222223</v>
      </c>
      <c r="N637">
        <v>36</v>
      </c>
      <c r="O637" t="s">
        <v>54</v>
      </c>
      <c r="P637" t="s">
        <v>127</v>
      </c>
      <c r="Q637" t="s">
        <v>2079</v>
      </c>
      <c r="R637">
        <f t="shared" si="63"/>
        <v>62424760</v>
      </c>
      <c r="S637" t="str" cm="1">
        <f t="array" ref="S637">IF(C637="",IFERROR(INDEX($C$2:$C$1166,MATCH(MAX(COUNTIF($C$2:$C$1166,$C$2:$C$1166)),COUNTIF($C$2:$C$1166,$C$2:$C$1166),0)),"Unknown"),C637)</f>
        <v>David Garcia</v>
      </c>
      <c r="T637" s="4" t="str" cm="1">
        <f t="array" ref="T637">IF(D637="",IFERROR(INDEX($D$2:$D$1000,MATCH(MAX(COUNTIF($D$2:$D$1166,$D$2:$D$1166)),COUNTIF($D$2:$D$1166,$D$2:$D$1166),0)),"Unknown"),D637)</f>
        <v>Sarah Davis</v>
      </c>
      <c r="U637" t="str">
        <f t="shared" si="64"/>
        <v>GBP</v>
      </c>
      <c r="V637" s="7" t="str">
        <f t="shared" si="64"/>
        <v>USD</v>
      </c>
      <c r="W637" s="7" t="str">
        <f t="shared" si="65"/>
        <v>India</v>
      </c>
      <c r="X637" s="7" t="str">
        <f t="shared" si="65"/>
        <v>Canada</v>
      </c>
      <c r="Y637" s="7" t="str" cm="1">
        <f t="array" ref="Y637">IF(H637="",IFERROR(INDEX($H$2:$H$1166,MATCH(MAX(COUNTIF($H$2:$H$1166,$H$2:$H$1166)),COUNTIF($H$2:$H$1166,$H$2:$H$1166),0)),"Unknown"),H637)</f>
        <v>Pending</v>
      </c>
      <c r="Z637" s="7" t="str">
        <f t="shared" si="66"/>
        <v>Outer-Transaction</v>
      </c>
      <c r="AA637" s="7">
        <f>IF(J637="",AVERAGE($J:$J),J637)</f>
        <v>1656.27</v>
      </c>
      <c r="AB637" s="7">
        <f>IF(N637="",AVERAGE($N:$N),N637)</f>
        <v>36</v>
      </c>
      <c r="AC637" s="7">
        <f t="shared" si="67"/>
        <v>2025</v>
      </c>
      <c r="AD637" s="7">
        <f t="shared" si="68"/>
        <v>2</v>
      </c>
      <c r="AE637" s="7">
        <f>COUNTIF(A:A,A637)</f>
        <v>1</v>
      </c>
      <c r="AF637" s="7" t="str">
        <f t="shared" si="69"/>
        <v>No</v>
      </c>
    </row>
    <row r="638" spans="1:32">
      <c r="A638" t="s">
        <v>2080</v>
      </c>
      <c r="C638" t="s">
        <v>339</v>
      </c>
      <c r="D638" t="s">
        <v>318</v>
      </c>
      <c r="E638" t="s">
        <v>20</v>
      </c>
      <c r="F638" t="s">
        <v>45</v>
      </c>
      <c r="G638" t="s">
        <v>98</v>
      </c>
      <c r="H638" t="s">
        <v>38</v>
      </c>
      <c r="I638" t="s">
        <v>3377</v>
      </c>
      <c r="J638">
        <v>2244.9499999999998</v>
      </c>
      <c r="K638" t="s">
        <v>86</v>
      </c>
      <c r="L638" t="s">
        <v>75</v>
      </c>
      <c r="M638" s="1">
        <v>44923.783333333333</v>
      </c>
      <c r="N638">
        <v>38</v>
      </c>
      <c r="O638" t="s">
        <v>23</v>
      </c>
      <c r="P638" t="s">
        <v>36</v>
      </c>
      <c r="Q638" t="s">
        <v>2081</v>
      </c>
      <c r="R638">
        <f t="shared" si="63"/>
        <v>0</v>
      </c>
      <c r="S638" t="str" cm="1">
        <f t="array" ref="S638">IF(C638="",IFERROR(INDEX($C$2:$C$1166,MATCH(MAX(COUNTIF($C$2:$C$1166,$C$2:$C$1166)),COUNTIF($C$2:$C$1166,$C$2:$C$1166),0)),"Unknown"),C638)</f>
        <v>Carlos Martinez</v>
      </c>
      <c r="T638" s="4" t="str" cm="1">
        <f t="array" ref="T638">IF(D638="",IFERROR(INDEX($D$2:$D$1000,MATCH(MAX(COUNTIF($D$2:$D$1166,$D$2:$D$1166)),COUNTIF($D$2:$D$1166,$D$2:$D$1166),0)),"Unknown"),D638)</f>
        <v>David Silva</v>
      </c>
      <c r="U638" t="str">
        <f t="shared" si="64"/>
        <v>ZAR</v>
      </c>
      <c r="V638" s="7" t="str">
        <f t="shared" si="64"/>
        <v>JPY</v>
      </c>
      <c r="W638" s="7" t="str">
        <f t="shared" si="65"/>
        <v>France</v>
      </c>
      <c r="X638" s="7" t="str">
        <f t="shared" si="65"/>
        <v>Germany</v>
      </c>
      <c r="Y638" s="7" t="str" cm="1">
        <f t="array" ref="Y638">IF(H638="",IFERROR(INDEX($H$2:$H$1166,MATCH(MAX(COUNTIF($H$2:$H$1166,$H$2:$H$1166)),COUNTIF($H$2:$H$1166,$H$2:$H$1166),0)),"Unknown"),H638)</f>
        <v>Pending</v>
      </c>
      <c r="Z638" s="7" t="str">
        <f t="shared" si="66"/>
        <v>Inter-Transaction</v>
      </c>
      <c r="AA638" s="7">
        <f>IF(J638="",AVERAGE($J:$J),J638)</f>
        <v>2244.9499999999998</v>
      </c>
      <c r="AB638" s="7">
        <f>IF(N638="",AVERAGE($N:$N),N638)</f>
        <v>38</v>
      </c>
      <c r="AC638" s="7">
        <f t="shared" si="67"/>
        <v>2022</v>
      </c>
      <c r="AD638" s="7">
        <f t="shared" si="68"/>
        <v>12</v>
      </c>
      <c r="AE638" s="7">
        <f>COUNTIF(A:A,A638)</f>
        <v>1</v>
      </c>
      <c r="AF638" s="7" t="str">
        <f t="shared" si="69"/>
        <v>No</v>
      </c>
    </row>
    <row r="639" spans="1:32">
      <c r="A639" t="s">
        <v>2082</v>
      </c>
      <c r="B639">
        <v>46499378</v>
      </c>
      <c r="D639" t="s">
        <v>323</v>
      </c>
      <c r="E639" t="s">
        <v>33</v>
      </c>
      <c r="F639" t="s">
        <v>116</v>
      </c>
      <c r="G639" t="s">
        <v>116</v>
      </c>
      <c r="H639" t="s">
        <v>25</v>
      </c>
      <c r="I639" t="s">
        <v>3378</v>
      </c>
      <c r="J639">
        <v>5359.64</v>
      </c>
      <c r="K639" t="s">
        <v>47</v>
      </c>
      <c r="L639" t="s">
        <v>75</v>
      </c>
      <c r="M639" s="1">
        <v>44643.508333333331</v>
      </c>
      <c r="N639">
        <v>22</v>
      </c>
      <c r="O639" t="s">
        <v>62</v>
      </c>
      <c r="P639" t="s">
        <v>62</v>
      </c>
      <c r="Q639" t="s">
        <v>2083</v>
      </c>
      <c r="R639">
        <f t="shared" si="63"/>
        <v>46499378</v>
      </c>
      <c r="S639" t="str" cm="1">
        <f t="array" ref="S639">IF(C639="",IFERROR(INDEX($C$2:$C$1166,MATCH(MAX(COUNTIF($C$2:$C$1166,$C$2:$C$1166)),COUNTIF($C$2:$C$1166,$C$2:$C$1166),0)),"Unknown"),C639)</f>
        <v>Fatima Brown</v>
      </c>
      <c r="T639" s="4" t="str" cm="1">
        <f t="array" ref="T639">IF(D639="",IFERROR(INDEX($D$2:$D$1000,MATCH(MAX(COUNTIF($D$2:$D$1166,$D$2:$D$1166)),COUNTIF($D$2:$D$1166,$D$2:$D$1166),0)),"Unknown"),D639)</f>
        <v>Sanjay Gonzalez</v>
      </c>
      <c r="U639" t="str">
        <f t="shared" si="64"/>
        <v>CHF</v>
      </c>
      <c r="V639" s="7" t="str">
        <f t="shared" si="64"/>
        <v>CHF</v>
      </c>
      <c r="W639" s="7" t="str">
        <f t="shared" si="65"/>
        <v>Australia</v>
      </c>
      <c r="X639" s="7" t="str">
        <f t="shared" si="65"/>
        <v>Australia</v>
      </c>
      <c r="Y639" s="7" t="str" cm="1">
        <f t="array" ref="Y639">IF(H639="",IFERROR(INDEX($H$2:$H$1166,MATCH(MAX(COUNTIF($H$2:$H$1166,$H$2:$H$1166)),COUNTIF($H$2:$H$1166,$H$2:$H$1166),0)),"Unknown"),H639)</f>
        <v>KYC</v>
      </c>
      <c r="Z639" s="7" t="str">
        <f t="shared" si="66"/>
        <v>Inter-Transaction</v>
      </c>
      <c r="AA639" s="7">
        <f>IF(J639="",AVERAGE($J:$J),J639)</f>
        <v>5359.64</v>
      </c>
      <c r="AB639" s="7">
        <f>IF(N639="",AVERAGE($N:$N),N639)</f>
        <v>22</v>
      </c>
      <c r="AC639" s="7">
        <f t="shared" si="67"/>
        <v>2022</v>
      </c>
      <c r="AD639" s="7">
        <f t="shared" si="68"/>
        <v>3</v>
      </c>
      <c r="AE639" s="7">
        <f>COUNTIF(A:A,A639)</f>
        <v>1</v>
      </c>
      <c r="AF639" s="7" t="str">
        <f t="shared" si="69"/>
        <v>Yes</v>
      </c>
    </row>
    <row r="640" spans="1:32">
      <c r="A640" t="s">
        <v>2084</v>
      </c>
      <c r="B640">
        <v>15889037</v>
      </c>
      <c r="C640" t="s">
        <v>742</v>
      </c>
      <c r="D640" t="s">
        <v>2085</v>
      </c>
      <c r="E640" t="s">
        <v>20</v>
      </c>
      <c r="F640" t="s">
        <v>35</v>
      </c>
      <c r="G640" t="s">
        <v>35</v>
      </c>
      <c r="H640" t="s">
        <v>74</v>
      </c>
      <c r="I640" t="s">
        <v>3378</v>
      </c>
      <c r="J640">
        <v>1461.87</v>
      </c>
      <c r="K640" t="s">
        <v>57</v>
      </c>
      <c r="L640" t="s">
        <v>28</v>
      </c>
      <c r="M640" s="1">
        <v>44192.834027777775</v>
      </c>
      <c r="N640">
        <v>59</v>
      </c>
      <c r="O640" t="s">
        <v>24</v>
      </c>
      <c r="P640" t="s">
        <v>55</v>
      </c>
      <c r="Q640" t="s">
        <v>2086</v>
      </c>
      <c r="R640">
        <f t="shared" si="63"/>
        <v>15889037</v>
      </c>
      <c r="S640" t="str" cm="1">
        <f t="array" ref="S640">IF(C640="",IFERROR(INDEX($C$2:$C$1166,MATCH(MAX(COUNTIF($C$2:$C$1166,$C$2:$C$1166)),COUNTIF($C$2:$C$1166,$C$2:$C$1166),0)),"Unknown"),C640)</f>
        <v>William Anderson</v>
      </c>
      <c r="T640" s="4" t="str" cm="1">
        <f t="array" ref="T640">IF(D640="",IFERROR(INDEX($D$2:$D$1000,MATCH(MAX(COUNTIF($D$2:$D$1166,$D$2:$D$1166)),COUNTIF($D$2:$D$1166,$D$2:$D$1166),0)),"Unknown"),D640)</f>
        <v>Jessica Moore</v>
      </c>
      <c r="U640" t="str">
        <f t="shared" si="64"/>
        <v>EUR</v>
      </c>
      <c r="V640" s="7" t="str">
        <f t="shared" si="64"/>
        <v>EUR</v>
      </c>
      <c r="W640" s="7" t="str">
        <f t="shared" si="65"/>
        <v>Brazil</v>
      </c>
      <c r="X640" s="7" t="str">
        <f t="shared" si="65"/>
        <v>UK</v>
      </c>
      <c r="Y640" s="7" t="str" cm="1">
        <f t="array" ref="Y640">IF(H640="",IFERROR(INDEX($H$2:$H$1166,MATCH(MAX(COUNTIF($H$2:$H$1166,$H$2:$H$1166)),COUNTIF($H$2:$H$1166,$H$2:$H$1166),0)),"Unknown"),H640)</f>
        <v>Non-KYC</v>
      </c>
      <c r="Z640" s="7" t="str">
        <f t="shared" si="66"/>
        <v>Inter-Transaction</v>
      </c>
      <c r="AA640" s="7">
        <f>IF(J640="",AVERAGE($J:$J),J640)</f>
        <v>1461.87</v>
      </c>
      <c r="AB640" s="7">
        <f>IF(N640="",AVERAGE($N:$N),N640)</f>
        <v>59</v>
      </c>
      <c r="AC640" s="7">
        <f t="shared" si="67"/>
        <v>2020</v>
      </c>
      <c r="AD640" s="7">
        <f t="shared" si="68"/>
        <v>12</v>
      </c>
      <c r="AE640" s="7">
        <f>COUNTIF(A:A,A640)</f>
        <v>1</v>
      </c>
      <c r="AF640" s="7" t="str">
        <f t="shared" si="69"/>
        <v>No</v>
      </c>
    </row>
    <row r="641" spans="1:32">
      <c r="A641" t="s">
        <v>2087</v>
      </c>
      <c r="B641">
        <v>22550720</v>
      </c>
      <c r="C641" t="s">
        <v>2088</v>
      </c>
      <c r="D641" t="s">
        <v>1995</v>
      </c>
      <c r="E641" t="s">
        <v>3373</v>
      </c>
      <c r="F641" t="s">
        <v>180</v>
      </c>
      <c r="G641" t="s">
        <v>121</v>
      </c>
      <c r="I641" t="s">
        <v>3372</v>
      </c>
      <c r="J641">
        <v>12257.81</v>
      </c>
      <c r="K641" t="s">
        <v>47</v>
      </c>
      <c r="L641" t="s">
        <v>81</v>
      </c>
      <c r="M641" s="1">
        <v>45287.38958333333</v>
      </c>
      <c r="N641">
        <v>78</v>
      </c>
      <c r="O641" t="s">
        <v>37</v>
      </c>
      <c r="P641" t="s">
        <v>54</v>
      </c>
      <c r="Q641" t="s">
        <v>2089</v>
      </c>
      <c r="R641">
        <f t="shared" si="63"/>
        <v>22550720</v>
      </c>
      <c r="S641" t="str" cm="1">
        <f t="array" ref="S641">IF(C641="",IFERROR(INDEX($C$2:$C$1166,MATCH(MAX(COUNTIF($C$2:$C$1166,$C$2:$C$1166)),COUNTIF($C$2:$C$1166,$C$2:$C$1166),0)),"Unknown"),C641)</f>
        <v>Lucas Rodriguez</v>
      </c>
      <c r="T641" s="4" t="str" cm="1">
        <f t="array" ref="T641">IF(D641="",IFERROR(INDEX($D$2:$D$1000,MATCH(MAX(COUNTIF($D$2:$D$1166,$D$2:$D$1166)),COUNTIF($D$2:$D$1166,$D$2:$D$1166),0)),"Unknown"),D641)</f>
        <v>Lucas Martin</v>
      </c>
      <c r="U641" t="str">
        <f t="shared" si="64"/>
        <v>zar</v>
      </c>
      <c r="V641" s="7" t="str">
        <f t="shared" si="64"/>
        <v>INR</v>
      </c>
      <c r="W641" s="7" t="str">
        <f t="shared" si="65"/>
        <v>South Africa</v>
      </c>
      <c r="X641" s="7" t="str">
        <f t="shared" si="65"/>
        <v>India</v>
      </c>
      <c r="Y641" s="7" t="str" cm="1">
        <f t="array" ref="Y641">IF(H641="",IFERROR(INDEX($H$2:$H$1166,MATCH(MAX(COUNTIF($H$2:$H$1166,$H$2:$H$1166)),COUNTIF($H$2:$H$1166,$H$2:$H$1166),0)),"Unknown"),H641)</f>
        <v>Pending</v>
      </c>
      <c r="Z641" s="7" t="str">
        <f t="shared" si="66"/>
        <v>Outer-Transaction</v>
      </c>
      <c r="AA641" s="7">
        <f>IF(J641="",AVERAGE($J:$J),J641)</f>
        <v>12257.81</v>
      </c>
      <c r="AB641" s="7">
        <f>IF(N641="",AVERAGE($N:$N),N641)</f>
        <v>78</v>
      </c>
      <c r="AC641" s="7">
        <f t="shared" si="67"/>
        <v>2023</v>
      </c>
      <c r="AD641" s="7">
        <f t="shared" si="68"/>
        <v>12</v>
      </c>
      <c r="AE641" s="7">
        <f>COUNTIF(A:A,A641)</f>
        <v>1</v>
      </c>
      <c r="AF641" s="7" t="str">
        <f t="shared" si="69"/>
        <v>Yes</v>
      </c>
    </row>
    <row r="642" spans="1:32">
      <c r="A642" t="s">
        <v>2090</v>
      </c>
      <c r="B642">
        <v>70714168</v>
      </c>
      <c r="C642" t="s">
        <v>111</v>
      </c>
      <c r="D642" t="s">
        <v>1050</v>
      </c>
      <c r="E642" t="s">
        <v>3375</v>
      </c>
      <c r="F642" t="s">
        <v>180</v>
      </c>
      <c r="G642" t="s">
        <v>116</v>
      </c>
      <c r="I642" t="s">
        <v>3371</v>
      </c>
      <c r="J642">
        <v>2945.88</v>
      </c>
      <c r="K642" t="s">
        <v>47</v>
      </c>
      <c r="L642" t="s">
        <v>48</v>
      </c>
      <c r="M642" s="1">
        <v>44759.539583333331</v>
      </c>
      <c r="N642">
        <v>39</v>
      </c>
      <c r="O642" t="s">
        <v>36</v>
      </c>
      <c r="P642" t="s">
        <v>54</v>
      </c>
      <c r="Q642" t="s">
        <v>2091</v>
      </c>
      <c r="R642">
        <f t="shared" ref="R642:R705" si="70">IF(B642="",0,B642)</f>
        <v>70714168</v>
      </c>
      <c r="S642" t="str" cm="1">
        <f t="array" ref="S642">IF(C642="",IFERROR(INDEX($C$2:$C$1166,MATCH(MAX(COUNTIF($C$2:$C$1166,$C$2:$C$1166)),COUNTIF($C$2:$C$1166,$C$2:$C$1166),0)),"Unknown"),C642)</f>
        <v>Karen Rostova</v>
      </c>
      <c r="T642" s="4" t="str" cm="1">
        <f t="array" ref="T642">IF(D642="",IFERROR(INDEX($D$2:$D$1000,MATCH(MAX(COUNTIF($D$2:$D$1166,$D$2:$D$1166)),COUNTIF($D$2:$D$1166,$D$2:$D$1166),0)),"Unknown"),D642)</f>
        <v>Linda Smith</v>
      </c>
      <c r="U642" t="str">
        <f t="shared" ref="U642:V705" si="71">TRIM(F642)</f>
        <v>zar</v>
      </c>
      <c r="V642" s="7" t="str">
        <f t="shared" si="71"/>
        <v>CHF</v>
      </c>
      <c r="W642" s="7" t="str">
        <f t="shared" ref="W642:X705" si="72">TRIM(O642)</f>
        <v>Germany</v>
      </c>
      <c r="X642" s="7" t="str">
        <f t="shared" si="72"/>
        <v>India</v>
      </c>
      <c r="Y642" s="7" t="str" cm="1">
        <f t="array" ref="Y642">IF(H642="",IFERROR(INDEX($H$2:$H$1166,MATCH(MAX(COUNTIF($H$2:$H$1166,$H$2:$H$1166)),COUNTIF($H$2:$H$1166,$H$2:$H$1166),0)),"Unknown"),H642)</f>
        <v>Pending</v>
      </c>
      <c r="Z642" s="7" t="str">
        <f t="shared" ref="Z642:Z705" si="73">PROPER(I642)</f>
        <v>Outer-Transaction</v>
      </c>
      <c r="AA642" s="7">
        <f>IF(J642="",AVERAGE($J:$J),J642)</f>
        <v>2945.88</v>
      </c>
      <c r="AB642" s="7">
        <f>IF(N642="",AVERAGE($N:$N),N642)</f>
        <v>39</v>
      </c>
      <c r="AC642" s="7">
        <f t="shared" ref="AC642:AC705" si="74">YEAR(M642)</f>
        <v>2022</v>
      </c>
      <c r="AD642" s="7">
        <f t="shared" ref="AD642:AD705" si="75">MONTH(M642)</f>
        <v>7</v>
      </c>
      <c r="AE642" s="7">
        <f>COUNTIF(A:A,A642)</f>
        <v>1</v>
      </c>
      <c r="AF642" s="7" t="str">
        <f t="shared" ref="AF642:AF705" si="76">IF(E642="","",IF(OR(E642="Yes",E642="Y",E642="TRUE",E642=1),"Yes","No"))</f>
        <v>No</v>
      </c>
    </row>
    <row r="643" spans="1:32">
      <c r="A643" t="s">
        <v>2092</v>
      </c>
      <c r="B643">
        <v>59209911</v>
      </c>
      <c r="C643" t="s">
        <v>342</v>
      </c>
      <c r="D643" t="s">
        <v>2093</v>
      </c>
      <c r="E643" t="s">
        <v>3375</v>
      </c>
      <c r="F643" t="s">
        <v>45</v>
      </c>
      <c r="G643" t="s">
        <v>92</v>
      </c>
      <c r="H643" t="s">
        <v>103</v>
      </c>
      <c r="I643" t="s">
        <v>3377</v>
      </c>
      <c r="J643">
        <v>8000.11</v>
      </c>
      <c r="K643" t="s">
        <v>39</v>
      </c>
      <c r="L643" t="s">
        <v>28</v>
      </c>
      <c r="M643" s="1">
        <v>43930.355555555558</v>
      </c>
      <c r="N643">
        <v>38</v>
      </c>
      <c r="O643" t="s">
        <v>93</v>
      </c>
      <c r="P643" t="s">
        <v>127</v>
      </c>
      <c r="Q643" t="s">
        <v>2094</v>
      </c>
      <c r="R643">
        <f t="shared" si="70"/>
        <v>59209911</v>
      </c>
      <c r="S643" t="str" cm="1">
        <f t="array" ref="S643">IF(C643="",IFERROR(INDEX($C$2:$C$1166,MATCH(MAX(COUNTIF($C$2:$C$1166,$C$2:$C$1166)),COUNTIF($C$2:$C$1166,$C$2:$C$1166),0)),"Unknown"),C643)</f>
        <v>Sanjay Dubois</v>
      </c>
      <c r="T643" s="4" t="str" cm="1">
        <f t="array" ref="T643">IF(D643="",IFERROR(INDEX($D$2:$D$1000,MATCH(MAX(COUNTIF($D$2:$D$1166,$D$2:$D$1166)),COUNTIF($D$2:$D$1166,$D$2:$D$1166),0)),"Unknown"),D643)</f>
        <v xml:space="preserve"> carlos dubois   </v>
      </c>
      <c r="U643" t="str">
        <f t="shared" si="71"/>
        <v>ZAR</v>
      </c>
      <c r="V643" s="7" t="str">
        <f t="shared" si="71"/>
        <v>AUD</v>
      </c>
      <c r="W643" s="7" t="str">
        <f t="shared" si="72"/>
        <v>USA</v>
      </c>
      <c r="X643" s="7" t="str">
        <f t="shared" si="72"/>
        <v>Canada</v>
      </c>
      <c r="Y643" s="7" t="str" cm="1">
        <f t="array" ref="Y643">IF(H643="",IFERROR(INDEX($H$2:$H$1166,MATCH(MAX(COUNTIF($H$2:$H$1166,$H$2:$H$1166)),COUNTIF($H$2:$H$1166,$H$2:$H$1166),0)),"Unknown"),H643)</f>
        <v>Verified</v>
      </c>
      <c r="Z643" s="7" t="str">
        <f t="shared" si="73"/>
        <v>Inter-Transaction</v>
      </c>
      <c r="AA643" s="7">
        <f>IF(J643="",AVERAGE($J:$J),J643)</f>
        <v>8000.11</v>
      </c>
      <c r="AB643" s="7">
        <f>IF(N643="",AVERAGE($N:$N),N643)</f>
        <v>38</v>
      </c>
      <c r="AC643" s="7">
        <f t="shared" si="74"/>
        <v>2020</v>
      </c>
      <c r="AD643" s="7">
        <f t="shared" si="75"/>
        <v>4</v>
      </c>
      <c r="AE643" s="7">
        <f>COUNTIF(A:A,A643)</f>
        <v>1</v>
      </c>
      <c r="AF643" s="7" t="str">
        <f t="shared" si="76"/>
        <v>No</v>
      </c>
    </row>
    <row r="644" spans="1:32">
      <c r="A644" t="s">
        <v>2095</v>
      </c>
      <c r="B644">
        <v>84490480</v>
      </c>
      <c r="C644" t="s">
        <v>486</v>
      </c>
      <c r="D644" t="s">
        <v>2068</v>
      </c>
      <c r="E644" t="s">
        <v>20</v>
      </c>
      <c r="F644" t="s">
        <v>116</v>
      </c>
      <c r="G644" t="s">
        <v>34</v>
      </c>
      <c r="I644" t="s">
        <v>3372</v>
      </c>
      <c r="J644">
        <v>2590.3000000000002</v>
      </c>
      <c r="K644" t="s">
        <v>39</v>
      </c>
      <c r="L644" t="s">
        <v>75</v>
      </c>
      <c r="M644" s="1">
        <v>45512.574305555558</v>
      </c>
      <c r="N644">
        <v>18</v>
      </c>
      <c r="O644" t="s">
        <v>24</v>
      </c>
      <c r="P644" t="s">
        <v>54</v>
      </c>
      <c r="Q644" t="s">
        <v>2096</v>
      </c>
      <c r="R644">
        <f t="shared" si="70"/>
        <v>84490480</v>
      </c>
      <c r="S644" t="str" cm="1">
        <f t="array" ref="S644">IF(C644="",IFERROR(INDEX($C$2:$C$1166,MATCH(MAX(COUNTIF($C$2:$C$1166,$C$2:$C$1166)),COUNTIF($C$2:$C$1166,$C$2:$C$1166),0)),"Unknown"),C644)</f>
        <v>Carlos Velez</v>
      </c>
      <c r="T644" s="4" t="str" cm="1">
        <f t="array" ref="T644">IF(D644="",IFERROR(INDEX($D$2:$D$1000,MATCH(MAX(COUNTIF($D$2:$D$1166,$D$2:$D$1166)),COUNTIF($D$2:$D$1166,$D$2:$D$1166),0)),"Unknown"),D644)</f>
        <v>Charles Volkov</v>
      </c>
      <c r="U644" t="str">
        <f t="shared" si="71"/>
        <v>CHF</v>
      </c>
      <c r="V644" s="7" t="str">
        <f t="shared" si="71"/>
        <v>CAD</v>
      </c>
      <c r="W644" s="7" t="str">
        <f t="shared" si="72"/>
        <v>Brazil</v>
      </c>
      <c r="X644" s="7" t="str">
        <f t="shared" si="72"/>
        <v>India</v>
      </c>
      <c r="Y644" s="7" t="str" cm="1">
        <f t="array" ref="Y644">IF(H644="",IFERROR(INDEX($H$2:$H$1166,MATCH(MAX(COUNTIF($H$2:$H$1166,$H$2:$H$1166)),COUNTIF($H$2:$H$1166,$H$2:$H$1166),0)),"Unknown"),H644)</f>
        <v>Pending</v>
      </c>
      <c r="Z644" s="7" t="str">
        <f t="shared" si="73"/>
        <v>Outer-Transaction</v>
      </c>
      <c r="AA644" s="7">
        <f>IF(J644="",AVERAGE($J:$J),J644)</f>
        <v>2590.3000000000002</v>
      </c>
      <c r="AB644" s="7">
        <f>IF(N644="",AVERAGE($N:$N),N644)</f>
        <v>18</v>
      </c>
      <c r="AC644" s="7">
        <f t="shared" si="74"/>
        <v>2024</v>
      </c>
      <c r="AD644" s="7">
        <f t="shared" si="75"/>
        <v>8</v>
      </c>
      <c r="AE644" s="7">
        <f>COUNTIF(A:A,A644)</f>
        <v>1</v>
      </c>
      <c r="AF644" s="7" t="str">
        <f t="shared" si="76"/>
        <v>No</v>
      </c>
    </row>
    <row r="645" spans="1:32">
      <c r="A645" t="s">
        <v>2097</v>
      </c>
      <c r="B645">
        <v>81866578</v>
      </c>
      <c r="C645" t="s">
        <v>1970</v>
      </c>
      <c r="D645" t="s">
        <v>2098</v>
      </c>
      <c r="E645" t="s">
        <v>20</v>
      </c>
      <c r="F645" t="s">
        <v>22</v>
      </c>
      <c r="G645" t="s">
        <v>21</v>
      </c>
      <c r="H645" t="s">
        <v>56</v>
      </c>
      <c r="I645" t="s">
        <v>3372</v>
      </c>
      <c r="J645">
        <v>13640.9</v>
      </c>
      <c r="K645" t="s">
        <v>27</v>
      </c>
      <c r="L645" t="s">
        <v>48</v>
      </c>
      <c r="M645" s="1">
        <v>45887.801388888889</v>
      </c>
      <c r="N645">
        <v>22</v>
      </c>
      <c r="O645" t="s">
        <v>127</v>
      </c>
      <c r="P645" t="s">
        <v>23</v>
      </c>
      <c r="Q645" t="s">
        <v>2099</v>
      </c>
      <c r="R645">
        <f t="shared" si="70"/>
        <v>81866578</v>
      </c>
      <c r="S645" t="str" cm="1">
        <f t="array" ref="S645">IF(C645="",IFERROR(INDEX($C$2:$C$1166,MATCH(MAX(COUNTIF($C$2:$C$1166,$C$2:$C$1166)),COUNTIF($C$2:$C$1166,$C$2:$C$1166),0)),"Unknown"),C645)</f>
        <v>Thomas Souza</v>
      </c>
      <c r="T645" s="4" t="str" cm="1">
        <f t="array" ref="T645">IF(D645="",IFERROR(INDEX($D$2:$D$1000,MATCH(MAX(COUNTIF($D$2:$D$1166,$D$2:$D$1166)),COUNTIF($D$2:$D$1166,$D$2:$D$1166),0)),"Unknown"),D645)</f>
        <v>Robert Malik</v>
      </c>
      <c r="U645" t="str">
        <f t="shared" si="71"/>
        <v>BRL</v>
      </c>
      <c r="V645" s="7" t="str">
        <f t="shared" si="71"/>
        <v>GBP</v>
      </c>
      <c r="W645" s="7" t="str">
        <f t="shared" si="72"/>
        <v>Canada</v>
      </c>
      <c r="X645" s="7" t="str">
        <f t="shared" si="72"/>
        <v>France</v>
      </c>
      <c r="Y645" s="7" t="str" cm="1">
        <f t="array" ref="Y645">IF(H645="",IFERROR(INDEX($H$2:$H$1166,MATCH(MAX(COUNTIF($H$2:$H$1166,$H$2:$H$1166)),COUNTIF($H$2:$H$1166,$H$2:$H$1166),0)),"Unknown"),H645)</f>
        <v>Unverified</v>
      </c>
      <c r="Z645" s="7" t="str">
        <f t="shared" si="73"/>
        <v>Outer-Transaction</v>
      </c>
      <c r="AA645" s="7">
        <f>IF(J645="",AVERAGE($J:$J),J645)</f>
        <v>13640.9</v>
      </c>
      <c r="AB645" s="7">
        <f>IF(N645="",AVERAGE($N:$N),N645)</f>
        <v>22</v>
      </c>
      <c r="AC645" s="7">
        <f t="shared" si="74"/>
        <v>2025</v>
      </c>
      <c r="AD645" s="7">
        <f t="shared" si="75"/>
        <v>8</v>
      </c>
      <c r="AE645" s="7">
        <f>COUNTIF(A:A,A645)</f>
        <v>1</v>
      </c>
      <c r="AF645" s="7" t="str">
        <f t="shared" si="76"/>
        <v>No</v>
      </c>
    </row>
    <row r="646" spans="1:32">
      <c r="A646" t="s">
        <v>2100</v>
      </c>
      <c r="B646">
        <v>19955322</v>
      </c>
      <c r="C646" t="s">
        <v>297</v>
      </c>
      <c r="D646" t="s">
        <v>2101</v>
      </c>
      <c r="E646" t="s">
        <v>20</v>
      </c>
      <c r="F646" t="s">
        <v>98</v>
      </c>
      <c r="G646" t="s">
        <v>35</v>
      </c>
      <c r="H646" t="s">
        <v>74</v>
      </c>
      <c r="I646" t="s">
        <v>3371</v>
      </c>
      <c r="J646">
        <v>12045.02</v>
      </c>
      <c r="K646" t="s">
        <v>47</v>
      </c>
      <c r="L646" t="s">
        <v>28</v>
      </c>
      <c r="M646" s="1">
        <v>44883.011111111111</v>
      </c>
      <c r="N646">
        <v>29</v>
      </c>
      <c r="O646" t="s">
        <v>68</v>
      </c>
      <c r="P646" t="s">
        <v>23</v>
      </c>
      <c r="Q646" t="s">
        <v>2102</v>
      </c>
      <c r="R646">
        <f t="shared" si="70"/>
        <v>19955322</v>
      </c>
      <c r="S646" t="str" cm="1">
        <f t="array" ref="S646">IF(C646="",IFERROR(INDEX($C$2:$C$1166,MATCH(MAX(COUNTIF($C$2:$C$1166,$C$2:$C$1166)),COUNTIF($C$2:$C$1166,$C$2:$C$1166),0)),"Unknown"),C646)</f>
        <v>Elizabeth Moore</v>
      </c>
      <c r="T646" s="4" t="str" cm="1">
        <f t="array" ref="T646">IF(D646="",IFERROR(INDEX($D$2:$D$1000,MATCH(MAX(COUNTIF($D$2:$D$1166,$D$2:$D$1166)),COUNTIF($D$2:$D$1166,$D$2:$D$1166),0)),"Unknown"),D646)</f>
        <v>Karen Williams</v>
      </c>
      <c r="U646" t="str">
        <f t="shared" si="71"/>
        <v>JPY</v>
      </c>
      <c r="V646" s="7" t="str">
        <f t="shared" si="71"/>
        <v>EUR</v>
      </c>
      <c r="W646" s="7" t="str">
        <f t="shared" si="72"/>
        <v>UAE</v>
      </c>
      <c r="X646" s="7" t="str">
        <f t="shared" si="72"/>
        <v>France</v>
      </c>
      <c r="Y646" s="7" t="str" cm="1">
        <f t="array" ref="Y646">IF(H646="",IFERROR(INDEX($H$2:$H$1166,MATCH(MAX(COUNTIF($H$2:$H$1166,$H$2:$H$1166)),COUNTIF($H$2:$H$1166,$H$2:$H$1166),0)),"Unknown"),H646)</f>
        <v>Non-KYC</v>
      </c>
      <c r="Z646" s="7" t="str">
        <f t="shared" si="73"/>
        <v>Outer-Transaction</v>
      </c>
      <c r="AA646" s="7">
        <f>IF(J646="",AVERAGE($J:$J),J646)</f>
        <v>12045.02</v>
      </c>
      <c r="AB646" s="7">
        <f>IF(N646="",AVERAGE($N:$N),N646)</f>
        <v>29</v>
      </c>
      <c r="AC646" s="7">
        <f t="shared" si="74"/>
        <v>2022</v>
      </c>
      <c r="AD646" s="7">
        <f t="shared" si="75"/>
        <v>11</v>
      </c>
      <c r="AE646" s="7">
        <f>COUNTIF(A:A,A646)</f>
        <v>1</v>
      </c>
      <c r="AF646" s="7" t="str">
        <f t="shared" si="76"/>
        <v>No</v>
      </c>
    </row>
    <row r="647" spans="1:32">
      <c r="A647" t="s">
        <v>2103</v>
      </c>
      <c r="B647">
        <v>47085870</v>
      </c>
      <c r="C647" t="s">
        <v>168</v>
      </c>
      <c r="D647" t="s">
        <v>540</v>
      </c>
      <c r="E647" t="s">
        <v>3373</v>
      </c>
      <c r="F647" t="s">
        <v>80</v>
      </c>
      <c r="G647" t="s">
        <v>45</v>
      </c>
      <c r="I647" t="s">
        <v>3374</v>
      </c>
      <c r="J647">
        <v>8791.75</v>
      </c>
      <c r="K647" t="s">
        <v>86</v>
      </c>
      <c r="L647" t="s">
        <v>48</v>
      </c>
      <c r="M647" s="1">
        <v>46340.978472222225</v>
      </c>
      <c r="N647">
        <v>63</v>
      </c>
      <c r="O647" t="s">
        <v>37</v>
      </c>
      <c r="P647" t="s">
        <v>36</v>
      </c>
      <c r="Q647" t="s">
        <v>2104</v>
      </c>
      <c r="R647">
        <f t="shared" si="70"/>
        <v>47085870</v>
      </c>
      <c r="S647" t="str" cm="1">
        <f t="array" ref="S647">IF(C647="",IFERROR(INDEX($C$2:$C$1166,MATCH(MAX(COUNTIF($C$2:$C$1166,$C$2:$C$1166)),COUNTIF($C$2:$C$1166,$C$2:$C$1166),0)),"Unknown"),C647)</f>
        <v>Zayn Hernandez</v>
      </c>
      <c r="T647" s="4" t="str" cm="1">
        <f t="array" ref="T647">IF(D647="",IFERROR(INDEX($D$2:$D$1000,MATCH(MAX(COUNTIF($D$2:$D$1166,$D$2:$D$1166)),COUNTIF($D$2:$D$1166,$D$2:$D$1166),0)),"Unknown"),D647)</f>
        <v>John Johnson</v>
      </c>
      <c r="U647" t="str">
        <f t="shared" si="71"/>
        <v>USD</v>
      </c>
      <c r="V647" s="7" t="str">
        <f t="shared" si="71"/>
        <v>ZAR</v>
      </c>
      <c r="W647" s="7" t="str">
        <f t="shared" si="72"/>
        <v>South Africa</v>
      </c>
      <c r="X647" s="7" t="str">
        <f t="shared" si="72"/>
        <v>Germany</v>
      </c>
      <c r="Y647" s="7" t="str" cm="1">
        <f t="array" ref="Y647">IF(H647="",IFERROR(INDEX($H$2:$H$1166,MATCH(MAX(COUNTIF($H$2:$H$1166,$H$2:$H$1166)),COUNTIF($H$2:$H$1166,$H$2:$H$1166),0)),"Unknown"),H647)</f>
        <v>Pending</v>
      </c>
      <c r="Z647" s="7" t="str">
        <f t="shared" si="73"/>
        <v>External</v>
      </c>
      <c r="AA647" s="7">
        <f>IF(J647="",AVERAGE($J:$J),J647)</f>
        <v>8791.75</v>
      </c>
      <c r="AB647" s="7">
        <f>IF(N647="",AVERAGE($N:$N),N647)</f>
        <v>63</v>
      </c>
      <c r="AC647" s="7">
        <f t="shared" si="74"/>
        <v>2026</v>
      </c>
      <c r="AD647" s="7">
        <f t="shared" si="75"/>
        <v>11</v>
      </c>
      <c r="AE647" s="7">
        <f>COUNTIF(A:A,A647)</f>
        <v>1</v>
      </c>
      <c r="AF647" s="7" t="str">
        <f t="shared" si="76"/>
        <v>Yes</v>
      </c>
    </row>
    <row r="648" spans="1:32">
      <c r="A648" t="s">
        <v>2105</v>
      </c>
      <c r="B648">
        <v>30102493</v>
      </c>
      <c r="C648" t="s">
        <v>793</v>
      </c>
      <c r="D648" t="s">
        <v>387</v>
      </c>
      <c r="E648" t="s">
        <v>20</v>
      </c>
      <c r="F648" t="s">
        <v>98</v>
      </c>
      <c r="G648" t="s">
        <v>45</v>
      </c>
      <c r="I648" t="s">
        <v>3376</v>
      </c>
      <c r="J648">
        <v>8104.8</v>
      </c>
      <c r="K648" t="s">
        <v>57</v>
      </c>
      <c r="L648" t="s">
        <v>81</v>
      </c>
      <c r="M648" s="1">
        <v>44751.540277777778</v>
      </c>
      <c r="N648">
        <v>51</v>
      </c>
      <c r="O648" t="s">
        <v>93</v>
      </c>
      <c r="P648" t="s">
        <v>55</v>
      </c>
      <c r="Q648" t="s">
        <v>2106</v>
      </c>
      <c r="R648">
        <f t="shared" si="70"/>
        <v>30102493</v>
      </c>
      <c r="S648" t="str" cm="1">
        <f t="array" ref="S648">IF(C648="",IFERROR(INDEX($C$2:$C$1166,MATCH(MAX(COUNTIF($C$2:$C$1166,$C$2:$C$1166)),COUNTIF($C$2:$C$1166,$C$2:$C$1166),0)),"Unknown"),C648)</f>
        <v>Susan Hernandez</v>
      </c>
      <c r="T648" s="4" t="str" cm="1">
        <f t="array" ref="T648">IF(D648="",IFERROR(INDEX($D$2:$D$1000,MATCH(MAX(COUNTIF($D$2:$D$1166,$D$2:$D$1166)),COUNTIF($D$2:$D$1166,$D$2:$D$1166),0)),"Unknown"),D648)</f>
        <v>Joseph Velez</v>
      </c>
      <c r="U648" t="str">
        <f t="shared" si="71"/>
        <v>JPY</v>
      </c>
      <c r="V648" s="7" t="str">
        <f t="shared" si="71"/>
        <v>ZAR</v>
      </c>
      <c r="W648" s="7" t="str">
        <f t="shared" si="72"/>
        <v>USA</v>
      </c>
      <c r="X648" s="7" t="str">
        <f t="shared" si="72"/>
        <v>UK</v>
      </c>
      <c r="Y648" s="7" t="str" cm="1">
        <f t="array" ref="Y648">IF(H648="",IFERROR(INDEX($H$2:$H$1166,MATCH(MAX(COUNTIF($H$2:$H$1166,$H$2:$H$1166)),COUNTIF($H$2:$H$1166,$H$2:$H$1166),0)),"Unknown"),H648)</f>
        <v>Pending</v>
      </c>
      <c r="Z648" s="7" t="str">
        <f t="shared" si="73"/>
        <v>Internal</v>
      </c>
      <c r="AA648" s="7">
        <f>IF(J648="",AVERAGE($J:$J),J648)</f>
        <v>8104.8</v>
      </c>
      <c r="AB648" s="7">
        <f>IF(N648="",AVERAGE($N:$N),N648)</f>
        <v>51</v>
      </c>
      <c r="AC648" s="7">
        <f t="shared" si="74"/>
        <v>2022</v>
      </c>
      <c r="AD648" s="7">
        <f t="shared" si="75"/>
        <v>7</v>
      </c>
      <c r="AE648" s="7">
        <f>COUNTIF(A:A,A648)</f>
        <v>1</v>
      </c>
      <c r="AF648" s="7" t="str">
        <f t="shared" si="76"/>
        <v>No</v>
      </c>
    </row>
    <row r="649" spans="1:32">
      <c r="A649" t="s">
        <v>2107</v>
      </c>
      <c r="B649">
        <v>68343093</v>
      </c>
      <c r="C649" t="s">
        <v>2108</v>
      </c>
      <c r="D649" t="s">
        <v>1562</v>
      </c>
      <c r="E649" t="s">
        <v>20</v>
      </c>
      <c r="F649" t="s">
        <v>45</v>
      </c>
      <c r="G649" t="s">
        <v>53</v>
      </c>
      <c r="H649" t="s">
        <v>103</v>
      </c>
      <c r="I649" t="s">
        <v>3376</v>
      </c>
      <c r="J649">
        <v>2257.88</v>
      </c>
      <c r="K649" t="s">
        <v>39</v>
      </c>
      <c r="L649" t="s">
        <v>28</v>
      </c>
      <c r="M649" s="1">
        <v>46268.615972222222</v>
      </c>
      <c r="N649">
        <v>66</v>
      </c>
      <c r="O649" t="s">
        <v>54</v>
      </c>
      <c r="P649" t="s">
        <v>68</v>
      </c>
      <c r="Q649" t="s">
        <v>2109</v>
      </c>
      <c r="R649">
        <f t="shared" si="70"/>
        <v>68343093</v>
      </c>
      <c r="S649" t="str" cm="1">
        <f t="array" ref="S649">IF(C649="",IFERROR(INDEX($C$2:$C$1166,MATCH(MAX(COUNTIF($C$2:$C$1166,$C$2:$C$1166)),COUNTIF($C$2:$C$1166,$C$2:$C$1166),0)),"Unknown"),C649)</f>
        <v>Thomas Smith</v>
      </c>
      <c r="T649" s="4" t="str" cm="1">
        <f t="array" ref="T649">IF(D649="",IFERROR(INDEX($D$2:$D$1000,MATCH(MAX(COUNTIF($D$2:$D$1166,$D$2:$D$1166)),COUNTIF($D$2:$D$1166,$D$2:$D$1166),0)),"Unknown"),D649)</f>
        <v>Mary Martin</v>
      </c>
      <c r="U649" t="str">
        <f t="shared" si="71"/>
        <v>ZAR</v>
      </c>
      <c r="V649" s="7" t="str">
        <f t="shared" si="71"/>
        <v>AED</v>
      </c>
      <c r="W649" s="7" t="str">
        <f t="shared" si="72"/>
        <v>India</v>
      </c>
      <c r="X649" s="7" t="str">
        <f t="shared" si="72"/>
        <v>UAE</v>
      </c>
      <c r="Y649" s="7" t="str" cm="1">
        <f t="array" ref="Y649">IF(H649="",IFERROR(INDEX($H$2:$H$1166,MATCH(MAX(COUNTIF($H$2:$H$1166,$H$2:$H$1166)),COUNTIF($H$2:$H$1166,$H$2:$H$1166),0)),"Unknown"),H649)</f>
        <v>Verified</v>
      </c>
      <c r="Z649" s="7" t="str">
        <f t="shared" si="73"/>
        <v>Internal</v>
      </c>
      <c r="AA649" s="7">
        <f>IF(J649="",AVERAGE($J:$J),J649)</f>
        <v>2257.88</v>
      </c>
      <c r="AB649" s="7">
        <f>IF(N649="",AVERAGE($N:$N),N649)</f>
        <v>66</v>
      </c>
      <c r="AC649" s="7">
        <f t="shared" si="74"/>
        <v>2026</v>
      </c>
      <c r="AD649" s="7">
        <f t="shared" si="75"/>
        <v>9</v>
      </c>
      <c r="AE649" s="7">
        <f>COUNTIF(A:A,A649)</f>
        <v>1</v>
      </c>
      <c r="AF649" s="7" t="str">
        <f t="shared" si="76"/>
        <v>No</v>
      </c>
    </row>
    <row r="650" spans="1:32">
      <c r="A650" t="s">
        <v>2110</v>
      </c>
      <c r="B650">
        <v>32848643</v>
      </c>
      <c r="C650" t="s">
        <v>2111</v>
      </c>
      <c r="D650" t="s">
        <v>1809</v>
      </c>
      <c r="E650" t="s">
        <v>20</v>
      </c>
      <c r="F650" t="s">
        <v>22</v>
      </c>
      <c r="G650" t="s">
        <v>80</v>
      </c>
      <c r="H650" t="s">
        <v>38</v>
      </c>
      <c r="I650" t="s">
        <v>3372</v>
      </c>
      <c r="J650">
        <v>9275.19</v>
      </c>
      <c r="K650" t="s">
        <v>86</v>
      </c>
      <c r="L650" t="s">
        <v>48</v>
      </c>
      <c r="M650" s="1">
        <v>44462.625694444447</v>
      </c>
      <c r="N650">
        <v>62</v>
      </c>
      <c r="O650" t="s">
        <v>68</v>
      </c>
      <c r="P650" t="s">
        <v>37</v>
      </c>
      <c r="Q650" t="s">
        <v>2112</v>
      </c>
      <c r="R650">
        <f t="shared" si="70"/>
        <v>32848643</v>
      </c>
      <c r="S650" t="str" cm="1">
        <f t="array" ref="S650">IF(C650="",IFERROR(INDEX($C$2:$C$1166,MATCH(MAX(COUNTIF($C$2:$C$1166,$C$2:$C$1166)),COUNTIF($C$2:$C$1166,$C$2:$C$1166),0)),"Unknown"),C650)</f>
        <v>Lucas Jackson</v>
      </c>
      <c r="T650" s="4" t="str" cm="1">
        <f t="array" ref="T650">IF(D650="",IFERROR(INDEX($D$2:$D$1000,MATCH(MAX(COUNTIF($D$2:$D$1166,$D$2:$D$1166)),COUNTIF($D$2:$D$1166,$D$2:$D$1166),0)),"Unknown"),D650)</f>
        <v>Joseph Al-Sayed</v>
      </c>
      <c r="U650" t="str">
        <f t="shared" si="71"/>
        <v>BRL</v>
      </c>
      <c r="V650" s="7" t="str">
        <f t="shared" si="71"/>
        <v>USD</v>
      </c>
      <c r="W650" s="7" t="str">
        <f t="shared" si="72"/>
        <v>UAE</v>
      </c>
      <c r="X650" s="7" t="str">
        <f t="shared" si="72"/>
        <v>South Africa</v>
      </c>
      <c r="Y650" s="7" t="str" cm="1">
        <f t="array" ref="Y650">IF(H650="",IFERROR(INDEX($H$2:$H$1166,MATCH(MAX(COUNTIF($H$2:$H$1166,$H$2:$H$1166)),COUNTIF($H$2:$H$1166,$H$2:$H$1166),0)),"Unknown"),H650)</f>
        <v>Pending</v>
      </c>
      <c r="Z650" s="7" t="str">
        <f t="shared" si="73"/>
        <v>Outer-Transaction</v>
      </c>
      <c r="AA650" s="7">
        <f>IF(J650="",AVERAGE($J:$J),J650)</f>
        <v>9275.19</v>
      </c>
      <c r="AB650" s="7">
        <f>IF(N650="",AVERAGE($N:$N),N650)</f>
        <v>62</v>
      </c>
      <c r="AC650" s="7">
        <f t="shared" si="74"/>
        <v>2021</v>
      </c>
      <c r="AD650" s="7">
        <f t="shared" si="75"/>
        <v>9</v>
      </c>
      <c r="AE650" s="7">
        <f>COUNTIF(A:A,A650)</f>
        <v>1</v>
      </c>
      <c r="AF650" s="7" t="str">
        <f t="shared" si="76"/>
        <v>No</v>
      </c>
    </row>
    <row r="651" spans="1:32">
      <c r="A651" t="s">
        <v>2113</v>
      </c>
      <c r="B651">
        <v>84597332</v>
      </c>
      <c r="C651" t="s">
        <v>2114</v>
      </c>
      <c r="D651" t="s">
        <v>839</v>
      </c>
      <c r="E651" t="s">
        <v>20</v>
      </c>
      <c r="F651" t="s">
        <v>22</v>
      </c>
      <c r="G651" t="s">
        <v>53</v>
      </c>
      <c r="H651" t="s">
        <v>74</v>
      </c>
      <c r="I651" t="s">
        <v>3376</v>
      </c>
      <c r="J651">
        <v>2915.9</v>
      </c>
      <c r="K651" t="s">
        <v>47</v>
      </c>
      <c r="L651" t="s">
        <v>28</v>
      </c>
      <c r="M651" s="1">
        <v>44512.688194444447</v>
      </c>
      <c r="N651">
        <v>44</v>
      </c>
      <c r="O651" t="s">
        <v>62</v>
      </c>
      <c r="P651" t="s">
        <v>127</v>
      </c>
      <c r="Q651" t="s">
        <v>2115</v>
      </c>
      <c r="R651">
        <f t="shared" si="70"/>
        <v>84597332</v>
      </c>
      <c r="S651" t="str" cm="1">
        <f t="array" ref="S651">IF(C651="",IFERROR(INDEX($C$2:$C$1166,MATCH(MAX(COUNTIF($C$2:$C$1166,$C$2:$C$1166)),COUNTIF($C$2:$C$1166,$C$2:$C$1166),0)),"Unknown"),C651)</f>
        <v>Priya Taylor</v>
      </c>
      <c r="T651" s="4" t="str" cm="1">
        <f t="array" ref="T651">IF(D651="",IFERROR(INDEX($D$2:$D$1000,MATCH(MAX(COUNTIF($D$2:$D$1166,$D$2:$D$1166)),COUNTIF($D$2:$D$1166,$D$2:$D$1166),0)),"Unknown"),D651)</f>
        <v>Fatima Smith</v>
      </c>
      <c r="U651" t="str">
        <f t="shared" si="71"/>
        <v>BRL</v>
      </c>
      <c r="V651" s="7" t="str">
        <f t="shared" si="71"/>
        <v>AED</v>
      </c>
      <c r="W651" s="7" t="str">
        <f t="shared" si="72"/>
        <v>Australia</v>
      </c>
      <c r="X651" s="7" t="str">
        <f t="shared" si="72"/>
        <v>Canada</v>
      </c>
      <c r="Y651" s="7" t="str" cm="1">
        <f t="array" ref="Y651">IF(H651="",IFERROR(INDEX($H$2:$H$1166,MATCH(MAX(COUNTIF($H$2:$H$1166,$H$2:$H$1166)),COUNTIF($H$2:$H$1166,$H$2:$H$1166),0)),"Unknown"),H651)</f>
        <v>Non-KYC</v>
      </c>
      <c r="Z651" s="7" t="str">
        <f t="shared" si="73"/>
        <v>Internal</v>
      </c>
      <c r="AA651" s="7">
        <f>IF(J651="",AVERAGE($J:$J),J651)</f>
        <v>2915.9</v>
      </c>
      <c r="AB651" s="7">
        <f>IF(N651="",AVERAGE($N:$N),N651)</f>
        <v>44</v>
      </c>
      <c r="AC651" s="7">
        <f t="shared" si="74"/>
        <v>2021</v>
      </c>
      <c r="AD651" s="7">
        <f t="shared" si="75"/>
        <v>11</v>
      </c>
      <c r="AE651" s="7">
        <f>COUNTIF(A:A,A651)</f>
        <v>1</v>
      </c>
      <c r="AF651" s="7" t="str">
        <f t="shared" si="76"/>
        <v>No</v>
      </c>
    </row>
    <row r="652" spans="1:32">
      <c r="A652" t="s">
        <v>2116</v>
      </c>
      <c r="B652">
        <v>86694751</v>
      </c>
      <c r="C652" t="s">
        <v>412</v>
      </c>
      <c r="D652" t="s">
        <v>2117</v>
      </c>
      <c r="E652" t="s">
        <v>33</v>
      </c>
      <c r="F652" t="s">
        <v>176</v>
      </c>
      <c r="G652" t="s">
        <v>21</v>
      </c>
      <c r="H652" t="s">
        <v>38</v>
      </c>
      <c r="I652" t="s">
        <v>3372</v>
      </c>
      <c r="J652">
        <v>3215.98</v>
      </c>
      <c r="K652" t="s">
        <v>57</v>
      </c>
      <c r="L652" t="s">
        <v>75</v>
      </c>
      <c r="M652" s="1">
        <v>46035.421527777777</v>
      </c>
      <c r="N652">
        <v>43</v>
      </c>
      <c r="O652" t="s">
        <v>24</v>
      </c>
      <c r="P652" t="s">
        <v>37</v>
      </c>
      <c r="Q652" t="s">
        <v>2118</v>
      </c>
      <c r="R652">
        <f t="shared" si="70"/>
        <v>86694751</v>
      </c>
      <c r="S652" t="str" cm="1">
        <f t="array" ref="S652">IF(C652="",IFERROR(INDEX($C$2:$C$1166,MATCH(MAX(COUNTIF($C$2:$C$1166,$C$2:$C$1166)),COUNTIF($C$2:$C$1166,$C$2:$C$1166),0)),"Unknown"),C652)</f>
        <v>Sanjay Velez</v>
      </c>
      <c r="T652" s="4" t="str" cm="1">
        <f t="array" ref="T652">IF(D652="",IFERROR(INDEX($D$2:$D$1000,MATCH(MAX(COUNTIF($D$2:$D$1166,$D$2:$D$1166)),COUNTIF($D$2:$D$1166,$D$2:$D$1166),0)),"Unknown"),D652)</f>
        <v>Marta Al-Sayed</v>
      </c>
      <c r="U652" t="str">
        <f t="shared" si="71"/>
        <v>aed</v>
      </c>
      <c r="V652" s="7" t="str">
        <f t="shared" si="71"/>
        <v>GBP</v>
      </c>
      <c r="W652" s="7" t="str">
        <f t="shared" si="72"/>
        <v>Brazil</v>
      </c>
      <c r="X652" s="7" t="str">
        <f t="shared" si="72"/>
        <v>South Africa</v>
      </c>
      <c r="Y652" s="7" t="str" cm="1">
        <f t="array" ref="Y652">IF(H652="",IFERROR(INDEX($H$2:$H$1166,MATCH(MAX(COUNTIF($H$2:$H$1166,$H$2:$H$1166)),COUNTIF($H$2:$H$1166,$H$2:$H$1166),0)),"Unknown"),H652)</f>
        <v>Pending</v>
      </c>
      <c r="Z652" s="7" t="str">
        <f t="shared" si="73"/>
        <v>Outer-Transaction</v>
      </c>
      <c r="AA652" s="7">
        <f>IF(J652="",AVERAGE($J:$J),J652)</f>
        <v>3215.98</v>
      </c>
      <c r="AB652" s="7">
        <f>IF(N652="",AVERAGE($N:$N),N652)</f>
        <v>43</v>
      </c>
      <c r="AC652" s="7">
        <f t="shared" si="74"/>
        <v>2026</v>
      </c>
      <c r="AD652" s="7">
        <f t="shared" si="75"/>
        <v>1</v>
      </c>
      <c r="AE652" s="7">
        <f>COUNTIF(A:A,A652)</f>
        <v>1</v>
      </c>
      <c r="AF652" s="7" t="str">
        <f t="shared" si="76"/>
        <v>Yes</v>
      </c>
    </row>
    <row r="653" spans="1:32">
      <c r="A653" t="s">
        <v>2119</v>
      </c>
      <c r="B653">
        <v>60152461</v>
      </c>
      <c r="C653" t="s">
        <v>2120</v>
      </c>
      <c r="D653" t="s">
        <v>365</v>
      </c>
      <c r="E653" t="s">
        <v>20</v>
      </c>
      <c r="F653" t="s">
        <v>92</v>
      </c>
      <c r="G653" t="s">
        <v>121</v>
      </c>
      <c r="I653" t="s">
        <v>3377</v>
      </c>
      <c r="J653">
        <v>10033.280000000001</v>
      </c>
      <c r="K653" t="s">
        <v>39</v>
      </c>
      <c r="L653" t="s">
        <v>81</v>
      </c>
      <c r="M653" s="1">
        <v>46213.793055555558</v>
      </c>
      <c r="N653">
        <v>64</v>
      </c>
      <c r="O653" t="s">
        <v>93</v>
      </c>
      <c r="P653" t="s">
        <v>68</v>
      </c>
      <c r="Q653" t="s">
        <v>2121</v>
      </c>
      <c r="R653">
        <f t="shared" si="70"/>
        <v>60152461</v>
      </c>
      <c r="S653" t="str" cm="1">
        <f t="array" ref="S653">IF(C653="",IFERROR(INDEX($C$2:$C$1166,MATCH(MAX(COUNTIF($C$2:$C$1166,$C$2:$C$1166)),COUNTIF($C$2:$C$1166,$C$2:$C$1166),0)),"Unknown"),C653)</f>
        <v>Jean-Pierre Martinez</v>
      </c>
      <c r="T653" s="4" t="str" cm="1">
        <f t="array" ref="T653">IF(D653="",IFERROR(INDEX($D$2:$D$1000,MATCH(MAX(COUNTIF($D$2:$D$1166,$D$2:$D$1166)),COUNTIF($D$2:$D$1166,$D$2:$D$1166),0)),"Unknown"),D653)</f>
        <v>Zayn Malik</v>
      </c>
      <c r="U653" t="str">
        <f t="shared" si="71"/>
        <v>AUD</v>
      </c>
      <c r="V653" s="7" t="str">
        <f t="shared" si="71"/>
        <v>INR</v>
      </c>
      <c r="W653" s="7" t="str">
        <f t="shared" si="72"/>
        <v>USA</v>
      </c>
      <c r="X653" s="7" t="str">
        <f t="shared" si="72"/>
        <v>UAE</v>
      </c>
      <c r="Y653" s="7" t="str" cm="1">
        <f t="array" ref="Y653">IF(H653="",IFERROR(INDEX($H$2:$H$1166,MATCH(MAX(COUNTIF($H$2:$H$1166,$H$2:$H$1166)),COUNTIF($H$2:$H$1166,$H$2:$H$1166),0)),"Unknown"),H653)</f>
        <v>Pending</v>
      </c>
      <c r="Z653" s="7" t="str">
        <f t="shared" si="73"/>
        <v>Inter-Transaction</v>
      </c>
      <c r="AA653" s="7">
        <f>IF(J653="",AVERAGE($J:$J),J653)</f>
        <v>10033.280000000001</v>
      </c>
      <c r="AB653" s="7">
        <f>IF(N653="",AVERAGE($N:$N),N653)</f>
        <v>64</v>
      </c>
      <c r="AC653" s="7">
        <f t="shared" si="74"/>
        <v>2026</v>
      </c>
      <c r="AD653" s="7">
        <f t="shared" si="75"/>
        <v>7</v>
      </c>
      <c r="AE653" s="7">
        <f>COUNTIF(A:A,A653)</f>
        <v>1</v>
      </c>
      <c r="AF653" s="7" t="str">
        <f t="shared" si="76"/>
        <v>No</v>
      </c>
    </row>
    <row r="654" spans="1:32">
      <c r="A654" t="s">
        <v>2122</v>
      </c>
      <c r="B654">
        <v>40315274</v>
      </c>
      <c r="C654" t="s">
        <v>146</v>
      </c>
      <c r="D654" t="s">
        <v>311</v>
      </c>
      <c r="E654" t="s">
        <v>20</v>
      </c>
      <c r="F654" t="s">
        <v>98</v>
      </c>
      <c r="G654" t="s">
        <v>98</v>
      </c>
      <c r="I654" t="s">
        <v>3377</v>
      </c>
      <c r="J654">
        <v>10108.43</v>
      </c>
      <c r="K654" t="s">
        <v>57</v>
      </c>
      <c r="L654" t="s">
        <v>28</v>
      </c>
      <c r="M654" s="1">
        <v>46138.47152777778</v>
      </c>
      <c r="N654">
        <v>73</v>
      </c>
      <c r="O654" t="s">
        <v>55</v>
      </c>
      <c r="P654" t="s">
        <v>127</v>
      </c>
      <c r="Q654" t="s">
        <v>2123</v>
      </c>
      <c r="R654">
        <f t="shared" si="70"/>
        <v>40315274</v>
      </c>
      <c r="S654" t="str" cm="1">
        <f t="array" ref="S654">IF(C654="",IFERROR(INDEX($C$2:$C$1166,MATCH(MAX(COUNTIF($C$2:$C$1166,$C$2:$C$1166)),COUNTIF($C$2:$C$1166,$C$2:$C$1166),0)),"Unknown"),C654)</f>
        <v>Fatima Brown</v>
      </c>
      <c r="T654" s="4" t="str" cm="1">
        <f t="array" ref="T654">IF(D654="",IFERROR(INDEX($D$2:$D$1000,MATCH(MAX(COUNTIF($D$2:$D$1166,$D$2:$D$1166)),COUNTIF($D$2:$D$1166,$D$2:$D$1166),0)),"Unknown"),D654)</f>
        <v>Susan Davis</v>
      </c>
      <c r="U654" t="str">
        <f t="shared" si="71"/>
        <v>JPY</v>
      </c>
      <c r="V654" s="7" t="str">
        <f t="shared" si="71"/>
        <v>JPY</v>
      </c>
      <c r="W654" s="7" t="str">
        <f t="shared" si="72"/>
        <v>UK</v>
      </c>
      <c r="X654" s="7" t="str">
        <f t="shared" si="72"/>
        <v>Canada</v>
      </c>
      <c r="Y654" s="7" t="str" cm="1">
        <f t="array" ref="Y654">IF(H654="",IFERROR(INDEX($H$2:$H$1166,MATCH(MAX(COUNTIF($H$2:$H$1166,$H$2:$H$1166)),COUNTIF($H$2:$H$1166,$H$2:$H$1166),0)),"Unknown"),H654)</f>
        <v>Pending</v>
      </c>
      <c r="Z654" s="7" t="str">
        <f t="shared" si="73"/>
        <v>Inter-Transaction</v>
      </c>
      <c r="AA654" s="7">
        <f>IF(J654="",AVERAGE($J:$J),J654)</f>
        <v>10108.43</v>
      </c>
      <c r="AB654" s="7">
        <f>IF(N654="",AVERAGE($N:$N),N654)</f>
        <v>73</v>
      </c>
      <c r="AC654" s="7">
        <f t="shared" si="74"/>
        <v>2026</v>
      </c>
      <c r="AD654" s="7">
        <f t="shared" si="75"/>
        <v>4</v>
      </c>
      <c r="AE654" s="7">
        <f>COUNTIF(A:A,A654)</f>
        <v>1</v>
      </c>
      <c r="AF654" s="7" t="str">
        <f t="shared" si="76"/>
        <v>No</v>
      </c>
    </row>
    <row r="655" spans="1:32">
      <c r="A655" t="s">
        <v>2124</v>
      </c>
      <c r="B655">
        <v>57655811</v>
      </c>
      <c r="C655" t="s">
        <v>585</v>
      </c>
      <c r="D655" t="s">
        <v>2125</v>
      </c>
      <c r="E655" t="s">
        <v>3375</v>
      </c>
      <c r="F655" t="s">
        <v>22</v>
      </c>
      <c r="G655" t="s">
        <v>35</v>
      </c>
      <c r="H655" t="s">
        <v>38</v>
      </c>
      <c r="I655" t="s">
        <v>3372</v>
      </c>
      <c r="J655">
        <v>7897.91</v>
      </c>
      <c r="K655" t="s">
        <v>86</v>
      </c>
      <c r="L655" t="s">
        <v>28</v>
      </c>
      <c r="M655" s="1">
        <v>45960.634027777778</v>
      </c>
      <c r="N655">
        <v>80</v>
      </c>
      <c r="O655" t="s">
        <v>36</v>
      </c>
      <c r="P655" t="s">
        <v>127</v>
      </c>
      <c r="Q655" t="s">
        <v>2126</v>
      </c>
      <c r="R655">
        <f t="shared" si="70"/>
        <v>57655811</v>
      </c>
      <c r="S655" t="str" cm="1">
        <f t="array" ref="S655">IF(C655="",IFERROR(INDEX($C$2:$C$1166,MATCH(MAX(COUNTIF($C$2:$C$1166,$C$2:$C$1166)),COUNTIF($C$2:$C$1166,$C$2:$C$1166),0)),"Unknown"),C655)</f>
        <v>William Khan</v>
      </c>
      <c r="T655" s="4" t="str" cm="1">
        <f t="array" ref="T655">IF(D655="",IFERROR(INDEX($D$2:$D$1000,MATCH(MAX(COUNTIF($D$2:$D$1166,$D$2:$D$1166)),COUNTIF($D$2:$D$1166,$D$2:$D$1166),0)),"Unknown"),D655)</f>
        <v>Charles Rodriguez</v>
      </c>
      <c r="U655" t="str">
        <f t="shared" si="71"/>
        <v>BRL</v>
      </c>
      <c r="V655" s="7" t="str">
        <f t="shared" si="71"/>
        <v>EUR</v>
      </c>
      <c r="W655" s="7" t="str">
        <f t="shared" si="72"/>
        <v>Germany</v>
      </c>
      <c r="X655" s="7" t="str">
        <f t="shared" si="72"/>
        <v>Canada</v>
      </c>
      <c r="Y655" s="7" t="str" cm="1">
        <f t="array" ref="Y655">IF(H655="",IFERROR(INDEX($H$2:$H$1166,MATCH(MAX(COUNTIF($H$2:$H$1166,$H$2:$H$1166)),COUNTIF($H$2:$H$1166,$H$2:$H$1166),0)),"Unknown"),H655)</f>
        <v>Pending</v>
      </c>
      <c r="Z655" s="7" t="str">
        <f t="shared" si="73"/>
        <v>Outer-Transaction</v>
      </c>
      <c r="AA655" s="7">
        <f>IF(J655="",AVERAGE($J:$J),J655)</f>
        <v>7897.91</v>
      </c>
      <c r="AB655" s="7">
        <f>IF(N655="",AVERAGE($N:$N),N655)</f>
        <v>80</v>
      </c>
      <c r="AC655" s="7">
        <f t="shared" si="74"/>
        <v>2025</v>
      </c>
      <c r="AD655" s="7">
        <f t="shared" si="75"/>
        <v>10</v>
      </c>
      <c r="AE655" s="7">
        <f>COUNTIF(A:A,A655)</f>
        <v>1</v>
      </c>
      <c r="AF655" s="7" t="str">
        <f t="shared" si="76"/>
        <v>No</v>
      </c>
    </row>
    <row r="656" spans="1:32">
      <c r="A656" t="s">
        <v>2127</v>
      </c>
      <c r="B656">
        <v>15262830</v>
      </c>
      <c r="C656" t="s">
        <v>1579</v>
      </c>
      <c r="E656" t="s">
        <v>20</v>
      </c>
      <c r="F656" t="s">
        <v>35</v>
      </c>
      <c r="G656" t="s">
        <v>116</v>
      </c>
      <c r="H656" t="s">
        <v>38</v>
      </c>
      <c r="I656" t="s">
        <v>3372</v>
      </c>
      <c r="J656">
        <v>11685.91</v>
      </c>
      <c r="K656" t="s">
        <v>27</v>
      </c>
      <c r="L656" t="s">
        <v>28</v>
      </c>
      <c r="M656" s="1">
        <v>44584.665277777778</v>
      </c>
      <c r="N656">
        <v>65</v>
      </c>
      <c r="O656" t="s">
        <v>36</v>
      </c>
      <c r="P656" t="s">
        <v>55</v>
      </c>
      <c r="Q656" t="s">
        <v>2128</v>
      </c>
      <c r="R656">
        <f t="shared" si="70"/>
        <v>15262830</v>
      </c>
      <c r="S656" t="str" cm="1">
        <f t="array" ref="S656">IF(C656="",IFERROR(INDEX($C$2:$C$1166,MATCH(MAX(COUNTIF($C$2:$C$1166,$C$2:$C$1166)),COUNTIF($C$2:$C$1166,$C$2:$C$1166),0)),"Unknown"),C656)</f>
        <v>Carlos Wilson</v>
      </c>
      <c r="T656" s="4" t="str" cm="1">
        <f t="array" ref="T656">IF(D656="",IFERROR(INDEX($D$2:$D$1000,MATCH(MAX(COUNTIF($D$2:$D$1166,$D$2:$D$1166)),COUNTIF($D$2:$D$1166,$D$2:$D$1166),0)),"Unknown"),D656)</f>
        <v>Patricia Smith</v>
      </c>
      <c r="U656" t="str">
        <f t="shared" si="71"/>
        <v>EUR</v>
      </c>
      <c r="V656" s="7" t="str">
        <f t="shared" si="71"/>
        <v>CHF</v>
      </c>
      <c r="W656" s="7" t="str">
        <f t="shared" si="72"/>
        <v>Germany</v>
      </c>
      <c r="X656" s="7" t="str">
        <f t="shared" si="72"/>
        <v>UK</v>
      </c>
      <c r="Y656" s="7" t="str" cm="1">
        <f t="array" ref="Y656">IF(H656="",IFERROR(INDEX($H$2:$H$1166,MATCH(MAX(COUNTIF($H$2:$H$1166,$H$2:$H$1166)),COUNTIF($H$2:$H$1166,$H$2:$H$1166),0)),"Unknown"),H656)</f>
        <v>Pending</v>
      </c>
      <c r="Z656" s="7" t="str">
        <f t="shared" si="73"/>
        <v>Outer-Transaction</v>
      </c>
      <c r="AA656" s="7">
        <f>IF(J656="",AVERAGE($J:$J),J656)</f>
        <v>11685.91</v>
      </c>
      <c r="AB656" s="7">
        <f>IF(N656="",AVERAGE($N:$N),N656)</f>
        <v>65</v>
      </c>
      <c r="AC656" s="7">
        <f t="shared" si="74"/>
        <v>2022</v>
      </c>
      <c r="AD656" s="7">
        <f t="shared" si="75"/>
        <v>1</v>
      </c>
      <c r="AE656" s="7">
        <f>COUNTIF(A:A,A656)</f>
        <v>1</v>
      </c>
      <c r="AF656" s="7" t="str">
        <f t="shared" si="76"/>
        <v>No</v>
      </c>
    </row>
    <row r="657" spans="1:32">
      <c r="A657" t="s">
        <v>2129</v>
      </c>
      <c r="B657">
        <v>27167388</v>
      </c>
      <c r="C657" t="s">
        <v>2130</v>
      </c>
      <c r="D657" t="s">
        <v>96</v>
      </c>
      <c r="E657" t="s">
        <v>20</v>
      </c>
      <c r="F657" t="s">
        <v>22</v>
      </c>
      <c r="G657" t="s">
        <v>92</v>
      </c>
      <c r="H657" t="s">
        <v>38</v>
      </c>
      <c r="I657" t="s">
        <v>3377</v>
      </c>
      <c r="J657">
        <v>14405.92</v>
      </c>
      <c r="K657" t="s">
        <v>39</v>
      </c>
      <c r="L657" t="s">
        <v>28</v>
      </c>
      <c r="M657" s="1">
        <v>45295.866666666669</v>
      </c>
      <c r="N657">
        <v>78</v>
      </c>
      <c r="O657" t="s">
        <v>37</v>
      </c>
      <c r="P657" t="s">
        <v>37</v>
      </c>
      <c r="Q657" t="s">
        <v>2131</v>
      </c>
      <c r="R657">
        <f t="shared" si="70"/>
        <v>27167388</v>
      </c>
      <c r="S657" t="str" cm="1">
        <f t="array" ref="S657">IF(C657="",IFERROR(INDEX($C$2:$C$1166,MATCH(MAX(COUNTIF($C$2:$C$1166,$C$2:$C$1166)),COUNTIF($C$2:$C$1166,$C$2:$C$1166),0)),"Unknown"),C657)</f>
        <v>Amir Martin</v>
      </c>
      <c r="T657" s="4" t="str" cm="1">
        <f t="array" ref="T657">IF(D657="",IFERROR(INDEX($D$2:$D$1000,MATCH(MAX(COUNTIF($D$2:$D$1166,$D$2:$D$1166)),COUNTIF($D$2:$D$1166,$D$2:$D$1166),0)),"Unknown"),D657)</f>
        <v>Charles Souza</v>
      </c>
      <c r="U657" t="str">
        <f t="shared" si="71"/>
        <v>BRL</v>
      </c>
      <c r="V657" s="7" t="str">
        <f t="shared" si="71"/>
        <v>AUD</v>
      </c>
      <c r="W657" s="7" t="str">
        <f t="shared" si="72"/>
        <v>South Africa</v>
      </c>
      <c r="X657" s="7" t="str">
        <f t="shared" si="72"/>
        <v>South Africa</v>
      </c>
      <c r="Y657" s="7" t="str" cm="1">
        <f t="array" ref="Y657">IF(H657="",IFERROR(INDEX($H$2:$H$1166,MATCH(MAX(COUNTIF($H$2:$H$1166,$H$2:$H$1166)),COUNTIF($H$2:$H$1166,$H$2:$H$1166),0)),"Unknown"),H657)</f>
        <v>Pending</v>
      </c>
      <c r="Z657" s="7" t="str">
        <f t="shared" si="73"/>
        <v>Inter-Transaction</v>
      </c>
      <c r="AA657" s="7">
        <f>IF(J657="",AVERAGE($J:$J),J657)</f>
        <v>14405.92</v>
      </c>
      <c r="AB657" s="7">
        <f>IF(N657="",AVERAGE($N:$N),N657)</f>
        <v>78</v>
      </c>
      <c r="AC657" s="7">
        <f t="shared" si="74"/>
        <v>2024</v>
      </c>
      <c r="AD657" s="7">
        <f t="shared" si="75"/>
        <v>1</v>
      </c>
      <c r="AE657" s="7">
        <f>COUNTIF(A:A,A657)</f>
        <v>1</v>
      </c>
      <c r="AF657" s="7" t="str">
        <f t="shared" si="76"/>
        <v>No</v>
      </c>
    </row>
    <row r="658" spans="1:32">
      <c r="A658" t="s">
        <v>2132</v>
      </c>
      <c r="B658">
        <v>80593346</v>
      </c>
      <c r="C658" t="s">
        <v>2133</v>
      </c>
      <c r="D658" t="s">
        <v>2134</v>
      </c>
      <c r="E658" t="s">
        <v>20</v>
      </c>
      <c r="F658" t="s">
        <v>53</v>
      </c>
      <c r="G658" t="s">
        <v>121</v>
      </c>
      <c r="H658" t="s">
        <v>56</v>
      </c>
      <c r="I658" t="s">
        <v>3371</v>
      </c>
      <c r="J658">
        <v>2567.3000000000002</v>
      </c>
      <c r="K658" t="s">
        <v>47</v>
      </c>
      <c r="L658" t="s">
        <v>48</v>
      </c>
      <c r="M658" s="1">
        <v>44550.45</v>
      </c>
      <c r="N658">
        <v>43</v>
      </c>
      <c r="O658" t="s">
        <v>54</v>
      </c>
      <c r="P658" t="s">
        <v>23</v>
      </c>
      <c r="Q658" t="s">
        <v>2135</v>
      </c>
      <c r="R658">
        <f t="shared" si="70"/>
        <v>80593346</v>
      </c>
      <c r="S658" t="str" cm="1">
        <f t="array" ref="S658">IF(C658="",IFERROR(INDEX($C$2:$C$1166,MATCH(MAX(COUNTIF($C$2:$C$1166,$C$2:$C$1166)),COUNTIF($C$2:$C$1166,$C$2:$C$1166),0)),"Unknown"),C658)</f>
        <v xml:space="preserve">  SANJAY DUBOIS </v>
      </c>
      <c r="T658" s="4" t="str" cm="1">
        <f t="array" ref="T658">IF(D658="",IFERROR(INDEX($D$2:$D$1000,MATCH(MAX(COUNTIF($D$2:$D$1166,$D$2:$D$1166)),COUNTIF($D$2:$D$1166,$D$2:$D$1166),0)),"Unknown"),D658)</f>
        <v>Christopher Martinez</v>
      </c>
      <c r="U658" t="str">
        <f t="shared" si="71"/>
        <v>AED</v>
      </c>
      <c r="V658" s="7" t="str">
        <f t="shared" si="71"/>
        <v>INR</v>
      </c>
      <c r="W658" s="7" t="str">
        <f t="shared" si="72"/>
        <v>India</v>
      </c>
      <c r="X658" s="7" t="str">
        <f t="shared" si="72"/>
        <v>France</v>
      </c>
      <c r="Y658" s="7" t="str" cm="1">
        <f t="array" ref="Y658">IF(H658="",IFERROR(INDEX($H$2:$H$1166,MATCH(MAX(COUNTIF($H$2:$H$1166,$H$2:$H$1166)),COUNTIF($H$2:$H$1166,$H$2:$H$1166),0)),"Unknown"),H658)</f>
        <v>Unverified</v>
      </c>
      <c r="Z658" s="7" t="str">
        <f t="shared" si="73"/>
        <v>Outer-Transaction</v>
      </c>
      <c r="AA658" s="7">
        <f>IF(J658="",AVERAGE($J:$J),J658)</f>
        <v>2567.3000000000002</v>
      </c>
      <c r="AB658" s="7">
        <f>IF(N658="",AVERAGE($N:$N),N658)</f>
        <v>43</v>
      </c>
      <c r="AC658" s="7">
        <f t="shared" si="74"/>
        <v>2021</v>
      </c>
      <c r="AD658" s="7">
        <f t="shared" si="75"/>
        <v>12</v>
      </c>
      <c r="AE658" s="7">
        <f>COUNTIF(A:A,A658)</f>
        <v>1</v>
      </c>
      <c r="AF658" s="7" t="str">
        <f t="shared" si="76"/>
        <v>No</v>
      </c>
    </row>
    <row r="659" spans="1:32">
      <c r="A659" t="s">
        <v>2136</v>
      </c>
      <c r="B659">
        <v>49453084</v>
      </c>
      <c r="C659" t="s">
        <v>408</v>
      </c>
      <c r="D659" t="s">
        <v>2137</v>
      </c>
      <c r="E659" t="s">
        <v>20</v>
      </c>
      <c r="F659" t="s">
        <v>80</v>
      </c>
      <c r="G659" t="s">
        <v>34</v>
      </c>
      <c r="H659" t="s">
        <v>56</v>
      </c>
      <c r="I659" t="s">
        <v>3374</v>
      </c>
      <c r="J659">
        <v>704.91</v>
      </c>
      <c r="K659" t="s">
        <v>86</v>
      </c>
      <c r="L659" t="s">
        <v>28</v>
      </c>
      <c r="M659" s="1">
        <v>43905.786805555559</v>
      </c>
      <c r="N659">
        <v>53</v>
      </c>
      <c r="O659" t="s">
        <v>37</v>
      </c>
      <c r="P659" t="s">
        <v>93</v>
      </c>
      <c r="Q659" t="s">
        <v>2138</v>
      </c>
      <c r="R659">
        <f t="shared" si="70"/>
        <v>49453084</v>
      </c>
      <c r="S659" t="str" cm="1">
        <f t="array" ref="S659">IF(C659="",IFERROR(INDEX($C$2:$C$1166,MATCH(MAX(COUNTIF($C$2:$C$1166,$C$2:$C$1166)),COUNTIF($C$2:$C$1166,$C$2:$C$1166),0)),"Unknown"),C659)</f>
        <v>Michael Taylor</v>
      </c>
      <c r="T659" s="4" t="str" cm="1">
        <f t="array" ref="T659">IF(D659="",IFERROR(INDEX($D$2:$D$1000,MATCH(MAX(COUNTIF($D$2:$D$1166,$D$2:$D$1166)),COUNTIF($D$2:$D$1166,$D$2:$D$1166),0)),"Unknown"),D659)</f>
        <v>Karen Wilson</v>
      </c>
      <c r="U659" t="str">
        <f t="shared" si="71"/>
        <v>USD</v>
      </c>
      <c r="V659" s="7" t="str">
        <f t="shared" si="71"/>
        <v>CAD</v>
      </c>
      <c r="W659" s="7" t="str">
        <f t="shared" si="72"/>
        <v>South Africa</v>
      </c>
      <c r="X659" s="7" t="str">
        <f t="shared" si="72"/>
        <v>USA</v>
      </c>
      <c r="Y659" s="7" t="str" cm="1">
        <f t="array" ref="Y659">IF(H659="",IFERROR(INDEX($H$2:$H$1166,MATCH(MAX(COUNTIF($H$2:$H$1166,$H$2:$H$1166)),COUNTIF($H$2:$H$1166,$H$2:$H$1166),0)),"Unknown"),H659)</f>
        <v>Unverified</v>
      </c>
      <c r="Z659" s="7" t="str">
        <f t="shared" si="73"/>
        <v>External</v>
      </c>
      <c r="AA659" s="7">
        <f>IF(J659="",AVERAGE($J:$J),J659)</f>
        <v>704.91</v>
      </c>
      <c r="AB659" s="7">
        <f>IF(N659="",AVERAGE($N:$N),N659)</f>
        <v>53</v>
      </c>
      <c r="AC659" s="7">
        <f t="shared" si="74"/>
        <v>2020</v>
      </c>
      <c r="AD659" s="7">
        <f t="shared" si="75"/>
        <v>3</v>
      </c>
      <c r="AE659" s="7">
        <f>COUNTIF(A:A,A659)</f>
        <v>1</v>
      </c>
      <c r="AF659" s="7" t="str">
        <f t="shared" si="76"/>
        <v>No</v>
      </c>
    </row>
    <row r="660" spans="1:32">
      <c r="A660" t="s">
        <v>2139</v>
      </c>
      <c r="B660">
        <v>58495831</v>
      </c>
      <c r="C660" t="s">
        <v>935</v>
      </c>
      <c r="D660" t="s">
        <v>1565</v>
      </c>
      <c r="E660" t="s">
        <v>3375</v>
      </c>
      <c r="F660" t="s">
        <v>80</v>
      </c>
      <c r="G660" t="s">
        <v>92</v>
      </c>
      <c r="H660" t="s">
        <v>74</v>
      </c>
      <c r="I660" t="s">
        <v>3371</v>
      </c>
      <c r="J660">
        <v>3817.86</v>
      </c>
      <c r="K660" t="s">
        <v>57</v>
      </c>
      <c r="L660" t="s">
        <v>75</v>
      </c>
      <c r="M660" s="1">
        <v>45124.020138888889</v>
      </c>
      <c r="N660">
        <v>18</v>
      </c>
      <c r="O660" t="s">
        <v>55</v>
      </c>
      <c r="P660" t="s">
        <v>37</v>
      </c>
      <c r="Q660" t="s">
        <v>2140</v>
      </c>
      <c r="R660">
        <f t="shared" si="70"/>
        <v>58495831</v>
      </c>
      <c r="S660" t="str" cm="1">
        <f t="array" ref="S660">IF(C660="",IFERROR(INDEX($C$2:$C$1166,MATCH(MAX(COUNTIF($C$2:$C$1166,$C$2:$C$1166)),COUNTIF($C$2:$C$1166,$C$2:$C$1166),0)),"Unknown"),C660)</f>
        <v>Joseph Gonzalez</v>
      </c>
      <c r="T660" s="4" t="str" cm="1">
        <f t="array" ref="T660">IF(D660="",IFERROR(INDEX($D$2:$D$1000,MATCH(MAX(COUNTIF($D$2:$D$1166,$D$2:$D$1166)),COUNTIF($D$2:$D$1166,$D$2:$D$1166),0)),"Unknown"),D660)</f>
        <v>Carlos Martin</v>
      </c>
      <c r="U660" t="str">
        <f t="shared" si="71"/>
        <v>USD</v>
      </c>
      <c r="V660" s="7" t="str">
        <f t="shared" si="71"/>
        <v>AUD</v>
      </c>
      <c r="W660" s="7" t="str">
        <f t="shared" si="72"/>
        <v>UK</v>
      </c>
      <c r="X660" s="7" t="str">
        <f t="shared" si="72"/>
        <v>South Africa</v>
      </c>
      <c r="Y660" s="7" t="str" cm="1">
        <f t="array" ref="Y660">IF(H660="",IFERROR(INDEX($H$2:$H$1166,MATCH(MAX(COUNTIF($H$2:$H$1166,$H$2:$H$1166)),COUNTIF($H$2:$H$1166,$H$2:$H$1166),0)),"Unknown"),H660)</f>
        <v>Non-KYC</v>
      </c>
      <c r="Z660" s="7" t="str">
        <f t="shared" si="73"/>
        <v>Outer-Transaction</v>
      </c>
      <c r="AA660" s="7">
        <f>IF(J660="",AVERAGE($J:$J),J660)</f>
        <v>3817.86</v>
      </c>
      <c r="AB660" s="7">
        <f>IF(N660="",AVERAGE($N:$N),N660)</f>
        <v>18</v>
      </c>
      <c r="AC660" s="7">
        <f t="shared" si="74"/>
        <v>2023</v>
      </c>
      <c r="AD660" s="7">
        <f t="shared" si="75"/>
        <v>7</v>
      </c>
      <c r="AE660" s="7">
        <f>COUNTIF(A:A,A660)</f>
        <v>1</v>
      </c>
      <c r="AF660" s="7" t="str">
        <f t="shared" si="76"/>
        <v>No</v>
      </c>
    </row>
    <row r="661" spans="1:32">
      <c r="A661" t="s">
        <v>2141</v>
      </c>
      <c r="B661">
        <v>96456474</v>
      </c>
      <c r="C661" t="s">
        <v>1950</v>
      </c>
      <c r="D661" t="s">
        <v>2142</v>
      </c>
      <c r="E661" t="s">
        <v>3373</v>
      </c>
      <c r="F661" t="s">
        <v>53</v>
      </c>
      <c r="G661" t="s">
        <v>53</v>
      </c>
      <c r="H661" t="s">
        <v>38</v>
      </c>
      <c r="I661" t="s">
        <v>3372</v>
      </c>
      <c r="J661">
        <v>11705.85</v>
      </c>
      <c r="K661" t="s">
        <v>57</v>
      </c>
      <c r="L661" t="s">
        <v>75</v>
      </c>
      <c r="M661" s="1">
        <v>45753.468055555553</v>
      </c>
      <c r="N661">
        <v>25</v>
      </c>
      <c r="O661" t="s">
        <v>127</v>
      </c>
      <c r="P661" t="s">
        <v>62</v>
      </c>
      <c r="Q661" t="s">
        <v>2143</v>
      </c>
      <c r="R661">
        <f t="shared" si="70"/>
        <v>96456474</v>
      </c>
      <c r="S661" t="str" cm="1">
        <f t="array" ref="S661">IF(C661="",IFERROR(INDEX($C$2:$C$1166,MATCH(MAX(COUNTIF($C$2:$C$1166,$C$2:$C$1166)),COUNTIF($C$2:$C$1166,$C$2:$C$1166),0)),"Unknown"),C661)</f>
        <v>Carlos Jones</v>
      </c>
      <c r="T661" s="4" t="str" cm="1">
        <f t="array" ref="T661">IF(D661="",IFERROR(INDEX($D$2:$D$1000,MATCH(MAX(COUNTIF($D$2:$D$1166,$D$2:$D$1166)),COUNTIF($D$2:$D$1166,$D$2:$D$1166),0)),"Unknown"),D661)</f>
        <v xml:space="preserve"> nancy miller   </v>
      </c>
      <c r="U661" t="str">
        <f t="shared" si="71"/>
        <v>AED</v>
      </c>
      <c r="V661" s="7" t="str">
        <f t="shared" si="71"/>
        <v>AED</v>
      </c>
      <c r="W661" s="7" t="str">
        <f t="shared" si="72"/>
        <v>Canada</v>
      </c>
      <c r="X661" s="7" t="str">
        <f t="shared" si="72"/>
        <v>Australia</v>
      </c>
      <c r="Y661" s="7" t="str" cm="1">
        <f t="array" ref="Y661">IF(H661="",IFERROR(INDEX($H$2:$H$1166,MATCH(MAX(COUNTIF($H$2:$H$1166,$H$2:$H$1166)),COUNTIF($H$2:$H$1166,$H$2:$H$1166),0)),"Unknown"),H661)</f>
        <v>Pending</v>
      </c>
      <c r="Z661" s="7" t="str">
        <f t="shared" si="73"/>
        <v>Outer-Transaction</v>
      </c>
      <c r="AA661" s="7">
        <f>IF(J661="",AVERAGE($J:$J),J661)</f>
        <v>11705.85</v>
      </c>
      <c r="AB661" s="7">
        <f>IF(N661="",AVERAGE($N:$N),N661)</f>
        <v>25</v>
      </c>
      <c r="AC661" s="7">
        <f t="shared" si="74"/>
        <v>2025</v>
      </c>
      <c r="AD661" s="7">
        <f t="shared" si="75"/>
        <v>4</v>
      </c>
      <c r="AE661" s="7">
        <f>COUNTIF(A:A,A661)</f>
        <v>1</v>
      </c>
      <c r="AF661" s="7" t="str">
        <f t="shared" si="76"/>
        <v>Yes</v>
      </c>
    </row>
    <row r="662" spans="1:32">
      <c r="A662" t="s">
        <v>2144</v>
      </c>
      <c r="B662">
        <v>60238044</v>
      </c>
      <c r="C662" t="s">
        <v>1269</v>
      </c>
      <c r="D662" t="s">
        <v>2145</v>
      </c>
      <c r="E662" t="s">
        <v>20</v>
      </c>
      <c r="F662" t="s">
        <v>34</v>
      </c>
      <c r="G662" t="s">
        <v>44</v>
      </c>
      <c r="H662" t="s">
        <v>38</v>
      </c>
      <c r="I662" t="s">
        <v>3374</v>
      </c>
      <c r="J662">
        <v>981.95</v>
      </c>
      <c r="K662" t="s">
        <v>57</v>
      </c>
      <c r="L662" t="s">
        <v>75</v>
      </c>
      <c r="M662" s="1">
        <v>43892.727083333331</v>
      </c>
      <c r="N662">
        <v>69</v>
      </c>
      <c r="O662" t="s">
        <v>54</v>
      </c>
      <c r="P662" t="s">
        <v>62</v>
      </c>
      <c r="Q662" t="s">
        <v>2146</v>
      </c>
      <c r="R662">
        <f t="shared" si="70"/>
        <v>60238044</v>
      </c>
      <c r="S662" t="str" cm="1">
        <f t="array" ref="S662">IF(C662="",IFERROR(INDEX($C$2:$C$1166,MATCH(MAX(COUNTIF($C$2:$C$1166,$C$2:$C$1166)),COUNTIF($C$2:$C$1166,$C$2:$C$1166),0)),"Unknown"),C662)</f>
        <v>Nancy Al-Sayed</v>
      </c>
      <c r="T662" s="4" t="str" cm="1">
        <f t="array" ref="T662">IF(D662="",IFERROR(INDEX($D$2:$D$1000,MATCH(MAX(COUNTIF($D$2:$D$1166,$D$2:$D$1166)),COUNTIF($D$2:$D$1166,$D$2:$D$1166),0)),"Unknown"),D662)</f>
        <v>Patricia Johnson</v>
      </c>
      <c r="U662" t="str">
        <f t="shared" si="71"/>
        <v>CAD</v>
      </c>
      <c r="V662" s="7" t="str">
        <f t="shared" si="71"/>
        <v>SGD</v>
      </c>
      <c r="W662" s="7" t="str">
        <f t="shared" si="72"/>
        <v>India</v>
      </c>
      <c r="X662" s="7" t="str">
        <f t="shared" si="72"/>
        <v>Australia</v>
      </c>
      <c r="Y662" s="7" t="str" cm="1">
        <f t="array" ref="Y662">IF(H662="",IFERROR(INDEX($H$2:$H$1166,MATCH(MAX(COUNTIF($H$2:$H$1166,$H$2:$H$1166)),COUNTIF($H$2:$H$1166,$H$2:$H$1166),0)),"Unknown"),H662)</f>
        <v>Pending</v>
      </c>
      <c r="Z662" s="7" t="str">
        <f t="shared" si="73"/>
        <v>External</v>
      </c>
      <c r="AA662" s="7">
        <f>IF(J662="",AVERAGE($J:$J),J662)</f>
        <v>981.95</v>
      </c>
      <c r="AB662" s="7">
        <f>IF(N662="",AVERAGE($N:$N),N662)</f>
        <v>69</v>
      </c>
      <c r="AC662" s="7">
        <f t="shared" si="74"/>
        <v>2020</v>
      </c>
      <c r="AD662" s="7">
        <f t="shared" si="75"/>
        <v>3</v>
      </c>
      <c r="AE662" s="7">
        <f>COUNTIF(A:A,A662)</f>
        <v>1</v>
      </c>
      <c r="AF662" s="7" t="str">
        <f t="shared" si="76"/>
        <v>No</v>
      </c>
    </row>
    <row r="663" spans="1:32">
      <c r="A663" t="s">
        <v>2147</v>
      </c>
      <c r="B663">
        <v>93721739</v>
      </c>
      <c r="C663" t="s">
        <v>1787</v>
      </c>
      <c r="D663" t="s">
        <v>1173</v>
      </c>
      <c r="E663" t="s">
        <v>33</v>
      </c>
      <c r="F663" t="s">
        <v>92</v>
      </c>
      <c r="G663" t="s">
        <v>45</v>
      </c>
      <c r="I663" t="s">
        <v>3372</v>
      </c>
      <c r="J663">
        <v>1353.92</v>
      </c>
      <c r="K663" t="s">
        <v>27</v>
      </c>
      <c r="L663" t="s">
        <v>75</v>
      </c>
      <c r="M663" s="1">
        <v>44704.925694444442</v>
      </c>
      <c r="N663">
        <v>64</v>
      </c>
      <c r="O663" t="s">
        <v>23</v>
      </c>
      <c r="P663" t="s">
        <v>127</v>
      </c>
      <c r="Q663" t="s">
        <v>2148</v>
      </c>
      <c r="R663">
        <f t="shared" si="70"/>
        <v>93721739</v>
      </c>
      <c r="S663" t="str" cm="1">
        <f t="array" ref="S663">IF(C663="",IFERROR(INDEX($C$2:$C$1166,MATCH(MAX(COUNTIF($C$2:$C$1166,$C$2:$C$1166)),COUNTIF($C$2:$C$1166,$C$2:$C$1166),0)),"Unknown"),C663)</f>
        <v>Sanjay Wilson</v>
      </c>
      <c r="T663" s="4" t="str" cm="1">
        <f t="array" ref="T663">IF(D663="",IFERROR(INDEX($D$2:$D$1000,MATCH(MAX(COUNTIF($D$2:$D$1166,$D$2:$D$1166)),COUNTIF($D$2:$D$1166,$D$2:$D$1166),0)),"Unknown"),D663)</f>
        <v>Jean-Pierre Martin</v>
      </c>
      <c r="U663" t="str">
        <f t="shared" si="71"/>
        <v>AUD</v>
      </c>
      <c r="V663" s="7" t="str">
        <f t="shared" si="71"/>
        <v>ZAR</v>
      </c>
      <c r="W663" s="7" t="str">
        <f t="shared" si="72"/>
        <v>France</v>
      </c>
      <c r="X663" s="7" t="str">
        <f t="shared" si="72"/>
        <v>Canada</v>
      </c>
      <c r="Y663" s="7" t="str" cm="1">
        <f t="array" ref="Y663">IF(H663="",IFERROR(INDEX($H$2:$H$1166,MATCH(MAX(COUNTIF($H$2:$H$1166,$H$2:$H$1166)),COUNTIF($H$2:$H$1166,$H$2:$H$1166),0)),"Unknown"),H663)</f>
        <v>Pending</v>
      </c>
      <c r="Z663" s="7" t="str">
        <f t="shared" si="73"/>
        <v>Outer-Transaction</v>
      </c>
      <c r="AA663" s="7">
        <f>IF(J663="",AVERAGE($J:$J),J663)</f>
        <v>1353.92</v>
      </c>
      <c r="AB663" s="7">
        <f>IF(N663="",AVERAGE($N:$N),N663)</f>
        <v>64</v>
      </c>
      <c r="AC663" s="7">
        <f t="shared" si="74"/>
        <v>2022</v>
      </c>
      <c r="AD663" s="7">
        <f t="shared" si="75"/>
        <v>5</v>
      </c>
      <c r="AE663" s="7">
        <f>COUNTIF(A:A,A663)</f>
        <v>1</v>
      </c>
      <c r="AF663" s="7" t="str">
        <f t="shared" si="76"/>
        <v>Yes</v>
      </c>
    </row>
    <row r="664" spans="1:32">
      <c r="A664" t="s">
        <v>2149</v>
      </c>
      <c r="C664" t="s">
        <v>174</v>
      </c>
      <c r="D664" t="s">
        <v>339</v>
      </c>
      <c r="E664" t="s">
        <v>3375</v>
      </c>
      <c r="F664" t="s">
        <v>121</v>
      </c>
      <c r="G664" t="s">
        <v>21</v>
      </c>
      <c r="H664" t="s">
        <v>74</v>
      </c>
      <c r="I664" t="s">
        <v>3372</v>
      </c>
      <c r="J664">
        <v>6069.14</v>
      </c>
      <c r="K664" t="s">
        <v>27</v>
      </c>
      <c r="L664" t="s">
        <v>28</v>
      </c>
      <c r="M664" s="1">
        <v>44150.030555555553</v>
      </c>
      <c r="N664">
        <v>73</v>
      </c>
      <c r="O664" t="s">
        <v>127</v>
      </c>
      <c r="P664" t="s">
        <v>93</v>
      </c>
      <c r="Q664" t="s">
        <v>2150</v>
      </c>
      <c r="R664">
        <f t="shared" si="70"/>
        <v>0</v>
      </c>
      <c r="S664" t="str" cm="1">
        <f t="array" ref="S664">IF(C664="",IFERROR(INDEX($C$2:$C$1166,MATCH(MAX(COUNTIF($C$2:$C$1166,$C$2:$C$1166)),COUNTIF($C$2:$C$1166,$C$2:$C$1166),0)),"Unknown"),C664)</f>
        <v>Jean-Pierre Taylor</v>
      </c>
      <c r="T664" s="4" t="str" cm="1">
        <f t="array" ref="T664">IF(D664="",IFERROR(INDEX($D$2:$D$1000,MATCH(MAX(COUNTIF($D$2:$D$1166,$D$2:$D$1166)),COUNTIF($D$2:$D$1166,$D$2:$D$1166),0)),"Unknown"),D664)</f>
        <v>Carlos Martinez</v>
      </c>
      <c r="U664" t="str">
        <f t="shared" si="71"/>
        <v>INR</v>
      </c>
      <c r="V664" s="7" t="str">
        <f t="shared" si="71"/>
        <v>GBP</v>
      </c>
      <c r="W664" s="7" t="str">
        <f t="shared" si="72"/>
        <v>Canada</v>
      </c>
      <c r="X664" s="7" t="str">
        <f t="shared" si="72"/>
        <v>USA</v>
      </c>
      <c r="Y664" s="7" t="str" cm="1">
        <f t="array" ref="Y664">IF(H664="",IFERROR(INDEX($H$2:$H$1166,MATCH(MAX(COUNTIF($H$2:$H$1166,$H$2:$H$1166)),COUNTIF($H$2:$H$1166,$H$2:$H$1166),0)),"Unknown"),H664)</f>
        <v>Non-KYC</v>
      </c>
      <c r="Z664" s="7" t="str">
        <f t="shared" si="73"/>
        <v>Outer-Transaction</v>
      </c>
      <c r="AA664" s="7">
        <f>IF(J664="",AVERAGE($J:$J),J664)</f>
        <v>6069.14</v>
      </c>
      <c r="AB664" s="7">
        <f>IF(N664="",AVERAGE($N:$N),N664)</f>
        <v>73</v>
      </c>
      <c r="AC664" s="7">
        <f t="shared" si="74"/>
        <v>2020</v>
      </c>
      <c r="AD664" s="7">
        <f t="shared" si="75"/>
        <v>11</v>
      </c>
      <c r="AE664" s="7">
        <f>COUNTIF(A:A,A664)</f>
        <v>1</v>
      </c>
      <c r="AF664" s="7" t="str">
        <f t="shared" si="76"/>
        <v>No</v>
      </c>
    </row>
    <row r="665" spans="1:32">
      <c r="A665" t="s">
        <v>2151</v>
      </c>
      <c r="C665" t="s">
        <v>1079</v>
      </c>
      <c r="D665" t="s">
        <v>2152</v>
      </c>
      <c r="E665" t="s">
        <v>20</v>
      </c>
      <c r="F665" t="s">
        <v>98</v>
      </c>
      <c r="G665" t="s">
        <v>22</v>
      </c>
      <c r="I665" t="s">
        <v>3371</v>
      </c>
      <c r="J665">
        <v>13478.84</v>
      </c>
      <c r="K665" t="s">
        <v>27</v>
      </c>
      <c r="L665" t="s">
        <v>48</v>
      </c>
      <c r="M665" s="1">
        <v>45980.587500000001</v>
      </c>
      <c r="N665">
        <v>31</v>
      </c>
      <c r="O665" t="s">
        <v>54</v>
      </c>
      <c r="P665" t="s">
        <v>24</v>
      </c>
      <c r="Q665" t="s">
        <v>2153</v>
      </c>
      <c r="R665">
        <f t="shared" si="70"/>
        <v>0</v>
      </c>
      <c r="S665" t="str" cm="1">
        <f t="array" ref="S665">IF(C665="",IFERROR(INDEX($C$2:$C$1166,MATCH(MAX(COUNTIF($C$2:$C$1166,$C$2:$C$1166)),COUNTIF($C$2:$C$1166,$C$2:$C$1166),0)),"Unknown"),C665)</f>
        <v>Sanjay Anderson</v>
      </c>
      <c r="T665" s="4" t="str" cm="1">
        <f t="array" ref="T665">IF(D665="",IFERROR(INDEX($D$2:$D$1000,MATCH(MAX(COUNTIF($D$2:$D$1166,$D$2:$D$1166)),COUNTIF($D$2:$D$1166,$D$2:$D$1166),0)),"Unknown"),D665)</f>
        <v>Linda Al-Sayed</v>
      </c>
      <c r="U665" t="str">
        <f t="shared" si="71"/>
        <v>JPY</v>
      </c>
      <c r="V665" s="7" t="str">
        <f t="shared" si="71"/>
        <v>BRL</v>
      </c>
      <c r="W665" s="7" t="str">
        <f t="shared" si="72"/>
        <v>India</v>
      </c>
      <c r="X665" s="7" t="str">
        <f t="shared" si="72"/>
        <v>Brazil</v>
      </c>
      <c r="Y665" s="7" t="str" cm="1">
        <f t="array" ref="Y665">IF(H665="",IFERROR(INDEX($H$2:$H$1166,MATCH(MAX(COUNTIF($H$2:$H$1166,$H$2:$H$1166)),COUNTIF($H$2:$H$1166,$H$2:$H$1166),0)),"Unknown"),H665)</f>
        <v>Pending</v>
      </c>
      <c r="Z665" s="7" t="str">
        <f t="shared" si="73"/>
        <v>Outer-Transaction</v>
      </c>
      <c r="AA665" s="7">
        <f>IF(J665="",AVERAGE($J:$J),J665)</f>
        <v>13478.84</v>
      </c>
      <c r="AB665" s="7">
        <f>IF(N665="",AVERAGE($N:$N),N665)</f>
        <v>31</v>
      </c>
      <c r="AC665" s="7">
        <f t="shared" si="74"/>
        <v>2025</v>
      </c>
      <c r="AD665" s="7">
        <f t="shared" si="75"/>
        <v>11</v>
      </c>
      <c r="AE665" s="7">
        <f>COUNTIF(A:A,A665)</f>
        <v>1</v>
      </c>
      <c r="AF665" s="7" t="str">
        <f t="shared" si="76"/>
        <v>No</v>
      </c>
    </row>
    <row r="666" spans="1:32">
      <c r="A666" t="s">
        <v>2154</v>
      </c>
      <c r="B666">
        <v>86003182</v>
      </c>
      <c r="C666" t="s">
        <v>1943</v>
      </c>
      <c r="D666" t="s">
        <v>809</v>
      </c>
      <c r="E666" t="s">
        <v>3375</v>
      </c>
      <c r="F666" t="s">
        <v>21</v>
      </c>
      <c r="G666" t="s">
        <v>92</v>
      </c>
      <c r="H666" t="s">
        <v>38</v>
      </c>
      <c r="I666" t="s">
        <v>3372</v>
      </c>
      <c r="J666">
        <v>8597.9699999999993</v>
      </c>
      <c r="K666" t="s">
        <v>57</v>
      </c>
      <c r="L666" t="s">
        <v>81</v>
      </c>
      <c r="M666" s="1">
        <v>45283.618750000001</v>
      </c>
      <c r="N666">
        <v>45</v>
      </c>
      <c r="O666" t="s">
        <v>54</v>
      </c>
      <c r="P666" t="s">
        <v>68</v>
      </c>
      <c r="Q666" t="s">
        <v>2155</v>
      </c>
      <c r="R666">
        <f t="shared" si="70"/>
        <v>86003182</v>
      </c>
      <c r="S666" t="str" cm="1">
        <f t="array" ref="S666">IF(C666="",IFERROR(INDEX($C$2:$C$1166,MATCH(MAX(COUNTIF($C$2:$C$1166,$C$2:$C$1166)),COUNTIF($C$2:$C$1166,$C$2:$C$1166),0)),"Unknown"),C666)</f>
        <v>Nancy Wilson</v>
      </c>
      <c r="T666" s="4" t="str" cm="1">
        <f t="array" ref="T666">IF(D666="",IFERROR(INDEX($D$2:$D$1000,MATCH(MAX(COUNTIF($D$2:$D$1166,$D$2:$D$1166)),COUNTIF($D$2:$D$1166,$D$2:$D$1166),0)),"Unknown"),D666)</f>
        <v>Richard Smith</v>
      </c>
      <c r="U666" t="str">
        <f t="shared" si="71"/>
        <v>GBP</v>
      </c>
      <c r="V666" s="7" t="str">
        <f t="shared" si="71"/>
        <v>AUD</v>
      </c>
      <c r="W666" s="7" t="str">
        <f t="shared" si="72"/>
        <v>India</v>
      </c>
      <c r="X666" s="7" t="str">
        <f t="shared" si="72"/>
        <v>UAE</v>
      </c>
      <c r="Y666" s="7" t="str" cm="1">
        <f t="array" ref="Y666">IF(H666="",IFERROR(INDEX($H$2:$H$1166,MATCH(MAX(COUNTIF($H$2:$H$1166,$H$2:$H$1166)),COUNTIF($H$2:$H$1166,$H$2:$H$1166),0)),"Unknown"),H666)</f>
        <v>Pending</v>
      </c>
      <c r="Z666" s="7" t="str">
        <f t="shared" si="73"/>
        <v>Outer-Transaction</v>
      </c>
      <c r="AA666" s="7">
        <f>IF(J666="",AVERAGE($J:$J),J666)</f>
        <v>8597.9699999999993</v>
      </c>
      <c r="AB666" s="7">
        <f>IF(N666="",AVERAGE($N:$N),N666)</f>
        <v>45</v>
      </c>
      <c r="AC666" s="7">
        <f t="shared" si="74"/>
        <v>2023</v>
      </c>
      <c r="AD666" s="7">
        <f t="shared" si="75"/>
        <v>12</v>
      </c>
      <c r="AE666" s="7">
        <f>COUNTIF(A:A,A666)</f>
        <v>1</v>
      </c>
      <c r="AF666" s="7" t="str">
        <f t="shared" si="76"/>
        <v>No</v>
      </c>
    </row>
    <row r="667" spans="1:32">
      <c r="A667" t="s">
        <v>2156</v>
      </c>
      <c r="B667">
        <v>80934691</v>
      </c>
      <c r="D667" t="s">
        <v>1686</v>
      </c>
      <c r="E667" t="s">
        <v>3375</v>
      </c>
      <c r="F667" t="s">
        <v>53</v>
      </c>
      <c r="G667" t="s">
        <v>121</v>
      </c>
      <c r="H667" t="s">
        <v>38</v>
      </c>
      <c r="I667" t="s">
        <v>3378</v>
      </c>
      <c r="J667">
        <v>9394.36</v>
      </c>
      <c r="K667" t="s">
        <v>86</v>
      </c>
      <c r="L667" t="s">
        <v>28</v>
      </c>
      <c r="M667" s="1">
        <v>44704.40625</v>
      </c>
      <c r="N667">
        <v>19</v>
      </c>
      <c r="O667" t="s">
        <v>55</v>
      </c>
      <c r="P667" t="s">
        <v>36</v>
      </c>
      <c r="Q667" t="s">
        <v>2157</v>
      </c>
      <c r="R667">
        <f t="shared" si="70"/>
        <v>80934691</v>
      </c>
      <c r="S667" t="str" cm="1">
        <f t="array" ref="S667">IF(C667="",IFERROR(INDEX($C$2:$C$1166,MATCH(MAX(COUNTIF($C$2:$C$1166,$C$2:$C$1166)),COUNTIF($C$2:$C$1166,$C$2:$C$1166),0)),"Unknown"),C667)</f>
        <v>Fatima Brown</v>
      </c>
      <c r="T667" s="4" t="str" cm="1">
        <f t="array" ref="T667">IF(D667="",IFERROR(INDEX($D$2:$D$1000,MATCH(MAX(COUNTIF($D$2:$D$1166,$D$2:$D$1166)),COUNTIF($D$2:$D$1166,$D$2:$D$1166),0)),"Unknown"),D667)</f>
        <v>Richard Souza</v>
      </c>
      <c r="U667" t="str">
        <f t="shared" si="71"/>
        <v>AED</v>
      </c>
      <c r="V667" s="7" t="str">
        <f t="shared" si="71"/>
        <v>INR</v>
      </c>
      <c r="W667" s="7" t="str">
        <f t="shared" si="72"/>
        <v>UK</v>
      </c>
      <c r="X667" s="7" t="str">
        <f t="shared" si="72"/>
        <v>Germany</v>
      </c>
      <c r="Y667" s="7" t="str" cm="1">
        <f t="array" ref="Y667">IF(H667="",IFERROR(INDEX($H$2:$H$1166,MATCH(MAX(COUNTIF($H$2:$H$1166,$H$2:$H$1166)),COUNTIF($H$2:$H$1166,$H$2:$H$1166),0)),"Unknown"),H667)</f>
        <v>Pending</v>
      </c>
      <c r="Z667" s="7" t="str">
        <f t="shared" si="73"/>
        <v>Inter-Transaction</v>
      </c>
      <c r="AA667" s="7">
        <f>IF(J667="",AVERAGE($J:$J),J667)</f>
        <v>9394.36</v>
      </c>
      <c r="AB667" s="7">
        <f>IF(N667="",AVERAGE($N:$N),N667)</f>
        <v>19</v>
      </c>
      <c r="AC667" s="7">
        <f t="shared" si="74"/>
        <v>2022</v>
      </c>
      <c r="AD667" s="7">
        <f t="shared" si="75"/>
        <v>5</v>
      </c>
      <c r="AE667" s="7">
        <f>COUNTIF(A:A,A667)</f>
        <v>1</v>
      </c>
      <c r="AF667" s="7" t="str">
        <f t="shared" si="76"/>
        <v>No</v>
      </c>
    </row>
    <row r="668" spans="1:32">
      <c r="A668" t="s">
        <v>2158</v>
      </c>
      <c r="B668">
        <v>18402695</v>
      </c>
      <c r="C668" t="s">
        <v>1480</v>
      </c>
      <c r="D668" t="s">
        <v>196</v>
      </c>
      <c r="E668" t="s">
        <v>20</v>
      </c>
      <c r="F668" t="s">
        <v>121</v>
      </c>
      <c r="G668" t="s">
        <v>35</v>
      </c>
      <c r="H668" t="s">
        <v>25</v>
      </c>
      <c r="I668" t="s">
        <v>3377</v>
      </c>
      <c r="J668">
        <v>14180.7</v>
      </c>
      <c r="K668" t="s">
        <v>39</v>
      </c>
      <c r="L668" t="s">
        <v>28</v>
      </c>
      <c r="M668" s="1">
        <v>45576.239583333336</v>
      </c>
      <c r="N668">
        <v>43</v>
      </c>
      <c r="O668" t="s">
        <v>62</v>
      </c>
      <c r="P668" t="s">
        <v>93</v>
      </c>
      <c r="Q668" t="s">
        <v>2159</v>
      </c>
      <c r="R668">
        <f t="shared" si="70"/>
        <v>18402695</v>
      </c>
      <c r="S668" t="str" cm="1">
        <f t="array" ref="S668">IF(C668="",IFERROR(INDEX($C$2:$C$1166,MATCH(MAX(COUNTIF($C$2:$C$1166,$C$2:$C$1166)),COUNTIF($C$2:$C$1166,$C$2:$C$1166),0)),"Unknown"),C668)</f>
        <v>Mary Brown</v>
      </c>
      <c r="T668" s="4" t="str" cm="1">
        <f t="array" ref="T668">IF(D668="",IFERROR(INDEX($D$2:$D$1000,MATCH(MAX(COUNTIF($D$2:$D$1166,$D$2:$D$1166)),COUNTIF($D$2:$D$1166,$D$2:$D$1166),0)),"Unknown"),D668)</f>
        <v>Amir Dubois</v>
      </c>
      <c r="U668" t="str">
        <f t="shared" si="71"/>
        <v>INR</v>
      </c>
      <c r="V668" s="7" t="str">
        <f t="shared" si="71"/>
        <v>EUR</v>
      </c>
      <c r="W668" s="7" t="str">
        <f t="shared" si="72"/>
        <v>Australia</v>
      </c>
      <c r="X668" s="7" t="str">
        <f t="shared" si="72"/>
        <v>USA</v>
      </c>
      <c r="Y668" s="7" t="str" cm="1">
        <f t="array" ref="Y668">IF(H668="",IFERROR(INDEX($H$2:$H$1166,MATCH(MAX(COUNTIF($H$2:$H$1166,$H$2:$H$1166)),COUNTIF($H$2:$H$1166,$H$2:$H$1166),0)),"Unknown"),H668)</f>
        <v>KYC</v>
      </c>
      <c r="Z668" s="7" t="str">
        <f t="shared" si="73"/>
        <v>Inter-Transaction</v>
      </c>
      <c r="AA668" s="7">
        <f>IF(J668="",AVERAGE($J:$J),J668)</f>
        <v>14180.7</v>
      </c>
      <c r="AB668" s="7">
        <f>IF(N668="",AVERAGE($N:$N),N668)</f>
        <v>43</v>
      </c>
      <c r="AC668" s="7">
        <f t="shared" si="74"/>
        <v>2024</v>
      </c>
      <c r="AD668" s="7">
        <f t="shared" si="75"/>
        <v>10</v>
      </c>
      <c r="AE668" s="7">
        <f>COUNTIF(A:A,A668)</f>
        <v>1</v>
      </c>
      <c r="AF668" s="7" t="str">
        <f t="shared" si="76"/>
        <v>No</v>
      </c>
    </row>
    <row r="669" spans="1:32">
      <c r="A669" t="s">
        <v>2160</v>
      </c>
      <c r="B669">
        <v>94495057</v>
      </c>
      <c r="C669" t="s">
        <v>1029</v>
      </c>
      <c r="D669" t="s">
        <v>1473</v>
      </c>
      <c r="E669" t="s">
        <v>20</v>
      </c>
      <c r="F669" t="s">
        <v>45</v>
      </c>
      <c r="G669" t="s">
        <v>92</v>
      </c>
      <c r="H669" t="s">
        <v>56</v>
      </c>
      <c r="I669" t="s">
        <v>3372</v>
      </c>
      <c r="J669">
        <v>6646</v>
      </c>
      <c r="K669" t="s">
        <v>57</v>
      </c>
      <c r="L669" t="s">
        <v>81</v>
      </c>
      <c r="M669" s="1">
        <v>46133.99722222222</v>
      </c>
      <c r="N669">
        <v>31</v>
      </c>
      <c r="O669" t="s">
        <v>55</v>
      </c>
      <c r="P669" t="s">
        <v>36</v>
      </c>
      <c r="Q669" t="s">
        <v>2161</v>
      </c>
      <c r="R669">
        <f t="shared" si="70"/>
        <v>94495057</v>
      </c>
      <c r="S669" t="str" cm="1">
        <f t="array" ref="S669">IF(C669="",IFERROR(INDEX($C$2:$C$1166,MATCH(MAX(COUNTIF($C$2:$C$1166,$C$2:$C$1166)),COUNTIF($C$2:$C$1166,$C$2:$C$1166),0)),"Unknown"),C669)</f>
        <v>Charles Miller</v>
      </c>
      <c r="T669" s="4" t="str" cm="1">
        <f t="array" ref="T669">IF(D669="",IFERROR(INDEX($D$2:$D$1000,MATCH(MAX(COUNTIF($D$2:$D$1166,$D$2:$D$1166)),COUNTIF($D$2:$D$1166,$D$2:$D$1166),0)),"Unknown"),D669)</f>
        <v>Zayn Jackson</v>
      </c>
      <c r="U669" t="str">
        <f t="shared" si="71"/>
        <v>ZAR</v>
      </c>
      <c r="V669" s="7" t="str">
        <f t="shared" si="71"/>
        <v>AUD</v>
      </c>
      <c r="W669" s="7" t="str">
        <f t="shared" si="72"/>
        <v>UK</v>
      </c>
      <c r="X669" s="7" t="str">
        <f t="shared" si="72"/>
        <v>Germany</v>
      </c>
      <c r="Y669" s="7" t="str" cm="1">
        <f t="array" ref="Y669">IF(H669="",IFERROR(INDEX($H$2:$H$1166,MATCH(MAX(COUNTIF($H$2:$H$1166,$H$2:$H$1166)),COUNTIF($H$2:$H$1166,$H$2:$H$1166),0)),"Unknown"),H669)</f>
        <v>Unverified</v>
      </c>
      <c r="Z669" s="7" t="str">
        <f t="shared" si="73"/>
        <v>Outer-Transaction</v>
      </c>
      <c r="AA669" s="7">
        <f>IF(J669="",AVERAGE($J:$J),J669)</f>
        <v>6646</v>
      </c>
      <c r="AB669" s="7">
        <f>IF(N669="",AVERAGE($N:$N),N669)</f>
        <v>31</v>
      </c>
      <c r="AC669" s="7">
        <f t="shared" si="74"/>
        <v>2026</v>
      </c>
      <c r="AD669" s="7">
        <f t="shared" si="75"/>
        <v>4</v>
      </c>
      <c r="AE669" s="7">
        <f>COUNTIF(A:A,A669)</f>
        <v>1</v>
      </c>
      <c r="AF669" s="7" t="str">
        <f t="shared" si="76"/>
        <v>No</v>
      </c>
    </row>
    <row r="670" spans="1:32">
      <c r="A670" t="s">
        <v>2162</v>
      </c>
      <c r="B670">
        <v>28413747</v>
      </c>
      <c r="C670" t="s">
        <v>2163</v>
      </c>
      <c r="D670" t="s">
        <v>1593</v>
      </c>
      <c r="E670" t="s">
        <v>20</v>
      </c>
      <c r="F670" t="s">
        <v>44</v>
      </c>
      <c r="G670" t="s">
        <v>22</v>
      </c>
      <c r="I670" t="s">
        <v>3376</v>
      </c>
      <c r="J670">
        <v>1011.24</v>
      </c>
      <c r="K670" t="s">
        <v>57</v>
      </c>
      <c r="L670" t="s">
        <v>28</v>
      </c>
      <c r="M670" s="1">
        <v>45386.904861111114</v>
      </c>
      <c r="N670">
        <v>76</v>
      </c>
      <c r="O670" t="s">
        <v>54</v>
      </c>
      <c r="P670" t="s">
        <v>37</v>
      </c>
      <c r="Q670" t="s">
        <v>2164</v>
      </c>
      <c r="R670">
        <f t="shared" si="70"/>
        <v>28413747</v>
      </c>
      <c r="S670" t="str" cm="1">
        <f t="array" ref="S670">IF(C670="",IFERROR(INDEX($C$2:$C$1166,MATCH(MAX(COUNTIF($C$2:$C$1166,$C$2:$C$1166)),COUNTIF($C$2:$C$1166,$C$2:$C$1166),0)),"Unknown"),C670)</f>
        <v xml:space="preserve">  SUSAN SMITH </v>
      </c>
      <c r="T670" s="4" t="str" cm="1">
        <f t="array" ref="T670">IF(D670="",IFERROR(INDEX($D$2:$D$1000,MATCH(MAX(COUNTIF($D$2:$D$1166,$D$2:$D$1166)),COUNTIF($D$2:$D$1166,$D$2:$D$1166),0)),"Unknown"),D670)</f>
        <v>Karen Silva</v>
      </c>
      <c r="U670" t="str">
        <f t="shared" si="71"/>
        <v>SGD</v>
      </c>
      <c r="V670" s="7" t="str">
        <f t="shared" si="71"/>
        <v>BRL</v>
      </c>
      <c r="W670" s="7" t="str">
        <f t="shared" si="72"/>
        <v>India</v>
      </c>
      <c r="X670" s="7" t="str">
        <f t="shared" si="72"/>
        <v>South Africa</v>
      </c>
      <c r="Y670" s="7" t="str" cm="1">
        <f t="array" ref="Y670">IF(H670="",IFERROR(INDEX($H$2:$H$1166,MATCH(MAX(COUNTIF($H$2:$H$1166,$H$2:$H$1166)),COUNTIF($H$2:$H$1166,$H$2:$H$1166),0)),"Unknown"),H670)</f>
        <v>Pending</v>
      </c>
      <c r="Z670" s="7" t="str">
        <f t="shared" si="73"/>
        <v>Internal</v>
      </c>
      <c r="AA670" s="7">
        <f>IF(J670="",AVERAGE($J:$J),J670)</f>
        <v>1011.24</v>
      </c>
      <c r="AB670" s="7">
        <f>IF(N670="",AVERAGE($N:$N),N670)</f>
        <v>76</v>
      </c>
      <c r="AC670" s="7">
        <f t="shared" si="74"/>
        <v>2024</v>
      </c>
      <c r="AD670" s="7">
        <f t="shared" si="75"/>
        <v>4</v>
      </c>
      <c r="AE670" s="7">
        <f>COUNTIF(A:A,A670)</f>
        <v>1</v>
      </c>
      <c r="AF670" s="7" t="str">
        <f t="shared" si="76"/>
        <v>No</v>
      </c>
    </row>
    <row r="671" spans="1:32">
      <c r="A671" t="s">
        <v>2165</v>
      </c>
      <c r="B671">
        <v>52171230</v>
      </c>
      <c r="C671" t="s">
        <v>1100</v>
      </c>
      <c r="D671" t="s">
        <v>2166</v>
      </c>
      <c r="E671" t="s">
        <v>20</v>
      </c>
      <c r="F671" t="s">
        <v>92</v>
      </c>
      <c r="G671" t="s">
        <v>35</v>
      </c>
      <c r="H671" t="s">
        <v>74</v>
      </c>
      <c r="I671" t="s">
        <v>3374</v>
      </c>
      <c r="J671">
        <v>1533.83</v>
      </c>
      <c r="K671" t="s">
        <v>27</v>
      </c>
      <c r="L671" t="s">
        <v>48</v>
      </c>
      <c r="M671" s="1">
        <v>43942.436111111114</v>
      </c>
      <c r="N671">
        <v>73</v>
      </c>
      <c r="O671" t="s">
        <v>93</v>
      </c>
      <c r="P671" t="s">
        <v>37</v>
      </c>
      <c r="Q671" t="s">
        <v>2167</v>
      </c>
      <c r="R671">
        <f t="shared" si="70"/>
        <v>52171230</v>
      </c>
      <c r="S671" t="str" cm="1">
        <f t="array" ref="S671">IF(C671="",IFERROR(INDEX($C$2:$C$1166,MATCH(MAX(COUNTIF($C$2:$C$1166,$C$2:$C$1166)),COUNTIF($C$2:$C$1166,$C$2:$C$1166),0)),"Unknown"),C671)</f>
        <v>Susan Rostova</v>
      </c>
      <c r="T671" s="4" t="str" cm="1">
        <f t="array" ref="T671">IF(D671="",IFERROR(INDEX($D$2:$D$1000,MATCH(MAX(COUNTIF($D$2:$D$1166,$D$2:$D$1166)),COUNTIF($D$2:$D$1166,$D$2:$D$1166),0)),"Unknown"),D671)</f>
        <v>Priya Garcia</v>
      </c>
      <c r="U671" t="str">
        <f t="shared" si="71"/>
        <v>AUD</v>
      </c>
      <c r="V671" s="7" t="str">
        <f t="shared" si="71"/>
        <v>EUR</v>
      </c>
      <c r="W671" s="7" t="str">
        <f t="shared" si="72"/>
        <v>USA</v>
      </c>
      <c r="X671" s="7" t="str">
        <f t="shared" si="72"/>
        <v>South Africa</v>
      </c>
      <c r="Y671" s="7" t="str" cm="1">
        <f t="array" ref="Y671">IF(H671="",IFERROR(INDEX($H$2:$H$1166,MATCH(MAX(COUNTIF($H$2:$H$1166,$H$2:$H$1166)),COUNTIF($H$2:$H$1166,$H$2:$H$1166),0)),"Unknown"),H671)</f>
        <v>Non-KYC</v>
      </c>
      <c r="Z671" s="7" t="str">
        <f t="shared" si="73"/>
        <v>External</v>
      </c>
      <c r="AA671" s="7">
        <f>IF(J671="",AVERAGE($J:$J),J671)</f>
        <v>1533.83</v>
      </c>
      <c r="AB671" s="7">
        <f>IF(N671="",AVERAGE($N:$N),N671)</f>
        <v>73</v>
      </c>
      <c r="AC671" s="7">
        <f t="shared" si="74"/>
        <v>2020</v>
      </c>
      <c r="AD671" s="7">
        <f t="shared" si="75"/>
        <v>4</v>
      </c>
      <c r="AE671" s="7">
        <f>COUNTIF(A:A,A671)</f>
        <v>1</v>
      </c>
      <c r="AF671" s="7" t="str">
        <f t="shared" si="76"/>
        <v>No</v>
      </c>
    </row>
    <row r="672" spans="1:32">
      <c r="A672" t="s">
        <v>2168</v>
      </c>
      <c r="B672">
        <v>83298017</v>
      </c>
      <c r="C672" t="s">
        <v>701</v>
      </c>
      <c r="D672" t="s">
        <v>2169</v>
      </c>
      <c r="E672" t="s">
        <v>20</v>
      </c>
      <c r="F672" t="s">
        <v>44</v>
      </c>
      <c r="G672" t="s">
        <v>35</v>
      </c>
      <c r="H672" t="s">
        <v>74</v>
      </c>
      <c r="I672" t="s">
        <v>3376</v>
      </c>
      <c r="J672">
        <v>4852.1099999999997</v>
      </c>
      <c r="K672" t="s">
        <v>47</v>
      </c>
      <c r="L672" t="s">
        <v>81</v>
      </c>
      <c r="M672" s="1">
        <v>44291.828472222223</v>
      </c>
      <c r="N672">
        <v>24</v>
      </c>
      <c r="O672" t="s">
        <v>127</v>
      </c>
      <c r="P672" t="s">
        <v>36</v>
      </c>
      <c r="Q672" t="s">
        <v>2170</v>
      </c>
      <c r="R672">
        <f t="shared" si="70"/>
        <v>83298017</v>
      </c>
      <c r="S672" t="str" cm="1">
        <f t="array" ref="S672">IF(C672="",IFERROR(INDEX($C$2:$C$1166,MATCH(MAX(COUNTIF($C$2:$C$1166,$C$2:$C$1166)),COUNTIF($C$2:$C$1166,$C$2:$C$1166),0)),"Unknown"),C672)</f>
        <v>Christopher Lopez</v>
      </c>
      <c r="T672" s="4" t="str" cm="1">
        <f t="array" ref="T672">IF(D672="",IFERROR(INDEX($D$2:$D$1000,MATCH(MAX(COUNTIF($D$2:$D$1166,$D$2:$D$1166)),COUNTIF($D$2:$D$1166,$D$2:$D$1166),0)),"Unknown"),D672)</f>
        <v>Joseph Brown</v>
      </c>
      <c r="U672" t="str">
        <f t="shared" si="71"/>
        <v>SGD</v>
      </c>
      <c r="V672" s="7" t="str">
        <f t="shared" si="71"/>
        <v>EUR</v>
      </c>
      <c r="W672" s="7" t="str">
        <f t="shared" si="72"/>
        <v>Canada</v>
      </c>
      <c r="X672" s="7" t="str">
        <f t="shared" si="72"/>
        <v>Germany</v>
      </c>
      <c r="Y672" s="7" t="str" cm="1">
        <f t="array" ref="Y672">IF(H672="",IFERROR(INDEX($H$2:$H$1166,MATCH(MAX(COUNTIF($H$2:$H$1166,$H$2:$H$1166)),COUNTIF($H$2:$H$1166,$H$2:$H$1166),0)),"Unknown"),H672)</f>
        <v>Non-KYC</v>
      </c>
      <c r="Z672" s="7" t="str">
        <f t="shared" si="73"/>
        <v>Internal</v>
      </c>
      <c r="AA672" s="7">
        <f>IF(J672="",AVERAGE($J:$J),J672)</f>
        <v>4852.1099999999997</v>
      </c>
      <c r="AB672" s="7">
        <f>IF(N672="",AVERAGE($N:$N),N672)</f>
        <v>24</v>
      </c>
      <c r="AC672" s="7">
        <f t="shared" si="74"/>
        <v>2021</v>
      </c>
      <c r="AD672" s="7">
        <f t="shared" si="75"/>
        <v>4</v>
      </c>
      <c r="AE672" s="7">
        <f>COUNTIF(A:A,A672)</f>
        <v>1</v>
      </c>
      <c r="AF672" s="7" t="str">
        <f t="shared" si="76"/>
        <v>No</v>
      </c>
    </row>
    <row r="673" spans="1:32">
      <c r="A673" t="s">
        <v>2171</v>
      </c>
      <c r="B673">
        <v>43571334</v>
      </c>
      <c r="C673" t="s">
        <v>487</v>
      </c>
      <c r="D673" t="s">
        <v>179</v>
      </c>
      <c r="E673" t="s">
        <v>3375</v>
      </c>
      <c r="F673" t="s">
        <v>21</v>
      </c>
      <c r="G673" t="s">
        <v>44</v>
      </c>
      <c r="H673" t="s">
        <v>74</v>
      </c>
      <c r="I673" t="s">
        <v>3374</v>
      </c>
      <c r="J673">
        <v>1393.11</v>
      </c>
      <c r="K673" t="s">
        <v>39</v>
      </c>
      <c r="L673" t="s">
        <v>48</v>
      </c>
      <c r="M673" s="1">
        <v>44717.99722222222</v>
      </c>
      <c r="N673">
        <v>20</v>
      </c>
      <c r="O673" t="s">
        <v>55</v>
      </c>
      <c r="P673" t="s">
        <v>68</v>
      </c>
      <c r="Q673" t="s">
        <v>2172</v>
      </c>
      <c r="R673">
        <f t="shared" si="70"/>
        <v>43571334</v>
      </c>
      <c r="S673" t="str" cm="1">
        <f t="array" ref="S673">IF(C673="",IFERROR(INDEX($C$2:$C$1166,MATCH(MAX(COUNTIF($C$2:$C$1166,$C$2:$C$1166)),COUNTIF($C$2:$C$1166,$C$2:$C$1166),0)),"Unknown"),C673)</f>
        <v>Amir Brown</v>
      </c>
      <c r="T673" s="4" t="str" cm="1">
        <f t="array" ref="T673">IF(D673="",IFERROR(INDEX($D$2:$D$1000,MATCH(MAX(COUNTIF($D$2:$D$1166,$D$2:$D$1166)),COUNTIF($D$2:$D$1166,$D$2:$D$1166),0)),"Unknown"),D673)</f>
        <v>Joseph Thomas</v>
      </c>
      <c r="U673" t="str">
        <f t="shared" si="71"/>
        <v>GBP</v>
      </c>
      <c r="V673" s="7" t="str">
        <f t="shared" si="71"/>
        <v>SGD</v>
      </c>
      <c r="W673" s="7" t="str">
        <f t="shared" si="72"/>
        <v>UK</v>
      </c>
      <c r="X673" s="7" t="str">
        <f t="shared" si="72"/>
        <v>UAE</v>
      </c>
      <c r="Y673" s="7" t="str" cm="1">
        <f t="array" ref="Y673">IF(H673="",IFERROR(INDEX($H$2:$H$1166,MATCH(MAX(COUNTIF($H$2:$H$1166,$H$2:$H$1166)),COUNTIF($H$2:$H$1166,$H$2:$H$1166),0)),"Unknown"),H673)</f>
        <v>Non-KYC</v>
      </c>
      <c r="Z673" s="7" t="str">
        <f t="shared" si="73"/>
        <v>External</v>
      </c>
      <c r="AA673" s="7">
        <f>IF(J673="",AVERAGE($J:$J),J673)</f>
        <v>1393.11</v>
      </c>
      <c r="AB673" s="7">
        <f>IF(N673="",AVERAGE($N:$N),N673)</f>
        <v>20</v>
      </c>
      <c r="AC673" s="7">
        <f t="shared" si="74"/>
        <v>2022</v>
      </c>
      <c r="AD673" s="7">
        <f t="shared" si="75"/>
        <v>6</v>
      </c>
      <c r="AE673" s="7">
        <f>COUNTIF(A:A,A673)</f>
        <v>1</v>
      </c>
      <c r="AF673" s="7" t="str">
        <f t="shared" si="76"/>
        <v>No</v>
      </c>
    </row>
    <row r="674" spans="1:32">
      <c r="A674" t="s">
        <v>2173</v>
      </c>
      <c r="B674">
        <v>91402258</v>
      </c>
      <c r="C674" t="s">
        <v>239</v>
      </c>
      <c r="D674" t="s">
        <v>2174</v>
      </c>
      <c r="E674" t="s">
        <v>20</v>
      </c>
      <c r="F674" t="s">
        <v>121</v>
      </c>
      <c r="G674" t="s">
        <v>98</v>
      </c>
      <c r="H674" t="s">
        <v>56</v>
      </c>
      <c r="I674" t="s">
        <v>3377</v>
      </c>
      <c r="J674">
        <v>5083.68</v>
      </c>
      <c r="K674" t="s">
        <v>27</v>
      </c>
      <c r="L674" t="s">
        <v>81</v>
      </c>
      <c r="M674" s="1">
        <v>44946.750694444447</v>
      </c>
      <c r="N674">
        <v>40</v>
      </c>
      <c r="O674" t="s">
        <v>62</v>
      </c>
      <c r="P674" t="s">
        <v>93</v>
      </c>
      <c r="Q674" t="s">
        <v>2175</v>
      </c>
      <c r="R674">
        <f t="shared" si="70"/>
        <v>91402258</v>
      </c>
      <c r="S674" t="str" cm="1">
        <f t="array" ref="S674">IF(C674="",IFERROR(INDEX($C$2:$C$1166,MATCH(MAX(COUNTIF($C$2:$C$1166,$C$2:$C$1166)),COUNTIF($C$2:$C$1166,$C$2:$C$1166),0)),"Unknown"),C674)</f>
        <v>Thomas Davis</v>
      </c>
      <c r="T674" s="4" t="str" cm="1">
        <f t="array" ref="T674">IF(D674="",IFERROR(INDEX($D$2:$D$1000,MATCH(MAX(COUNTIF($D$2:$D$1166,$D$2:$D$1166)),COUNTIF($D$2:$D$1166,$D$2:$D$1166),0)),"Unknown"),D674)</f>
        <v>Jean-Pierre Wilson</v>
      </c>
      <c r="U674" t="str">
        <f t="shared" si="71"/>
        <v>INR</v>
      </c>
      <c r="V674" s="7" t="str">
        <f t="shared" si="71"/>
        <v>JPY</v>
      </c>
      <c r="W674" s="7" t="str">
        <f t="shared" si="72"/>
        <v>Australia</v>
      </c>
      <c r="X674" s="7" t="str">
        <f t="shared" si="72"/>
        <v>USA</v>
      </c>
      <c r="Y674" s="7" t="str" cm="1">
        <f t="array" ref="Y674">IF(H674="",IFERROR(INDEX($H$2:$H$1166,MATCH(MAX(COUNTIF($H$2:$H$1166,$H$2:$H$1166)),COUNTIF($H$2:$H$1166,$H$2:$H$1166),0)),"Unknown"),H674)</f>
        <v>Unverified</v>
      </c>
      <c r="Z674" s="7" t="str">
        <f t="shared" si="73"/>
        <v>Inter-Transaction</v>
      </c>
      <c r="AA674" s="7">
        <f>IF(J674="",AVERAGE($J:$J),J674)</f>
        <v>5083.68</v>
      </c>
      <c r="AB674" s="7">
        <f>IF(N674="",AVERAGE($N:$N),N674)</f>
        <v>40</v>
      </c>
      <c r="AC674" s="7">
        <f t="shared" si="74"/>
        <v>2023</v>
      </c>
      <c r="AD674" s="7">
        <f t="shared" si="75"/>
        <v>1</v>
      </c>
      <c r="AE674" s="7">
        <f>COUNTIF(A:A,A674)</f>
        <v>1</v>
      </c>
      <c r="AF674" s="7" t="str">
        <f t="shared" si="76"/>
        <v>No</v>
      </c>
    </row>
    <row r="675" spans="1:32">
      <c r="A675" t="s">
        <v>2176</v>
      </c>
      <c r="B675">
        <v>74199191</v>
      </c>
      <c r="C675" t="s">
        <v>2177</v>
      </c>
      <c r="D675" t="s">
        <v>562</v>
      </c>
      <c r="E675" t="s">
        <v>20</v>
      </c>
      <c r="F675" t="s">
        <v>121</v>
      </c>
      <c r="H675" t="s">
        <v>56</v>
      </c>
      <c r="I675" t="s">
        <v>3376</v>
      </c>
      <c r="J675">
        <v>2163.0100000000002</v>
      </c>
      <c r="K675" t="s">
        <v>47</v>
      </c>
      <c r="L675" t="s">
        <v>48</v>
      </c>
      <c r="M675" s="1">
        <v>44906.888194444444</v>
      </c>
      <c r="N675">
        <v>35</v>
      </c>
      <c r="O675" t="s">
        <v>24</v>
      </c>
      <c r="P675" t="s">
        <v>24</v>
      </c>
      <c r="Q675" t="s">
        <v>2178</v>
      </c>
      <c r="R675">
        <f t="shared" si="70"/>
        <v>74199191</v>
      </c>
      <c r="S675" t="str" cm="1">
        <f t="array" ref="S675">IF(C675="",IFERROR(INDEX($C$2:$C$1166,MATCH(MAX(COUNTIF($C$2:$C$1166,$C$2:$C$1166)),COUNTIF($C$2:$C$1166,$C$2:$C$1166),0)),"Unknown"),C675)</f>
        <v xml:space="preserve">  ELENA JOHNSON </v>
      </c>
      <c r="T675" s="4" t="str" cm="1">
        <f t="array" ref="T675">IF(D675="",IFERROR(INDEX($D$2:$D$1000,MATCH(MAX(COUNTIF($D$2:$D$1166,$D$2:$D$1166)),COUNTIF($D$2:$D$1166,$D$2:$D$1166),0)),"Unknown"),D675)</f>
        <v>Joseph Malik</v>
      </c>
      <c r="U675" t="str">
        <f t="shared" si="71"/>
        <v>INR</v>
      </c>
      <c r="V675" s="7" t="str">
        <f t="shared" si="71"/>
        <v/>
      </c>
      <c r="W675" s="7" t="str">
        <f t="shared" si="72"/>
        <v>Brazil</v>
      </c>
      <c r="X675" s="7" t="str">
        <f t="shared" si="72"/>
        <v>Brazil</v>
      </c>
      <c r="Y675" s="7" t="str" cm="1">
        <f t="array" ref="Y675">IF(H675="",IFERROR(INDEX($H$2:$H$1166,MATCH(MAX(COUNTIF($H$2:$H$1166,$H$2:$H$1166)),COUNTIF($H$2:$H$1166,$H$2:$H$1166),0)),"Unknown"),H675)</f>
        <v>Unverified</v>
      </c>
      <c r="Z675" s="7" t="str">
        <f t="shared" si="73"/>
        <v>Internal</v>
      </c>
      <c r="AA675" s="7">
        <f>IF(J675="",AVERAGE($J:$J),J675)</f>
        <v>2163.0100000000002</v>
      </c>
      <c r="AB675" s="7">
        <f>IF(N675="",AVERAGE($N:$N),N675)</f>
        <v>35</v>
      </c>
      <c r="AC675" s="7">
        <f t="shared" si="74"/>
        <v>2022</v>
      </c>
      <c r="AD675" s="7">
        <f t="shared" si="75"/>
        <v>12</v>
      </c>
      <c r="AE675" s="7">
        <f>COUNTIF(A:A,A675)</f>
        <v>1</v>
      </c>
      <c r="AF675" s="7" t="str">
        <f t="shared" si="76"/>
        <v>No</v>
      </c>
    </row>
    <row r="676" spans="1:32">
      <c r="A676" t="s">
        <v>2179</v>
      </c>
      <c r="B676">
        <v>54969786</v>
      </c>
      <c r="C676" t="s">
        <v>897</v>
      </c>
      <c r="D676" t="s">
        <v>633</v>
      </c>
      <c r="E676" t="s">
        <v>20</v>
      </c>
      <c r="F676" t="s">
        <v>92</v>
      </c>
      <c r="G676" t="s">
        <v>116</v>
      </c>
      <c r="H676" t="s">
        <v>38</v>
      </c>
      <c r="I676" t="s">
        <v>3371</v>
      </c>
      <c r="J676">
        <v>4917.6099999999997</v>
      </c>
      <c r="K676" t="s">
        <v>39</v>
      </c>
      <c r="L676" t="s">
        <v>81</v>
      </c>
      <c r="M676" s="1">
        <v>44350.004861111112</v>
      </c>
      <c r="N676">
        <v>55</v>
      </c>
      <c r="O676" t="s">
        <v>37</v>
      </c>
      <c r="P676" t="s">
        <v>127</v>
      </c>
      <c r="Q676" t="s">
        <v>2180</v>
      </c>
      <c r="R676">
        <f t="shared" si="70"/>
        <v>54969786</v>
      </c>
      <c r="S676" t="str" cm="1">
        <f t="array" ref="S676">IF(C676="",IFERROR(INDEX($C$2:$C$1166,MATCH(MAX(COUNTIF($C$2:$C$1166,$C$2:$C$1166)),COUNTIF($C$2:$C$1166,$C$2:$C$1166),0)),"Unknown"),C676)</f>
        <v>Karen Anderson</v>
      </c>
      <c r="T676" s="4" t="str" cm="1">
        <f t="array" ref="T676">IF(D676="",IFERROR(INDEX($D$2:$D$1000,MATCH(MAX(COUNTIF($D$2:$D$1166,$D$2:$D$1166)),COUNTIF($D$2:$D$1166,$D$2:$D$1166),0)),"Unknown"),D676)</f>
        <v>Priya Brown</v>
      </c>
      <c r="U676" t="str">
        <f t="shared" si="71"/>
        <v>AUD</v>
      </c>
      <c r="V676" s="7" t="str">
        <f t="shared" si="71"/>
        <v>CHF</v>
      </c>
      <c r="W676" s="7" t="str">
        <f t="shared" si="72"/>
        <v>South Africa</v>
      </c>
      <c r="X676" s="7" t="str">
        <f t="shared" si="72"/>
        <v>Canada</v>
      </c>
      <c r="Y676" s="7" t="str" cm="1">
        <f t="array" ref="Y676">IF(H676="",IFERROR(INDEX($H$2:$H$1166,MATCH(MAX(COUNTIF($H$2:$H$1166,$H$2:$H$1166)),COUNTIF($H$2:$H$1166,$H$2:$H$1166),0)),"Unknown"),H676)</f>
        <v>Pending</v>
      </c>
      <c r="Z676" s="7" t="str">
        <f t="shared" si="73"/>
        <v>Outer-Transaction</v>
      </c>
      <c r="AA676" s="7">
        <f>IF(J676="",AVERAGE($J:$J),J676)</f>
        <v>4917.6099999999997</v>
      </c>
      <c r="AB676" s="7">
        <f>IF(N676="",AVERAGE($N:$N),N676)</f>
        <v>55</v>
      </c>
      <c r="AC676" s="7">
        <f t="shared" si="74"/>
        <v>2021</v>
      </c>
      <c r="AD676" s="7">
        <f t="shared" si="75"/>
        <v>6</v>
      </c>
      <c r="AE676" s="7">
        <f>COUNTIF(A:A,A676)</f>
        <v>1</v>
      </c>
      <c r="AF676" s="7" t="str">
        <f t="shared" si="76"/>
        <v>No</v>
      </c>
    </row>
    <row r="677" spans="1:32">
      <c r="A677" t="s">
        <v>2181</v>
      </c>
      <c r="B677">
        <v>12169801</v>
      </c>
      <c r="C677" t="s">
        <v>2182</v>
      </c>
      <c r="D677" t="s">
        <v>2183</v>
      </c>
      <c r="E677" t="s">
        <v>3373</v>
      </c>
      <c r="F677" t="s">
        <v>34</v>
      </c>
      <c r="G677" t="s">
        <v>80</v>
      </c>
      <c r="I677" t="s">
        <v>3376</v>
      </c>
      <c r="J677">
        <v>10754.1</v>
      </c>
      <c r="K677" t="s">
        <v>57</v>
      </c>
      <c r="L677" t="s">
        <v>75</v>
      </c>
      <c r="M677" s="1">
        <v>44642.547222222223</v>
      </c>
      <c r="N677">
        <v>32</v>
      </c>
      <c r="O677" t="s">
        <v>54</v>
      </c>
      <c r="P677" t="s">
        <v>55</v>
      </c>
      <c r="Q677" t="s">
        <v>2184</v>
      </c>
      <c r="R677">
        <f t="shared" si="70"/>
        <v>12169801</v>
      </c>
      <c r="S677" t="str" cm="1">
        <f t="array" ref="S677">IF(C677="",IFERROR(INDEX($C$2:$C$1166,MATCH(MAX(COUNTIF($C$2:$C$1166,$C$2:$C$1166)),COUNTIF($C$2:$C$1166,$C$2:$C$1166),0)),"Unknown"),C677)</f>
        <v>Linda Jones</v>
      </c>
      <c r="T677" s="4" t="str" cm="1">
        <f t="array" ref="T677">IF(D677="",IFERROR(INDEX($D$2:$D$1000,MATCH(MAX(COUNTIF($D$2:$D$1166,$D$2:$D$1166)),COUNTIF($D$2:$D$1166,$D$2:$D$1166),0)),"Unknown"),D677)</f>
        <v>Carlos Souza</v>
      </c>
      <c r="U677" t="str">
        <f t="shared" si="71"/>
        <v>CAD</v>
      </c>
      <c r="V677" s="7" t="str">
        <f t="shared" si="71"/>
        <v>USD</v>
      </c>
      <c r="W677" s="7" t="str">
        <f t="shared" si="72"/>
        <v>India</v>
      </c>
      <c r="X677" s="7" t="str">
        <f t="shared" si="72"/>
        <v>UK</v>
      </c>
      <c r="Y677" s="7" t="str" cm="1">
        <f t="array" ref="Y677">IF(H677="",IFERROR(INDEX($H$2:$H$1166,MATCH(MAX(COUNTIF($H$2:$H$1166,$H$2:$H$1166)),COUNTIF($H$2:$H$1166,$H$2:$H$1166),0)),"Unknown"),H677)</f>
        <v>Pending</v>
      </c>
      <c r="Z677" s="7" t="str">
        <f t="shared" si="73"/>
        <v>Internal</v>
      </c>
      <c r="AA677" s="7">
        <f>IF(J677="",AVERAGE($J:$J),J677)</f>
        <v>10754.1</v>
      </c>
      <c r="AB677" s="7">
        <f>IF(N677="",AVERAGE($N:$N),N677)</f>
        <v>32</v>
      </c>
      <c r="AC677" s="7">
        <f t="shared" si="74"/>
        <v>2022</v>
      </c>
      <c r="AD677" s="7">
        <f t="shared" si="75"/>
        <v>3</v>
      </c>
      <c r="AE677" s="7">
        <f>COUNTIF(A:A,A677)</f>
        <v>1</v>
      </c>
      <c r="AF677" s="7" t="str">
        <f t="shared" si="76"/>
        <v>Yes</v>
      </c>
    </row>
    <row r="678" spans="1:32">
      <c r="A678" t="s">
        <v>2185</v>
      </c>
      <c r="B678">
        <v>56543939</v>
      </c>
      <c r="C678" t="s">
        <v>2186</v>
      </c>
      <c r="D678" t="s">
        <v>825</v>
      </c>
      <c r="E678" t="s">
        <v>3375</v>
      </c>
      <c r="F678" t="s">
        <v>80</v>
      </c>
      <c r="G678" t="s">
        <v>22</v>
      </c>
      <c r="H678" t="s">
        <v>56</v>
      </c>
      <c r="I678" t="s">
        <v>3372</v>
      </c>
      <c r="J678">
        <v>7169.25</v>
      </c>
      <c r="K678" t="s">
        <v>27</v>
      </c>
      <c r="L678" t="s">
        <v>48</v>
      </c>
      <c r="M678" s="1">
        <v>46114.080555555556</v>
      </c>
      <c r="N678">
        <v>81</v>
      </c>
      <c r="O678" t="s">
        <v>23</v>
      </c>
      <c r="P678" t="s">
        <v>37</v>
      </c>
      <c r="Q678" t="s">
        <v>2187</v>
      </c>
      <c r="R678">
        <f t="shared" si="70"/>
        <v>56543939</v>
      </c>
      <c r="S678" t="str" cm="1">
        <f t="array" ref="S678">IF(C678="",IFERROR(INDEX($C$2:$C$1166,MATCH(MAX(COUNTIF($C$2:$C$1166,$C$2:$C$1166)),COUNTIF($C$2:$C$1166,$C$2:$C$1166),0)),"Unknown"),C678)</f>
        <v>Thomas Nair</v>
      </c>
      <c r="T678" s="4" t="str" cm="1">
        <f t="array" ref="T678">IF(D678="",IFERROR(INDEX($D$2:$D$1000,MATCH(MAX(COUNTIF($D$2:$D$1166,$D$2:$D$1166)),COUNTIF($D$2:$D$1166,$D$2:$D$1166),0)),"Unknown"),D678)</f>
        <v>Karen Taylor</v>
      </c>
      <c r="U678" t="str">
        <f t="shared" si="71"/>
        <v>USD</v>
      </c>
      <c r="V678" s="7" t="str">
        <f t="shared" si="71"/>
        <v>BRL</v>
      </c>
      <c r="W678" s="7" t="str">
        <f t="shared" si="72"/>
        <v>France</v>
      </c>
      <c r="X678" s="7" t="str">
        <f t="shared" si="72"/>
        <v>South Africa</v>
      </c>
      <c r="Y678" s="7" t="str" cm="1">
        <f t="array" ref="Y678">IF(H678="",IFERROR(INDEX($H$2:$H$1166,MATCH(MAX(COUNTIF($H$2:$H$1166,$H$2:$H$1166)),COUNTIF($H$2:$H$1166,$H$2:$H$1166),0)),"Unknown"),H678)</f>
        <v>Unverified</v>
      </c>
      <c r="Z678" s="7" t="str">
        <f t="shared" si="73"/>
        <v>Outer-Transaction</v>
      </c>
      <c r="AA678" s="7">
        <f>IF(J678="",AVERAGE($J:$J),J678)</f>
        <v>7169.25</v>
      </c>
      <c r="AB678" s="7">
        <f>IF(N678="",AVERAGE($N:$N),N678)</f>
        <v>81</v>
      </c>
      <c r="AC678" s="7">
        <f t="shared" si="74"/>
        <v>2026</v>
      </c>
      <c r="AD678" s="7">
        <f t="shared" si="75"/>
        <v>4</v>
      </c>
      <c r="AE678" s="7">
        <f>COUNTIF(A:A,A678)</f>
        <v>1</v>
      </c>
      <c r="AF678" s="7" t="str">
        <f t="shared" si="76"/>
        <v>No</v>
      </c>
    </row>
    <row r="679" spans="1:32">
      <c r="A679" t="s">
        <v>2188</v>
      </c>
      <c r="C679" t="s">
        <v>151</v>
      </c>
      <c r="D679" t="s">
        <v>946</v>
      </c>
      <c r="E679" t="s">
        <v>3375</v>
      </c>
      <c r="F679" t="s">
        <v>116</v>
      </c>
      <c r="G679" t="s">
        <v>116</v>
      </c>
      <c r="H679" t="s">
        <v>103</v>
      </c>
      <c r="I679" t="s">
        <v>3376</v>
      </c>
      <c r="J679">
        <v>8656.2999999999993</v>
      </c>
      <c r="K679" t="s">
        <v>39</v>
      </c>
      <c r="L679" t="s">
        <v>28</v>
      </c>
      <c r="M679" s="1">
        <v>45755.919444444444</v>
      </c>
      <c r="N679">
        <v>45</v>
      </c>
      <c r="O679" t="s">
        <v>24</v>
      </c>
      <c r="P679" t="s">
        <v>62</v>
      </c>
      <c r="Q679" t="s">
        <v>2189</v>
      </c>
      <c r="R679">
        <f t="shared" si="70"/>
        <v>0</v>
      </c>
      <c r="S679" t="str" cm="1">
        <f t="array" ref="S679">IF(C679="",IFERROR(INDEX($C$2:$C$1166,MATCH(MAX(COUNTIF($C$2:$C$1166,$C$2:$C$1166)),COUNTIF($C$2:$C$1166,$C$2:$C$1166),0)),"Unknown"),C679)</f>
        <v>Nancy Moore</v>
      </c>
      <c r="T679" s="4" t="str" cm="1">
        <f t="array" ref="T679">IF(D679="",IFERROR(INDEX($D$2:$D$1000,MATCH(MAX(COUNTIF($D$2:$D$1166,$D$2:$D$1166)),COUNTIF($D$2:$D$1166,$D$2:$D$1166),0)),"Unknown"),D679)</f>
        <v>Sarah Gonzalez</v>
      </c>
      <c r="U679" t="str">
        <f t="shared" si="71"/>
        <v>CHF</v>
      </c>
      <c r="V679" s="7" t="str">
        <f t="shared" si="71"/>
        <v>CHF</v>
      </c>
      <c r="W679" s="7" t="str">
        <f t="shared" si="72"/>
        <v>Brazil</v>
      </c>
      <c r="X679" s="7" t="str">
        <f t="shared" si="72"/>
        <v>Australia</v>
      </c>
      <c r="Y679" s="7" t="str" cm="1">
        <f t="array" ref="Y679">IF(H679="",IFERROR(INDEX($H$2:$H$1166,MATCH(MAX(COUNTIF($H$2:$H$1166,$H$2:$H$1166)),COUNTIF($H$2:$H$1166,$H$2:$H$1166),0)),"Unknown"),H679)</f>
        <v>Verified</v>
      </c>
      <c r="Z679" s="7" t="str">
        <f t="shared" si="73"/>
        <v>Internal</v>
      </c>
      <c r="AA679" s="7">
        <f>IF(J679="",AVERAGE($J:$J),J679)</f>
        <v>8656.2999999999993</v>
      </c>
      <c r="AB679" s="7">
        <f>IF(N679="",AVERAGE($N:$N),N679)</f>
        <v>45</v>
      </c>
      <c r="AC679" s="7">
        <f t="shared" si="74"/>
        <v>2025</v>
      </c>
      <c r="AD679" s="7">
        <f t="shared" si="75"/>
        <v>4</v>
      </c>
      <c r="AE679" s="7">
        <f>COUNTIF(A:A,A679)</f>
        <v>1</v>
      </c>
      <c r="AF679" s="7" t="str">
        <f t="shared" si="76"/>
        <v>No</v>
      </c>
    </row>
    <row r="680" spans="1:32">
      <c r="A680" t="s">
        <v>2190</v>
      </c>
      <c r="B680">
        <v>14012808</v>
      </c>
      <c r="C680" t="s">
        <v>2191</v>
      </c>
      <c r="D680" t="s">
        <v>240</v>
      </c>
      <c r="E680" t="s">
        <v>33</v>
      </c>
      <c r="F680" t="s">
        <v>92</v>
      </c>
      <c r="G680" t="s">
        <v>92</v>
      </c>
      <c r="H680" t="s">
        <v>74</v>
      </c>
      <c r="I680" t="s">
        <v>3378</v>
      </c>
      <c r="J680">
        <v>13497.5</v>
      </c>
      <c r="K680" t="s">
        <v>47</v>
      </c>
      <c r="L680" t="s">
        <v>75</v>
      </c>
      <c r="M680" s="1">
        <v>45435.933333333334</v>
      </c>
      <c r="N680">
        <v>56</v>
      </c>
      <c r="O680" t="s">
        <v>36</v>
      </c>
      <c r="P680" t="s">
        <v>68</v>
      </c>
      <c r="Q680" t="s">
        <v>2192</v>
      </c>
      <c r="R680">
        <f t="shared" si="70"/>
        <v>14012808</v>
      </c>
      <c r="S680" t="str" cm="1">
        <f t="array" ref="S680">IF(C680="",IFERROR(INDEX($C$2:$C$1166,MATCH(MAX(COUNTIF($C$2:$C$1166,$C$2:$C$1166)),COUNTIF($C$2:$C$1166,$C$2:$C$1166),0)),"Unknown"),C680)</f>
        <v xml:space="preserve">  MARTA VOLKOV </v>
      </c>
      <c r="T680" s="4" t="str" cm="1">
        <f t="array" ref="T680">IF(D680="",IFERROR(INDEX($D$2:$D$1000,MATCH(MAX(COUNTIF($D$2:$D$1166,$D$2:$D$1166)),COUNTIF($D$2:$D$1166,$D$2:$D$1166),0)),"Unknown"),D680)</f>
        <v>Zayn Lopez</v>
      </c>
      <c r="U680" t="str">
        <f t="shared" si="71"/>
        <v>AUD</v>
      </c>
      <c r="V680" s="7" t="str">
        <f t="shared" si="71"/>
        <v>AUD</v>
      </c>
      <c r="W680" s="7" t="str">
        <f t="shared" si="72"/>
        <v>Germany</v>
      </c>
      <c r="X680" s="7" t="str">
        <f t="shared" si="72"/>
        <v>UAE</v>
      </c>
      <c r="Y680" s="7" t="str" cm="1">
        <f t="array" ref="Y680">IF(H680="",IFERROR(INDEX($H$2:$H$1166,MATCH(MAX(COUNTIF($H$2:$H$1166,$H$2:$H$1166)),COUNTIF($H$2:$H$1166,$H$2:$H$1166),0)),"Unknown"),H680)</f>
        <v>Non-KYC</v>
      </c>
      <c r="Z680" s="7" t="str">
        <f t="shared" si="73"/>
        <v>Inter-Transaction</v>
      </c>
      <c r="AA680" s="7">
        <f>IF(J680="",AVERAGE($J:$J),J680)</f>
        <v>13497.5</v>
      </c>
      <c r="AB680" s="7">
        <f>IF(N680="",AVERAGE($N:$N),N680)</f>
        <v>56</v>
      </c>
      <c r="AC680" s="7">
        <f t="shared" si="74"/>
        <v>2024</v>
      </c>
      <c r="AD680" s="7">
        <f t="shared" si="75"/>
        <v>5</v>
      </c>
      <c r="AE680" s="7">
        <f>COUNTIF(A:A,A680)</f>
        <v>1</v>
      </c>
      <c r="AF680" s="7" t="str">
        <f t="shared" si="76"/>
        <v>Yes</v>
      </c>
    </row>
    <row r="681" spans="1:32">
      <c r="A681" t="s">
        <v>2193</v>
      </c>
      <c r="B681">
        <v>92059030</v>
      </c>
      <c r="C681" t="s">
        <v>386</v>
      </c>
      <c r="D681" t="s">
        <v>1966</v>
      </c>
      <c r="E681" t="s">
        <v>3375</v>
      </c>
      <c r="F681" t="s">
        <v>21</v>
      </c>
      <c r="G681" t="s">
        <v>45</v>
      </c>
      <c r="H681" t="s">
        <v>74</v>
      </c>
      <c r="I681" t="s">
        <v>3376</v>
      </c>
      <c r="J681">
        <v>14407.52</v>
      </c>
      <c r="K681" t="s">
        <v>27</v>
      </c>
      <c r="L681" t="s">
        <v>28</v>
      </c>
      <c r="M681" s="1">
        <v>44757.302083333336</v>
      </c>
      <c r="N681">
        <v>74</v>
      </c>
      <c r="O681" t="s">
        <v>68</v>
      </c>
      <c r="P681" t="s">
        <v>55</v>
      </c>
      <c r="Q681" t="s">
        <v>2194</v>
      </c>
      <c r="R681">
        <f t="shared" si="70"/>
        <v>92059030</v>
      </c>
      <c r="S681" t="str" cm="1">
        <f t="array" ref="S681">IF(C681="",IFERROR(INDEX($C$2:$C$1166,MATCH(MAX(COUNTIF($C$2:$C$1166,$C$2:$C$1166)),COUNTIF($C$2:$C$1166,$C$2:$C$1166),0)),"Unknown"),C681)</f>
        <v>Barbara Garcia</v>
      </c>
      <c r="T681" s="4" t="str" cm="1">
        <f t="array" ref="T681">IF(D681="",IFERROR(INDEX($D$2:$D$1000,MATCH(MAX(COUNTIF($D$2:$D$1166,$D$2:$D$1166)),COUNTIF($D$2:$D$1166,$D$2:$D$1166),0)),"Unknown"),D681)</f>
        <v>Sanjay Davis</v>
      </c>
      <c r="U681" t="str">
        <f t="shared" si="71"/>
        <v>GBP</v>
      </c>
      <c r="V681" s="7" t="str">
        <f t="shared" si="71"/>
        <v>ZAR</v>
      </c>
      <c r="W681" s="7" t="str">
        <f t="shared" si="72"/>
        <v>UAE</v>
      </c>
      <c r="X681" s="7" t="str">
        <f t="shared" si="72"/>
        <v>UK</v>
      </c>
      <c r="Y681" s="7" t="str" cm="1">
        <f t="array" ref="Y681">IF(H681="",IFERROR(INDEX($H$2:$H$1166,MATCH(MAX(COUNTIF($H$2:$H$1166,$H$2:$H$1166)),COUNTIF($H$2:$H$1166,$H$2:$H$1166),0)),"Unknown"),H681)</f>
        <v>Non-KYC</v>
      </c>
      <c r="Z681" s="7" t="str">
        <f t="shared" si="73"/>
        <v>Internal</v>
      </c>
      <c r="AA681" s="7">
        <f>IF(J681="",AVERAGE($J:$J),J681)</f>
        <v>14407.52</v>
      </c>
      <c r="AB681" s="7">
        <f>IF(N681="",AVERAGE($N:$N),N681)</f>
        <v>74</v>
      </c>
      <c r="AC681" s="7">
        <f t="shared" si="74"/>
        <v>2022</v>
      </c>
      <c r="AD681" s="7">
        <f t="shared" si="75"/>
        <v>7</v>
      </c>
      <c r="AE681" s="7">
        <f>COUNTIF(A:A,A681)</f>
        <v>1</v>
      </c>
      <c r="AF681" s="7" t="str">
        <f t="shared" si="76"/>
        <v>No</v>
      </c>
    </row>
    <row r="682" spans="1:32">
      <c r="A682" t="s">
        <v>2195</v>
      </c>
      <c r="C682" t="s">
        <v>2196</v>
      </c>
      <c r="D682" t="s">
        <v>2197</v>
      </c>
      <c r="E682" t="s">
        <v>33</v>
      </c>
      <c r="F682" t="s">
        <v>116</v>
      </c>
      <c r="G682" t="s">
        <v>21</v>
      </c>
      <c r="I682" t="s">
        <v>3378</v>
      </c>
      <c r="J682">
        <v>1542.29</v>
      </c>
      <c r="K682" t="s">
        <v>27</v>
      </c>
      <c r="L682" t="s">
        <v>28</v>
      </c>
      <c r="M682" s="1">
        <v>44387.907638888886</v>
      </c>
      <c r="N682">
        <v>34</v>
      </c>
      <c r="O682" t="s">
        <v>62</v>
      </c>
      <c r="P682" t="s">
        <v>24</v>
      </c>
      <c r="Q682" t="s">
        <v>2198</v>
      </c>
      <c r="R682">
        <f t="shared" si="70"/>
        <v>0</v>
      </c>
      <c r="S682" t="str" cm="1">
        <f t="array" ref="S682">IF(C682="",IFERROR(INDEX($C$2:$C$1166,MATCH(MAX(COUNTIF($C$2:$C$1166,$C$2:$C$1166)),COUNTIF($C$2:$C$1166,$C$2:$C$1166),0)),"Unknown"),C682)</f>
        <v>Linda Souza</v>
      </c>
      <c r="T682" s="4" t="str" cm="1">
        <f t="array" ref="T682">IF(D682="",IFERROR(INDEX($D$2:$D$1000,MATCH(MAX(COUNTIF($D$2:$D$1166,$D$2:$D$1166)),COUNTIF($D$2:$D$1166,$D$2:$D$1166),0)),"Unknown"),D682)</f>
        <v>Richard Gonzalez</v>
      </c>
      <c r="U682" t="str">
        <f t="shared" si="71"/>
        <v>CHF</v>
      </c>
      <c r="V682" s="7" t="str">
        <f t="shared" si="71"/>
        <v>GBP</v>
      </c>
      <c r="W682" s="7" t="str">
        <f t="shared" si="72"/>
        <v>Australia</v>
      </c>
      <c r="X682" s="7" t="str">
        <f t="shared" si="72"/>
        <v>Brazil</v>
      </c>
      <c r="Y682" s="7" t="str" cm="1">
        <f t="array" ref="Y682">IF(H682="",IFERROR(INDEX($H$2:$H$1166,MATCH(MAX(COUNTIF($H$2:$H$1166,$H$2:$H$1166)),COUNTIF($H$2:$H$1166,$H$2:$H$1166),0)),"Unknown"),H682)</f>
        <v>Pending</v>
      </c>
      <c r="Z682" s="7" t="str">
        <f t="shared" si="73"/>
        <v>Inter-Transaction</v>
      </c>
      <c r="AA682" s="7">
        <f>IF(J682="",AVERAGE($J:$J),J682)</f>
        <v>1542.29</v>
      </c>
      <c r="AB682" s="7">
        <f>IF(N682="",AVERAGE($N:$N),N682)</f>
        <v>34</v>
      </c>
      <c r="AC682" s="7">
        <f t="shared" si="74"/>
        <v>2021</v>
      </c>
      <c r="AD682" s="7">
        <f t="shared" si="75"/>
        <v>7</v>
      </c>
      <c r="AE682" s="7">
        <f>COUNTIF(A:A,A682)</f>
        <v>1</v>
      </c>
      <c r="AF682" s="7" t="str">
        <f t="shared" si="76"/>
        <v>Yes</v>
      </c>
    </row>
    <row r="683" spans="1:32">
      <c r="A683" t="s">
        <v>2199</v>
      </c>
      <c r="B683">
        <v>12098146</v>
      </c>
      <c r="C683" t="s">
        <v>836</v>
      </c>
      <c r="D683" t="s">
        <v>1167</v>
      </c>
      <c r="E683" t="s">
        <v>20</v>
      </c>
      <c r="F683" t="s">
        <v>53</v>
      </c>
      <c r="G683" t="s">
        <v>53</v>
      </c>
      <c r="H683" t="s">
        <v>38</v>
      </c>
      <c r="I683" t="s">
        <v>3376</v>
      </c>
      <c r="J683">
        <v>1126.9000000000001</v>
      </c>
      <c r="K683" t="s">
        <v>86</v>
      </c>
      <c r="L683" t="s">
        <v>81</v>
      </c>
      <c r="M683" s="1">
        <v>46112.535416666666</v>
      </c>
      <c r="N683">
        <v>61</v>
      </c>
      <c r="O683" t="s">
        <v>23</v>
      </c>
      <c r="P683" t="s">
        <v>54</v>
      </c>
      <c r="Q683" t="s">
        <v>2200</v>
      </c>
      <c r="R683">
        <f t="shared" si="70"/>
        <v>12098146</v>
      </c>
      <c r="S683" t="str" cm="1">
        <f t="array" ref="S683">IF(C683="",IFERROR(INDEX($C$2:$C$1166,MATCH(MAX(COUNTIF($C$2:$C$1166,$C$2:$C$1166)),COUNTIF($C$2:$C$1166,$C$2:$C$1166),0)),"Unknown"),C683)</f>
        <v>Nancy Hernandez</v>
      </c>
      <c r="T683" s="4" t="str" cm="1">
        <f t="array" ref="T683">IF(D683="",IFERROR(INDEX($D$2:$D$1000,MATCH(MAX(COUNTIF($D$2:$D$1166,$D$2:$D$1166)),COUNTIF($D$2:$D$1166,$D$2:$D$1166),0)),"Unknown"),D683)</f>
        <v>Jean-Pierre Thomas</v>
      </c>
      <c r="U683" t="str">
        <f t="shared" si="71"/>
        <v>AED</v>
      </c>
      <c r="V683" s="7" t="str">
        <f t="shared" si="71"/>
        <v>AED</v>
      </c>
      <c r="W683" s="7" t="str">
        <f t="shared" si="72"/>
        <v>France</v>
      </c>
      <c r="X683" s="7" t="str">
        <f t="shared" si="72"/>
        <v>India</v>
      </c>
      <c r="Y683" s="7" t="str" cm="1">
        <f t="array" ref="Y683">IF(H683="",IFERROR(INDEX($H$2:$H$1166,MATCH(MAX(COUNTIF($H$2:$H$1166,$H$2:$H$1166)),COUNTIF($H$2:$H$1166,$H$2:$H$1166),0)),"Unknown"),H683)</f>
        <v>Pending</v>
      </c>
      <c r="Z683" s="7" t="str">
        <f t="shared" si="73"/>
        <v>Internal</v>
      </c>
      <c r="AA683" s="7">
        <f>IF(J683="",AVERAGE($J:$J),J683)</f>
        <v>1126.9000000000001</v>
      </c>
      <c r="AB683" s="7">
        <f>IF(N683="",AVERAGE($N:$N),N683)</f>
        <v>61</v>
      </c>
      <c r="AC683" s="7">
        <f t="shared" si="74"/>
        <v>2026</v>
      </c>
      <c r="AD683" s="7">
        <f t="shared" si="75"/>
        <v>3</v>
      </c>
      <c r="AE683" s="7">
        <f>COUNTIF(A:A,A683)</f>
        <v>1</v>
      </c>
      <c r="AF683" s="7" t="str">
        <f t="shared" si="76"/>
        <v>No</v>
      </c>
    </row>
    <row r="684" spans="1:32">
      <c r="A684" t="s">
        <v>2201</v>
      </c>
      <c r="B684">
        <v>58885275</v>
      </c>
      <c r="C684" t="s">
        <v>2202</v>
      </c>
      <c r="D684" t="s">
        <v>354</v>
      </c>
      <c r="E684" t="s">
        <v>20</v>
      </c>
      <c r="F684" t="s">
        <v>44</v>
      </c>
      <c r="G684" t="s">
        <v>35</v>
      </c>
      <c r="H684" t="s">
        <v>74</v>
      </c>
      <c r="I684" t="s">
        <v>3372</v>
      </c>
      <c r="J684">
        <v>7143.08</v>
      </c>
      <c r="K684" t="s">
        <v>27</v>
      </c>
      <c r="L684" t="s">
        <v>28</v>
      </c>
      <c r="M684" s="1">
        <v>44886.583333333336</v>
      </c>
      <c r="N684">
        <v>42</v>
      </c>
      <c r="O684" t="s">
        <v>68</v>
      </c>
      <c r="P684" t="s">
        <v>127</v>
      </c>
      <c r="Q684" t="s">
        <v>2203</v>
      </c>
      <c r="R684">
        <f t="shared" si="70"/>
        <v>58885275</v>
      </c>
      <c r="S684" t="str" cm="1">
        <f t="array" ref="S684">IF(C684="",IFERROR(INDEX($C$2:$C$1166,MATCH(MAX(COUNTIF($C$2:$C$1166,$C$2:$C$1166)),COUNTIF($C$2:$C$1166,$C$2:$C$1166),0)),"Unknown"),C684)</f>
        <v>William Gonzalez</v>
      </c>
      <c r="T684" s="4" t="str" cm="1">
        <f t="array" ref="T684">IF(D684="",IFERROR(INDEX($D$2:$D$1000,MATCH(MAX(COUNTIF($D$2:$D$1166,$D$2:$D$1166)),COUNTIF($D$2:$D$1166,$D$2:$D$1166),0)),"Unknown"),D684)</f>
        <v>Barbara Williams</v>
      </c>
      <c r="U684" t="str">
        <f t="shared" si="71"/>
        <v>SGD</v>
      </c>
      <c r="V684" s="7" t="str">
        <f t="shared" si="71"/>
        <v>EUR</v>
      </c>
      <c r="W684" s="7" t="str">
        <f t="shared" si="72"/>
        <v>UAE</v>
      </c>
      <c r="X684" s="7" t="str">
        <f t="shared" si="72"/>
        <v>Canada</v>
      </c>
      <c r="Y684" s="7" t="str" cm="1">
        <f t="array" ref="Y684">IF(H684="",IFERROR(INDEX($H$2:$H$1166,MATCH(MAX(COUNTIF($H$2:$H$1166,$H$2:$H$1166)),COUNTIF($H$2:$H$1166,$H$2:$H$1166),0)),"Unknown"),H684)</f>
        <v>Non-KYC</v>
      </c>
      <c r="Z684" s="7" t="str">
        <f t="shared" si="73"/>
        <v>Outer-Transaction</v>
      </c>
      <c r="AA684" s="7">
        <f>IF(J684="",AVERAGE($J:$J),J684)</f>
        <v>7143.08</v>
      </c>
      <c r="AB684" s="7">
        <f>IF(N684="",AVERAGE($N:$N),N684)</f>
        <v>42</v>
      </c>
      <c r="AC684" s="7">
        <f t="shared" si="74"/>
        <v>2022</v>
      </c>
      <c r="AD684" s="7">
        <f t="shared" si="75"/>
        <v>11</v>
      </c>
      <c r="AE684" s="7">
        <f>COUNTIF(A:A,A684)</f>
        <v>1</v>
      </c>
      <c r="AF684" s="7" t="str">
        <f t="shared" si="76"/>
        <v>No</v>
      </c>
    </row>
    <row r="685" spans="1:32">
      <c r="A685" t="s">
        <v>2204</v>
      </c>
      <c r="B685">
        <v>96343880</v>
      </c>
      <c r="C685" t="s">
        <v>1558</v>
      </c>
      <c r="D685" t="s">
        <v>2205</v>
      </c>
      <c r="E685" t="s">
        <v>20</v>
      </c>
      <c r="F685" t="s">
        <v>80</v>
      </c>
      <c r="G685" t="s">
        <v>34</v>
      </c>
      <c r="H685" t="s">
        <v>38</v>
      </c>
      <c r="I685" t="s">
        <v>3372</v>
      </c>
      <c r="J685">
        <v>8426.67</v>
      </c>
      <c r="K685" t="s">
        <v>27</v>
      </c>
      <c r="L685" t="s">
        <v>48</v>
      </c>
      <c r="M685" s="1">
        <v>44409.876388888886</v>
      </c>
      <c r="N685">
        <v>34</v>
      </c>
      <c r="O685" t="s">
        <v>62</v>
      </c>
      <c r="P685" t="s">
        <v>37</v>
      </c>
      <c r="Q685" t="s">
        <v>2206</v>
      </c>
      <c r="R685">
        <f t="shared" si="70"/>
        <v>96343880</v>
      </c>
      <c r="S685" t="str" cm="1">
        <f t="array" ref="S685">IF(C685="",IFERROR(INDEX($C$2:$C$1166,MATCH(MAX(COUNTIF($C$2:$C$1166,$C$2:$C$1166)),COUNTIF($C$2:$C$1166,$C$2:$C$1166),0)),"Unknown"),C685)</f>
        <v>Lucas Brown</v>
      </c>
      <c r="T685" s="4" t="str" cm="1">
        <f t="array" ref="T685">IF(D685="",IFERROR(INDEX($D$2:$D$1000,MATCH(MAX(COUNTIF($D$2:$D$1166,$D$2:$D$1166)),COUNTIF($D$2:$D$1166,$D$2:$D$1166),0)),"Unknown"),D685)</f>
        <v>Barbara Dubois</v>
      </c>
      <c r="U685" t="str">
        <f t="shared" si="71"/>
        <v>USD</v>
      </c>
      <c r="V685" s="7" t="str">
        <f t="shared" si="71"/>
        <v>CAD</v>
      </c>
      <c r="W685" s="7" t="str">
        <f t="shared" si="72"/>
        <v>Australia</v>
      </c>
      <c r="X685" s="7" t="str">
        <f t="shared" si="72"/>
        <v>South Africa</v>
      </c>
      <c r="Y685" s="7" t="str" cm="1">
        <f t="array" ref="Y685">IF(H685="",IFERROR(INDEX($H$2:$H$1166,MATCH(MAX(COUNTIF($H$2:$H$1166,$H$2:$H$1166)),COUNTIF($H$2:$H$1166,$H$2:$H$1166),0)),"Unknown"),H685)</f>
        <v>Pending</v>
      </c>
      <c r="Z685" s="7" t="str">
        <f t="shared" si="73"/>
        <v>Outer-Transaction</v>
      </c>
      <c r="AA685" s="7">
        <f>IF(J685="",AVERAGE($J:$J),J685)</f>
        <v>8426.67</v>
      </c>
      <c r="AB685" s="7">
        <f>IF(N685="",AVERAGE($N:$N),N685)</f>
        <v>34</v>
      </c>
      <c r="AC685" s="7">
        <f t="shared" si="74"/>
        <v>2021</v>
      </c>
      <c r="AD685" s="7">
        <f t="shared" si="75"/>
        <v>8</v>
      </c>
      <c r="AE685" s="7">
        <f>COUNTIF(A:A,A685)</f>
        <v>1</v>
      </c>
      <c r="AF685" s="7" t="str">
        <f t="shared" si="76"/>
        <v>No</v>
      </c>
    </row>
    <row r="686" spans="1:32">
      <c r="A686" t="s">
        <v>2207</v>
      </c>
      <c r="B686">
        <v>28367664</v>
      </c>
      <c r="C686" t="s">
        <v>2208</v>
      </c>
      <c r="D686" t="s">
        <v>1593</v>
      </c>
      <c r="E686" t="s">
        <v>3373</v>
      </c>
      <c r="F686" t="s">
        <v>160</v>
      </c>
      <c r="G686" t="s">
        <v>92</v>
      </c>
      <c r="H686" t="s">
        <v>56</v>
      </c>
      <c r="I686" t="s">
        <v>3376</v>
      </c>
      <c r="J686">
        <v>6638.6</v>
      </c>
      <c r="K686" t="s">
        <v>57</v>
      </c>
      <c r="L686" t="s">
        <v>48</v>
      </c>
      <c r="M686" s="1">
        <v>44372.245138888888</v>
      </c>
      <c r="N686">
        <v>30</v>
      </c>
      <c r="O686" t="s">
        <v>93</v>
      </c>
      <c r="P686" t="s">
        <v>127</v>
      </c>
      <c r="Q686" t="s">
        <v>2209</v>
      </c>
      <c r="R686">
        <f t="shared" si="70"/>
        <v>28367664</v>
      </c>
      <c r="S686" t="str" cm="1">
        <f t="array" ref="S686">IF(C686="",IFERROR(INDEX($C$2:$C$1166,MATCH(MAX(COUNTIF($C$2:$C$1166,$C$2:$C$1166)),COUNTIF($C$2:$C$1166,$C$2:$C$1166),0)),"Unknown"),C686)</f>
        <v>Priya Hernandez</v>
      </c>
      <c r="T686" s="4" t="str" cm="1">
        <f t="array" ref="T686">IF(D686="",IFERROR(INDEX($D$2:$D$1000,MATCH(MAX(COUNTIF($D$2:$D$1166,$D$2:$D$1166)),COUNTIF($D$2:$D$1166,$D$2:$D$1166),0)),"Unknown"),D686)</f>
        <v>Karen Silva</v>
      </c>
      <c r="U686" t="str">
        <f t="shared" si="71"/>
        <v>aud</v>
      </c>
      <c r="V686" s="7" t="str">
        <f t="shared" si="71"/>
        <v>AUD</v>
      </c>
      <c r="W686" s="7" t="str">
        <f t="shared" si="72"/>
        <v>USA</v>
      </c>
      <c r="X686" s="7" t="str">
        <f t="shared" si="72"/>
        <v>Canada</v>
      </c>
      <c r="Y686" s="7" t="str" cm="1">
        <f t="array" ref="Y686">IF(H686="",IFERROR(INDEX($H$2:$H$1166,MATCH(MAX(COUNTIF($H$2:$H$1166,$H$2:$H$1166)),COUNTIF($H$2:$H$1166,$H$2:$H$1166),0)),"Unknown"),H686)</f>
        <v>Unverified</v>
      </c>
      <c r="Z686" s="7" t="str">
        <f t="shared" si="73"/>
        <v>Internal</v>
      </c>
      <c r="AA686" s="7">
        <f>IF(J686="",AVERAGE($J:$J),J686)</f>
        <v>6638.6</v>
      </c>
      <c r="AB686" s="7">
        <f>IF(N686="",AVERAGE($N:$N),N686)</f>
        <v>30</v>
      </c>
      <c r="AC686" s="7">
        <f t="shared" si="74"/>
        <v>2021</v>
      </c>
      <c r="AD686" s="7">
        <f t="shared" si="75"/>
        <v>6</v>
      </c>
      <c r="AE686" s="7">
        <f>COUNTIF(A:A,A686)</f>
        <v>1</v>
      </c>
      <c r="AF686" s="7" t="str">
        <f t="shared" si="76"/>
        <v>Yes</v>
      </c>
    </row>
    <row r="687" spans="1:32">
      <c r="A687" t="s">
        <v>2210</v>
      </c>
      <c r="C687" t="s">
        <v>163</v>
      </c>
      <c r="D687" t="s">
        <v>2211</v>
      </c>
      <c r="E687" t="s">
        <v>20</v>
      </c>
      <c r="F687" t="s">
        <v>22</v>
      </c>
      <c r="G687" t="s">
        <v>116</v>
      </c>
      <c r="H687" t="s">
        <v>25</v>
      </c>
      <c r="I687" t="s">
        <v>3374</v>
      </c>
      <c r="J687">
        <v>6427.33</v>
      </c>
      <c r="K687" t="s">
        <v>57</v>
      </c>
      <c r="L687" t="s">
        <v>28</v>
      </c>
      <c r="M687" s="1">
        <v>45992.565972222219</v>
      </c>
      <c r="N687">
        <v>42</v>
      </c>
      <c r="O687" t="s">
        <v>37</v>
      </c>
      <c r="P687" t="s">
        <v>55</v>
      </c>
      <c r="Q687" t="s">
        <v>2212</v>
      </c>
      <c r="R687">
        <f t="shared" si="70"/>
        <v>0</v>
      </c>
      <c r="S687" t="str" cm="1">
        <f t="array" ref="S687">IF(C687="",IFERROR(INDEX($C$2:$C$1166,MATCH(MAX(COUNTIF($C$2:$C$1166,$C$2:$C$1166)),COUNTIF($C$2:$C$1166,$C$2:$C$1166),0)),"Unknown"),C687)</f>
        <v>Jessica Lopez</v>
      </c>
      <c r="T687" s="4" t="str" cm="1">
        <f t="array" ref="T687">IF(D687="",IFERROR(INDEX($D$2:$D$1000,MATCH(MAX(COUNTIF($D$2:$D$1166,$D$2:$D$1166)),COUNTIF($D$2:$D$1166,$D$2:$D$1166),0)),"Unknown"),D687)</f>
        <v>Lucas Malik</v>
      </c>
      <c r="U687" t="str">
        <f t="shared" si="71"/>
        <v>BRL</v>
      </c>
      <c r="V687" s="7" t="str">
        <f t="shared" si="71"/>
        <v>CHF</v>
      </c>
      <c r="W687" s="7" t="str">
        <f t="shared" si="72"/>
        <v>South Africa</v>
      </c>
      <c r="X687" s="7" t="str">
        <f t="shared" si="72"/>
        <v>UK</v>
      </c>
      <c r="Y687" s="7" t="str" cm="1">
        <f t="array" ref="Y687">IF(H687="",IFERROR(INDEX($H$2:$H$1166,MATCH(MAX(COUNTIF($H$2:$H$1166,$H$2:$H$1166)),COUNTIF($H$2:$H$1166,$H$2:$H$1166),0)),"Unknown"),H687)</f>
        <v>KYC</v>
      </c>
      <c r="Z687" s="7" t="str">
        <f t="shared" si="73"/>
        <v>External</v>
      </c>
      <c r="AA687" s="7">
        <f>IF(J687="",AVERAGE($J:$J),J687)</f>
        <v>6427.33</v>
      </c>
      <c r="AB687" s="7">
        <f>IF(N687="",AVERAGE($N:$N),N687)</f>
        <v>42</v>
      </c>
      <c r="AC687" s="7">
        <f t="shared" si="74"/>
        <v>2025</v>
      </c>
      <c r="AD687" s="7">
        <f t="shared" si="75"/>
        <v>12</v>
      </c>
      <c r="AE687" s="7">
        <f>COUNTIF(A:A,A687)</f>
        <v>1</v>
      </c>
      <c r="AF687" s="7" t="str">
        <f t="shared" si="76"/>
        <v>No</v>
      </c>
    </row>
    <row r="688" spans="1:32">
      <c r="A688" t="s">
        <v>2213</v>
      </c>
      <c r="B688">
        <v>19764093</v>
      </c>
      <c r="C688" t="s">
        <v>2214</v>
      </c>
      <c r="D688" t="s">
        <v>2215</v>
      </c>
      <c r="E688">
        <v>1</v>
      </c>
      <c r="F688" t="s">
        <v>35</v>
      </c>
      <c r="G688" t="s">
        <v>393</v>
      </c>
      <c r="H688" t="s">
        <v>74</v>
      </c>
      <c r="I688" t="s">
        <v>3374</v>
      </c>
      <c r="J688">
        <v>9498.75</v>
      </c>
      <c r="K688" t="s">
        <v>27</v>
      </c>
      <c r="L688" t="s">
        <v>48</v>
      </c>
      <c r="M688" s="1">
        <v>46082.740277777775</v>
      </c>
      <c r="N688">
        <v>85</v>
      </c>
      <c r="O688" t="s">
        <v>24</v>
      </c>
      <c r="P688" t="s">
        <v>127</v>
      </c>
      <c r="Q688" t="s">
        <v>2216</v>
      </c>
      <c r="R688">
        <f t="shared" si="70"/>
        <v>19764093</v>
      </c>
      <c r="S688" t="str" cm="1">
        <f t="array" ref="S688">IF(C688="",IFERROR(INDEX($C$2:$C$1166,MATCH(MAX(COUNTIF($C$2:$C$1166,$C$2:$C$1166)),COUNTIF($C$2:$C$1166,$C$2:$C$1166),0)),"Unknown"),C688)</f>
        <v>Elizabeth Jones</v>
      </c>
      <c r="T688" s="4" t="str" cm="1">
        <f t="array" ref="T688">IF(D688="",IFERROR(INDEX($D$2:$D$1000,MATCH(MAX(COUNTIF($D$2:$D$1166,$D$2:$D$1166)),COUNTIF($D$2:$D$1166,$D$2:$D$1166),0)),"Unknown"),D688)</f>
        <v xml:space="preserve"> sanjay volkov   </v>
      </c>
      <c r="U688" t="str">
        <f t="shared" si="71"/>
        <v>EUR</v>
      </c>
      <c r="V688" s="7" t="str">
        <f t="shared" si="71"/>
        <v>cad</v>
      </c>
      <c r="W688" s="7" t="str">
        <f t="shared" si="72"/>
        <v>Brazil</v>
      </c>
      <c r="X688" s="7" t="str">
        <f t="shared" si="72"/>
        <v>Canada</v>
      </c>
      <c r="Y688" s="7" t="str" cm="1">
        <f t="array" ref="Y688">IF(H688="",IFERROR(INDEX($H$2:$H$1166,MATCH(MAX(COUNTIF($H$2:$H$1166,$H$2:$H$1166)),COUNTIF($H$2:$H$1166,$H$2:$H$1166),0)),"Unknown"),H688)</f>
        <v>Non-KYC</v>
      </c>
      <c r="Z688" s="7" t="str">
        <f t="shared" si="73"/>
        <v>External</v>
      </c>
      <c r="AA688" s="7">
        <f>IF(J688="",AVERAGE($J:$J),J688)</f>
        <v>9498.75</v>
      </c>
      <c r="AB688" s="7">
        <f>IF(N688="",AVERAGE($N:$N),N688)</f>
        <v>85</v>
      </c>
      <c r="AC688" s="7">
        <f t="shared" si="74"/>
        <v>2026</v>
      </c>
      <c r="AD688" s="7">
        <f t="shared" si="75"/>
        <v>3</v>
      </c>
      <c r="AE688" s="7">
        <f>COUNTIF(A:A,A688)</f>
        <v>1</v>
      </c>
      <c r="AF688" s="7" t="str">
        <f t="shared" si="76"/>
        <v>Yes</v>
      </c>
    </row>
    <row r="689" spans="1:32">
      <c r="A689" t="s">
        <v>2217</v>
      </c>
      <c r="B689">
        <v>29337067</v>
      </c>
      <c r="C689" t="s">
        <v>2218</v>
      </c>
      <c r="D689" t="s">
        <v>491</v>
      </c>
      <c r="E689" t="s">
        <v>20</v>
      </c>
      <c r="F689" t="s">
        <v>44</v>
      </c>
      <c r="G689" t="s">
        <v>45</v>
      </c>
      <c r="H689" t="s">
        <v>74</v>
      </c>
      <c r="I689" t="s">
        <v>3378</v>
      </c>
      <c r="J689">
        <v>12690.99</v>
      </c>
      <c r="K689" t="s">
        <v>47</v>
      </c>
      <c r="L689" t="s">
        <v>75</v>
      </c>
      <c r="M689" s="1">
        <v>44883.345138888886</v>
      </c>
      <c r="N689">
        <v>27</v>
      </c>
      <c r="O689" t="s">
        <v>127</v>
      </c>
      <c r="P689" t="s">
        <v>54</v>
      </c>
      <c r="Q689" t="s">
        <v>2219</v>
      </c>
      <c r="R689">
        <f t="shared" si="70"/>
        <v>29337067</v>
      </c>
      <c r="S689" t="str" cm="1">
        <f t="array" ref="S689">IF(C689="",IFERROR(INDEX($C$2:$C$1166,MATCH(MAX(COUNTIF($C$2:$C$1166,$C$2:$C$1166)),COUNTIF($C$2:$C$1166,$C$2:$C$1166),0)),"Unknown"),C689)</f>
        <v>Sarah Malik</v>
      </c>
      <c r="T689" s="4" t="str" cm="1">
        <f t="array" ref="T689">IF(D689="",IFERROR(INDEX($D$2:$D$1000,MATCH(MAX(COUNTIF($D$2:$D$1166,$D$2:$D$1166)),COUNTIF($D$2:$D$1166,$D$2:$D$1166),0)),"Unknown"),D689)</f>
        <v>Elena Souza</v>
      </c>
      <c r="U689" t="str">
        <f t="shared" si="71"/>
        <v>SGD</v>
      </c>
      <c r="V689" s="7" t="str">
        <f t="shared" si="71"/>
        <v>ZAR</v>
      </c>
      <c r="W689" s="7" t="str">
        <f t="shared" si="72"/>
        <v>Canada</v>
      </c>
      <c r="X689" s="7" t="str">
        <f t="shared" si="72"/>
        <v>India</v>
      </c>
      <c r="Y689" s="7" t="str" cm="1">
        <f t="array" ref="Y689">IF(H689="",IFERROR(INDEX($H$2:$H$1166,MATCH(MAX(COUNTIF($H$2:$H$1166,$H$2:$H$1166)),COUNTIF($H$2:$H$1166,$H$2:$H$1166),0)),"Unknown"),H689)</f>
        <v>Non-KYC</v>
      </c>
      <c r="Z689" s="7" t="str">
        <f t="shared" si="73"/>
        <v>Inter-Transaction</v>
      </c>
      <c r="AA689" s="7">
        <f>IF(J689="",AVERAGE($J:$J),J689)</f>
        <v>12690.99</v>
      </c>
      <c r="AB689" s="7">
        <f>IF(N689="",AVERAGE($N:$N),N689)</f>
        <v>27</v>
      </c>
      <c r="AC689" s="7">
        <f t="shared" si="74"/>
        <v>2022</v>
      </c>
      <c r="AD689" s="7">
        <f t="shared" si="75"/>
        <v>11</v>
      </c>
      <c r="AE689" s="7">
        <f>COUNTIF(A:A,A689)</f>
        <v>1</v>
      </c>
      <c r="AF689" s="7" t="str">
        <f t="shared" si="76"/>
        <v>No</v>
      </c>
    </row>
    <row r="690" spans="1:32">
      <c r="A690" t="s">
        <v>2220</v>
      </c>
      <c r="B690">
        <v>35558238</v>
      </c>
      <c r="D690" t="s">
        <v>2221</v>
      </c>
      <c r="E690" t="s">
        <v>20</v>
      </c>
      <c r="F690" t="s">
        <v>45</v>
      </c>
      <c r="G690" t="s">
        <v>112</v>
      </c>
      <c r="H690" t="s">
        <v>38</v>
      </c>
      <c r="I690" t="s">
        <v>3371</v>
      </c>
      <c r="J690">
        <v>6236.37</v>
      </c>
      <c r="K690" t="s">
        <v>39</v>
      </c>
      <c r="L690" t="s">
        <v>48</v>
      </c>
      <c r="M690" s="1">
        <v>44304.089583333334</v>
      </c>
      <c r="N690">
        <v>84</v>
      </c>
      <c r="O690" t="s">
        <v>62</v>
      </c>
      <c r="P690" t="s">
        <v>55</v>
      </c>
      <c r="Q690" t="s">
        <v>2222</v>
      </c>
      <c r="R690">
        <f t="shared" si="70"/>
        <v>35558238</v>
      </c>
      <c r="S690" t="str" cm="1">
        <f t="array" ref="S690">IF(C690="",IFERROR(INDEX($C$2:$C$1166,MATCH(MAX(COUNTIF($C$2:$C$1166,$C$2:$C$1166)),COUNTIF($C$2:$C$1166,$C$2:$C$1166),0)),"Unknown"),C690)</f>
        <v>Fatima Brown</v>
      </c>
      <c r="T690" s="4" t="str" cm="1">
        <f t="array" ref="T690">IF(D690="",IFERROR(INDEX($D$2:$D$1000,MATCH(MAX(COUNTIF($D$2:$D$1166,$D$2:$D$1166)),COUNTIF($D$2:$D$1166,$D$2:$D$1166),0)),"Unknown"),D690)</f>
        <v>Michael Miller</v>
      </c>
      <c r="U690" t="str">
        <f t="shared" si="71"/>
        <v>ZAR</v>
      </c>
      <c r="V690" s="7" t="str">
        <f t="shared" si="71"/>
        <v>usd</v>
      </c>
      <c r="W690" s="7" t="str">
        <f t="shared" si="72"/>
        <v>Australia</v>
      </c>
      <c r="X690" s="7" t="str">
        <f t="shared" si="72"/>
        <v>UK</v>
      </c>
      <c r="Y690" s="7" t="str" cm="1">
        <f t="array" ref="Y690">IF(H690="",IFERROR(INDEX($H$2:$H$1166,MATCH(MAX(COUNTIF($H$2:$H$1166,$H$2:$H$1166)),COUNTIF($H$2:$H$1166,$H$2:$H$1166),0)),"Unknown"),H690)</f>
        <v>Pending</v>
      </c>
      <c r="Z690" s="7" t="str">
        <f t="shared" si="73"/>
        <v>Outer-Transaction</v>
      </c>
      <c r="AA690" s="7">
        <f>IF(J690="",AVERAGE($J:$J),J690)</f>
        <v>6236.37</v>
      </c>
      <c r="AB690" s="7">
        <f>IF(N690="",AVERAGE($N:$N),N690)</f>
        <v>84</v>
      </c>
      <c r="AC690" s="7">
        <f t="shared" si="74"/>
        <v>2021</v>
      </c>
      <c r="AD690" s="7">
        <f t="shared" si="75"/>
        <v>4</v>
      </c>
      <c r="AE690" s="7">
        <f>COUNTIF(A:A,A690)</f>
        <v>1</v>
      </c>
      <c r="AF690" s="7" t="str">
        <f t="shared" si="76"/>
        <v>No</v>
      </c>
    </row>
    <row r="691" spans="1:32">
      <c r="A691" t="s">
        <v>2223</v>
      </c>
      <c r="B691">
        <v>71206971</v>
      </c>
      <c r="C691" t="s">
        <v>536</v>
      </c>
      <c r="D691" t="s">
        <v>2224</v>
      </c>
      <c r="E691" t="s">
        <v>3373</v>
      </c>
      <c r="F691" t="s">
        <v>44</v>
      </c>
      <c r="G691" t="s">
        <v>34</v>
      </c>
      <c r="H691" t="s">
        <v>74</v>
      </c>
      <c r="I691" t="s">
        <v>3376</v>
      </c>
      <c r="J691">
        <v>14132.64</v>
      </c>
      <c r="K691" t="s">
        <v>57</v>
      </c>
      <c r="L691" t="s">
        <v>48</v>
      </c>
      <c r="M691" s="1">
        <v>46131.693055555559</v>
      </c>
      <c r="N691">
        <v>35</v>
      </c>
      <c r="O691" t="s">
        <v>127</v>
      </c>
      <c r="P691" t="s">
        <v>37</v>
      </c>
      <c r="Q691" t="s">
        <v>2225</v>
      </c>
      <c r="R691">
        <f t="shared" si="70"/>
        <v>71206971</v>
      </c>
      <c r="S691" t="str" cm="1">
        <f t="array" ref="S691">IF(C691="",IFERROR(INDEX($C$2:$C$1166,MATCH(MAX(COUNTIF($C$2:$C$1166,$C$2:$C$1166)),COUNTIF($C$2:$C$1166,$C$2:$C$1166),0)),"Unknown"),C691)</f>
        <v>Linda Silva</v>
      </c>
      <c r="T691" s="4" t="str" cm="1">
        <f t="array" ref="T691">IF(D691="",IFERROR(INDEX($D$2:$D$1000,MATCH(MAX(COUNTIF($D$2:$D$1166,$D$2:$D$1166)),COUNTIF($D$2:$D$1166,$D$2:$D$1166),0)),"Unknown"),D691)</f>
        <v>Linda Volkov</v>
      </c>
      <c r="U691" t="str">
        <f t="shared" si="71"/>
        <v>SGD</v>
      </c>
      <c r="V691" s="7" t="str">
        <f t="shared" si="71"/>
        <v>CAD</v>
      </c>
      <c r="W691" s="7" t="str">
        <f t="shared" si="72"/>
        <v>Canada</v>
      </c>
      <c r="X691" s="7" t="str">
        <f t="shared" si="72"/>
        <v>South Africa</v>
      </c>
      <c r="Y691" s="7" t="str" cm="1">
        <f t="array" ref="Y691">IF(H691="",IFERROR(INDEX($H$2:$H$1166,MATCH(MAX(COUNTIF($H$2:$H$1166,$H$2:$H$1166)),COUNTIF($H$2:$H$1166,$H$2:$H$1166),0)),"Unknown"),H691)</f>
        <v>Non-KYC</v>
      </c>
      <c r="Z691" s="7" t="str">
        <f t="shared" si="73"/>
        <v>Internal</v>
      </c>
      <c r="AA691" s="7">
        <f>IF(J691="",AVERAGE($J:$J),J691)</f>
        <v>14132.64</v>
      </c>
      <c r="AB691" s="7">
        <f>IF(N691="",AVERAGE($N:$N),N691)</f>
        <v>35</v>
      </c>
      <c r="AC691" s="7">
        <f t="shared" si="74"/>
        <v>2026</v>
      </c>
      <c r="AD691" s="7">
        <f t="shared" si="75"/>
        <v>4</v>
      </c>
      <c r="AE691" s="7">
        <f>COUNTIF(A:A,A691)</f>
        <v>1</v>
      </c>
      <c r="AF691" s="7" t="str">
        <f t="shared" si="76"/>
        <v>Yes</v>
      </c>
    </row>
    <row r="692" spans="1:32">
      <c r="A692" t="s">
        <v>2226</v>
      </c>
      <c r="B692">
        <v>62679863</v>
      </c>
      <c r="C692" t="s">
        <v>397</v>
      </c>
      <c r="D692" t="s">
        <v>640</v>
      </c>
      <c r="E692" t="s">
        <v>3373</v>
      </c>
      <c r="F692" t="s">
        <v>35</v>
      </c>
      <c r="G692" t="s">
        <v>45</v>
      </c>
      <c r="I692" t="s">
        <v>3371</v>
      </c>
      <c r="J692">
        <v>13887.67</v>
      </c>
      <c r="K692" t="s">
        <v>27</v>
      </c>
      <c r="L692" t="s">
        <v>48</v>
      </c>
      <c r="M692" s="1">
        <v>44735.583333333336</v>
      </c>
      <c r="N692">
        <v>51</v>
      </c>
      <c r="O692" t="s">
        <v>37</v>
      </c>
      <c r="P692" t="s">
        <v>93</v>
      </c>
      <c r="Q692" t="s">
        <v>2227</v>
      </c>
      <c r="R692">
        <f t="shared" si="70"/>
        <v>62679863</v>
      </c>
      <c r="S692" t="str" cm="1">
        <f t="array" ref="S692">IF(C692="",IFERROR(INDEX($C$2:$C$1166,MATCH(MAX(COUNTIF($C$2:$C$1166,$C$2:$C$1166)),COUNTIF($C$2:$C$1166,$C$2:$C$1166),0)),"Unknown"),C692)</f>
        <v>Mary Moore</v>
      </c>
      <c r="T692" s="4" t="str" cm="1">
        <f t="array" ref="T692">IF(D692="",IFERROR(INDEX($D$2:$D$1000,MATCH(MAX(COUNTIF($D$2:$D$1166,$D$2:$D$1166)),COUNTIF($D$2:$D$1166,$D$2:$D$1166),0)),"Unknown"),D692)</f>
        <v>Zayn Garcia</v>
      </c>
      <c r="U692" t="str">
        <f t="shared" si="71"/>
        <v>EUR</v>
      </c>
      <c r="V692" s="7" t="str">
        <f t="shared" si="71"/>
        <v>ZAR</v>
      </c>
      <c r="W692" s="7" t="str">
        <f t="shared" si="72"/>
        <v>South Africa</v>
      </c>
      <c r="X692" s="7" t="str">
        <f t="shared" si="72"/>
        <v>USA</v>
      </c>
      <c r="Y692" s="7" t="str" cm="1">
        <f t="array" ref="Y692">IF(H692="",IFERROR(INDEX($H$2:$H$1166,MATCH(MAX(COUNTIF($H$2:$H$1166,$H$2:$H$1166)),COUNTIF($H$2:$H$1166,$H$2:$H$1166),0)),"Unknown"),H692)</f>
        <v>Pending</v>
      </c>
      <c r="Z692" s="7" t="str">
        <f t="shared" si="73"/>
        <v>Outer-Transaction</v>
      </c>
      <c r="AA692" s="7">
        <f>IF(J692="",AVERAGE($J:$J),J692)</f>
        <v>13887.67</v>
      </c>
      <c r="AB692" s="7">
        <f>IF(N692="",AVERAGE($N:$N),N692)</f>
        <v>51</v>
      </c>
      <c r="AC692" s="7">
        <f t="shared" si="74"/>
        <v>2022</v>
      </c>
      <c r="AD692" s="7">
        <f t="shared" si="75"/>
        <v>6</v>
      </c>
      <c r="AE692" s="7">
        <f>COUNTIF(A:A,A692)</f>
        <v>1</v>
      </c>
      <c r="AF692" s="7" t="str">
        <f t="shared" si="76"/>
        <v>Yes</v>
      </c>
    </row>
    <row r="693" spans="1:32">
      <c r="A693" t="s">
        <v>2228</v>
      </c>
      <c r="B693">
        <v>23530495</v>
      </c>
      <c r="C693" t="s">
        <v>1349</v>
      </c>
      <c r="D693" t="s">
        <v>494</v>
      </c>
      <c r="E693" t="s">
        <v>33</v>
      </c>
      <c r="F693" t="s">
        <v>116</v>
      </c>
      <c r="G693" t="s">
        <v>35</v>
      </c>
      <c r="I693" t="s">
        <v>3378</v>
      </c>
      <c r="J693">
        <v>10540.03</v>
      </c>
      <c r="K693" t="s">
        <v>47</v>
      </c>
      <c r="L693" t="s">
        <v>48</v>
      </c>
      <c r="M693" s="1">
        <v>45776.45</v>
      </c>
      <c r="N693">
        <v>25</v>
      </c>
      <c r="O693" t="s">
        <v>54</v>
      </c>
      <c r="P693" t="s">
        <v>62</v>
      </c>
      <c r="Q693" t="s">
        <v>2229</v>
      </c>
      <c r="R693">
        <f t="shared" si="70"/>
        <v>23530495</v>
      </c>
      <c r="S693" t="str" cm="1">
        <f t="array" ref="S693">IF(C693="",IFERROR(INDEX($C$2:$C$1166,MATCH(MAX(COUNTIF($C$2:$C$1166,$C$2:$C$1166)),COUNTIF($C$2:$C$1166,$C$2:$C$1166),0)),"Unknown"),C693)</f>
        <v>Fatima Wilson</v>
      </c>
      <c r="T693" s="4" t="str" cm="1">
        <f t="array" ref="T693">IF(D693="",IFERROR(INDEX($D$2:$D$1000,MATCH(MAX(COUNTIF($D$2:$D$1166,$D$2:$D$1166)),COUNTIF($D$2:$D$1166,$D$2:$D$1166),0)),"Unknown"),D693)</f>
        <v>Lucas Hernandez</v>
      </c>
      <c r="U693" t="str">
        <f t="shared" si="71"/>
        <v>CHF</v>
      </c>
      <c r="V693" s="7" t="str">
        <f t="shared" si="71"/>
        <v>EUR</v>
      </c>
      <c r="W693" s="7" t="str">
        <f t="shared" si="72"/>
        <v>India</v>
      </c>
      <c r="X693" s="7" t="str">
        <f t="shared" si="72"/>
        <v>Australia</v>
      </c>
      <c r="Y693" s="7" t="str" cm="1">
        <f t="array" ref="Y693">IF(H693="",IFERROR(INDEX($H$2:$H$1166,MATCH(MAX(COUNTIF($H$2:$H$1166,$H$2:$H$1166)),COUNTIF($H$2:$H$1166,$H$2:$H$1166),0)),"Unknown"),H693)</f>
        <v>Pending</v>
      </c>
      <c r="Z693" s="7" t="str">
        <f t="shared" si="73"/>
        <v>Inter-Transaction</v>
      </c>
      <c r="AA693" s="7">
        <f>IF(J693="",AVERAGE($J:$J),J693)</f>
        <v>10540.03</v>
      </c>
      <c r="AB693" s="7">
        <f>IF(N693="",AVERAGE($N:$N),N693)</f>
        <v>25</v>
      </c>
      <c r="AC693" s="7">
        <f t="shared" si="74"/>
        <v>2025</v>
      </c>
      <c r="AD693" s="7">
        <f t="shared" si="75"/>
        <v>4</v>
      </c>
      <c r="AE693" s="7">
        <f>COUNTIF(A:A,A693)</f>
        <v>1</v>
      </c>
      <c r="AF693" s="7" t="str">
        <f t="shared" si="76"/>
        <v>Yes</v>
      </c>
    </row>
    <row r="694" spans="1:32">
      <c r="A694" t="s">
        <v>2230</v>
      </c>
      <c r="B694">
        <v>31684442</v>
      </c>
      <c r="C694" t="s">
        <v>1762</v>
      </c>
      <c r="D694" t="s">
        <v>409</v>
      </c>
      <c r="E694" t="s">
        <v>20</v>
      </c>
      <c r="F694" t="s">
        <v>116</v>
      </c>
      <c r="G694" t="s">
        <v>34</v>
      </c>
      <c r="I694" t="s">
        <v>3377</v>
      </c>
      <c r="J694">
        <v>2715.1</v>
      </c>
      <c r="K694" t="s">
        <v>39</v>
      </c>
      <c r="L694" t="s">
        <v>81</v>
      </c>
      <c r="M694" s="1">
        <v>44216.17083333333</v>
      </c>
      <c r="N694">
        <v>57</v>
      </c>
      <c r="O694" t="s">
        <v>36</v>
      </c>
      <c r="P694" t="s">
        <v>55</v>
      </c>
      <c r="Q694" t="s">
        <v>2231</v>
      </c>
      <c r="R694">
        <f t="shared" si="70"/>
        <v>31684442</v>
      </c>
      <c r="S694" t="str" cm="1">
        <f t="array" ref="S694">IF(C694="",IFERROR(INDEX($C$2:$C$1166,MATCH(MAX(COUNTIF($C$2:$C$1166,$C$2:$C$1166)),COUNTIF($C$2:$C$1166,$C$2:$C$1166),0)),"Unknown"),C694)</f>
        <v>Lucas Gonzalez</v>
      </c>
      <c r="T694" s="4" t="str" cm="1">
        <f t="array" ref="T694">IF(D694="",IFERROR(INDEX($D$2:$D$1000,MATCH(MAX(COUNTIF($D$2:$D$1166,$D$2:$D$1166)),COUNTIF($D$2:$D$1166,$D$2:$D$1166),0)),"Unknown"),D694)</f>
        <v>Barbara Davis</v>
      </c>
      <c r="U694" t="str">
        <f t="shared" si="71"/>
        <v>CHF</v>
      </c>
      <c r="V694" s="7" t="str">
        <f t="shared" si="71"/>
        <v>CAD</v>
      </c>
      <c r="W694" s="7" t="str">
        <f t="shared" si="72"/>
        <v>Germany</v>
      </c>
      <c r="X694" s="7" t="str">
        <f t="shared" si="72"/>
        <v>UK</v>
      </c>
      <c r="Y694" s="7" t="str" cm="1">
        <f t="array" ref="Y694">IF(H694="",IFERROR(INDEX($H$2:$H$1166,MATCH(MAX(COUNTIF($H$2:$H$1166,$H$2:$H$1166)),COUNTIF($H$2:$H$1166,$H$2:$H$1166),0)),"Unknown"),H694)</f>
        <v>Pending</v>
      </c>
      <c r="Z694" s="7" t="str">
        <f t="shared" si="73"/>
        <v>Inter-Transaction</v>
      </c>
      <c r="AA694" s="7">
        <f>IF(J694="",AVERAGE($J:$J),J694)</f>
        <v>2715.1</v>
      </c>
      <c r="AB694" s="7">
        <f>IF(N694="",AVERAGE($N:$N),N694)</f>
        <v>57</v>
      </c>
      <c r="AC694" s="7">
        <f t="shared" si="74"/>
        <v>2021</v>
      </c>
      <c r="AD694" s="7">
        <f t="shared" si="75"/>
        <v>1</v>
      </c>
      <c r="AE694" s="7">
        <f>COUNTIF(A:A,A694)</f>
        <v>2</v>
      </c>
      <c r="AF694" s="7" t="str">
        <f t="shared" si="76"/>
        <v>No</v>
      </c>
    </row>
    <row r="695" spans="1:32">
      <c r="A695" t="s">
        <v>2232</v>
      </c>
      <c r="B695">
        <v>80732751</v>
      </c>
      <c r="C695" t="s">
        <v>582</v>
      </c>
      <c r="D695" t="s">
        <v>146</v>
      </c>
      <c r="F695" t="s">
        <v>22</v>
      </c>
      <c r="G695" t="s">
        <v>34</v>
      </c>
      <c r="H695" t="s">
        <v>25</v>
      </c>
      <c r="I695" t="s">
        <v>3374</v>
      </c>
      <c r="J695">
        <v>11293.71</v>
      </c>
      <c r="K695" t="s">
        <v>86</v>
      </c>
      <c r="L695" t="s">
        <v>48</v>
      </c>
      <c r="M695" s="1">
        <v>43892.788888888892</v>
      </c>
      <c r="N695">
        <v>59</v>
      </c>
      <c r="O695" t="s">
        <v>24</v>
      </c>
      <c r="P695" t="s">
        <v>23</v>
      </c>
      <c r="Q695" t="s">
        <v>2233</v>
      </c>
      <c r="R695">
        <f t="shared" si="70"/>
        <v>80732751</v>
      </c>
      <c r="S695" t="str" cm="1">
        <f t="array" ref="S695">IF(C695="",IFERROR(INDEX($C$2:$C$1166,MATCH(MAX(COUNTIF($C$2:$C$1166,$C$2:$C$1166)),COUNTIF($C$2:$C$1166,$C$2:$C$1166),0)),"Unknown"),C695)</f>
        <v>Priya Thomas</v>
      </c>
      <c r="T695" s="4" t="str" cm="1">
        <f t="array" ref="T695">IF(D695="",IFERROR(INDEX($D$2:$D$1000,MATCH(MAX(COUNTIF($D$2:$D$1166,$D$2:$D$1166)),COUNTIF($D$2:$D$1166,$D$2:$D$1166),0)),"Unknown"),D695)</f>
        <v>Fatima Brown</v>
      </c>
      <c r="U695" t="str">
        <f t="shared" si="71"/>
        <v>BRL</v>
      </c>
      <c r="V695" s="7" t="str">
        <f t="shared" si="71"/>
        <v>CAD</v>
      </c>
      <c r="W695" s="7" t="str">
        <f t="shared" si="72"/>
        <v>Brazil</v>
      </c>
      <c r="X695" s="7" t="str">
        <f t="shared" si="72"/>
        <v>France</v>
      </c>
      <c r="Y695" s="7" t="str" cm="1">
        <f t="array" ref="Y695">IF(H695="",IFERROR(INDEX($H$2:$H$1166,MATCH(MAX(COUNTIF($H$2:$H$1166,$H$2:$H$1166)),COUNTIF($H$2:$H$1166,$H$2:$H$1166),0)),"Unknown"),H695)</f>
        <v>KYC</v>
      </c>
      <c r="Z695" s="7" t="str">
        <f t="shared" si="73"/>
        <v>External</v>
      </c>
      <c r="AA695" s="7">
        <f>IF(J695="",AVERAGE($J:$J),J695)</f>
        <v>11293.71</v>
      </c>
      <c r="AB695" s="7">
        <f>IF(N695="",AVERAGE($N:$N),N695)</f>
        <v>59</v>
      </c>
      <c r="AC695" s="7">
        <f t="shared" si="74"/>
        <v>2020</v>
      </c>
      <c r="AD695" s="7">
        <f t="shared" si="75"/>
        <v>3</v>
      </c>
      <c r="AE695" s="7">
        <f>COUNTIF(A:A,A695)</f>
        <v>1</v>
      </c>
      <c r="AF695" s="7" t="str">
        <f t="shared" si="76"/>
        <v/>
      </c>
    </row>
    <row r="696" spans="1:32">
      <c r="A696" t="s">
        <v>2234</v>
      </c>
      <c r="B696">
        <v>84384809</v>
      </c>
      <c r="C696" t="s">
        <v>1958</v>
      </c>
      <c r="D696" t="s">
        <v>1073</v>
      </c>
      <c r="F696" t="s">
        <v>98</v>
      </c>
      <c r="G696" t="s">
        <v>98</v>
      </c>
      <c r="I696" t="s">
        <v>3378</v>
      </c>
      <c r="J696">
        <v>10013.549999999999</v>
      </c>
      <c r="K696" t="s">
        <v>57</v>
      </c>
      <c r="L696" t="s">
        <v>48</v>
      </c>
      <c r="M696" s="1">
        <v>44345.977777777778</v>
      </c>
      <c r="N696">
        <v>58</v>
      </c>
      <c r="O696" t="s">
        <v>37</v>
      </c>
      <c r="P696" t="s">
        <v>54</v>
      </c>
      <c r="Q696" t="s">
        <v>2235</v>
      </c>
      <c r="R696">
        <f t="shared" si="70"/>
        <v>84384809</v>
      </c>
      <c r="S696" t="str" cm="1">
        <f t="array" ref="S696">IF(C696="",IFERROR(INDEX($C$2:$C$1166,MATCH(MAX(COUNTIF($C$2:$C$1166,$C$2:$C$1166)),COUNTIF($C$2:$C$1166,$C$2:$C$1166),0)),"Unknown"),C696)</f>
        <v>Sarah Martin</v>
      </c>
      <c r="T696" s="4" t="str" cm="1">
        <f t="array" ref="T696">IF(D696="",IFERROR(INDEX($D$2:$D$1000,MATCH(MAX(COUNTIF($D$2:$D$1166,$D$2:$D$1166)),COUNTIF($D$2:$D$1166,$D$2:$D$1166),0)),"Unknown"),D696)</f>
        <v>Lucas Velez</v>
      </c>
      <c r="U696" t="str">
        <f t="shared" si="71"/>
        <v>JPY</v>
      </c>
      <c r="V696" s="7" t="str">
        <f t="shared" si="71"/>
        <v>JPY</v>
      </c>
      <c r="W696" s="7" t="str">
        <f t="shared" si="72"/>
        <v>South Africa</v>
      </c>
      <c r="X696" s="7" t="str">
        <f t="shared" si="72"/>
        <v>India</v>
      </c>
      <c r="Y696" s="7" t="str" cm="1">
        <f t="array" ref="Y696">IF(H696="",IFERROR(INDEX($H$2:$H$1166,MATCH(MAX(COUNTIF($H$2:$H$1166,$H$2:$H$1166)),COUNTIF($H$2:$H$1166,$H$2:$H$1166),0)),"Unknown"),H696)</f>
        <v>Pending</v>
      </c>
      <c r="Z696" s="7" t="str">
        <f t="shared" si="73"/>
        <v>Inter-Transaction</v>
      </c>
      <c r="AA696" s="7">
        <f>IF(J696="",AVERAGE($J:$J),J696)</f>
        <v>10013.549999999999</v>
      </c>
      <c r="AB696" s="7">
        <f>IF(N696="",AVERAGE($N:$N),N696)</f>
        <v>58</v>
      </c>
      <c r="AC696" s="7">
        <f t="shared" si="74"/>
        <v>2021</v>
      </c>
      <c r="AD696" s="7">
        <f t="shared" si="75"/>
        <v>5</v>
      </c>
      <c r="AE696" s="7">
        <f>COUNTIF(A:A,A696)</f>
        <v>1</v>
      </c>
      <c r="AF696" s="7" t="str">
        <f t="shared" si="76"/>
        <v/>
      </c>
    </row>
    <row r="697" spans="1:32">
      <c r="A697" t="s">
        <v>2236</v>
      </c>
      <c r="B697">
        <v>37111336</v>
      </c>
      <c r="C697" t="s">
        <v>423</v>
      </c>
      <c r="D697" t="s">
        <v>2237</v>
      </c>
      <c r="F697" t="s">
        <v>45</v>
      </c>
      <c r="G697" t="s">
        <v>35</v>
      </c>
      <c r="H697" t="s">
        <v>74</v>
      </c>
      <c r="I697" t="s">
        <v>3371</v>
      </c>
      <c r="J697">
        <v>13081.38</v>
      </c>
      <c r="K697" t="s">
        <v>27</v>
      </c>
      <c r="L697" t="s">
        <v>28</v>
      </c>
      <c r="M697" s="1">
        <v>44260.606944444444</v>
      </c>
      <c r="N697">
        <v>23</v>
      </c>
      <c r="O697" t="s">
        <v>37</v>
      </c>
      <c r="P697" t="s">
        <v>55</v>
      </c>
      <c r="Q697" t="s">
        <v>2238</v>
      </c>
      <c r="R697">
        <f t="shared" si="70"/>
        <v>37111336</v>
      </c>
      <c r="S697" t="str" cm="1">
        <f t="array" ref="S697">IF(C697="",IFERROR(INDEX($C$2:$C$1166,MATCH(MAX(COUNTIF($C$2:$C$1166,$C$2:$C$1166)),COUNTIF($C$2:$C$1166,$C$2:$C$1166),0)),"Unknown"),C697)</f>
        <v>John Rodriguez</v>
      </c>
      <c r="T697" s="4" t="str" cm="1">
        <f t="array" ref="T697">IF(D697="",IFERROR(INDEX($D$2:$D$1000,MATCH(MAX(COUNTIF($D$2:$D$1166,$D$2:$D$1166)),COUNTIF($D$2:$D$1166,$D$2:$D$1166),0)),"Unknown"),D697)</f>
        <v xml:space="preserve"> barbara davis   </v>
      </c>
      <c r="U697" t="str">
        <f t="shared" si="71"/>
        <v>ZAR</v>
      </c>
      <c r="V697" s="7" t="str">
        <f t="shared" si="71"/>
        <v>EUR</v>
      </c>
      <c r="W697" s="7" t="str">
        <f t="shared" si="72"/>
        <v>South Africa</v>
      </c>
      <c r="X697" s="7" t="str">
        <f t="shared" si="72"/>
        <v>UK</v>
      </c>
      <c r="Y697" s="7" t="str" cm="1">
        <f t="array" ref="Y697">IF(H697="",IFERROR(INDEX($H$2:$H$1166,MATCH(MAX(COUNTIF($H$2:$H$1166,$H$2:$H$1166)),COUNTIF($H$2:$H$1166,$H$2:$H$1166),0)),"Unknown"),H697)</f>
        <v>Non-KYC</v>
      </c>
      <c r="Z697" s="7" t="str">
        <f t="shared" si="73"/>
        <v>Outer-Transaction</v>
      </c>
      <c r="AA697" s="7">
        <f>IF(J697="",AVERAGE($J:$J),J697)</f>
        <v>13081.38</v>
      </c>
      <c r="AB697" s="7">
        <f>IF(N697="",AVERAGE($N:$N),N697)</f>
        <v>23</v>
      </c>
      <c r="AC697" s="7">
        <f t="shared" si="74"/>
        <v>2021</v>
      </c>
      <c r="AD697" s="7">
        <f t="shared" si="75"/>
        <v>3</v>
      </c>
      <c r="AE697" s="7">
        <f>COUNTIF(A:A,A697)</f>
        <v>1</v>
      </c>
      <c r="AF697" s="7" t="str">
        <f t="shared" si="76"/>
        <v/>
      </c>
    </row>
    <row r="698" spans="1:32">
      <c r="A698" t="s">
        <v>2239</v>
      </c>
      <c r="B698">
        <v>50639874</v>
      </c>
      <c r="C698" t="s">
        <v>2240</v>
      </c>
      <c r="D698" t="s">
        <v>2241</v>
      </c>
      <c r="F698" t="s">
        <v>294</v>
      </c>
      <c r="G698" t="s">
        <v>121</v>
      </c>
      <c r="H698" t="s">
        <v>25</v>
      </c>
      <c r="I698" t="s">
        <v>3371</v>
      </c>
      <c r="J698">
        <v>10304.74</v>
      </c>
      <c r="K698" t="s">
        <v>39</v>
      </c>
      <c r="L698" t="s">
        <v>28</v>
      </c>
      <c r="M698" s="1">
        <v>44410.60833333333</v>
      </c>
      <c r="N698">
        <v>69</v>
      </c>
      <c r="O698" t="s">
        <v>93</v>
      </c>
      <c r="P698" t="s">
        <v>55</v>
      </c>
      <c r="Q698" t="s">
        <v>2242</v>
      </c>
      <c r="R698">
        <f t="shared" si="70"/>
        <v>50639874</v>
      </c>
      <c r="S698" t="str" cm="1">
        <f t="array" ref="S698">IF(C698="",IFERROR(INDEX($C$2:$C$1166,MATCH(MAX(COUNTIF($C$2:$C$1166,$C$2:$C$1166)),COUNTIF($C$2:$C$1166,$C$2:$C$1166),0)),"Unknown"),C698)</f>
        <v>William Thomas</v>
      </c>
      <c r="T698" s="4" t="str" cm="1">
        <f t="array" ref="T698">IF(D698="",IFERROR(INDEX($D$2:$D$1000,MATCH(MAX(COUNTIF($D$2:$D$1166,$D$2:$D$1166)),COUNTIF($D$2:$D$1166,$D$2:$D$1166),0)),"Unknown"),D698)</f>
        <v>David Nair</v>
      </c>
      <c r="U698" t="str">
        <f t="shared" si="71"/>
        <v>jpy</v>
      </c>
      <c r="V698" s="7" t="str">
        <f t="shared" si="71"/>
        <v>INR</v>
      </c>
      <c r="W698" s="7" t="str">
        <f t="shared" si="72"/>
        <v>USA</v>
      </c>
      <c r="X698" s="7" t="str">
        <f t="shared" si="72"/>
        <v>UK</v>
      </c>
      <c r="Y698" s="7" t="str" cm="1">
        <f t="array" ref="Y698">IF(H698="",IFERROR(INDEX($H$2:$H$1166,MATCH(MAX(COUNTIF($H$2:$H$1166,$H$2:$H$1166)),COUNTIF($H$2:$H$1166,$H$2:$H$1166),0)),"Unknown"),H698)</f>
        <v>KYC</v>
      </c>
      <c r="Z698" s="7" t="str">
        <f t="shared" si="73"/>
        <v>Outer-Transaction</v>
      </c>
      <c r="AA698" s="7">
        <f>IF(J698="",AVERAGE($J:$J),J698)</f>
        <v>10304.74</v>
      </c>
      <c r="AB698" s="7">
        <f>IF(N698="",AVERAGE($N:$N),N698)</f>
        <v>69</v>
      </c>
      <c r="AC698" s="7">
        <f t="shared" si="74"/>
        <v>2021</v>
      </c>
      <c r="AD698" s="7">
        <f t="shared" si="75"/>
        <v>8</v>
      </c>
      <c r="AE698" s="7">
        <f>COUNTIF(A:A,A698)</f>
        <v>1</v>
      </c>
      <c r="AF698" s="7" t="str">
        <f t="shared" si="76"/>
        <v/>
      </c>
    </row>
    <row r="699" spans="1:32">
      <c r="A699" t="s">
        <v>2243</v>
      </c>
      <c r="B699">
        <v>71786427</v>
      </c>
      <c r="C699" t="s">
        <v>861</v>
      </c>
      <c r="D699" t="s">
        <v>2244</v>
      </c>
      <c r="F699" t="s">
        <v>35</v>
      </c>
      <c r="G699" t="s">
        <v>116</v>
      </c>
      <c r="H699" t="s">
        <v>74</v>
      </c>
      <c r="I699" t="s">
        <v>3377</v>
      </c>
      <c r="J699">
        <v>1823.14</v>
      </c>
      <c r="K699" t="s">
        <v>86</v>
      </c>
      <c r="L699" t="s">
        <v>81</v>
      </c>
      <c r="M699" s="1">
        <v>45391.924305555556</v>
      </c>
      <c r="N699">
        <v>43</v>
      </c>
      <c r="O699" t="s">
        <v>68</v>
      </c>
      <c r="P699" t="s">
        <v>23</v>
      </c>
      <c r="Q699" t="s">
        <v>2245</v>
      </c>
      <c r="R699">
        <f t="shared" si="70"/>
        <v>71786427</v>
      </c>
      <c r="S699" t="str" cm="1">
        <f t="array" ref="S699">IF(C699="",IFERROR(INDEX($C$2:$C$1166,MATCH(MAX(COUNTIF($C$2:$C$1166,$C$2:$C$1166)),COUNTIF($C$2:$C$1166,$C$2:$C$1166),0)),"Unknown"),C699)</f>
        <v>Jessica Anderson</v>
      </c>
      <c r="T699" s="4" t="str" cm="1">
        <f t="array" ref="T699">IF(D699="",IFERROR(INDEX($D$2:$D$1000,MATCH(MAX(COUNTIF($D$2:$D$1166,$D$2:$D$1166)),COUNTIF($D$2:$D$1166,$D$2:$D$1166),0)),"Unknown"),D699)</f>
        <v>Jean-Pierre Velez</v>
      </c>
      <c r="U699" t="str">
        <f t="shared" si="71"/>
        <v>EUR</v>
      </c>
      <c r="V699" s="7" t="str">
        <f t="shared" si="71"/>
        <v>CHF</v>
      </c>
      <c r="W699" s="7" t="str">
        <f t="shared" si="72"/>
        <v>UAE</v>
      </c>
      <c r="X699" s="7" t="str">
        <f t="shared" si="72"/>
        <v>France</v>
      </c>
      <c r="Y699" s="7" t="str" cm="1">
        <f t="array" ref="Y699">IF(H699="",IFERROR(INDEX($H$2:$H$1166,MATCH(MAX(COUNTIF($H$2:$H$1166,$H$2:$H$1166)),COUNTIF($H$2:$H$1166,$H$2:$H$1166),0)),"Unknown"),H699)</f>
        <v>Non-KYC</v>
      </c>
      <c r="Z699" s="7" t="str">
        <f t="shared" si="73"/>
        <v>Inter-Transaction</v>
      </c>
      <c r="AA699" s="7">
        <f>IF(J699="",AVERAGE($J:$J),J699)</f>
        <v>1823.14</v>
      </c>
      <c r="AB699" s="7">
        <f>IF(N699="",AVERAGE($N:$N),N699)</f>
        <v>43</v>
      </c>
      <c r="AC699" s="7">
        <f t="shared" si="74"/>
        <v>2024</v>
      </c>
      <c r="AD699" s="7">
        <f t="shared" si="75"/>
        <v>4</v>
      </c>
      <c r="AE699" s="7">
        <f>COUNTIF(A:A,A699)</f>
        <v>1</v>
      </c>
      <c r="AF699" s="7" t="str">
        <f t="shared" si="76"/>
        <v/>
      </c>
    </row>
    <row r="700" spans="1:32">
      <c r="A700" t="s">
        <v>2246</v>
      </c>
      <c r="C700" t="s">
        <v>2247</v>
      </c>
      <c r="D700" t="s">
        <v>1216</v>
      </c>
      <c r="F700" t="s">
        <v>34</v>
      </c>
      <c r="G700" t="s">
        <v>121</v>
      </c>
      <c r="H700" t="s">
        <v>38</v>
      </c>
      <c r="I700" t="s">
        <v>3377</v>
      </c>
      <c r="J700">
        <v>2252.98</v>
      </c>
      <c r="K700" t="s">
        <v>57</v>
      </c>
      <c r="L700" t="s">
        <v>48</v>
      </c>
      <c r="M700" s="1">
        <v>44995.816666666666</v>
      </c>
      <c r="N700">
        <v>81</v>
      </c>
      <c r="O700" t="s">
        <v>36</v>
      </c>
      <c r="P700" t="s">
        <v>37</v>
      </c>
      <c r="Q700" t="s">
        <v>2248</v>
      </c>
      <c r="R700">
        <f t="shared" si="70"/>
        <v>0</v>
      </c>
      <c r="S700" t="str" cm="1">
        <f t="array" ref="S700">IF(C700="",IFERROR(INDEX($C$2:$C$1166,MATCH(MAX(COUNTIF($C$2:$C$1166,$C$2:$C$1166)),COUNTIF($C$2:$C$1166,$C$2:$C$1166),0)),"Unknown"),C700)</f>
        <v>Mary Martinez</v>
      </c>
      <c r="T700" s="4" t="str" cm="1">
        <f t="array" ref="T700">IF(D700="",IFERROR(INDEX($D$2:$D$1000,MATCH(MAX(COUNTIF($D$2:$D$1166,$D$2:$D$1166)),COUNTIF($D$2:$D$1166,$D$2:$D$1166),0)),"Unknown"),D700)</f>
        <v>Christopher Miller</v>
      </c>
      <c r="U700" t="str">
        <f t="shared" si="71"/>
        <v>CAD</v>
      </c>
      <c r="V700" s="7" t="str">
        <f t="shared" si="71"/>
        <v>INR</v>
      </c>
      <c r="W700" s="7" t="str">
        <f t="shared" si="72"/>
        <v>Germany</v>
      </c>
      <c r="X700" s="7" t="str">
        <f t="shared" si="72"/>
        <v>South Africa</v>
      </c>
      <c r="Y700" s="7" t="str" cm="1">
        <f t="array" ref="Y700">IF(H700="",IFERROR(INDEX($H$2:$H$1166,MATCH(MAX(COUNTIF($H$2:$H$1166,$H$2:$H$1166)),COUNTIF($H$2:$H$1166,$H$2:$H$1166),0)),"Unknown"),H700)</f>
        <v>Pending</v>
      </c>
      <c r="Z700" s="7" t="str">
        <f t="shared" si="73"/>
        <v>Inter-Transaction</v>
      </c>
      <c r="AA700" s="7">
        <f>IF(J700="",AVERAGE($J:$J),J700)</f>
        <v>2252.98</v>
      </c>
      <c r="AB700" s="7">
        <f>IF(N700="",AVERAGE($N:$N),N700)</f>
        <v>81</v>
      </c>
      <c r="AC700" s="7">
        <f t="shared" si="74"/>
        <v>2023</v>
      </c>
      <c r="AD700" s="7">
        <f t="shared" si="75"/>
        <v>3</v>
      </c>
      <c r="AE700" s="7">
        <f>COUNTIF(A:A,A700)</f>
        <v>1</v>
      </c>
      <c r="AF700" s="7" t="str">
        <f t="shared" si="76"/>
        <v/>
      </c>
    </row>
    <row r="701" spans="1:32">
      <c r="A701" t="s">
        <v>2249</v>
      </c>
      <c r="B701">
        <v>87367064</v>
      </c>
      <c r="C701" t="s">
        <v>994</v>
      </c>
      <c r="D701" t="s">
        <v>2250</v>
      </c>
      <c r="F701" t="s">
        <v>160</v>
      </c>
      <c r="G701" t="s">
        <v>21</v>
      </c>
      <c r="H701" t="s">
        <v>103</v>
      </c>
      <c r="I701" t="s">
        <v>3374</v>
      </c>
      <c r="J701">
        <v>5713.63</v>
      </c>
      <c r="K701" t="s">
        <v>86</v>
      </c>
      <c r="L701" t="s">
        <v>28</v>
      </c>
      <c r="M701" s="1">
        <v>45154.088888888888</v>
      </c>
      <c r="N701">
        <v>76</v>
      </c>
      <c r="O701" t="s">
        <v>24</v>
      </c>
      <c r="P701" t="s">
        <v>55</v>
      </c>
      <c r="Q701" t="s">
        <v>2251</v>
      </c>
      <c r="R701">
        <f t="shared" si="70"/>
        <v>87367064</v>
      </c>
      <c r="S701" t="str" cm="1">
        <f t="array" ref="S701">IF(C701="",IFERROR(INDEX($C$2:$C$1166,MATCH(MAX(COUNTIF($C$2:$C$1166,$C$2:$C$1166)),COUNTIF($C$2:$C$1166,$C$2:$C$1166),0)),"Unknown"),C701)</f>
        <v>Marta Hernandez</v>
      </c>
      <c r="T701" s="4" t="str" cm="1">
        <f t="array" ref="T701">IF(D701="",IFERROR(INDEX($D$2:$D$1000,MATCH(MAX(COUNTIF($D$2:$D$1166,$D$2:$D$1166)),COUNTIF($D$2:$D$1166,$D$2:$D$1166),0)),"Unknown"),D701)</f>
        <v>Michael Jones</v>
      </c>
      <c r="U701" t="str">
        <f t="shared" si="71"/>
        <v>aud</v>
      </c>
      <c r="V701" s="7" t="str">
        <f t="shared" si="71"/>
        <v>GBP</v>
      </c>
      <c r="W701" s="7" t="str">
        <f t="shared" si="72"/>
        <v>Brazil</v>
      </c>
      <c r="X701" s="7" t="str">
        <f t="shared" si="72"/>
        <v>UK</v>
      </c>
      <c r="Y701" s="7" t="str" cm="1">
        <f t="array" ref="Y701">IF(H701="",IFERROR(INDEX($H$2:$H$1166,MATCH(MAX(COUNTIF($H$2:$H$1166,$H$2:$H$1166)),COUNTIF($H$2:$H$1166,$H$2:$H$1166),0)),"Unknown"),H701)</f>
        <v>Verified</v>
      </c>
      <c r="Z701" s="7" t="str">
        <f t="shared" si="73"/>
        <v>External</v>
      </c>
      <c r="AA701" s="7">
        <f>IF(J701="",AVERAGE($J:$J),J701)</f>
        <v>5713.63</v>
      </c>
      <c r="AB701" s="7">
        <f>IF(N701="",AVERAGE($N:$N),N701)</f>
        <v>76</v>
      </c>
      <c r="AC701" s="7">
        <f t="shared" si="74"/>
        <v>2023</v>
      </c>
      <c r="AD701" s="7">
        <f t="shared" si="75"/>
        <v>8</v>
      </c>
      <c r="AE701" s="7">
        <f>COUNTIF(A:A,A701)</f>
        <v>1</v>
      </c>
      <c r="AF701" s="7" t="str">
        <f t="shared" si="76"/>
        <v/>
      </c>
    </row>
    <row r="702" spans="1:32">
      <c r="A702" t="s">
        <v>2252</v>
      </c>
      <c r="B702">
        <v>40717503</v>
      </c>
      <c r="C702" t="s">
        <v>1032</v>
      </c>
      <c r="D702" t="s">
        <v>405</v>
      </c>
      <c r="F702" t="s">
        <v>34</v>
      </c>
      <c r="G702" t="s">
        <v>98</v>
      </c>
      <c r="H702" t="s">
        <v>25</v>
      </c>
      <c r="I702" t="s">
        <v>3378</v>
      </c>
      <c r="J702">
        <v>14123.27</v>
      </c>
      <c r="K702" t="s">
        <v>47</v>
      </c>
      <c r="L702" t="s">
        <v>28</v>
      </c>
      <c r="M702" s="1">
        <v>46189.359722222223</v>
      </c>
      <c r="N702">
        <v>73</v>
      </c>
      <c r="O702" t="s">
        <v>54</v>
      </c>
      <c r="P702" t="s">
        <v>62</v>
      </c>
      <c r="Q702" t="s">
        <v>1836</v>
      </c>
      <c r="R702">
        <f t="shared" si="70"/>
        <v>40717503</v>
      </c>
      <c r="S702" t="str" cm="1">
        <f t="array" ref="S702">IF(C702="",IFERROR(INDEX($C$2:$C$1166,MATCH(MAX(COUNTIF($C$2:$C$1166,$C$2:$C$1166)),COUNTIF($C$2:$C$1166,$C$2:$C$1166),0)),"Unknown"),C702)</f>
        <v>Thomas Brown</v>
      </c>
      <c r="T702" s="4" t="str" cm="1">
        <f t="array" ref="T702">IF(D702="",IFERROR(INDEX($D$2:$D$1000,MATCH(MAX(COUNTIF($D$2:$D$1166,$D$2:$D$1166)),COUNTIF($D$2:$D$1166,$D$2:$D$1166),0)),"Unknown"),D702)</f>
        <v>Michael Rodriguez</v>
      </c>
      <c r="U702" t="str">
        <f t="shared" si="71"/>
        <v>CAD</v>
      </c>
      <c r="V702" s="7" t="str">
        <f t="shared" si="71"/>
        <v>JPY</v>
      </c>
      <c r="W702" s="7" t="str">
        <f t="shared" si="72"/>
        <v>India</v>
      </c>
      <c r="X702" s="7" t="str">
        <f t="shared" si="72"/>
        <v>Australia</v>
      </c>
      <c r="Y702" s="7" t="str" cm="1">
        <f t="array" ref="Y702">IF(H702="",IFERROR(INDEX($H$2:$H$1166,MATCH(MAX(COUNTIF($H$2:$H$1166,$H$2:$H$1166)),COUNTIF($H$2:$H$1166,$H$2:$H$1166),0)),"Unknown"),H702)</f>
        <v>KYC</v>
      </c>
      <c r="Z702" s="7" t="str">
        <f t="shared" si="73"/>
        <v>Inter-Transaction</v>
      </c>
      <c r="AA702" s="7">
        <f>IF(J702="",AVERAGE($J:$J),J702)</f>
        <v>14123.27</v>
      </c>
      <c r="AB702" s="7">
        <f>IF(N702="",AVERAGE($N:$N),N702)</f>
        <v>73</v>
      </c>
      <c r="AC702" s="7">
        <f t="shared" si="74"/>
        <v>2026</v>
      </c>
      <c r="AD702" s="7">
        <f t="shared" si="75"/>
        <v>6</v>
      </c>
      <c r="AE702" s="7">
        <f>COUNTIF(A:A,A702)</f>
        <v>1</v>
      </c>
      <c r="AF702" s="7" t="str">
        <f t="shared" si="76"/>
        <v/>
      </c>
    </row>
    <row r="703" spans="1:32">
      <c r="A703" t="s">
        <v>2253</v>
      </c>
      <c r="B703">
        <v>32327365</v>
      </c>
      <c r="C703" t="s">
        <v>1002</v>
      </c>
      <c r="D703" t="s">
        <v>1099</v>
      </c>
      <c r="F703" t="s">
        <v>35</v>
      </c>
      <c r="G703" t="s">
        <v>92</v>
      </c>
      <c r="I703" t="s">
        <v>3374</v>
      </c>
      <c r="J703">
        <v>14177.84</v>
      </c>
      <c r="K703" t="s">
        <v>86</v>
      </c>
      <c r="L703" t="s">
        <v>75</v>
      </c>
      <c r="M703" s="1">
        <v>44301.056944444441</v>
      </c>
      <c r="N703">
        <v>76</v>
      </c>
      <c r="O703" t="s">
        <v>54</v>
      </c>
      <c r="P703" t="s">
        <v>127</v>
      </c>
      <c r="Q703" t="s">
        <v>2254</v>
      </c>
      <c r="R703">
        <f t="shared" si="70"/>
        <v>32327365</v>
      </c>
      <c r="S703" t="str" cm="1">
        <f t="array" ref="S703">IF(C703="",IFERROR(INDEX($C$2:$C$1166,MATCH(MAX(COUNTIF($C$2:$C$1166,$C$2:$C$1166)),COUNTIF($C$2:$C$1166,$C$2:$C$1166),0)),"Unknown"),C703)</f>
        <v>Nancy Martin</v>
      </c>
      <c r="T703" s="4" t="str" cm="1">
        <f t="array" ref="T703">IF(D703="",IFERROR(INDEX($D$2:$D$1000,MATCH(MAX(COUNTIF($D$2:$D$1166,$D$2:$D$1166)),COUNTIF($D$2:$D$1166,$D$2:$D$1166),0)),"Unknown"),D703)</f>
        <v>Mary Anderson</v>
      </c>
      <c r="U703" t="str">
        <f t="shared" si="71"/>
        <v>EUR</v>
      </c>
      <c r="V703" s="7" t="str">
        <f t="shared" si="71"/>
        <v>AUD</v>
      </c>
      <c r="W703" s="7" t="str">
        <f t="shared" si="72"/>
        <v>India</v>
      </c>
      <c r="X703" s="7" t="str">
        <f t="shared" si="72"/>
        <v>Canada</v>
      </c>
      <c r="Y703" s="7" t="str" cm="1">
        <f t="array" ref="Y703">IF(H703="",IFERROR(INDEX($H$2:$H$1166,MATCH(MAX(COUNTIF($H$2:$H$1166,$H$2:$H$1166)),COUNTIF($H$2:$H$1166,$H$2:$H$1166),0)),"Unknown"),H703)</f>
        <v>Pending</v>
      </c>
      <c r="Z703" s="7" t="str">
        <f t="shared" si="73"/>
        <v>External</v>
      </c>
      <c r="AA703" s="7">
        <f>IF(J703="",AVERAGE($J:$J),J703)</f>
        <v>14177.84</v>
      </c>
      <c r="AB703" s="7">
        <f>IF(N703="",AVERAGE($N:$N),N703)</f>
        <v>76</v>
      </c>
      <c r="AC703" s="7">
        <f t="shared" si="74"/>
        <v>2021</v>
      </c>
      <c r="AD703" s="7">
        <f t="shared" si="75"/>
        <v>4</v>
      </c>
      <c r="AE703" s="7">
        <f>COUNTIF(A:A,A703)</f>
        <v>2</v>
      </c>
      <c r="AF703" s="7" t="str">
        <f t="shared" si="76"/>
        <v/>
      </c>
    </row>
    <row r="704" spans="1:32">
      <c r="A704" t="s">
        <v>2255</v>
      </c>
      <c r="B704">
        <v>14346370</v>
      </c>
      <c r="C704" t="s">
        <v>2061</v>
      </c>
      <c r="D704" t="s">
        <v>18</v>
      </c>
      <c r="F704" t="s">
        <v>92</v>
      </c>
      <c r="G704" t="s">
        <v>44</v>
      </c>
      <c r="H704" t="s">
        <v>38</v>
      </c>
      <c r="I704" t="s">
        <v>3377</v>
      </c>
      <c r="J704">
        <v>5569.61</v>
      </c>
      <c r="K704" t="s">
        <v>27</v>
      </c>
      <c r="L704" t="s">
        <v>75</v>
      </c>
      <c r="M704" s="1">
        <v>45247.956944444442</v>
      </c>
      <c r="N704">
        <v>50</v>
      </c>
      <c r="O704" t="s">
        <v>55</v>
      </c>
      <c r="P704" t="s">
        <v>37</v>
      </c>
      <c r="Q704" t="s">
        <v>2256</v>
      </c>
      <c r="R704">
        <f t="shared" si="70"/>
        <v>14346370</v>
      </c>
      <c r="S704" t="str" cm="1">
        <f t="array" ref="S704">IF(C704="",IFERROR(INDEX($C$2:$C$1166,MATCH(MAX(COUNTIF($C$2:$C$1166,$C$2:$C$1166)),COUNTIF($C$2:$C$1166,$C$2:$C$1166),0)),"Unknown"),C704)</f>
        <v>Elizabeth Johnson</v>
      </c>
      <c r="T704" s="4" t="str" cm="1">
        <f t="array" ref="T704">IF(D704="",IFERROR(INDEX($D$2:$D$1000,MATCH(MAX(COUNTIF($D$2:$D$1166,$D$2:$D$1166)),COUNTIF($D$2:$D$1166,$D$2:$D$1166),0)),"Unknown"),D704)</f>
        <v>Patricia Smith</v>
      </c>
      <c r="U704" t="str">
        <f t="shared" si="71"/>
        <v>AUD</v>
      </c>
      <c r="V704" s="7" t="str">
        <f t="shared" si="71"/>
        <v>SGD</v>
      </c>
      <c r="W704" s="7" t="str">
        <f t="shared" si="72"/>
        <v>UK</v>
      </c>
      <c r="X704" s="7" t="str">
        <f t="shared" si="72"/>
        <v>South Africa</v>
      </c>
      <c r="Y704" s="7" t="str" cm="1">
        <f t="array" ref="Y704">IF(H704="",IFERROR(INDEX($H$2:$H$1166,MATCH(MAX(COUNTIF($H$2:$H$1166,$H$2:$H$1166)),COUNTIF($H$2:$H$1166,$H$2:$H$1166),0)),"Unknown"),H704)</f>
        <v>Pending</v>
      </c>
      <c r="Z704" s="7" t="str">
        <f t="shared" si="73"/>
        <v>Inter-Transaction</v>
      </c>
      <c r="AA704" s="7">
        <f>IF(J704="",AVERAGE($J:$J),J704)</f>
        <v>5569.61</v>
      </c>
      <c r="AB704" s="7">
        <f>IF(N704="",AVERAGE($N:$N),N704)</f>
        <v>50</v>
      </c>
      <c r="AC704" s="7">
        <f t="shared" si="74"/>
        <v>2023</v>
      </c>
      <c r="AD704" s="7">
        <f t="shared" si="75"/>
        <v>11</v>
      </c>
      <c r="AE704" s="7">
        <f>COUNTIF(A:A,A704)</f>
        <v>1</v>
      </c>
      <c r="AF704" s="7" t="str">
        <f t="shared" si="76"/>
        <v/>
      </c>
    </row>
    <row r="705" spans="1:32">
      <c r="A705" t="s">
        <v>2257</v>
      </c>
      <c r="B705">
        <v>71974482</v>
      </c>
      <c r="C705" t="s">
        <v>432</v>
      </c>
      <c r="D705" t="s">
        <v>2145</v>
      </c>
      <c r="F705" t="s">
        <v>35</v>
      </c>
      <c r="G705" t="s">
        <v>98</v>
      </c>
      <c r="H705" t="s">
        <v>74</v>
      </c>
      <c r="I705" t="s">
        <v>3377</v>
      </c>
      <c r="J705">
        <v>6745.39</v>
      </c>
      <c r="K705" t="s">
        <v>57</v>
      </c>
      <c r="L705" t="s">
        <v>28</v>
      </c>
      <c r="M705" s="1">
        <v>45496.84375</v>
      </c>
      <c r="N705">
        <v>70</v>
      </c>
      <c r="O705" t="s">
        <v>37</v>
      </c>
      <c r="P705" t="s">
        <v>62</v>
      </c>
      <c r="Q705" t="s">
        <v>2258</v>
      </c>
      <c r="R705">
        <f t="shared" si="70"/>
        <v>71974482</v>
      </c>
      <c r="S705" t="str" cm="1">
        <f t="array" ref="S705">IF(C705="",IFERROR(INDEX($C$2:$C$1166,MATCH(MAX(COUNTIF($C$2:$C$1166,$C$2:$C$1166)),COUNTIF($C$2:$C$1166,$C$2:$C$1166),0)),"Unknown"),C705)</f>
        <v>Jessica Smith</v>
      </c>
      <c r="T705" s="4" t="str" cm="1">
        <f t="array" ref="T705">IF(D705="",IFERROR(INDEX($D$2:$D$1000,MATCH(MAX(COUNTIF($D$2:$D$1166,$D$2:$D$1166)),COUNTIF($D$2:$D$1166,$D$2:$D$1166),0)),"Unknown"),D705)</f>
        <v>Patricia Johnson</v>
      </c>
      <c r="U705" t="str">
        <f t="shared" si="71"/>
        <v>EUR</v>
      </c>
      <c r="V705" s="7" t="str">
        <f t="shared" si="71"/>
        <v>JPY</v>
      </c>
      <c r="W705" s="7" t="str">
        <f t="shared" si="72"/>
        <v>South Africa</v>
      </c>
      <c r="X705" s="7" t="str">
        <f t="shared" si="72"/>
        <v>Australia</v>
      </c>
      <c r="Y705" s="7" t="str" cm="1">
        <f t="array" ref="Y705">IF(H705="",IFERROR(INDEX($H$2:$H$1166,MATCH(MAX(COUNTIF($H$2:$H$1166,$H$2:$H$1166)),COUNTIF($H$2:$H$1166,$H$2:$H$1166),0)),"Unknown"),H705)</f>
        <v>Non-KYC</v>
      </c>
      <c r="Z705" s="7" t="str">
        <f t="shared" si="73"/>
        <v>Inter-Transaction</v>
      </c>
      <c r="AA705" s="7">
        <f>IF(J705="",AVERAGE($J:$J),J705)</f>
        <v>6745.39</v>
      </c>
      <c r="AB705" s="7">
        <f>IF(N705="",AVERAGE($N:$N),N705)</f>
        <v>70</v>
      </c>
      <c r="AC705" s="7">
        <f t="shared" si="74"/>
        <v>2024</v>
      </c>
      <c r="AD705" s="7">
        <f t="shared" si="75"/>
        <v>7</v>
      </c>
      <c r="AE705" s="7">
        <f>COUNTIF(A:A,A705)</f>
        <v>1</v>
      </c>
      <c r="AF705" s="7" t="str">
        <f t="shared" si="76"/>
        <v/>
      </c>
    </row>
    <row r="706" spans="1:32">
      <c r="A706" t="s">
        <v>2259</v>
      </c>
      <c r="B706">
        <v>29881959</v>
      </c>
      <c r="C706" t="s">
        <v>1549</v>
      </c>
      <c r="D706" t="s">
        <v>2260</v>
      </c>
      <c r="F706" t="s">
        <v>393</v>
      </c>
      <c r="G706" t="s">
        <v>22</v>
      </c>
      <c r="H706" t="s">
        <v>25</v>
      </c>
      <c r="I706" t="s">
        <v>3372</v>
      </c>
      <c r="J706">
        <v>10692.19</v>
      </c>
      <c r="K706" t="s">
        <v>57</v>
      </c>
      <c r="L706" t="s">
        <v>28</v>
      </c>
      <c r="M706" s="1">
        <v>45299.341666666667</v>
      </c>
      <c r="N706">
        <v>39</v>
      </c>
      <c r="O706" t="s">
        <v>62</v>
      </c>
      <c r="P706" t="s">
        <v>37</v>
      </c>
      <c r="Q706" t="s">
        <v>2261</v>
      </c>
      <c r="R706">
        <f t="shared" ref="R706:R769" si="77">IF(B706="",0,B706)</f>
        <v>29881959</v>
      </c>
      <c r="S706" t="str" cm="1">
        <f t="array" ref="S706">IF(C706="",IFERROR(INDEX($C$2:$C$1166,MATCH(MAX(COUNTIF($C$2:$C$1166,$C$2:$C$1166)),COUNTIF($C$2:$C$1166,$C$2:$C$1166),0)),"Unknown"),C706)</f>
        <v>Christopher Smith</v>
      </c>
      <c r="T706" s="4" t="str" cm="1">
        <f t="array" ref="T706">IF(D706="",IFERROR(INDEX($D$2:$D$1000,MATCH(MAX(COUNTIF($D$2:$D$1166,$D$2:$D$1166)),COUNTIF($D$2:$D$1166,$D$2:$D$1166),0)),"Unknown"),D706)</f>
        <v>Zayn Al-Sayed</v>
      </c>
      <c r="U706" t="str">
        <f t="shared" ref="U706:V769" si="78">TRIM(F706)</f>
        <v>cad</v>
      </c>
      <c r="V706" s="7" t="str">
        <f t="shared" si="78"/>
        <v>BRL</v>
      </c>
      <c r="W706" s="7" t="str">
        <f t="shared" ref="W706:X769" si="79">TRIM(O706)</f>
        <v>Australia</v>
      </c>
      <c r="X706" s="7" t="str">
        <f t="shared" si="79"/>
        <v>South Africa</v>
      </c>
      <c r="Y706" s="7" t="str" cm="1">
        <f t="array" ref="Y706">IF(H706="",IFERROR(INDEX($H$2:$H$1166,MATCH(MAX(COUNTIF($H$2:$H$1166,$H$2:$H$1166)),COUNTIF($H$2:$H$1166,$H$2:$H$1166),0)),"Unknown"),H706)</f>
        <v>KYC</v>
      </c>
      <c r="Z706" s="7" t="str">
        <f t="shared" ref="Z706:Z769" si="80">PROPER(I706)</f>
        <v>Outer-Transaction</v>
      </c>
      <c r="AA706" s="7">
        <f>IF(J706="",AVERAGE($J:$J),J706)</f>
        <v>10692.19</v>
      </c>
      <c r="AB706" s="7">
        <f>IF(N706="",AVERAGE($N:$N),N706)</f>
        <v>39</v>
      </c>
      <c r="AC706" s="7">
        <f t="shared" ref="AC706:AC769" si="81">YEAR(M706)</f>
        <v>2024</v>
      </c>
      <c r="AD706" s="7">
        <f t="shared" ref="AD706:AD769" si="82">MONTH(M706)</f>
        <v>1</v>
      </c>
      <c r="AE706" s="7">
        <f>COUNTIF(A:A,A706)</f>
        <v>1</v>
      </c>
      <c r="AF706" s="7" t="str">
        <f t="shared" ref="AF706:AF769" si="83">IF(E706="","",IF(OR(E706="Yes",E706="Y",E706="TRUE",E706=1),"Yes","No"))</f>
        <v/>
      </c>
    </row>
    <row r="707" spans="1:32">
      <c r="A707" t="s">
        <v>2262</v>
      </c>
      <c r="B707">
        <v>36380976</v>
      </c>
      <c r="C707" t="s">
        <v>1117</v>
      </c>
      <c r="D707" t="s">
        <v>1014</v>
      </c>
      <c r="F707" t="s">
        <v>98</v>
      </c>
      <c r="G707" t="s">
        <v>98</v>
      </c>
      <c r="H707" t="s">
        <v>74</v>
      </c>
      <c r="I707" t="s">
        <v>3377</v>
      </c>
      <c r="J707">
        <v>8423.26</v>
      </c>
      <c r="K707" t="s">
        <v>57</v>
      </c>
      <c r="L707" t="s">
        <v>48</v>
      </c>
      <c r="M707" s="1">
        <v>44639.785416666666</v>
      </c>
      <c r="N707">
        <v>38</v>
      </c>
      <c r="O707" t="s">
        <v>93</v>
      </c>
      <c r="P707" t="s">
        <v>62</v>
      </c>
      <c r="Q707" t="s">
        <v>2263</v>
      </c>
      <c r="R707">
        <f t="shared" si="77"/>
        <v>36380976</v>
      </c>
      <c r="S707" t="str" cm="1">
        <f t="array" ref="S707">IF(C707="",IFERROR(INDEX($C$2:$C$1166,MATCH(MAX(COUNTIF($C$2:$C$1166,$C$2:$C$1166)),COUNTIF($C$2:$C$1166,$C$2:$C$1166),0)),"Unknown"),C707)</f>
        <v>John Smith</v>
      </c>
      <c r="T707" s="4" t="str" cm="1">
        <f t="array" ref="T707">IF(D707="",IFERROR(INDEX($D$2:$D$1000,MATCH(MAX(COUNTIF($D$2:$D$1166,$D$2:$D$1166)),COUNTIF($D$2:$D$1166,$D$2:$D$1166),0)),"Unknown"),D707)</f>
        <v>Christopher Wilson</v>
      </c>
      <c r="U707" t="str">
        <f t="shared" si="78"/>
        <v>JPY</v>
      </c>
      <c r="V707" s="7" t="str">
        <f t="shared" si="78"/>
        <v>JPY</v>
      </c>
      <c r="W707" s="7" t="str">
        <f t="shared" si="79"/>
        <v>USA</v>
      </c>
      <c r="X707" s="7" t="str">
        <f t="shared" si="79"/>
        <v>Australia</v>
      </c>
      <c r="Y707" s="7" t="str" cm="1">
        <f t="array" ref="Y707">IF(H707="",IFERROR(INDEX($H$2:$H$1166,MATCH(MAX(COUNTIF($H$2:$H$1166,$H$2:$H$1166)),COUNTIF($H$2:$H$1166,$H$2:$H$1166),0)),"Unknown"),H707)</f>
        <v>Non-KYC</v>
      </c>
      <c r="Z707" s="7" t="str">
        <f t="shared" si="80"/>
        <v>Inter-Transaction</v>
      </c>
      <c r="AA707" s="7">
        <f>IF(J707="",AVERAGE($J:$J),J707)</f>
        <v>8423.26</v>
      </c>
      <c r="AB707" s="7">
        <f>IF(N707="",AVERAGE($N:$N),N707)</f>
        <v>38</v>
      </c>
      <c r="AC707" s="7">
        <f t="shared" si="81"/>
        <v>2022</v>
      </c>
      <c r="AD707" s="7">
        <f t="shared" si="82"/>
        <v>3</v>
      </c>
      <c r="AE707" s="7">
        <f>COUNTIF(A:A,A707)</f>
        <v>1</v>
      </c>
      <c r="AF707" s="7" t="str">
        <f t="shared" si="83"/>
        <v/>
      </c>
    </row>
    <row r="708" spans="1:32">
      <c r="A708" t="s">
        <v>2264</v>
      </c>
      <c r="B708">
        <v>68627491</v>
      </c>
      <c r="C708" t="s">
        <v>2265</v>
      </c>
      <c r="D708" t="s">
        <v>679</v>
      </c>
      <c r="F708" t="s">
        <v>98</v>
      </c>
      <c r="G708" t="s">
        <v>121</v>
      </c>
      <c r="H708" t="s">
        <v>56</v>
      </c>
      <c r="I708" t="s">
        <v>3372</v>
      </c>
      <c r="J708">
        <v>6389.2</v>
      </c>
      <c r="K708" t="s">
        <v>57</v>
      </c>
      <c r="L708" t="s">
        <v>75</v>
      </c>
      <c r="M708" s="1">
        <v>44002.692361111112</v>
      </c>
      <c r="N708">
        <v>21</v>
      </c>
      <c r="O708" t="s">
        <v>36</v>
      </c>
      <c r="P708" t="s">
        <v>54</v>
      </c>
      <c r="Q708" t="s">
        <v>2266</v>
      </c>
      <c r="R708">
        <f t="shared" si="77"/>
        <v>68627491</v>
      </c>
      <c r="S708" t="str" cm="1">
        <f t="array" ref="S708">IF(C708="",IFERROR(INDEX($C$2:$C$1166,MATCH(MAX(COUNTIF($C$2:$C$1166,$C$2:$C$1166)),COUNTIF($C$2:$C$1166,$C$2:$C$1166),0)),"Unknown"),C708)</f>
        <v xml:space="preserve">  AMIR JONES </v>
      </c>
      <c r="T708" s="4" t="str" cm="1">
        <f t="array" ref="T708">IF(D708="",IFERROR(INDEX($D$2:$D$1000,MATCH(MAX(COUNTIF($D$2:$D$1166,$D$2:$D$1166)),COUNTIF($D$2:$D$1166,$D$2:$D$1166),0)),"Unknown"),D708)</f>
        <v>Robert Lopez</v>
      </c>
      <c r="U708" t="str">
        <f t="shared" si="78"/>
        <v>JPY</v>
      </c>
      <c r="V708" s="7" t="str">
        <f t="shared" si="78"/>
        <v>INR</v>
      </c>
      <c r="W708" s="7" t="str">
        <f t="shared" si="79"/>
        <v>Germany</v>
      </c>
      <c r="X708" s="7" t="str">
        <f t="shared" si="79"/>
        <v>India</v>
      </c>
      <c r="Y708" s="7" t="str" cm="1">
        <f t="array" ref="Y708">IF(H708="",IFERROR(INDEX($H$2:$H$1166,MATCH(MAX(COUNTIF($H$2:$H$1166,$H$2:$H$1166)),COUNTIF($H$2:$H$1166,$H$2:$H$1166),0)),"Unknown"),H708)</f>
        <v>Unverified</v>
      </c>
      <c r="Z708" s="7" t="str">
        <f t="shared" si="80"/>
        <v>Outer-Transaction</v>
      </c>
      <c r="AA708" s="7">
        <f>IF(J708="",AVERAGE($J:$J),J708)</f>
        <v>6389.2</v>
      </c>
      <c r="AB708" s="7">
        <f>IF(N708="",AVERAGE($N:$N),N708)</f>
        <v>21</v>
      </c>
      <c r="AC708" s="7">
        <f t="shared" si="81"/>
        <v>2020</v>
      </c>
      <c r="AD708" s="7">
        <f t="shared" si="82"/>
        <v>6</v>
      </c>
      <c r="AE708" s="7">
        <f>COUNTIF(A:A,A708)</f>
        <v>1</v>
      </c>
      <c r="AF708" s="7" t="str">
        <f t="shared" si="83"/>
        <v/>
      </c>
    </row>
    <row r="709" spans="1:32">
      <c r="A709" t="s">
        <v>2267</v>
      </c>
      <c r="B709">
        <v>97926462</v>
      </c>
      <c r="C709" t="s">
        <v>1590</v>
      </c>
      <c r="D709" t="s">
        <v>297</v>
      </c>
      <c r="F709" t="s">
        <v>98</v>
      </c>
      <c r="G709" t="s">
        <v>35</v>
      </c>
      <c r="H709" t="s">
        <v>38</v>
      </c>
      <c r="I709" t="s">
        <v>3377</v>
      </c>
      <c r="J709">
        <v>4732.55</v>
      </c>
      <c r="K709" t="s">
        <v>86</v>
      </c>
      <c r="L709" t="s">
        <v>75</v>
      </c>
      <c r="M709" s="1">
        <v>43861.125</v>
      </c>
      <c r="N709">
        <v>79</v>
      </c>
      <c r="O709" t="s">
        <v>54</v>
      </c>
      <c r="P709" t="s">
        <v>62</v>
      </c>
      <c r="Q709" t="s">
        <v>2268</v>
      </c>
      <c r="R709">
        <f t="shared" si="77"/>
        <v>97926462</v>
      </c>
      <c r="S709" t="str" cm="1">
        <f t="array" ref="S709">IF(C709="",IFERROR(INDEX($C$2:$C$1166,MATCH(MAX(COUNTIF($C$2:$C$1166,$C$2:$C$1166)),COUNTIF($C$2:$C$1166,$C$2:$C$1166),0)),"Unknown"),C709)</f>
        <v>David Jackson</v>
      </c>
      <c r="T709" s="4" t="str" cm="1">
        <f t="array" ref="T709">IF(D709="",IFERROR(INDEX($D$2:$D$1000,MATCH(MAX(COUNTIF($D$2:$D$1166,$D$2:$D$1166)),COUNTIF($D$2:$D$1166,$D$2:$D$1166),0)),"Unknown"),D709)</f>
        <v>Elizabeth Moore</v>
      </c>
      <c r="U709" t="str">
        <f t="shared" si="78"/>
        <v>JPY</v>
      </c>
      <c r="V709" s="7" t="str">
        <f t="shared" si="78"/>
        <v>EUR</v>
      </c>
      <c r="W709" s="7" t="str">
        <f t="shared" si="79"/>
        <v>India</v>
      </c>
      <c r="X709" s="7" t="str">
        <f t="shared" si="79"/>
        <v>Australia</v>
      </c>
      <c r="Y709" s="7" t="str" cm="1">
        <f t="array" ref="Y709">IF(H709="",IFERROR(INDEX($H$2:$H$1166,MATCH(MAX(COUNTIF($H$2:$H$1166,$H$2:$H$1166)),COUNTIF($H$2:$H$1166,$H$2:$H$1166),0)),"Unknown"),H709)</f>
        <v>Pending</v>
      </c>
      <c r="Z709" s="7" t="str">
        <f t="shared" si="80"/>
        <v>Inter-Transaction</v>
      </c>
      <c r="AA709" s="7">
        <f>IF(J709="",AVERAGE($J:$J),J709)</f>
        <v>4732.55</v>
      </c>
      <c r="AB709" s="7">
        <f>IF(N709="",AVERAGE($N:$N),N709)</f>
        <v>79</v>
      </c>
      <c r="AC709" s="7">
        <f t="shared" si="81"/>
        <v>2020</v>
      </c>
      <c r="AD709" s="7">
        <f t="shared" si="82"/>
        <v>1</v>
      </c>
      <c r="AE709" s="7">
        <f>COUNTIF(A:A,A709)</f>
        <v>1</v>
      </c>
      <c r="AF709" s="7" t="str">
        <f t="shared" si="83"/>
        <v/>
      </c>
    </row>
    <row r="710" spans="1:32">
      <c r="A710" t="s">
        <v>2269</v>
      </c>
      <c r="B710">
        <v>63016030</v>
      </c>
      <c r="C710" t="s">
        <v>1995</v>
      </c>
      <c r="D710" t="s">
        <v>1729</v>
      </c>
      <c r="F710" t="s">
        <v>45</v>
      </c>
      <c r="G710" t="s">
        <v>35</v>
      </c>
      <c r="H710" t="s">
        <v>38</v>
      </c>
      <c r="I710" t="s">
        <v>3374</v>
      </c>
      <c r="J710">
        <v>4396.3100000000004</v>
      </c>
      <c r="K710" t="s">
        <v>39</v>
      </c>
      <c r="L710" t="s">
        <v>81</v>
      </c>
      <c r="M710" s="1">
        <v>43877.743055555555</v>
      </c>
      <c r="N710">
        <v>79</v>
      </c>
      <c r="O710" t="s">
        <v>24</v>
      </c>
      <c r="P710" t="s">
        <v>36</v>
      </c>
      <c r="Q710" t="s">
        <v>2270</v>
      </c>
      <c r="R710">
        <f t="shared" si="77"/>
        <v>63016030</v>
      </c>
      <c r="S710" t="str" cm="1">
        <f t="array" ref="S710">IF(C710="",IFERROR(INDEX($C$2:$C$1166,MATCH(MAX(COUNTIF($C$2:$C$1166,$C$2:$C$1166)),COUNTIF($C$2:$C$1166,$C$2:$C$1166),0)),"Unknown"),C710)</f>
        <v>Lucas Martin</v>
      </c>
      <c r="T710" s="4" t="str" cm="1">
        <f t="array" ref="T710">IF(D710="",IFERROR(INDEX($D$2:$D$1000,MATCH(MAX(COUNTIF($D$2:$D$1166,$D$2:$D$1166)),COUNTIF($D$2:$D$1166,$D$2:$D$1166),0)),"Unknown"),D710)</f>
        <v>Charles Thomas</v>
      </c>
      <c r="U710" t="str">
        <f t="shared" si="78"/>
        <v>ZAR</v>
      </c>
      <c r="V710" s="7" t="str">
        <f t="shared" si="78"/>
        <v>EUR</v>
      </c>
      <c r="W710" s="7" t="str">
        <f t="shared" si="79"/>
        <v>Brazil</v>
      </c>
      <c r="X710" s="7" t="str">
        <f t="shared" si="79"/>
        <v>Germany</v>
      </c>
      <c r="Y710" s="7" t="str" cm="1">
        <f t="array" ref="Y710">IF(H710="",IFERROR(INDEX($H$2:$H$1166,MATCH(MAX(COUNTIF($H$2:$H$1166,$H$2:$H$1166)),COUNTIF($H$2:$H$1166,$H$2:$H$1166),0)),"Unknown"),H710)</f>
        <v>Pending</v>
      </c>
      <c r="Z710" s="7" t="str">
        <f t="shared" si="80"/>
        <v>External</v>
      </c>
      <c r="AA710" s="7">
        <f>IF(J710="",AVERAGE($J:$J),J710)</f>
        <v>4396.3100000000004</v>
      </c>
      <c r="AB710" s="7">
        <f>IF(N710="",AVERAGE($N:$N),N710)</f>
        <v>79</v>
      </c>
      <c r="AC710" s="7">
        <f t="shared" si="81"/>
        <v>2020</v>
      </c>
      <c r="AD710" s="7">
        <f t="shared" si="82"/>
        <v>2</v>
      </c>
      <c r="AE710" s="7">
        <f>COUNTIF(A:A,A710)</f>
        <v>1</v>
      </c>
      <c r="AF710" s="7" t="str">
        <f t="shared" si="83"/>
        <v/>
      </c>
    </row>
    <row r="711" spans="1:32">
      <c r="A711" t="s">
        <v>2271</v>
      </c>
      <c r="C711" t="s">
        <v>2272</v>
      </c>
      <c r="D711" t="s">
        <v>2273</v>
      </c>
      <c r="F711" t="s">
        <v>98</v>
      </c>
      <c r="G711" t="s">
        <v>45</v>
      </c>
      <c r="H711" t="s">
        <v>25</v>
      </c>
      <c r="I711" t="s">
        <v>3377</v>
      </c>
      <c r="J711">
        <v>10675.19</v>
      </c>
      <c r="K711" t="s">
        <v>57</v>
      </c>
      <c r="L711" t="s">
        <v>48</v>
      </c>
      <c r="M711" s="1">
        <v>43960.341666666667</v>
      </c>
      <c r="N711">
        <v>41</v>
      </c>
      <c r="O711" t="s">
        <v>55</v>
      </c>
      <c r="P711" t="s">
        <v>62</v>
      </c>
      <c r="Q711" t="s">
        <v>2274</v>
      </c>
      <c r="R711">
        <f t="shared" si="77"/>
        <v>0</v>
      </c>
      <c r="S711" t="str" cm="1">
        <f t="array" ref="S711">IF(C711="",IFERROR(INDEX($C$2:$C$1166,MATCH(MAX(COUNTIF($C$2:$C$1166,$C$2:$C$1166)),COUNTIF($C$2:$C$1166,$C$2:$C$1166),0)),"Unknown"),C711)</f>
        <v>Jessica Garcia</v>
      </c>
      <c r="T711" s="4" t="str" cm="1">
        <f t="array" ref="T711">IF(D711="",IFERROR(INDEX($D$2:$D$1000,MATCH(MAX(COUNTIF($D$2:$D$1166,$D$2:$D$1166)),COUNTIF($D$2:$D$1166,$D$2:$D$1166),0)),"Unknown"),D711)</f>
        <v>William Al-Sayed</v>
      </c>
      <c r="U711" t="str">
        <f t="shared" si="78"/>
        <v>JPY</v>
      </c>
      <c r="V711" s="7" t="str">
        <f t="shared" si="78"/>
        <v>ZAR</v>
      </c>
      <c r="W711" s="7" t="str">
        <f t="shared" si="79"/>
        <v>UK</v>
      </c>
      <c r="X711" s="7" t="str">
        <f t="shared" si="79"/>
        <v>Australia</v>
      </c>
      <c r="Y711" s="7" t="str" cm="1">
        <f t="array" ref="Y711">IF(H711="",IFERROR(INDEX($H$2:$H$1166,MATCH(MAX(COUNTIF($H$2:$H$1166,$H$2:$H$1166)),COUNTIF($H$2:$H$1166,$H$2:$H$1166),0)),"Unknown"),H711)</f>
        <v>KYC</v>
      </c>
      <c r="Z711" s="7" t="str">
        <f t="shared" si="80"/>
        <v>Inter-Transaction</v>
      </c>
      <c r="AA711" s="7">
        <f>IF(J711="",AVERAGE($J:$J),J711)</f>
        <v>10675.19</v>
      </c>
      <c r="AB711" s="7">
        <f>IF(N711="",AVERAGE($N:$N),N711)</f>
        <v>41</v>
      </c>
      <c r="AC711" s="7">
        <f t="shared" si="81"/>
        <v>2020</v>
      </c>
      <c r="AD711" s="7">
        <f t="shared" si="82"/>
        <v>5</v>
      </c>
      <c r="AE711" s="7">
        <f>COUNTIF(A:A,A711)</f>
        <v>1</v>
      </c>
      <c r="AF711" s="7" t="str">
        <f t="shared" si="83"/>
        <v/>
      </c>
    </row>
    <row r="712" spans="1:32">
      <c r="A712" t="s">
        <v>2275</v>
      </c>
      <c r="B712">
        <v>21948440</v>
      </c>
      <c r="C712" t="s">
        <v>1744</v>
      </c>
      <c r="D712" t="s">
        <v>875</v>
      </c>
      <c r="F712" t="s">
        <v>45</v>
      </c>
      <c r="G712" t="s">
        <v>80</v>
      </c>
      <c r="H712" t="s">
        <v>38</v>
      </c>
      <c r="I712" t="s">
        <v>3377</v>
      </c>
      <c r="J712">
        <v>3535.81</v>
      </c>
      <c r="K712" t="s">
        <v>27</v>
      </c>
      <c r="L712" t="s">
        <v>81</v>
      </c>
      <c r="M712" s="1">
        <v>46230.32916666667</v>
      </c>
      <c r="N712">
        <v>72</v>
      </c>
      <c r="O712" t="s">
        <v>24</v>
      </c>
      <c r="P712" t="s">
        <v>93</v>
      </c>
      <c r="Q712" t="s">
        <v>2276</v>
      </c>
      <c r="R712">
        <f t="shared" si="77"/>
        <v>21948440</v>
      </c>
      <c r="S712" t="str" cm="1">
        <f t="array" ref="S712">IF(C712="",IFERROR(INDEX($C$2:$C$1166,MATCH(MAX(COUNTIF($C$2:$C$1166,$C$2:$C$1166)),COUNTIF($C$2:$C$1166,$C$2:$C$1166),0)),"Unknown"),C712)</f>
        <v>Jessica Johnson</v>
      </c>
      <c r="T712" s="4" t="str" cm="1">
        <f t="array" ref="T712">IF(D712="",IFERROR(INDEX($D$2:$D$1000,MATCH(MAX(COUNTIF($D$2:$D$1166,$D$2:$D$1166)),COUNTIF($D$2:$D$1166,$D$2:$D$1166),0)),"Unknown"),D712)</f>
        <v>Amir Garcia</v>
      </c>
      <c r="U712" t="str">
        <f t="shared" si="78"/>
        <v>ZAR</v>
      </c>
      <c r="V712" s="7" t="str">
        <f t="shared" si="78"/>
        <v>USD</v>
      </c>
      <c r="W712" s="7" t="str">
        <f t="shared" si="79"/>
        <v>Brazil</v>
      </c>
      <c r="X712" s="7" t="str">
        <f t="shared" si="79"/>
        <v>USA</v>
      </c>
      <c r="Y712" s="7" t="str" cm="1">
        <f t="array" ref="Y712">IF(H712="",IFERROR(INDEX($H$2:$H$1166,MATCH(MAX(COUNTIF($H$2:$H$1166,$H$2:$H$1166)),COUNTIF($H$2:$H$1166,$H$2:$H$1166),0)),"Unknown"),H712)</f>
        <v>Pending</v>
      </c>
      <c r="Z712" s="7" t="str">
        <f t="shared" si="80"/>
        <v>Inter-Transaction</v>
      </c>
      <c r="AA712" s="7">
        <f>IF(J712="",AVERAGE($J:$J),J712)</f>
        <v>3535.81</v>
      </c>
      <c r="AB712" s="7">
        <f>IF(N712="",AVERAGE($N:$N),N712)</f>
        <v>72</v>
      </c>
      <c r="AC712" s="7">
        <f t="shared" si="81"/>
        <v>2026</v>
      </c>
      <c r="AD712" s="7">
        <f t="shared" si="82"/>
        <v>7</v>
      </c>
      <c r="AE712" s="7">
        <f>COUNTIF(A:A,A712)</f>
        <v>1</v>
      </c>
      <c r="AF712" s="7" t="str">
        <f t="shared" si="83"/>
        <v/>
      </c>
    </row>
    <row r="713" spans="1:32">
      <c r="A713" t="s">
        <v>2277</v>
      </c>
      <c r="B713">
        <v>98783194</v>
      </c>
      <c r="C713" t="s">
        <v>2278</v>
      </c>
      <c r="D713" t="s">
        <v>1653</v>
      </c>
      <c r="F713" t="s">
        <v>98</v>
      </c>
      <c r="G713" t="s">
        <v>92</v>
      </c>
      <c r="I713" t="s">
        <v>3376</v>
      </c>
      <c r="J713">
        <v>7702.05</v>
      </c>
      <c r="K713" t="s">
        <v>47</v>
      </c>
      <c r="L713" t="s">
        <v>81</v>
      </c>
      <c r="M713" s="1">
        <v>44808.509722222225</v>
      </c>
      <c r="N713">
        <v>26</v>
      </c>
      <c r="O713" t="s">
        <v>93</v>
      </c>
      <c r="P713" t="s">
        <v>93</v>
      </c>
      <c r="Q713" t="s">
        <v>2279</v>
      </c>
      <c r="R713">
        <f t="shared" si="77"/>
        <v>98783194</v>
      </c>
      <c r="S713" t="str" cm="1">
        <f t="array" ref="S713">IF(C713="",IFERROR(INDEX($C$2:$C$1166,MATCH(MAX(COUNTIF($C$2:$C$1166,$C$2:$C$1166)),COUNTIF($C$2:$C$1166,$C$2:$C$1166),0)),"Unknown"),C713)</f>
        <v>Charles Smith</v>
      </c>
      <c r="T713" s="4" t="str" cm="1">
        <f t="array" ref="T713">IF(D713="",IFERROR(INDEX($D$2:$D$1000,MATCH(MAX(COUNTIF($D$2:$D$1166,$D$2:$D$1166)),COUNTIF($D$2:$D$1166,$D$2:$D$1166),0)),"Unknown"),D713)</f>
        <v>Amir Khan</v>
      </c>
      <c r="U713" t="str">
        <f t="shared" si="78"/>
        <v>JPY</v>
      </c>
      <c r="V713" s="7" t="str">
        <f t="shared" si="78"/>
        <v>AUD</v>
      </c>
      <c r="W713" s="7" t="str">
        <f t="shared" si="79"/>
        <v>USA</v>
      </c>
      <c r="X713" s="7" t="str">
        <f t="shared" si="79"/>
        <v>USA</v>
      </c>
      <c r="Y713" s="7" t="str" cm="1">
        <f t="array" ref="Y713">IF(H713="",IFERROR(INDEX($H$2:$H$1166,MATCH(MAX(COUNTIF($H$2:$H$1166,$H$2:$H$1166)),COUNTIF($H$2:$H$1166,$H$2:$H$1166),0)),"Unknown"),H713)</f>
        <v>Pending</v>
      </c>
      <c r="Z713" s="7" t="str">
        <f t="shared" si="80"/>
        <v>Internal</v>
      </c>
      <c r="AA713" s="7">
        <f>IF(J713="",AVERAGE($J:$J),J713)</f>
        <v>7702.05</v>
      </c>
      <c r="AB713" s="7">
        <f>IF(N713="",AVERAGE($N:$N),N713)</f>
        <v>26</v>
      </c>
      <c r="AC713" s="7">
        <f t="shared" si="81"/>
        <v>2022</v>
      </c>
      <c r="AD713" s="7">
        <f t="shared" si="82"/>
        <v>9</v>
      </c>
      <c r="AE713" s="7">
        <f>COUNTIF(A:A,A713)</f>
        <v>1</v>
      </c>
      <c r="AF713" s="7" t="str">
        <f t="shared" si="83"/>
        <v/>
      </c>
    </row>
    <row r="714" spans="1:32">
      <c r="A714" t="s">
        <v>2280</v>
      </c>
      <c r="B714">
        <v>52976267</v>
      </c>
      <c r="C714" t="s">
        <v>2281</v>
      </c>
      <c r="D714" t="s">
        <v>735</v>
      </c>
      <c r="F714" t="s">
        <v>121</v>
      </c>
      <c r="G714" t="s">
        <v>92</v>
      </c>
      <c r="H714" t="s">
        <v>74</v>
      </c>
      <c r="I714" t="s">
        <v>3376</v>
      </c>
      <c r="J714">
        <v>13365.94</v>
      </c>
      <c r="K714" t="s">
        <v>27</v>
      </c>
      <c r="L714" t="s">
        <v>75</v>
      </c>
      <c r="M714" s="1">
        <v>45476.446527777778</v>
      </c>
      <c r="N714">
        <v>20</v>
      </c>
      <c r="O714" t="s">
        <v>62</v>
      </c>
      <c r="P714" t="s">
        <v>68</v>
      </c>
      <c r="Q714" t="s">
        <v>2282</v>
      </c>
      <c r="R714">
        <f t="shared" si="77"/>
        <v>52976267</v>
      </c>
      <c r="S714" t="str" cm="1">
        <f t="array" ref="S714">IF(C714="",IFERROR(INDEX($C$2:$C$1166,MATCH(MAX(COUNTIF($C$2:$C$1166,$C$2:$C$1166)),COUNTIF($C$2:$C$1166,$C$2:$C$1166),0)),"Unknown"),C714)</f>
        <v>Sarah Velez</v>
      </c>
      <c r="T714" s="4" t="str" cm="1">
        <f t="array" ref="T714">IF(D714="",IFERROR(INDEX($D$2:$D$1000,MATCH(MAX(COUNTIF($D$2:$D$1166,$D$2:$D$1166)),COUNTIF($D$2:$D$1166,$D$2:$D$1166),0)),"Unknown"),D714)</f>
        <v>Robert Khan</v>
      </c>
      <c r="U714" t="str">
        <f t="shared" si="78"/>
        <v>INR</v>
      </c>
      <c r="V714" s="7" t="str">
        <f t="shared" si="78"/>
        <v>AUD</v>
      </c>
      <c r="W714" s="7" t="str">
        <f t="shared" si="79"/>
        <v>Australia</v>
      </c>
      <c r="X714" s="7" t="str">
        <f t="shared" si="79"/>
        <v>UAE</v>
      </c>
      <c r="Y714" s="7" t="str" cm="1">
        <f t="array" ref="Y714">IF(H714="",IFERROR(INDEX($H$2:$H$1166,MATCH(MAX(COUNTIF($H$2:$H$1166,$H$2:$H$1166)),COUNTIF($H$2:$H$1166,$H$2:$H$1166),0)),"Unknown"),H714)</f>
        <v>Non-KYC</v>
      </c>
      <c r="Z714" s="7" t="str">
        <f t="shared" si="80"/>
        <v>Internal</v>
      </c>
      <c r="AA714" s="7">
        <f>IF(J714="",AVERAGE($J:$J),J714)</f>
        <v>13365.94</v>
      </c>
      <c r="AB714" s="7">
        <f>IF(N714="",AVERAGE($N:$N),N714)</f>
        <v>20</v>
      </c>
      <c r="AC714" s="7">
        <f t="shared" si="81"/>
        <v>2024</v>
      </c>
      <c r="AD714" s="7">
        <f t="shared" si="82"/>
        <v>7</v>
      </c>
      <c r="AE714" s="7">
        <f>COUNTIF(A:A,A714)</f>
        <v>1</v>
      </c>
      <c r="AF714" s="7" t="str">
        <f t="shared" si="83"/>
        <v/>
      </c>
    </row>
    <row r="715" spans="1:32">
      <c r="A715" t="s">
        <v>2283</v>
      </c>
      <c r="B715">
        <v>99962943</v>
      </c>
      <c r="C715" t="s">
        <v>2284</v>
      </c>
      <c r="D715" t="s">
        <v>2281</v>
      </c>
      <c r="F715" t="s">
        <v>53</v>
      </c>
      <c r="G715" t="s">
        <v>80</v>
      </c>
      <c r="H715" t="s">
        <v>38</v>
      </c>
      <c r="I715" t="s">
        <v>3372</v>
      </c>
      <c r="J715">
        <v>1696.27</v>
      </c>
      <c r="K715" t="s">
        <v>39</v>
      </c>
      <c r="L715" t="s">
        <v>28</v>
      </c>
      <c r="M715" s="1">
        <v>45435.543749999997</v>
      </c>
      <c r="N715">
        <v>48</v>
      </c>
      <c r="O715" t="s">
        <v>55</v>
      </c>
      <c r="P715" t="s">
        <v>36</v>
      </c>
      <c r="Q715" t="s">
        <v>2285</v>
      </c>
      <c r="R715">
        <f t="shared" si="77"/>
        <v>99962943</v>
      </c>
      <c r="S715" t="str" cm="1">
        <f t="array" ref="S715">IF(C715="",IFERROR(INDEX($C$2:$C$1166,MATCH(MAX(COUNTIF($C$2:$C$1166,$C$2:$C$1166)),COUNTIF($C$2:$C$1166,$C$2:$C$1166),0)),"Unknown"),C715)</f>
        <v>Priya Malik</v>
      </c>
      <c r="T715" s="4" t="str" cm="1">
        <f t="array" ref="T715">IF(D715="",IFERROR(INDEX($D$2:$D$1000,MATCH(MAX(COUNTIF($D$2:$D$1166,$D$2:$D$1166)),COUNTIF($D$2:$D$1166,$D$2:$D$1166),0)),"Unknown"),D715)</f>
        <v>Sarah Velez</v>
      </c>
      <c r="U715" t="str">
        <f t="shared" si="78"/>
        <v>AED</v>
      </c>
      <c r="V715" s="7" t="str">
        <f t="shared" si="78"/>
        <v>USD</v>
      </c>
      <c r="W715" s="7" t="str">
        <f t="shared" si="79"/>
        <v>UK</v>
      </c>
      <c r="X715" s="7" t="str">
        <f t="shared" si="79"/>
        <v>Germany</v>
      </c>
      <c r="Y715" s="7" t="str" cm="1">
        <f t="array" ref="Y715">IF(H715="",IFERROR(INDEX($H$2:$H$1166,MATCH(MAX(COUNTIF($H$2:$H$1166,$H$2:$H$1166)),COUNTIF($H$2:$H$1166,$H$2:$H$1166),0)),"Unknown"),H715)</f>
        <v>Pending</v>
      </c>
      <c r="Z715" s="7" t="str">
        <f t="shared" si="80"/>
        <v>Outer-Transaction</v>
      </c>
      <c r="AA715" s="7">
        <f>IF(J715="",AVERAGE($J:$J),J715)</f>
        <v>1696.27</v>
      </c>
      <c r="AB715" s="7">
        <f>IF(N715="",AVERAGE($N:$N),N715)</f>
        <v>48</v>
      </c>
      <c r="AC715" s="7">
        <f t="shared" si="81"/>
        <v>2024</v>
      </c>
      <c r="AD715" s="7">
        <f t="shared" si="82"/>
        <v>5</v>
      </c>
      <c r="AE715" s="7">
        <f>COUNTIF(A:A,A715)</f>
        <v>1</v>
      </c>
      <c r="AF715" s="7" t="str">
        <f t="shared" si="83"/>
        <v/>
      </c>
    </row>
    <row r="716" spans="1:32">
      <c r="A716" t="s">
        <v>2286</v>
      </c>
      <c r="B716">
        <v>60652004</v>
      </c>
      <c r="C716" t="s">
        <v>259</v>
      </c>
      <c r="D716" t="s">
        <v>2007</v>
      </c>
      <c r="F716" t="s">
        <v>45</v>
      </c>
      <c r="G716" t="s">
        <v>45</v>
      </c>
      <c r="I716" t="s">
        <v>3374</v>
      </c>
      <c r="J716">
        <v>4252.7700000000004</v>
      </c>
      <c r="K716" t="s">
        <v>27</v>
      </c>
      <c r="L716" t="s">
        <v>81</v>
      </c>
      <c r="M716" s="1">
        <v>43888.015972222223</v>
      </c>
      <c r="N716">
        <v>57</v>
      </c>
      <c r="O716" t="s">
        <v>55</v>
      </c>
      <c r="P716" t="s">
        <v>36</v>
      </c>
      <c r="Q716" t="s">
        <v>2287</v>
      </c>
      <c r="R716">
        <f t="shared" si="77"/>
        <v>60652004</v>
      </c>
      <c r="S716" t="str" cm="1">
        <f t="array" ref="S716">IF(C716="",IFERROR(INDEX($C$2:$C$1166,MATCH(MAX(COUNTIF($C$2:$C$1166,$C$2:$C$1166)),COUNTIF($C$2:$C$1166,$C$2:$C$1166),0)),"Unknown"),C716)</f>
        <v>Susan Brown</v>
      </c>
      <c r="T716" s="4" t="str" cm="1">
        <f t="array" ref="T716">IF(D716="",IFERROR(INDEX($D$2:$D$1000,MATCH(MAX(COUNTIF($D$2:$D$1166,$D$2:$D$1166)),COUNTIF($D$2:$D$1166,$D$2:$D$1166),0)),"Unknown"),D716)</f>
        <v>Jean-Pierre Souza</v>
      </c>
      <c r="U716" t="str">
        <f t="shared" si="78"/>
        <v>ZAR</v>
      </c>
      <c r="V716" s="7" t="str">
        <f t="shared" si="78"/>
        <v>ZAR</v>
      </c>
      <c r="W716" s="7" t="str">
        <f t="shared" si="79"/>
        <v>UK</v>
      </c>
      <c r="X716" s="7" t="str">
        <f t="shared" si="79"/>
        <v>Germany</v>
      </c>
      <c r="Y716" s="7" t="str" cm="1">
        <f t="array" ref="Y716">IF(H716="",IFERROR(INDEX($H$2:$H$1166,MATCH(MAX(COUNTIF($H$2:$H$1166,$H$2:$H$1166)),COUNTIF($H$2:$H$1166,$H$2:$H$1166),0)),"Unknown"),H716)</f>
        <v>Pending</v>
      </c>
      <c r="Z716" s="7" t="str">
        <f t="shared" si="80"/>
        <v>External</v>
      </c>
      <c r="AA716" s="7">
        <f>IF(J716="",AVERAGE($J:$J),J716)</f>
        <v>4252.7700000000004</v>
      </c>
      <c r="AB716" s="7">
        <f>IF(N716="",AVERAGE($N:$N),N716)</f>
        <v>57</v>
      </c>
      <c r="AC716" s="7">
        <f t="shared" si="81"/>
        <v>2020</v>
      </c>
      <c r="AD716" s="7">
        <f t="shared" si="82"/>
        <v>2</v>
      </c>
      <c r="AE716" s="7">
        <f>COUNTIF(A:A,A716)</f>
        <v>1</v>
      </c>
      <c r="AF716" s="7" t="str">
        <f t="shared" si="83"/>
        <v/>
      </c>
    </row>
    <row r="717" spans="1:32">
      <c r="A717" t="s">
        <v>2288</v>
      </c>
      <c r="B717">
        <v>69585481</v>
      </c>
      <c r="C717" t="s">
        <v>1421</v>
      </c>
      <c r="D717" t="s">
        <v>1051</v>
      </c>
      <c r="F717" t="s">
        <v>21</v>
      </c>
      <c r="G717" t="s">
        <v>21</v>
      </c>
      <c r="H717" t="s">
        <v>38</v>
      </c>
      <c r="I717" t="s">
        <v>3376</v>
      </c>
      <c r="J717">
        <v>1884.61</v>
      </c>
      <c r="K717" t="s">
        <v>27</v>
      </c>
      <c r="L717" t="s">
        <v>48</v>
      </c>
      <c r="M717" s="1">
        <v>44960.159722222219</v>
      </c>
      <c r="N717">
        <v>53</v>
      </c>
      <c r="O717" t="s">
        <v>68</v>
      </c>
      <c r="P717" t="s">
        <v>127</v>
      </c>
      <c r="Q717" t="s">
        <v>2289</v>
      </c>
      <c r="R717">
        <f t="shared" si="77"/>
        <v>69585481</v>
      </c>
      <c r="S717" t="str" cm="1">
        <f t="array" ref="S717">IF(C717="",IFERROR(INDEX($C$2:$C$1166,MATCH(MAX(COUNTIF($C$2:$C$1166,$C$2:$C$1166)),COUNTIF($C$2:$C$1166,$C$2:$C$1166),0)),"Unknown"),C717)</f>
        <v>John Jones</v>
      </c>
      <c r="T717" s="4" t="str" cm="1">
        <f t="array" ref="T717">IF(D717="",IFERROR(INDEX($D$2:$D$1000,MATCH(MAX(COUNTIF($D$2:$D$1166,$D$2:$D$1166)),COUNTIF($D$2:$D$1166,$D$2:$D$1166),0)),"Unknown"),D717)</f>
        <v>Karen Hernandez</v>
      </c>
      <c r="U717" t="str">
        <f t="shared" si="78"/>
        <v>GBP</v>
      </c>
      <c r="V717" s="7" t="str">
        <f t="shared" si="78"/>
        <v>GBP</v>
      </c>
      <c r="W717" s="7" t="str">
        <f t="shared" si="79"/>
        <v>UAE</v>
      </c>
      <c r="X717" s="7" t="str">
        <f t="shared" si="79"/>
        <v>Canada</v>
      </c>
      <c r="Y717" s="7" t="str" cm="1">
        <f t="array" ref="Y717">IF(H717="",IFERROR(INDEX($H$2:$H$1166,MATCH(MAX(COUNTIF($H$2:$H$1166,$H$2:$H$1166)),COUNTIF($H$2:$H$1166,$H$2:$H$1166),0)),"Unknown"),H717)</f>
        <v>Pending</v>
      </c>
      <c r="Z717" s="7" t="str">
        <f t="shared" si="80"/>
        <v>Internal</v>
      </c>
      <c r="AA717" s="7">
        <f>IF(J717="",AVERAGE($J:$J),J717)</f>
        <v>1884.61</v>
      </c>
      <c r="AB717" s="7">
        <f>IF(N717="",AVERAGE($N:$N),N717)</f>
        <v>53</v>
      </c>
      <c r="AC717" s="7">
        <f t="shared" si="81"/>
        <v>2023</v>
      </c>
      <c r="AD717" s="7">
        <f t="shared" si="82"/>
        <v>2</v>
      </c>
      <c r="AE717" s="7">
        <f>COUNTIF(A:A,A717)</f>
        <v>1</v>
      </c>
      <c r="AF717" s="7" t="str">
        <f t="shared" si="83"/>
        <v/>
      </c>
    </row>
    <row r="718" spans="1:32">
      <c r="A718" t="s">
        <v>2290</v>
      </c>
      <c r="B718">
        <v>74360568</v>
      </c>
      <c r="C718" t="s">
        <v>819</v>
      </c>
      <c r="D718" t="s">
        <v>2291</v>
      </c>
      <c r="G718" t="s">
        <v>92</v>
      </c>
      <c r="H718" t="s">
        <v>25</v>
      </c>
      <c r="I718" t="s">
        <v>3376</v>
      </c>
      <c r="J718">
        <v>13441.94</v>
      </c>
      <c r="K718" t="s">
        <v>47</v>
      </c>
      <c r="L718" t="s">
        <v>75</v>
      </c>
      <c r="M718" s="1">
        <v>45184.339583333334</v>
      </c>
      <c r="N718">
        <v>41</v>
      </c>
      <c r="O718" t="s">
        <v>36</v>
      </c>
      <c r="P718" t="s">
        <v>36</v>
      </c>
      <c r="Q718" t="s">
        <v>2292</v>
      </c>
      <c r="R718">
        <f t="shared" si="77"/>
        <v>74360568</v>
      </c>
      <c r="S718" t="str" cm="1">
        <f t="array" ref="S718">IF(C718="",IFERROR(INDEX($C$2:$C$1166,MATCH(MAX(COUNTIF($C$2:$C$1166,$C$2:$C$1166)),COUNTIF($C$2:$C$1166,$C$2:$C$1166),0)),"Unknown"),C718)</f>
        <v>Michael Dubois</v>
      </c>
      <c r="T718" s="4" t="str" cm="1">
        <f t="array" ref="T718">IF(D718="",IFERROR(INDEX($D$2:$D$1000,MATCH(MAX(COUNTIF($D$2:$D$1166,$D$2:$D$1166)),COUNTIF($D$2:$D$1166,$D$2:$D$1166),0)),"Unknown"),D718)</f>
        <v>Charles Anderson</v>
      </c>
      <c r="U718" t="str">
        <f t="shared" si="78"/>
        <v/>
      </c>
      <c r="V718" s="7" t="str">
        <f t="shared" si="78"/>
        <v>AUD</v>
      </c>
      <c r="W718" s="7" t="str">
        <f t="shared" si="79"/>
        <v>Germany</v>
      </c>
      <c r="X718" s="7" t="str">
        <f t="shared" si="79"/>
        <v>Germany</v>
      </c>
      <c r="Y718" s="7" t="str" cm="1">
        <f t="array" ref="Y718">IF(H718="",IFERROR(INDEX($H$2:$H$1166,MATCH(MAX(COUNTIF($H$2:$H$1166,$H$2:$H$1166)),COUNTIF($H$2:$H$1166,$H$2:$H$1166),0)),"Unknown"),H718)</f>
        <v>KYC</v>
      </c>
      <c r="Z718" s="7" t="str">
        <f t="shared" si="80"/>
        <v>Internal</v>
      </c>
      <c r="AA718" s="7">
        <f>IF(J718="",AVERAGE($J:$J),J718)</f>
        <v>13441.94</v>
      </c>
      <c r="AB718" s="7">
        <f>IF(N718="",AVERAGE($N:$N),N718)</f>
        <v>41</v>
      </c>
      <c r="AC718" s="7">
        <f t="shared" si="81"/>
        <v>2023</v>
      </c>
      <c r="AD718" s="7">
        <f t="shared" si="82"/>
        <v>9</v>
      </c>
      <c r="AE718" s="7">
        <f>COUNTIF(A:A,A718)</f>
        <v>1</v>
      </c>
      <c r="AF718" s="7" t="str">
        <f t="shared" si="83"/>
        <v/>
      </c>
    </row>
    <row r="719" spans="1:32">
      <c r="A719" t="s">
        <v>2293</v>
      </c>
      <c r="B719">
        <v>43369932</v>
      </c>
      <c r="C719" t="s">
        <v>1309</v>
      </c>
      <c r="D719" t="s">
        <v>1483</v>
      </c>
      <c r="F719" t="s">
        <v>35</v>
      </c>
      <c r="G719" t="s">
        <v>160</v>
      </c>
      <c r="H719" t="s">
        <v>103</v>
      </c>
      <c r="I719" t="s">
        <v>3378</v>
      </c>
      <c r="J719">
        <v>7438.92</v>
      </c>
      <c r="K719" t="s">
        <v>57</v>
      </c>
      <c r="L719" t="s">
        <v>28</v>
      </c>
      <c r="M719" s="1">
        <v>44598.138194444444</v>
      </c>
      <c r="N719">
        <v>23</v>
      </c>
      <c r="O719" t="s">
        <v>55</v>
      </c>
      <c r="P719" t="s">
        <v>127</v>
      </c>
      <c r="Q719" t="s">
        <v>2294</v>
      </c>
      <c r="R719">
        <f t="shared" si="77"/>
        <v>43369932</v>
      </c>
      <c r="S719" t="str" cm="1">
        <f t="array" ref="S719">IF(C719="",IFERROR(INDEX($C$2:$C$1166,MATCH(MAX(COUNTIF($C$2:$C$1166,$C$2:$C$1166)),COUNTIF($C$2:$C$1166,$C$2:$C$1166),0)),"Unknown"),C719)</f>
        <v>Mary Souza</v>
      </c>
      <c r="T719" s="4" t="str" cm="1">
        <f t="array" ref="T719">IF(D719="",IFERROR(INDEX($D$2:$D$1000,MATCH(MAX(COUNTIF($D$2:$D$1166,$D$2:$D$1166)),COUNTIF($D$2:$D$1166,$D$2:$D$1166),0)),"Unknown"),D719)</f>
        <v>David Hernandez</v>
      </c>
      <c r="U719" t="str">
        <f t="shared" si="78"/>
        <v>EUR</v>
      </c>
      <c r="V719" s="7" t="str">
        <f t="shared" si="78"/>
        <v>aud</v>
      </c>
      <c r="W719" s="7" t="str">
        <f t="shared" si="79"/>
        <v>UK</v>
      </c>
      <c r="X719" s="7" t="str">
        <f t="shared" si="79"/>
        <v>Canada</v>
      </c>
      <c r="Y719" s="7" t="str" cm="1">
        <f t="array" ref="Y719">IF(H719="",IFERROR(INDEX($H$2:$H$1166,MATCH(MAX(COUNTIF($H$2:$H$1166,$H$2:$H$1166)),COUNTIF($H$2:$H$1166,$H$2:$H$1166),0)),"Unknown"),H719)</f>
        <v>Verified</v>
      </c>
      <c r="Z719" s="7" t="str">
        <f t="shared" si="80"/>
        <v>Inter-Transaction</v>
      </c>
      <c r="AA719" s="7">
        <f>IF(J719="",AVERAGE($J:$J),J719)</f>
        <v>7438.92</v>
      </c>
      <c r="AB719" s="7">
        <f>IF(N719="",AVERAGE($N:$N),N719)</f>
        <v>23</v>
      </c>
      <c r="AC719" s="7">
        <f t="shared" si="81"/>
        <v>2022</v>
      </c>
      <c r="AD719" s="7">
        <f t="shared" si="82"/>
        <v>2</v>
      </c>
      <c r="AE719" s="7">
        <f>COUNTIF(A:A,A719)</f>
        <v>1</v>
      </c>
      <c r="AF719" s="7" t="str">
        <f t="shared" si="83"/>
        <v/>
      </c>
    </row>
    <row r="720" spans="1:32">
      <c r="A720" t="s">
        <v>2295</v>
      </c>
      <c r="B720">
        <v>18479821</v>
      </c>
      <c r="C720" t="s">
        <v>2296</v>
      </c>
      <c r="D720" t="s">
        <v>1461</v>
      </c>
      <c r="F720" t="s">
        <v>22</v>
      </c>
      <c r="G720" t="s">
        <v>35</v>
      </c>
      <c r="I720" t="s">
        <v>3377</v>
      </c>
      <c r="J720">
        <v>8205.1</v>
      </c>
      <c r="K720" t="s">
        <v>86</v>
      </c>
      <c r="L720" t="s">
        <v>81</v>
      </c>
      <c r="M720" s="1">
        <v>44513.363888888889</v>
      </c>
      <c r="N720">
        <v>83</v>
      </c>
      <c r="O720" t="s">
        <v>68</v>
      </c>
      <c r="P720" t="s">
        <v>68</v>
      </c>
      <c r="Q720" t="s">
        <v>2297</v>
      </c>
      <c r="R720">
        <f t="shared" si="77"/>
        <v>18479821</v>
      </c>
      <c r="S720" t="str" cm="1">
        <f t="array" ref="S720">IF(C720="",IFERROR(INDEX($C$2:$C$1166,MATCH(MAX(COUNTIF($C$2:$C$1166,$C$2:$C$1166)),COUNTIF($C$2:$C$1166,$C$2:$C$1166),0)),"Unknown"),C720)</f>
        <v>Sarah Dubois</v>
      </c>
      <c r="T720" s="4" t="str" cm="1">
        <f t="array" ref="T720">IF(D720="",IFERROR(INDEX($D$2:$D$1000,MATCH(MAX(COUNTIF($D$2:$D$1166,$D$2:$D$1166)),COUNTIF($D$2:$D$1166,$D$2:$D$1166),0)),"Unknown"),D720)</f>
        <v>Fatima Thomas</v>
      </c>
      <c r="U720" t="str">
        <f t="shared" si="78"/>
        <v>BRL</v>
      </c>
      <c r="V720" s="7" t="str">
        <f t="shared" si="78"/>
        <v>EUR</v>
      </c>
      <c r="W720" s="7" t="str">
        <f t="shared" si="79"/>
        <v>UAE</v>
      </c>
      <c r="X720" s="7" t="str">
        <f t="shared" si="79"/>
        <v>UAE</v>
      </c>
      <c r="Y720" s="7" t="str" cm="1">
        <f t="array" ref="Y720">IF(H720="",IFERROR(INDEX($H$2:$H$1166,MATCH(MAX(COUNTIF($H$2:$H$1166,$H$2:$H$1166)),COUNTIF($H$2:$H$1166,$H$2:$H$1166),0)),"Unknown"),H720)</f>
        <v>Pending</v>
      </c>
      <c r="Z720" s="7" t="str">
        <f t="shared" si="80"/>
        <v>Inter-Transaction</v>
      </c>
      <c r="AA720" s="7">
        <f>IF(J720="",AVERAGE($J:$J),J720)</f>
        <v>8205.1</v>
      </c>
      <c r="AB720" s="7">
        <f>IF(N720="",AVERAGE($N:$N),N720)</f>
        <v>83</v>
      </c>
      <c r="AC720" s="7">
        <f t="shared" si="81"/>
        <v>2021</v>
      </c>
      <c r="AD720" s="7">
        <f t="shared" si="82"/>
        <v>11</v>
      </c>
      <c r="AE720" s="7">
        <f>COUNTIF(A:A,A720)</f>
        <v>1</v>
      </c>
      <c r="AF720" s="7" t="str">
        <f t="shared" si="83"/>
        <v/>
      </c>
    </row>
    <row r="721" spans="1:32">
      <c r="A721" t="s">
        <v>2298</v>
      </c>
      <c r="B721">
        <v>53815113</v>
      </c>
      <c r="C721" t="s">
        <v>2299</v>
      </c>
      <c r="D721" t="s">
        <v>2300</v>
      </c>
      <c r="F721" t="s">
        <v>53</v>
      </c>
      <c r="G721" t="s">
        <v>98</v>
      </c>
      <c r="H721" t="s">
        <v>38</v>
      </c>
      <c r="I721" t="s">
        <v>3372</v>
      </c>
      <c r="J721">
        <v>10450.219999999999</v>
      </c>
      <c r="K721" t="s">
        <v>27</v>
      </c>
      <c r="L721" t="s">
        <v>81</v>
      </c>
      <c r="M721" s="1">
        <v>45839.465277777781</v>
      </c>
      <c r="N721">
        <v>21</v>
      </c>
      <c r="O721" t="s">
        <v>68</v>
      </c>
      <c r="P721" t="s">
        <v>68</v>
      </c>
      <c r="Q721" t="s">
        <v>2301</v>
      </c>
      <c r="R721">
        <f t="shared" si="77"/>
        <v>53815113</v>
      </c>
      <c r="S721" t="str" cm="1">
        <f t="array" ref="S721">IF(C721="",IFERROR(INDEX($C$2:$C$1166,MATCH(MAX(COUNTIF($C$2:$C$1166,$C$2:$C$1166)),COUNTIF($C$2:$C$1166,$C$2:$C$1166),0)),"Unknown"),C721)</f>
        <v>Nancy Garcia</v>
      </c>
      <c r="T721" s="4" t="str" cm="1">
        <f t="array" ref="T721">IF(D721="",IFERROR(INDEX($D$2:$D$1000,MATCH(MAX(COUNTIF($D$2:$D$1166,$D$2:$D$1166)),COUNTIF($D$2:$D$1166,$D$2:$D$1166),0)),"Unknown"),D721)</f>
        <v>Priya Gonzalez</v>
      </c>
      <c r="U721" t="str">
        <f t="shared" si="78"/>
        <v>AED</v>
      </c>
      <c r="V721" s="7" t="str">
        <f t="shared" si="78"/>
        <v>JPY</v>
      </c>
      <c r="W721" s="7" t="str">
        <f t="shared" si="79"/>
        <v>UAE</v>
      </c>
      <c r="X721" s="7" t="str">
        <f t="shared" si="79"/>
        <v>UAE</v>
      </c>
      <c r="Y721" s="7" t="str" cm="1">
        <f t="array" ref="Y721">IF(H721="",IFERROR(INDEX($H$2:$H$1166,MATCH(MAX(COUNTIF($H$2:$H$1166,$H$2:$H$1166)),COUNTIF($H$2:$H$1166,$H$2:$H$1166),0)),"Unknown"),H721)</f>
        <v>Pending</v>
      </c>
      <c r="Z721" s="7" t="str">
        <f t="shared" si="80"/>
        <v>Outer-Transaction</v>
      </c>
      <c r="AA721" s="7">
        <f>IF(J721="",AVERAGE($J:$J),J721)</f>
        <v>10450.219999999999</v>
      </c>
      <c r="AB721" s="7">
        <f>IF(N721="",AVERAGE($N:$N),N721)</f>
        <v>21</v>
      </c>
      <c r="AC721" s="7">
        <f t="shared" si="81"/>
        <v>2025</v>
      </c>
      <c r="AD721" s="7">
        <f t="shared" si="82"/>
        <v>7</v>
      </c>
      <c r="AE721" s="7">
        <f>COUNTIF(A:A,A721)</f>
        <v>1</v>
      </c>
      <c r="AF721" s="7" t="str">
        <f t="shared" si="83"/>
        <v/>
      </c>
    </row>
    <row r="722" spans="1:32">
      <c r="A722" t="s">
        <v>2302</v>
      </c>
      <c r="B722">
        <v>98571165</v>
      </c>
      <c r="C722" t="s">
        <v>1480</v>
      </c>
      <c r="D722" t="s">
        <v>1254</v>
      </c>
      <c r="F722" t="s">
        <v>116</v>
      </c>
      <c r="G722" t="s">
        <v>45</v>
      </c>
      <c r="H722" t="s">
        <v>56</v>
      </c>
      <c r="I722" t="s">
        <v>3374</v>
      </c>
      <c r="J722">
        <v>676.88</v>
      </c>
      <c r="K722" t="s">
        <v>86</v>
      </c>
      <c r="L722" t="s">
        <v>28</v>
      </c>
      <c r="M722" s="1">
        <v>46164.470138888886</v>
      </c>
      <c r="N722">
        <v>23</v>
      </c>
      <c r="O722" t="s">
        <v>93</v>
      </c>
      <c r="P722" t="s">
        <v>54</v>
      </c>
      <c r="Q722" t="s">
        <v>2303</v>
      </c>
      <c r="R722">
        <f t="shared" si="77"/>
        <v>98571165</v>
      </c>
      <c r="S722" t="str" cm="1">
        <f t="array" ref="S722">IF(C722="",IFERROR(INDEX($C$2:$C$1166,MATCH(MAX(COUNTIF($C$2:$C$1166,$C$2:$C$1166)),COUNTIF($C$2:$C$1166,$C$2:$C$1166),0)),"Unknown"),C722)</f>
        <v>Mary Brown</v>
      </c>
      <c r="T722" s="4" t="str" cm="1">
        <f t="array" ref="T722">IF(D722="",IFERROR(INDEX($D$2:$D$1000,MATCH(MAX(COUNTIF($D$2:$D$1166,$D$2:$D$1166)),COUNTIF($D$2:$D$1166,$D$2:$D$1166),0)),"Unknown"),D722)</f>
        <v>Patricia Martin</v>
      </c>
      <c r="U722" t="str">
        <f t="shared" si="78"/>
        <v>CHF</v>
      </c>
      <c r="V722" s="7" t="str">
        <f t="shared" si="78"/>
        <v>ZAR</v>
      </c>
      <c r="W722" s="7" t="str">
        <f t="shared" si="79"/>
        <v>USA</v>
      </c>
      <c r="X722" s="7" t="str">
        <f t="shared" si="79"/>
        <v>India</v>
      </c>
      <c r="Y722" s="7" t="str" cm="1">
        <f t="array" ref="Y722">IF(H722="",IFERROR(INDEX($H$2:$H$1166,MATCH(MAX(COUNTIF($H$2:$H$1166,$H$2:$H$1166)),COUNTIF($H$2:$H$1166,$H$2:$H$1166),0)),"Unknown"),H722)</f>
        <v>Unverified</v>
      </c>
      <c r="Z722" s="7" t="str">
        <f t="shared" si="80"/>
        <v>External</v>
      </c>
      <c r="AA722" s="7">
        <f>IF(J722="",AVERAGE($J:$J),J722)</f>
        <v>676.88</v>
      </c>
      <c r="AB722" s="7">
        <f>IF(N722="",AVERAGE($N:$N),N722)</f>
        <v>23</v>
      </c>
      <c r="AC722" s="7">
        <f t="shared" si="81"/>
        <v>2026</v>
      </c>
      <c r="AD722" s="7">
        <f t="shared" si="82"/>
        <v>5</v>
      </c>
      <c r="AE722" s="7">
        <f>COUNTIF(A:A,A722)</f>
        <v>1</v>
      </c>
      <c r="AF722" s="7" t="str">
        <f t="shared" si="83"/>
        <v/>
      </c>
    </row>
    <row r="723" spans="1:32">
      <c r="A723" t="s">
        <v>2304</v>
      </c>
      <c r="B723">
        <v>37802066</v>
      </c>
      <c r="C723" t="s">
        <v>130</v>
      </c>
      <c r="D723" t="s">
        <v>274</v>
      </c>
      <c r="F723" t="s">
        <v>45</v>
      </c>
      <c r="G723" t="s">
        <v>21</v>
      </c>
      <c r="H723" t="s">
        <v>25</v>
      </c>
      <c r="I723" t="s">
        <v>3377</v>
      </c>
      <c r="J723">
        <v>381.35</v>
      </c>
      <c r="K723" t="s">
        <v>27</v>
      </c>
      <c r="L723" t="s">
        <v>75</v>
      </c>
      <c r="M723" s="1">
        <v>45621.490972222222</v>
      </c>
      <c r="N723">
        <v>68</v>
      </c>
      <c r="O723" t="s">
        <v>127</v>
      </c>
      <c r="P723" t="s">
        <v>93</v>
      </c>
      <c r="Q723" t="s">
        <v>2305</v>
      </c>
      <c r="R723">
        <f t="shared" si="77"/>
        <v>37802066</v>
      </c>
      <c r="S723" t="str" cm="1">
        <f t="array" ref="S723">IF(C723="",IFERROR(INDEX($C$2:$C$1166,MATCH(MAX(COUNTIF($C$2:$C$1166,$C$2:$C$1166)),COUNTIF($C$2:$C$1166,$C$2:$C$1166),0)),"Unknown"),C723)</f>
        <v>Jessica Hernandez</v>
      </c>
      <c r="T723" s="4" t="str" cm="1">
        <f t="array" ref="T723">IF(D723="",IFERROR(INDEX($D$2:$D$1000,MATCH(MAX(COUNTIF($D$2:$D$1166,$D$2:$D$1166)),COUNTIF($D$2:$D$1166,$D$2:$D$1166),0)),"Unknown"),D723)</f>
        <v>Elizabeth Wilson</v>
      </c>
      <c r="U723" t="str">
        <f t="shared" si="78"/>
        <v>ZAR</v>
      </c>
      <c r="V723" s="7" t="str">
        <f t="shared" si="78"/>
        <v>GBP</v>
      </c>
      <c r="W723" s="7" t="str">
        <f t="shared" si="79"/>
        <v>Canada</v>
      </c>
      <c r="X723" s="7" t="str">
        <f t="shared" si="79"/>
        <v>USA</v>
      </c>
      <c r="Y723" s="7" t="str" cm="1">
        <f t="array" ref="Y723">IF(H723="",IFERROR(INDEX($H$2:$H$1166,MATCH(MAX(COUNTIF($H$2:$H$1166,$H$2:$H$1166)),COUNTIF($H$2:$H$1166,$H$2:$H$1166),0)),"Unknown"),H723)</f>
        <v>KYC</v>
      </c>
      <c r="Z723" s="7" t="str">
        <f t="shared" si="80"/>
        <v>Inter-Transaction</v>
      </c>
      <c r="AA723" s="7">
        <f>IF(J723="",AVERAGE($J:$J),J723)</f>
        <v>381.35</v>
      </c>
      <c r="AB723" s="7">
        <f>IF(N723="",AVERAGE($N:$N),N723)</f>
        <v>68</v>
      </c>
      <c r="AC723" s="7">
        <f t="shared" si="81"/>
        <v>2024</v>
      </c>
      <c r="AD723" s="7">
        <f t="shared" si="82"/>
        <v>11</v>
      </c>
      <c r="AE723" s="7">
        <f>COUNTIF(A:A,A723)</f>
        <v>1</v>
      </c>
      <c r="AF723" s="7" t="str">
        <f t="shared" si="83"/>
        <v/>
      </c>
    </row>
    <row r="724" spans="1:32">
      <c r="A724" t="s">
        <v>2306</v>
      </c>
      <c r="B724">
        <v>46771858</v>
      </c>
      <c r="C724" t="s">
        <v>1433</v>
      </c>
      <c r="D724" t="s">
        <v>2307</v>
      </c>
      <c r="F724" t="s">
        <v>92</v>
      </c>
      <c r="G724" t="s">
        <v>92</v>
      </c>
      <c r="H724" t="s">
        <v>103</v>
      </c>
      <c r="I724" t="s">
        <v>3378</v>
      </c>
      <c r="J724">
        <v>6359.62</v>
      </c>
      <c r="K724" t="s">
        <v>57</v>
      </c>
      <c r="L724" t="s">
        <v>81</v>
      </c>
      <c r="M724" s="1">
        <v>45308.179861111108</v>
      </c>
      <c r="N724">
        <v>79</v>
      </c>
      <c r="O724" t="s">
        <v>24</v>
      </c>
      <c r="P724" t="s">
        <v>62</v>
      </c>
      <c r="Q724" t="s">
        <v>2308</v>
      </c>
      <c r="R724">
        <f t="shared" si="77"/>
        <v>46771858</v>
      </c>
      <c r="S724" t="str" cm="1">
        <f t="array" ref="S724">IF(C724="",IFERROR(INDEX($C$2:$C$1166,MATCH(MAX(COUNTIF($C$2:$C$1166,$C$2:$C$1166)),COUNTIF($C$2:$C$1166,$C$2:$C$1166),0)),"Unknown"),C724)</f>
        <v>Lucas Volkov</v>
      </c>
      <c r="T724" s="4" t="str" cm="1">
        <f t="array" ref="T724">IF(D724="",IFERROR(INDEX($D$2:$D$1000,MATCH(MAX(COUNTIF($D$2:$D$1166,$D$2:$D$1166)),COUNTIF($D$2:$D$1166,$D$2:$D$1166),0)),"Unknown"),D724)</f>
        <v xml:space="preserve"> fatima malik   </v>
      </c>
      <c r="U724" t="str">
        <f t="shared" si="78"/>
        <v>AUD</v>
      </c>
      <c r="V724" s="7" t="str">
        <f t="shared" si="78"/>
        <v>AUD</v>
      </c>
      <c r="W724" s="7" t="str">
        <f t="shared" si="79"/>
        <v>Brazil</v>
      </c>
      <c r="X724" s="7" t="str">
        <f t="shared" si="79"/>
        <v>Australia</v>
      </c>
      <c r="Y724" s="7" t="str" cm="1">
        <f t="array" ref="Y724">IF(H724="",IFERROR(INDEX($H$2:$H$1166,MATCH(MAX(COUNTIF($H$2:$H$1166,$H$2:$H$1166)),COUNTIF($H$2:$H$1166,$H$2:$H$1166),0)),"Unknown"),H724)</f>
        <v>Verified</v>
      </c>
      <c r="Z724" s="7" t="str">
        <f t="shared" si="80"/>
        <v>Inter-Transaction</v>
      </c>
      <c r="AA724" s="7">
        <f>IF(J724="",AVERAGE($J:$J),J724)</f>
        <v>6359.62</v>
      </c>
      <c r="AB724" s="7">
        <f>IF(N724="",AVERAGE($N:$N),N724)</f>
        <v>79</v>
      </c>
      <c r="AC724" s="7">
        <f t="shared" si="81"/>
        <v>2024</v>
      </c>
      <c r="AD724" s="7">
        <f t="shared" si="82"/>
        <v>1</v>
      </c>
      <c r="AE724" s="7">
        <f>COUNTIF(A:A,A724)</f>
        <v>1</v>
      </c>
      <c r="AF724" s="7" t="str">
        <f t="shared" si="83"/>
        <v/>
      </c>
    </row>
    <row r="725" spans="1:32">
      <c r="A725" t="s">
        <v>2309</v>
      </c>
      <c r="B725">
        <v>77970791</v>
      </c>
      <c r="C725" t="s">
        <v>1995</v>
      </c>
      <c r="D725" t="s">
        <v>1504</v>
      </c>
      <c r="F725" t="s">
        <v>34</v>
      </c>
      <c r="G725" t="s">
        <v>53</v>
      </c>
      <c r="I725" t="s">
        <v>3378</v>
      </c>
      <c r="J725">
        <v>10511.97</v>
      </c>
      <c r="K725" t="s">
        <v>86</v>
      </c>
      <c r="L725" t="s">
        <v>28</v>
      </c>
      <c r="M725" s="1">
        <v>44716.472222222219</v>
      </c>
      <c r="N725">
        <v>74</v>
      </c>
      <c r="O725" t="s">
        <v>62</v>
      </c>
      <c r="P725" t="s">
        <v>62</v>
      </c>
      <c r="Q725" t="s">
        <v>2310</v>
      </c>
      <c r="R725">
        <f t="shared" si="77"/>
        <v>77970791</v>
      </c>
      <c r="S725" t="str" cm="1">
        <f t="array" ref="S725">IF(C725="",IFERROR(INDEX($C$2:$C$1166,MATCH(MAX(COUNTIF($C$2:$C$1166,$C$2:$C$1166)),COUNTIF($C$2:$C$1166,$C$2:$C$1166),0)),"Unknown"),C725)</f>
        <v>Lucas Martin</v>
      </c>
      <c r="T725" s="4" t="str" cm="1">
        <f t="array" ref="T725">IF(D725="",IFERROR(INDEX($D$2:$D$1000,MATCH(MAX(COUNTIF($D$2:$D$1166,$D$2:$D$1166)),COUNTIF($D$2:$D$1166,$D$2:$D$1166),0)),"Unknown"),D725)</f>
        <v>John Wilson</v>
      </c>
      <c r="U725" t="str">
        <f t="shared" si="78"/>
        <v>CAD</v>
      </c>
      <c r="V725" s="7" t="str">
        <f t="shared" si="78"/>
        <v>AED</v>
      </c>
      <c r="W725" s="7" t="str">
        <f t="shared" si="79"/>
        <v>Australia</v>
      </c>
      <c r="X725" s="7" t="str">
        <f t="shared" si="79"/>
        <v>Australia</v>
      </c>
      <c r="Y725" s="7" t="str" cm="1">
        <f t="array" ref="Y725">IF(H725="",IFERROR(INDEX($H$2:$H$1166,MATCH(MAX(COUNTIF($H$2:$H$1166,$H$2:$H$1166)),COUNTIF($H$2:$H$1166,$H$2:$H$1166),0)),"Unknown"),H725)</f>
        <v>Pending</v>
      </c>
      <c r="Z725" s="7" t="str">
        <f t="shared" si="80"/>
        <v>Inter-Transaction</v>
      </c>
      <c r="AA725" s="7">
        <f>IF(J725="",AVERAGE($J:$J),J725)</f>
        <v>10511.97</v>
      </c>
      <c r="AB725" s="7">
        <f>IF(N725="",AVERAGE($N:$N),N725)</f>
        <v>74</v>
      </c>
      <c r="AC725" s="7">
        <f t="shared" si="81"/>
        <v>2022</v>
      </c>
      <c r="AD725" s="7">
        <f t="shared" si="82"/>
        <v>6</v>
      </c>
      <c r="AE725" s="7">
        <f>COUNTIF(A:A,A725)</f>
        <v>1</v>
      </c>
      <c r="AF725" s="7" t="str">
        <f t="shared" si="83"/>
        <v/>
      </c>
    </row>
    <row r="726" spans="1:32">
      <c r="A726" t="s">
        <v>2311</v>
      </c>
      <c r="B726">
        <v>35063557</v>
      </c>
      <c r="C726" t="s">
        <v>2312</v>
      </c>
      <c r="D726" t="s">
        <v>1042</v>
      </c>
      <c r="F726" t="s">
        <v>44</v>
      </c>
      <c r="G726" t="s">
        <v>92</v>
      </c>
      <c r="H726" t="s">
        <v>103</v>
      </c>
      <c r="I726" t="s">
        <v>3376</v>
      </c>
      <c r="J726">
        <v>1019.31</v>
      </c>
      <c r="K726" t="s">
        <v>86</v>
      </c>
      <c r="L726" t="s">
        <v>28</v>
      </c>
      <c r="M726" s="1">
        <v>44227.422222222223</v>
      </c>
      <c r="N726">
        <v>83</v>
      </c>
      <c r="O726" t="s">
        <v>23</v>
      </c>
      <c r="P726" t="s">
        <v>23</v>
      </c>
      <c r="Q726" t="s">
        <v>2313</v>
      </c>
      <c r="R726">
        <f t="shared" si="77"/>
        <v>35063557</v>
      </c>
      <c r="S726" t="str" cm="1">
        <f t="array" ref="S726">IF(C726="",IFERROR(INDEX($C$2:$C$1166,MATCH(MAX(COUNTIF($C$2:$C$1166,$C$2:$C$1166)),COUNTIF($C$2:$C$1166,$C$2:$C$1166),0)),"Unknown"),C726)</f>
        <v>Patricia Garcia</v>
      </c>
      <c r="T726" s="4" t="str" cm="1">
        <f t="array" ref="T726">IF(D726="",IFERROR(INDEX($D$2:$D$1000,MATCH(MAX(COUNTIF($D$2:$D$1166,$D$2:$D$1166)),COUNTIF($D$2:$D$1166,$D$2:$D$1166),0)),"Unknown"),D726)</f>
        <v>Michael Martinez</v>
      </c>
      <c r="U726" t="str">
        <f t="shared" si="78"/>
        <v>SGD</v>
      </c>
      <c r="V726" s="7" t="str">
        <f t="shared" si="78"/>
        <v>AUD</v>
      </c>
      <c r="W726" s="7" t="str">
        <f t="shared" si="79"/>
        <v>France</v>
      </c>
      <c r="X726" s="7" t="str">
        <f t="shared" si="79"/>
        <v>France</v>
      </c>
      <c r="Y726" s="7" t="str" cm="1">
        <f t="array" ref="Y726">IF(H726="",IFERROR(INDEX($H$2:$H$1166,MATCH(MAX(COUNTIF($H$2:$H$1166,$H$2:$H$1166)),COUNTIF($H$2:$H$1166,$H$2:$H$1166),0)),"Unknown"),H726)</f>
        <v>Verified</v>
      </c>
      <c r="Z726" s="7" t="str">
        <f t="shared" si="80"/>
        <v>Internal</v>
      </c>
      <c r="AA726" s="7">
        <f>IF(J726="",AVERAGE($J:$J),J726)</f>
        <v>1019.31</v>
      </c>
      <c r="AB726" s="7">
        <f>IF(N726="",AVERAGE($N:$N),N726)</f>
        <v>83</v>
      </c>
      <c r="AC726" s="7">
        <f t="shared" si="81"/>
        <v>2021</v>
      </c>
      <c r="AD726" s="7">
        <f t="shared" si="82"/>
        <v>1</v>
      </c>
      <c r="AE726" s="7">
        <f>COUNTIF(A:A,A726)</f>
        <v>1</v>
      </c>
      <c r="AF726" s="7" t="str">
        <f t="shared" si="83"/>
        <v/>
      </c>
    </row>
    <row r="727" spans="1:32">
      <c r="A727" t="s">
        <v>2314</v>
      </c>
      <c r="B727">
        <v>81592930</v>
      </c>
      <c r="D727" t="s">
        <v>323</v>
      </c>
      <c r="F727" t="s">
        <v>112</v>
      </c>
      <c r="G727" t="s">
        <v>98</v>
      </c>
      <c r="H727" t="s">
        <v>38</v>
      </c>
      <c r="I727" t="s">
        <v>3371</v>
      </c>
      <c r="J727">
        <v>2946.3</v>
      </c>
      <c r="K727" t="s">
        <v>86</v>
      </c>
      <c r="L727" t="s">
        <v>48</v>
      </c>
      <c r="M727" s="1">
        <v>45369.724999999999</v>
      </c>
      <c r="N727">
        <v>25</v>
      </c>
      <c r="O727" t="s">
        <v>24</v>
      </c>
      <c r="P727" t="s">
        <v>23</v>
      </c>
      <c r="Q727" t="s">
        <v>2315</v>
      </c>
      <c r="R727">
        <f t="shared" si="77"/>
        <v>81592930</v>
      </c>
      <c r="S727" t="str" cm="1">
        <f t="array" ref="S727">IF(C727="",IFERROR(INDEX($C$2:$C$1166,MATCH(MAX(COUNTIF($C$2:$C$1166,$C$2:$C$1166)),COUNTIF($C$2:$C$1166,$C$2:$C$1166),0)),"Unknown"),C727)</f>
        <v>Fatima Brown</v>
      </c>
      <c r="T727" s="4" t="str" cm="1">
        <f t="array" ref="T727">IF(D727="",IFERROR(INDEX($D$2:$D$1000,MATCH(MAX(COUNTIF($D$2:$D$1166,$D$2:$D$1166)),COUNTIF($D$2:$D$1166,$D$2:$D$1166),0)),"Unknown"),D727)</f>
        <v>Sanjay Gonzalez</v>
      </c>
      <c r="U727" t="str">
        <f t="shared" si="78"/>
        <v>usd</v>
      </c>
      <c r="V727" s="7" t="str">
        <f t="shared" si="78"/>
        <v>JPY</v>
      </c>
      <c r="W727" s="7" t="str">
        <f t="shared" si="79"/>
        <v>Brazil</v>
      </c>
      <c r="X727" s="7" t="str">
        <f t="shared" si="79"/>
        <v>France</v>
      </c>
      <c r="Y727" s="7" t="str" cm="1">
        <f t="array" ref="Y727">IF(H727="",IFERROR(INDEX($H$2:$H$1166,MATCH(MAX(COUNTIF($H$2:$H$1166,$H$2:$H$1166)),COUNTIF($H$2:$H$1166,$H$2:$H$1166),0)),"Unknown"),H727)</f>
        <v>Pending</v>
      </c>
      <c r="Z727" s="7" t="str">
        <f t="shared" si="80"/>
        <v>Outer-Transaction</v>
      </c>
      <c r="AA727" s="7">
        <f>IF(J727="",AVERAGE($J:$J),J727)</f>
        <v>2946.3</v>
      </c>
      <c r="AB727" s="7">
        <f>IF(N727="",AVERAGE($N:$N),N727)</f>
        <v>25</v>
      </c>
      <c r="AC727" s="7">
        <f t="shared" si="81"/>
        <v>2024</v>
      </c>
      <c r="AD727" s="7">
        <f t="shared" si="82"/>
        <v>3</v>
      </c>
      <c r="AE727" s="7">
        <f>COUNTIF(A:A,A727)</f>
        <v>1</v>
      </c>
      <c r="AF727" s="7" t="str">
        <f t="shared" si="83"/>
        <v/>
      </c>
    </row>
    <row r="728" spans="1:32">
      <c r="A728" t="s">
        <v>2316</v>
      </c>
      <c r="B728">
        <v>45315666</v>
      </c>
      <c r="C728" t="s">
        <v>640</v>
      </c>
      <c r="D728" t="s">
        <v>1472</v>
      </c>
      <c r="F728" t="s">
        <v>21</v>
      </c>
      <c r="G728" t="s">
        <v>22</v>
      </c>
      <c r="H728" t="s">
        <v>56</v>
      </c>
      <c r="I728" t="s">
        <v>3378</v>
      </c>
      <c r="J728">
        <v>3427.36</v>
      </c>
      <c r="K728" t="s">
        <v>57</v>
      </c>
      <c r="L728" t="s">
        <v>81</v>
      </c>
      <c r="M728" s="1">
        <v>45904.118750000001</v>
      </c>
      <c r="N728">
        <v>43</v>
      </c>
      <c r="O728" t="s">
        <v>55</v>
      </c>
      <c r="P728" t="s">
        <v>24</v>
      </c>
      <c r="Q728" t="s">
        <v>2317</v>
      </c>
      <c r="R728">
        <f t="shared" si="77"/>
        <v>45315666</v>
      </c>
      <c r="S728" t="str" cm="1">
        <f t="array" ref="S728">IF(C728="",IFERROR(INDEX($C$2:$C$1166,MATCH(MAX(COUNTIF($C$2:$C$1166,$C$2:$C$1166)),COUNTIF($C$2:$C$1166,$C$2:$C$1166),0)),"Unknown"),C728)</f>
        <v>Zayn Garcia</v>
      </c>
      <c r="T728" s="4" t="str" cm="1">
        <f t="array" ref="T728">IF(D728="",IFERROR(INDEX($D$2:$D$1000,MATCH(MAX(COUNTIF($D$2:$D$1166,$D$2:$D$1166)),COUNTIF($D$2:$D$1166,$D$2:$D$1166),0)),"Unknown"),D728)</f>
        <v>Sanjay Silva</v>
      </c>
      <c r="U728" t="str">
        <f t="shared" si="78"/>
        <v>GBP</v>
      </c>
      <c r="V728" s="7" t="str">
        <f t="shared" si="78"/>
        <v>BRL</v>
      </c>
      <c r="W728" s="7" t="str">
        <f t="shared" si="79"/>
        <v>UK</v>
      </c>
      <c r="X728" s="7" t="str">
        <f t="shared" si="79"/>
        <v>Brazil</v>
      </c>
      <c r="Y728" s="7" t="str" cm="1">
        <f t="array" ref="Y728">IF(H728="",IFERROR(INDEX($H$2:$H$1166,MATCH(MAX(COUNTIF($H$2:$H$1166,$H$2:$H$1166)),COUNTIF($H$2:$H$1166,$H$2:$H$1166),0)),"Unknown"),H728)</f>
        <v>Unverified</v>
      </c>
      <c r="Z728" s="7" t="str">
        <f t="shared" si="80"/>
        <v>Inter-Transaction</v>
      </c>
      <c r="AA728" s="7">
        <f>IF(J728="",AVERAGE($J:$J),J728)</f>
        <v>3427.36</v>
      </c>
      <c r="AB728" s="7">
        <f>IF(N728="",AVERAGE($N:$N),N728)</f>
        <v>43</v>
      </c>
      <c r="AC728" s="7">
        <f t="shared" si="81"/>
        <v>2025</v>
      </c>
      <c r="AD728" s="7">
        <f t="shared" si="82"/>
        <v>9</v>
      </c>
      <c r="AE728" s="7">
        <f>COUNTIF(A:A,A728)</f>
        <v>1</v>
      </c>
      <c r="AF728" s="7" t="str">
        <f t="shared" si="83"/>
        <v/>
      </c>
    </row>
    <row r="729" spans="1:32">
      <c r="A729" t="s">
        <v>2318</v>
      </c>
      <c r="B729">
        <v>27168689</v>
      </c>
      <c r="C729" t="s">
        <v>1864</v>
      </c>
      <c r="D729" t="s">
        <v>2319</v>
      </c>
      <c r="F729" t="s">
        <v>98</v>
      </c>
      <c r="G729" t="s">
        <v>34</v>
      </c>
      <c r="I729" t="s">
        <v>3372</v>
      </c>
      <c r="J729">
        <v>3824.43</v>
      </c>
      <c r="K729" t="s">
        <v>57</v>
      </c>
      <c r="L729" t="s">
        <v>75</v>
      </c>
      <c r="M729" s="1">
        <v>44143.675694444442</v>
      </c>
      <c r="N729">
        <v>68</v>
      </c>
      <c r="O729" t="s">
        <v>62</v>
      </c>
      <c r="P729" t="s">
        <v>37</v>
      </c>
      <c r="Q729" t="s">
        <v>2320</v>
      </c>
      <c r="R729">
        <f t="shared" si="77"/>
        <v>27168689</v>
      </c>
      <c r="S729" t="str" cm="1">
        <f t="array" ref="S729">IF(C729="",IFERROR(INDEX($C$2:$C$1166,MATCH(MAX(COUNTIF($C$2:$C$1166,$C$2:$C$1166)),COUNTIF($C$2:$C$1166,$C$2:$C$1166),0)),"Unknown"),C729)</f>
        <v>Patricia Velez</v>
      </c>
      <c r="T729" s="4" t="str" cm="1">
        <f t="array" ref="T729">IF(D729="",IFERROR(INDEX($D$2:$D$1000,MATCH(MAX(COUNTIF($D$2:$D$1166,$D$2:$D$1166)),COUNTIF($D$2:$D$1166,$D$2:$D$1166),0)),"Unknown"),D729)</f>
        <v xml:space="preserve"> karen rostova   </v>
      </c>
      <c r="U729" t="str">
        <f t="shared" si="78"/>
        <v>JPY</v>
      </c>
      <c r="V729" s="7" t="str">
        <f t="shared" si="78"/>
        <v>CAD</v>
      </c>
      <c r="W729" s="7" t="str">
        <f t="shared" si="79"/>
        <v>Australia</v>
      </c>
      <c r="X729" s="7" t="str">
        <f t="shared" si="79"/>
        <v>South Africa</v>
      </c>
      <c r="Y729" s="7" t="str" cm="1">
        <f t="array" ref="Y729">IF(H729="",IFERROR(INDEX($H$2:$H$1166,MATCH(MAX(COUNTIF($H$2:$H$1166,$H$2:$H$1166)),COUNTIF($H$2:$H$1166,$H$2:$H$1166),0)),"Unknown"),H729)</f>
        <v>Pending</v>
      </c>
      <c r="Z729" s="7" t="str">
        <f t="shared" si="80"/>
        <v>Outer-Transaction</v>
      </c>
      <c r="AA729" s="7">
        <f>IF(J729="",AVERAGE($J:$J),J729)</f>
        <v>3824.43</v>
      </c>
      <c r="AB729" s="7">
        <f>IF(N729="",AVERAGE($N:$N),N729)</f>
        <v>68</v>
      </c>
      <c r="AC729" s="7">
        <f t="shared" si="81"/>
        <v>2020</v>
      </c>
      <c r="AD729" s="7">
        <f t="shared" si="82"/>
        <v>11</v>
      </c>
      <c r="AE729" s="7">
        <f>COUNTIF(A:A,A729)</f>
        <v>1</v>
      </c>
      <c r="AF729" s="7" t="str">
        <f t="shared" si="83"/>
        <v/>
      </c>
    </row>
    <row r="730" spans="1:32">
      <c r="A730" t="s">
        <v>2321</v>
      </c>
      <c r="B730">
        <v>70055642</v>
      </c>
      <c r="C730" t="s">
        <v>2205</v>
      </c>
      <c r="D730" t="s">
        <v>1192</v>
      </c>
      <c r="F730" t="s">
        <v>22</v>
      </c>
      <c r="G730" t="s">
        <v>44</v>
      </c>
      <c r="H730" t="s">
        <v>56</v>
      </c>
      <c r="I730" t="s">
        <v>3371</v>
      </c>
      <c r="J730">
        <v>3651.01</v>
      </c>
      <c r="K730" t="s">
        <v>57</v>
      </c>
      <c r="L730" t="s">
        <v>48</v>
      </c>
      <c r="M730" s="1">
        <v>46004.011111111111</v>
      </c>
      <c r="N730">
        <v>62</v>
      </c>
      <c r="O730" t="s">
        <v>54</v>
      </c>
      <c r="P730" t="s">
        <v>54</v>
      </c>
      <c r="Q730" t="s">
        <v>2322</v>
      </c>
      <c r="R730">
        <f t="shared" si="77"/>
        <v>70055642</v>
      </c>
      <c r="S730" t="str" cm="1">
        <f t="array" ref="S730">IF(C730="",IFERROR(INDEX($C$2:$C$1166,MATCH(MAX(COUNTIF($C$2:$C$1166,$C$2:$C$1166)),COUNTIF($C$2:$C$1166,$C$2:$C$1166),0)),"Unknown"),C730)</f>
        <v>Barbara Dubois</v>
      </c>
      <c r="T730" s="4" t="str" cm="1">
        <f t="array" ref="T730">IF(D730="",IFERROR(INDEX($D$2:$D$1000,MATCH(MAX(COUNTIF($D$2:$D$1166,$D$2:$D$1166)),COUNTIF($D$2:$D$1166,$D$2:$D$1166),0)),"Unknown"),D730)</f>
        <v>Karen Martin</v>
      </c>
      <c r="U730" t="str">
        <f t="shared" si="78"/>
        <v>BRL</v>
      </c>
      <c r="V730" s="7" t="str">
        <f t="shared" si="78"/>
        <v>SGD</v>
      </c>
      <c r="W730" s="7" t="str">
        <f t="shared" si="79"/>
        <v>India</v>
      </c>
      <c r="X730" s="7" t="str">
        <f t="shared" si="79"/>
        <v>India</v>
      </c>
      <c r="Y730" s="7" t="str" cm="1">
        <f t="array" ref="Y730">IF(H730="",IFERROR(INDEX($H$2:$H$1166,MATCH(MAX(COUNTIF($H$2:$H$1166,$H$2:$H$1166)),COUNTIF($H$2:$H$1166,$H$2:$H$1166),0)),"Unknown"),H730)</f>
        <v>Unverified</v>
      </c>
      <c r="Z730" s="7" t="str">
        <f t="shared" si="80"/>
        <v>Outer-Transaction</v>
      </c>
      <c r="AA730" s="7">
        <f>IF(J730="",AVERAGE($J:$J),J730)</f>
        <v>3651.01</v>
      </c>
      <c r="AB730" s="7">
        <f>IF(N730="",AVERAGE($N:$N),N730)</f>
        <v>62</v>
      </c>
      <c r="AC730" s="7">
        <f t="shared" si="81"/>
        <v>2025</v>
      </c>
      <c r="AD730" s="7">
        <f t="shared" si="82"/>
        <v>12</v>
      </c>
      <c r="AE730" s="7">
        <f>COUNTIF(A:A,A730)</f>
        <v>1</v>
      </c>
      <c r="AF730" s="7" t="str">
        <f t="shared" si="83"/>
        <v/>
      </c>
    </row>
    <row r="731" spans="1:32">
      <c r="A731" t="s">
        <v>2323</v>
      </c>
      <c r="B731">
        <v>57463440</v>
      </c>
      <c r="C731" t="s">
        <v>1404</v>
      </c>
      <c r="D731" t="s">
        <v>578</v>
      </c>
      <c r="G731" t="s">
        <v>116</v>
      </c>
      <c r="H731" t="s">
        <v>74</v>
      </c>
      <c r="I731" t="s">
        <v>3377</v>
      </c>
      <c r="J731">
        <v>5805.33</v>
      </c>
      <c r="K731" t="s">
        <v>47</v>
      </c>
      <c r="L731" t="s">
        <v>75</v>
      </c>
      <c r="M731" s="1">
        <v>45419.294444444444</v>
      </c>
      <c r="N731">
        <v>61</v>
      </c>
      <c r="O731" t="s">
        <v>127</v>
      </c>
      <c r="P731" t="s">
        <v>24</v>
      </c>
      <c r="Q731" t="s">
        <v>2324</v>
      </c>
      <c r="R731">
        <f t="shared" si="77"/>
        <v>57463440</v>
      </c>
      <c r="S731" t="str" cm="1">
        <f t="array" ref="S731">IF(C731="",IFERROR(INDEX($C$2:$C$1166,MATCH(MAX(COUNTIF($C$2:$C$1166,$C$2:$C$1166)),COUNTIF($C$2:$C$1166,$C$2:$C$1166),0)),"Unknown"),C731)</f>
        <v>Elena Smith</v>
      </c>
      <c r="T731" s="4" t="str" cm="1">
        <f t="array" ref="T731">IF(D731="",IFERROR(INDEX($D$2:$D$1000,MATCH(MAX(COUNTIF($D$2:$D$1166,$D$2:$D$1166)),COUNTIF($D$2:$D$1166,$D$2:$D$1166),0)),"Unknown"),D731)</f>
        <v>Sanjay Moore</v>
      </c>
      <c r="U731" t="str">
        <f t="shared" si="78"/>
        <v/>
      </c>
      <c r="V731" s="7" t="str">
        <f t="shared" si="78"/>
        <v>CHF</v>
      </c>
      <c r="W731" s="7" t="str">
        <f t="shared" si="79"/>
        <v>Canada</v>
      </c>
      <c r="X731" s="7" t="str">
        <f t="shared" si="79"/>
        <v>Brazil</v>
      </c>
      <c r="Y731" s="7" t="str" cm="1">
        <f t="array" ref="Y731">IF(H731="",IFERROR(INDEX($H$2:$H$1166,MATCH(MAX(COUNTIF($H$2:$H$1166,$H$2:$H$1166)),COUNTIF($H$2:$H$1166,$H$2:$H$1166),0)),"Unknown"),H731)</f>
        <v>Non-KYC</v>
      </c>
      <c r="Z731" s="7" t="str">
        <f t="shared" si="80"/>
        <v>Inter-Transaction</v>
      </c>
      <c r="AA731" s="7">
        <f>IF(J731="",AVERAGE($J:$J),J731)</f>
        <v>5805.33</v>
      </c>
      <c r="AB731" s="7">
        <f>IF(N731="",AVERAGE($N:$N),N731)</f>
        <v>61</v>
      </c>
      <c r="AC731" s="7">
        <f t="shared" si="81"/>
        <v>2024</v>
      </c>
      <c r="AD731" s="7">
        <f t="shared" si="82"/>
        <v>5</v>
      </c>
      <c r="AE731" s="7">
        <f>COUNTIF(A:A,A731)</f>
        <v>1</v>
      </c>
      <c r="AF731" s="7" t="str">
        <f t="shared" si="83"/>
        <v/>
      </c>
    </row>
    <row r="732" spans="1:32">
      <c r="A732" t="s">
        <v>2325</v>
      </c>
      <c r="B732">
        <v>95143591</v>
      </c>
      <c r="C732" t="s">
        <v>146</v>
      </c>
      <c r="D732" t="s">
        <v>2326</v>
      </c>
      <c r="F732" t="s">
        <v>92</v>
      </c>
      <c r="G732" t="s">
        <v>44</v>
      </c>
      <c r="H732" t="s">
        <v>74</v>
      </c>
      <c r="I732" t="s">
        <v>3378</v>
      </c>
      <c r="J732">
        <v>3819</v>
      </c>
      <c r="K732" t="s">
        <v>57</v>
      </c>
      <c r="L732" t="s">
        <v>75</v>
      </c>
      <c r="M732" s="1">
        <v>45052.194444444445</v>
      </c>
      <c r="N732">
        <v>22</v>
      </c>
      <c r="O732" t="s">
        <v>54</v>
      </c>
      <c r="P732" t="s">
        <v>24</v>
      </c>
      <c r="Q732" t="s">
        <v>2327</v>
      </c>
      <c r="R732">
        <f t="shared" si="77"/>
        <v>95143591</v>
      </c>
      <c r="S732" t="str" cm="1">
        <f t="array" ref="S732">IF(C732="",IFERROR(INDEX($C$2:$C$1166,MATCH(MAX(COUNTIF($C$2:$C$1166,$C$2:$C$1166)),COUNTIF($C$2:$C$1166,$C$2:$C$1166),0)),"Unknown"),C732)</f>
        <v>Fatima Brown</v>
      </c>
      <c r="T732" s="4" t="str" cm="1">
        <f t="array" ref="T732">IF(D732="",IFERROR(INDEX($D$2:$D$1000,MATCH(MAX(COUNTIF($D$2:$D$1166,$D$2:$D$1166)),COUNTIF($D$2:$D$1166,$D$2:$D$1166),0)),"Unknown"),D732)</f>
        <v>Charles Williams</v>
      </c>
      <c r="U732" t="str">
        <f t="shared" si="78"/>
        <v>AUD</v>
      </c>
      <c r="V732" s="7" t="str">
        <f t="shared" si="78"/>
        <v>SGD</v>
      </c>
      <c r="W732" s="7" t="str">
        <f t="shared" si="79"/>
        <v>India</v>
      </c>
      <c r="X732" s="7" t="str">
        <f t="shared" si="79"/>
        <v>Brazil</v>
      </c>
      <c r="Y732" s="7" t="str" cm="1">
        <f t="array" ref="Y732">IF(H732="",IFERROR(INDEX($H$2:$H$1166,MATCH(MAX(COUNTIF($H$2:$H$1166,$H$2:$H$1166)),COUNTIF($H$2:$H$1166,$H$2:$H$1166),0)),"Unknown"),H732)</f>
        <v>Non-KYC</v>
      </c>
      <c r="Z732" s="7" t="str">
        <f t="shared" si="80"/>
        <v>Inter-Transaction</v>
      </c>
      <c r="AA732" s="7">
        <f>IF(J732="",AVERAGE($J:$J),J732)</f>
        <v>3819</v>
      </c>
      <c r="AB732" s="7">
        <f>IF(N732="",AVERAGE($N:$N),N732)</f>
        <v>22</v>
      </c>
      <c r="AC732" s="7">
        <f t="shared" si="81"/>
        <v>2023</v>
      </c>
      <c r="AD732" s="7">
        <f t="shared" si="82"/>
        <v>5</v>
      </c>
      <c r="AE732" s="7">
        <f>COUNTIF(A:A,A732)</f>
        <v>1</v>
      </c>
      <c r="AF732" s="7" t="str">
        <f t="shared" si="83"/>
        <v/>
      </c>
    </row>
    <row r="733" spans="1:32">
      <c r="A733" t="s">
        <v>2328</v>
      </c>
      <c r="B733">
        <v>39184664</v>
      </c>
      <c r="C733" t="s">
        <v>1511</v>
      </c>
      <c r="D733" t="s">
        <v>547</v>
      </c>
      <c r="F733" t="s">
        <v>45</v>
      </c>
      <c r="G733" t="s">
        <v>45</v>
      </c>
      <c r="H733" t="s">
        <v>25</v>
      </c>
      <c r="I733" t="s">
        <v>3371</v>
      </c>
      <c r="J733">
        <v>8054.1</v>
      </c>
      <c r="K733" t="s">
        <v>27</v>
      </c>
      <c r="L733" t="s">
        <v>75</v>
      </c>
      <c r="M733" s="1">
        <v>44641.095833333333</v>
      </c>
      <c r="N733">
        <v>43</v>
      </c>
      <c r="O733" t="s">
        <v>54</v>
      </c>
      <c r="P733" t="s">
        <v>55</v>
      </c>
      <c r="Q733" t="s">
        <v>2329</v>
      </c>
      <c r="R733">
        <f t="shared" si="77"/>
        <v>39184664</v>
      </c>
      <c r="S733" t="str" cm="1">
        <f t="array" ref="S733">IF(C733="",IFERROR(INDEX($C$2:$C$1166,MATCH(MAX(COUNTIF($C$2:$C$1166,$C$2:$C$1166)),COUNTIF($C$2:$C$1166,$C$2:$C$1166),0)),"Unknown"),C733)</f>
        <v>Thomas Rostova</v>
      </c>
      <c r="T733" s="4" t="str" cm="1">
        <f t="array" ref="T733">IF(D733="",IFERROR(INDEX($D$2:$D$1000,MATCH(MAX(COUNTIF($D$2:$D$1166,$D$2:$D$1166)),COUNTIF($D$2:$D$1166,$D$2:$D$1166),0)),"Unknown"),D733)</f>
        <v>Lucas Moore</v>
      </c>
      <c r="U733" t="str">
        <f t="shared" si="78"/>
        <v>ZAR</v>
      </c>
      <c r="V733" s="7" t="str">
        <f t="shared" si="78"/>
        <v>ZAR</v>
      </c>
      <c r="W733" s="7" t="str">
        <f t="shared" si="79"/>
        <v>India</v>
      </c>
      <c r="X733" s="7" t="str">
        <f t="shared" si="79"/>
        <v>UK</v>
      </c>
      <c r="Y733" s="7" t="str" cm="1">
        <f t="array" ref="Y733">IF(H733="",IFERROR(INDEX($H$2:$H$1166,MATCH(MAX(COUNTIF($H$2:$H$1166,$H$2:$H$1166)),COUNTIF($H$2:$H$1166,$H$2:$H$1166),0)),"Unknown"),H733)</f>
        <v>KYC</v>
      </c>
      <c r="Z733" s="7" t="str">
        <f t="shared" si="80"/>
        <v>Outer-Transaction</v>
      </c>
      <c r="AA733" s="7">
        <f>IF(J733="",AVERAGE($J:$J),J733)</f>
        <v>8054.1</v>
      </c>
      <c r="AB733" s="7">
        <f>IF(N733="",AVERAGE($N:$N),N733)</f>
        <v>43</v>
      </c>
      <c r="AC733" s="7">
        <f t="shared" si="81"/>
        <v>2022</v>
      </c>
      <c r="AD733" s="7">
        <f t="shared" si="82"/>
        <v>3</v>
      </c>
      <c r="AE733" s="7">
        <f>COUNTIF(A:A,A733)</f>
        <v>1</v>
      </c>
      <c r="AF733" s="7" t="str">
        <f t="shared" si="83"/>
        <v/>
      </c>
    </row>
    <row r="734" spans="1:32">
      <c r="A734" t="s">
        <v>2330</v>
      </c>
      <c r="B734">
        <v>90376344</v>
      </c>
      <c r="C734" t="s">
        <v>2247</v>
      </c>
      <c r="D734" t="s">
        <v>2331</v>
      </c>
      <c r="F734" t="s">
        <v>21</v>
      </c>
      <c r="G734" t="s">
        <v>44</v>
      </c>
      <c r="H734" t="s">
        <v>25</v>
      </c>
      <c r="I734" t="s">
        <v>3374</v>
      </c>
      <c r="J734">
        <v>14797.57</v>
      </c>
      <c r="K734" t="s">
        <v>27</v>
      </c>
      <c r="L734" t="s">
        <v>81</v>
      </c>
      <c r="M734" s="1">
        <v>46066.922222222223</v>
      </c>
      <c r="N734">
        <v>85</v>
      </c>
      <c r="O734" t="s">
        <v>36</v>
      </c>
      <c r="P734" t="s">
        <v>55</v>
      </c>
      <c r="Q734" t="s">
        <v>2332</v>
      </c>
      <c r="R734">
        <f t="shared" si="77"/>
        <v>90376344</v>
      </c>
      <c r="S734" t="str" cm="1">
        <f t="array" ref="S734">IF(C734="",IFERROR(INDEX($C$2:$C$1166,MATCH(MAX(COUNTIF($C$2:$C$1166,$C$2:$C$1166)),COUNTIF($C$2:$C$1166,$C$2:$C$1166),0)),"Unknown"),C734)</f>
        <v>Mary Martinez</v>
      </c>
      <c r="T734" s="4" t="str" cm="1">
        <f t="array" ref="T734">IF(D734="",IFERROR(INDEX($D$2:$D$1000,MATCH(MAX(COUNTIF($D$2:$D$1166,$D$2:$D$1166)),COUNTIF($D$2:$D$1166,$D$2:$D$1166),0)),"Unknown"),D734)</f>
        <v>Richard Thomas</v>
      </c>
      <c r="U734" t="str">
        <f t="shared" si="78"/>
        <v>GBP</v>
      </c>
      <c r="V734" s="7" t="str">
        <f t="shared" si="78"/>
        <v>SGD</v>
      </c>
      <c r="W734" s="7" t="str">
        <f t="shared" si="79"/>
        <v>Germany</v>
      </c>
      <c r="X734" s="7" t="str">
        <f t="shared" si="79"/>
        <v>UK</v>
      </c>
      <c r="Y734" s="7" t="str" cm="1">
        <f t="array" ref="Y734">IF(H734="",IFERROR(INDEX($H$2:$H$1166,MATCH(MAX(COUNTIF($H$2:$H$1166,$H$2:$H$1166)),COUNTIF($H$2:$H$1166,$H$2:$H$1166),0)),"Unknown"),H734)</f>
        <v>KYC</v>
      </c>
      <c r="Z734" s="7" t="str">
        <f t="shared" si="80"/>
        <v>External</v>
      </c>
      <c r="AA734" s="7">
        <f>IF(J734="",AVERAGE($J:$J),J734)</f>
        <v>14797.57</v>
      </c>
      <c r="AB734" s="7">
        <f>IF(N734="",AVERAGE($N:$N),N734)</f>
        <v>85</v>
      </c>
      <c r="AC734" s="7">
        <f t="shared" si="81"/>
        <v>2026</v>
      </c>
      <c r="AD734" s="7">
        <f t="shared" si="82"/>
        <v>2</v>
      </c>
      <c r="AE734" s="7">
        <f>COUNTIF(A:A,A734)</f>
        <v>1</v>
      </c>
      <c r="AF734" s="7" t="str">
        <f t="shared" si="83"/>
        <v/>
      </c>
    </row>
    <row r="735" spans="1:32">
      <c r="A735" t="s">
        <v>2333</v>
      </c>
      <c r="B735">
        <v>41979677</v>
      </c>
      <c r="C735" t="s">
        <v>864</v>
      </c>
      <c r="F735" t="s">
        <v>45</v>
      </c>
      <c r="H735" t="s">
        <v>74</v>
      </c>
      <c r="I735" t="s">
        <v>3371</v>
      </c>
      <c r="J735">
        <v>7761.05</v>
      </c>
      <c r="K735" t="s">
        <v>27</v>
      </c>
      <c r="L735" t="s">
        <v>28</v>
      </c>
      <c r="M735" s="1">
        <v>45863.895138888889</v>
      </c>
      <c r="N735">
        <v>36</v>
      </c>
      <c r="O735" t="s">
        <v>24</v>
      </c>
      <c r="P735" t="s">
        <v>24</v>
      </c>
      <c r="Q735" t="s">
        <v>2334</v>
      </c>
      <c r="R735">
        <f t="shared" si="77"/>
        <v>41979677</v>
      </c>
      <c r="S735" t="str" cm="1">
        <f t="array" ref="S735">IF(C735="",IFERROR(INDEX($C$2:$C$1166,MATCH(MAX(COUNTIF($C$2:$C$1166,$C$2:$C$1166)),COUNTIF($C$2:$C$1166,$C$2:$C$1166),0)),"Unknown"),C735)</f>
        <v>Christopher Silva</v>
      </c>
      <c r="T735" s="4" t="str" cm="1">
        <f t="array" ref="T735">IF(D735="",IFERROR(INDEX($D$2:$D$1000,MATCH(MAX(COUNTIF($D$2:$D$1166,$D$2:$D$1166)),COUNTIF($D$2:$D$1166,$D$2:$D$1166),0)),"Unknown"),D735)</f>
        <v>Patricia Smith</v>
      </c>
      <c r="U735" t="str">
        <f t="shared" si="78"/>
        <v>ZAR</v>
      </c>
      <c r="V735" s="7" t="str">
        <f t="shared" si="78"/>
        <v/>
      </c>
      <c r="W735" s="7" t="str">
        <f t="shared" si="79"/>
        <v>Brazil</v>
      </c>
      <c r="X735" s="7" t="str">
        <f t="shared" si="79"/>
        <v>Brazil</v>
      </c>
      <c r="Y735" s="7" t="str" cm="1">
        <f t="array" ref="Y735">IF(H735="",IFERROR(INDEX($H$2:$H$1166,MATCH(MAX(COUNTIF($H$2:$H$1166,$H$2:$H$1166)),COUNTIF($H$2:$H$1166,$H$2:$H$1166),0)),"Unknown"),H735)</f>
        <v>Non-KYC</v>
      </c>
      <c r="Z735" s="7" t="str">
        <f t="shared" si="80"/>
        <v>Outer-Transaction</v>
      </c>
      <c r="AA735" s="7">
        <f>IF(J735="",AVERAGE($J:$J),J735)</f>
        <v>7761.05</v>
      </c>
      <c r="AB735" s="7">
        <f>IF(N735="",AVERAGE($N:$N),N735)</f>
        <v>36</v>
      </c>
      <c r="AC735" s="7">
        <f t="shared" si="81"/>
        <v>2025</v>
      </c>
      <c r="AD735" s="7">
        <f t="shared" si="82"/>
        <v>7</v>
      </c>
      <c r="AE735" s="7">
        <f>COUNTIF(A:A,A735)</f>
        <v>1</v>
      </c>
      <c r="AF735" s="7" t="str">
        <f t="shared" si="83"/>
        <v/>
      </c>
    </row>
    <row r="736" spans="1:32">
      <c r="A736" t="s">
        <v>2335</v>
      </c>
      <c r="B736">
        <v>80064547</v>
      </c>
      <c r="C736" t="s">
        <v>2336</v>
      </c>
      <c r="D736" t="s">
        <v>847</v>
      </c>
      <c r="F736" t="s">
        <v>80</v>
      </c>
      <c r="G736" t="s">
        <v>98</v>
      </c>
      <c r="I736" t="s">
        <v>3372</v>
      </c>
      <c r="J736">
        <v>1834.32</v>
      </c>
      <c r="K736" t="s">
        <v>27</v>
      </c>
      <c r="L736" t="s">
        <v>28</v>
      </c>
      <c r="M736" s="1">
        <v>45338.71875</v>
      </c>
      <c r="N736">
        <v>37</v>
      </c>
      <c r="O736" t="s">
        <v>23</v>
      </c>
      <c r="P736" t="s">
        <v>36</v>
      </c>
      <c r="Q736" t="s">
        <v>2337</v>
      </c>
      <c r="R736">
        <f t="shared" si="77"/>
        <v>80064547</v>
      </c>
      <c r="S736" t="str" cm="1">
        <f t="array" ref="S736">IF(C736="",IFERROR(INDEX($C$2:$C$1166,MATCH(MAX(COUNTIF($C$2:$C$1166,$C$2:$C$1166)),COUNTIF($C$2:$C$1166,$C$2:$C$1166),0)),"Unknown"),C736)</f>
        <v>Joseph Anderson</v>
      </c>
      <c r="T736" s="4" t="str" cm="1">
        <f t="array" ref="T736">IF(D736="",IFERROR(INDEX($D$2:$D$1000,MATCH(MAX(COUNTIF($D$2:$D$1166,$D$2:$D$1166)),COUNTIF($D$2:$D$1166,$D$2:$D$1166),0)),"Unknown"),D736)</f>
        <v>Jessica Gonzalez</v>
      </c>
      <c r="U736" t="str">
        <f t="shared" si="78"/>
        <v>USD</v>
      </c>
      <c r="V736" s="7" t="str">
        <f t="shared" si="78"/>
        <v>JPY</v>
      </c>
      <c r="W736" s="7" t="str">
        <f t="shared" si="79"/>
        <v>France</v>
      </c>
      <c r="X736" s="7" t="str">
        <f t="shared" si="79"/>
        <v>Germany</v>
      </c>
      <c r="Y736" s="7" t="str" cm="1">
        <f t="array" ref="Y736">IF(H736="",IFERROR(INDEX($H$2:$H$1166,MATCH(MAX(COUNTIF($H$2:$H$1166,$H$2:$H$1166)),COUNTIF($H$2:$H$1166,$H$2:$H$1166),0)),"Unknown"),H736)</f>
        <v>Pending</v>
      </c>
      <c r="Z736" s="7" t="str">
        <f t="shared" si="80"/>
        <v>Outer-Transaction</v>
      </c>
      <c r="AA736" s="7">
        <f>IF(J736="",AVERAGE($J:$J),J736)</f>
        <v>1834.32</v>
      </c>
      <c r="AB736" s="7">
        <f>IF(N736="",AVERAGE($N:$N),N736)</f>
        <v>37</v>
      </c>
      <c r="AC736" s="7">
        <f t="shared" si="81"/>
        <v>2024</v>
      </c>
      <c r="AD736" s="7">
        <f t="shared" si="82"/>
        <v>2</v>
      </c>
      <c r="AE736" s="7">
        <f>COUNTIF(A:A,A736)</f>
        <v>1</v>
      </c>
      <c r="AF736" s="7" t="str">
        <f t="shared" si="83"/>
        <v/>
      </c>
    </row>
    <row r="737" spans="1:32">
      <c r="A737" t="s">
        <v>2338</v>
      </c>
      <c r="B737">
        <v>52859035</v>
      </c>
      <c r="C737" t="s">
        <v>1966</v>
      </c>
      <c r="F737" t="s">
        <v>80</v>
      </c>
      <c r="G737" t="s">
        <v>44</v>
      </c>
      <c r="H737" t="s">
        <v>103</v>
      </c>
      <c r="I737" t="s">
        <v>3378</v>
      </c>
      <c r="J737">
        <v>6135.93</v>
      </c>
      <c r="K737" t="s">
        <v>27</v>
      </c>
      <c r="L737" t="s">
        <v>75</v>
      </c>
      <c r="M737" s="1">
        <v>44280.000694444447</v>
      </c>
      <c r="N737">
        <v>29</v>
      </c>
      <c r="O737" t="s">
        <v>93</v>
      </c>
      <c r="P737" t="s">
        <v>37</v>
      </c>
      <c r="Q737" t="s">
        <v>2339</v>
      </c>
      <c r="R737">
        <f t="shared" si="77"/>
        <v>52859035</v>
      </c>
      <c r="S737" t="str" cm="1">
        <f t="array" ref="S737">IF(C737="",IFERROR(INDEX($C$2:$C$1166,MATCH(MAX(COUNTIF($C$2:$C$1166,$C$2:$C$1166)),COUNTIF($C$2:$C$1166,$C$2:$C$1166),0)),"Unknown"),C737)</f>
        <v>Sanjay Davis</v>
      </c>
      <c r="T737" s="4" t="str" cm="1">
        <f t="array" ref="T737">IF(D737="",IFERROR(INDEX($D$2:$D$1000,MATCH(MAX(COUNTIF($D$2:$D$1166,$D$2:$D$1166)),COUNTIF($D$2:$D$1166,$D$2:$D$1166),0)),"Unknown"),D737)</f>
        <v>Patricia Smith</v>
      </c>
      <c r="U737" t="str">
        <f t="shared" si="78"/>
        <v>USD</v>
      </c>
      <c r="V737" s="7" t="str">
        <f t="shared" si="78"/>
        <v>SGD</v>
      </c>
      <c r="W737" s="7" t="str">
        <f t="shared" si="79"/>
        <v>USA</v>
      </c>
      <c r="X737" s="7" t="str">
        <f t="shared" si="79"/>
        <v>South Africa</v>
      </c>
      <c r="Y737" s="7" t="str" cm="1">
        <f t="array" ref="Y737">IF(H737="",IFERROR(INDEX($H$2:$H$1166,MATCH(MAX(COUNTIF($H$2:$H$1166,$H$2:$H$1166)),COUNTIF($H$2:$H$1166,$H$2:$H$1166),0)),"Unknown"),H737)</f>
        <v>Verified</v>
      </c>
      <c r="Z737" s="7" t="str">
        <f t="shared" si="80"/>
        <v>Inter-Transaction</v>
      </c>
      <c r="AA737" s="7">
        <f>IF(J737="",AVERAGE($J:$J),J737)</f>
        <v>6135.93</v>
      </c>
      <c r="AB737" s="7">
        <f>IF(N737="",AVERAGE($N:$N),N737)</f>
        <v>29</v>
      </c>
      <c r="AC737" s="7">
        <f t="shared" si="81"/>
        <v>2021</v>
      </c>
      <c r="AD737" s="7">
        <f t="shared" si="82"/>
        <v>3</v>
      </c>
      <c r="AE737" s="7">
        <f>COUNTIF(A:A,A737)</f>
        <v>1</v>
      </c>
      <c r="AF737" s="7" t="str">
        <f t="shared" si="83"/>
        <v/>
      </c>
    </row>
    <row r="738" spans="1:32">
      <c r="A738" t="s">
        <v>2340</v>
      </c>
      <c r="B738">
        <v>59668381</v>
      </c>
      <c r="C738" t="s">
        <v>1653</v>
      </c>
      <c r="D738" t="s">
        <v>1483</v>
      </c>
      <c r="F738" t="s">
        <v>116</v>
      </c>
      <c r="G738" t="s">
        <v>160</v>
      </c>
      <c r="I738" t="s">
        <v>3372</v>
      </c>
      <c r="J738">
        <v>6337.01</v>
      </c>
      <c r="K738" t="s">
        <v>86</v>
      </c>
      <c r="L738" t="s">
        <v>28</v>
      </c>
      <c r="M738" s="1">
        <v>45725.572916666664</v>
      </c>
      <c r="N738">
        <v>64</v>
      </c>
      <c r="O738" t="s">
        <v>23</v>
      </c>
      <c r="P738" t="s">
        <v>54</v>
      </c>
      <c r="Q738" t="s">
        <v>2341</v>
      </c>
      <c r="R738">
        <f t="shared" si="77"/>
        <v>59668381</v>
      </c>
      <c r="S738" t="str" cm="1">
        <f t="array" ref="S738">IF(C738="",IFERROR(INDEX($C$2:$C$1166,MATCH(MAX(COUNTIF($C$2:$C$1166,$C$2:$C$1166)),COUNTIF($C$2:$C$1166,$C$2:$C$1166),0)),"Unknown"),C738)</f>
        <v>Amir Khan</v>
      </c>
      <c r="T738" s="4" t="str" cm="1">
        <f t="array" ref="T738">IF(D738="",IFERROR(INDEX($D$2:$D$1000,MATCH(MAX(COUNTIF($D$2:$D$1166,$D$2:$D$1166)),COUNTIF($D$2:$D$1166,$D$2:$D$1166),0)),"Unknown"),D738)</f>
        <v>David Hernandez</v>
      </c>
      <c r="U738" t="str">
        <f t="shared" si="78"/>
        <v>CHF</v>
      </c>
      <c r="V738" s="7" t="str">
        <f t="shared" si="78"/>
        <v>aud</v>
      </c>
      <c r="W738" s="7" t="str">
        <f t="shared" si="79"/>
        <v>France</v>
      </c>
      <c r="X738" s="7" t="str">
        <f t="shared" si="79"/>
        <v>India</v>
      </c>
      <c r="Y738" s="7" t="str" cm="1">
        <f t="array" ref="Y738">IF(H738="",IFERROR(INDEX($H$2:$H$1166,MATCH(MAX(COUNTIF($H$2:$H$1166,$H$2:$H$1166)),COUNTIF($H$2:$H$1166,$H$2:$H$1166),0)),"Unknown"),H738)</f>
        <v>Pending</v>
      </c>
      <c r="Z738" s="7" t="str">
        <f t="shared" si="80"/>
        <v>Outer-Transaction</v>
      </c>
      <c r="AA738" s="7">
        <f>IF(J738="",AVERAGE($J:$J),J738)</f>
        <v>6337.01</v>
      </c>
      <c r="AB738" s="7">
        <f>IF(N738="",AVERAGE($N:$N),N738)</f>
        <v>64</v>
      </c>
      <c r="AC738" s="7">
        <f t="shared" si="81"/>
        <v>2025</v>
      </c>
      <c r="AD738" s="7">
        <f t="shared" si="82"/>
        <v>3</v>
      </c>
      <c r="AE738" s="7">
        <f>COUNTIF(A:A,A738)</f>
        <v>1</v>
      </c>
      <c r="AF738" s="7" t="str">
        <f t="shared" si="83"/>
        <v/>
      </c>
    </row>
    <row r="739" spans="1:32">
      <c r="A739" t="s">
        <v>2342</v>
      </c>
      <c r="B739">
        <v>40171534</v>
      </c>
      <c r="C739" t="s">
        <v>1022</v>
      </c>
      <c r="D739" t="s">
        <v>227</v>
      </c>
      <c r="F739" t="s">
        <v>35</v>
      </c>
      <c r="G739" t="s">
        <v>92</v>
      </c>
      <c r="H739" t="s">
        <v>38</v>
      </c>
      <c r="I739" t="s">
        <v>3376</v>
      </c>
      <c r="J739">
        <v>235.52</v>
      </c>
      <c r="K739" t="s">
        <v>27</v>
      </c>
      <c r="L739" t="s">
        <v>48</v>
      </c>
      <c r="M739" s="1">
        <v>45208.017361111109</v>
      </c>
      <c r="N739">
        <v>18</v>
      </c>
      <c r="O739" t="s">
        <v>54</v>
      </c>
      <c r="P739" t="s">
        <v>24</v>
      </c>
      <c r="Q739" t="s">
        <v>2343</v>
      </c>
      <c r="R739">
        <f t="shared" si="77"/>
        <v>40171534</v>
      </c>
      <c r="S739" t="str" cm="1">
        <f t="array" ref="S739">IF(C739="",IFERROR(INDEX($C$2:$C$1166,MATCH(MAX(COUNTIF($C$2:$C$1166,$C$2:$C$1166)),COUNTIF($C$2:$C$1166,$C$2:$C$1166),0)),"Unknown"),C739)</f>
        <v>Barbara Smith</v>
      </c>
      <c r="T739" s="4" t="str" cm="1">
        <f t="array" ref="T739">IF(D739="",IFERROR(INDEX($D$2:$D$1000,MATCH(MAX(COUNTIF($D$2:$D$1166,$D$2:$D$1166)),COUNTIF($D$2:$D$1166,$D$2:$D$1166),0)),"Unknown"),D739)</f>
        <v>Lucas Anderson</v>
      </c>
      <c r="U739" t="str">
        <f t="shared" si="78"/>
        <v>EUR</v>
      </c>
      <c r="V739" s="7" t="str">
        <f t="shared" si="78"/>
        <v>AUD</v>
      </c>
      <c r="W739" s="7" t="str">
        <f t="shared" si="79"/>
        <v>India</v>
      </c>
      <c r="X739" s="7" t="str">
        <f t="shared" si="79"/>
        <v>Brazil</v>
      </c>
      <c r="Y739" s="7" t="str" cm="1">
        <f t="array" ref="Y739">IF(H739="",IFERROR(INDEX($H$2:$H$1166,MATCH(MAX(COUNTIF($H$2:$H$1166,$H$2:$H$1166)),COUNTIF($H$2:$H$1166,$H$2:$H$1166),0)),"Unknown"),H739)</f>
        <v>Pending</v>
      </c>
      <c r="Z739" s="7" t="str">
        <f t="shared" si="80"/>
        <v>Internal</v>
      </c>
      <c r="AA739" s="7">
        <f>IF(J739="",AVERAGE($J:$J),J739)</f>
        <v>235.52</v>
      </c>
      <c r="AB739" s="7">
        <f>IF(N739="",AVERAGE($N:$N),N739)</f>
        <v>18</v>
      </c>
      <c r="AC739" s="7">
        <f t="shared" si="81"/>
        <v>2023</v>
      </c>
      <c r="AD739" s="7">
        <f t="shared" si="82"/>
        <v>10</v>
      </c>
      <c r="AE739" s="7">
        <f>COUNTIF(A:A,A739)</f>
        <v>1</v>
      </c>
      <c r="AF739" s="7" t="str">
        <f t="shared" si="83"/>
        <v/>
      </c>
    </row>
    <row r="740" spans="1:32">
      <c r="A740" t="s">
        <v>2344</v>
      </c>
      <c r="B740">
        <v>62132081</v>
      </c>
      <c r="C740" t="s">
        <v>1091</v>
      </c>
      <c r="D740" t="s">
        <v>1924</v>
      </c>
      <c r="F740" t="s">
        <v>98</v>
      </c>
      <c r="G740" t="s">
        <v>92</v>
      </c>
      <c r="I740" t="s">
        <v>3374</v>
      </c>
      <c r="J740">
        <v>9616.17</v>
      </c>
      <c r="K740" t="s">
        <v>27</v>
      </c>
      <c r="L740" t="s">
        <v>28</v>
      </c>
      <c r="M740" s="1">
        <v>44427.634722222225</v>
      </c>
      <c r="N740">
        <v>31</v>
      </c>
      <c r="O740" t="s">
        <v>55</v>
      </c>
      <c r="P740" t="s">
        <v>62</v>
      </c>
      <c r="Q740" t="s">
        <v>2345</v>
      </c>
      <c r="R740">
        <f t="shared" si="77"/>
        <v>62132081</v>
      </c>
      <c r="S740" t="str" cm="1">
        <f t="array" ref="S740">IF(C740="",IFERROR(INDEX($C$2:$C$1166,MATCH(MAX(COUNTIF($C$2:$C$1166,$C$2:$C$1166)),COUNTIF($C$2:$C$1166,$C$2:$C$1166),0)),"Unknown"),C740)</f>
        <v>Nancy Anderson</v>
      </c>
      <c r="T740" s="4" t="str" cm="1">
        <f t="array" ref="T740">IF(D740="",IFERROR(INDEX($D$2:$D$1000,MATCH(MAX(COUNTIF($D$2:$D$1166,$D$2:$D$1166)),COUNTIF($D$2:$D$1166,$D$2:$D$1166),0)),"Unknown"),D740)</f>
        <v>Lucas Smith</v>
      </c>
      <c r="U740" t="str">
        <f t="shared" si="78"/>
        <v>JPY</v>
      </c>
      <c r="V740" s="7" t="str">
        <f t="shared" si="78"/>
        <v>AUD</v>
      </c>
      <c r="W740" s="7" t="str">
        <f t="shared" si="79"/>
        <v>UK</v>
      </c>
      <c r="X740" s="7" t="str">
        <f t="shared" si="79"/>
        <v>Australia</v>
      </c>
      <c r="Y740" s="7" t="str" cm="1">
        <f t="array" ref="Y740">IF(H740="",IFERROR(INDEX($H$2:$H$1166,MATCH(MAX(COUNTIF($H$2:$H$1166,$H$2:$H$1166)),COUNTIF($H$2:$H$1166,$H$2:$H$1166),0)),"Unknown"),H740)</f>
        <v>Pending</v>
      </c>
      <c r="Z740" s="7" t="str">
        <f t="shared" si="80"/>
        <v>External</v>
      </c>
      <c r="AA740" s="7">
        <f>IF(J740="",AVERAGE($J:$J),J740)</f>
        <v>9616.17</v>
      </c>
      <c r="AB740" s="7">
        <f>IF(N740="",AVERAGE($N:$N),N740)</f>
        <v>31</v>
      </c>
      <c r="AC740" s="7">
        <f t="shared" si="81"/>
        <v>2021</v>
      </c>
      <c r="AD740" s="7">
        <f t="shared" si="82"/>
        <v>8</v>
      </c>
      <c r="AE740" s="7">
        <f>COUNTIF(A:A,A740)</f>
        <v>1</v>
      </c>
      <c r="AF740" s="7" t="str">
        <f t="shared" si="83"/>
        <v/>
      </c>
    </row>
    <row r="741" spans="1:32">
      <c r="A741" t="s">
        <v>2346</v>
      </c>
      <c r="B741">
        <v>13137155</v>
      </c>
      <c r="D741" t="s">
        <v>2214</v>
      </c>
      <c r="F741" t="s">
        <v>35</v>
      </c>
      <c r="G741" t="s">
        <v>21</v>
      </c>
      <c r="H741" t="s">
        <v>38</v>
      </c>
      <c r="I741" t="s">
        <v>3376</v>
      </c>
      <c r="J741">
        <v>8390.43</v>
      </c>
      <c r="K741" t="s">
        <v>47</v>
      </c>
      <c r="L741" t="s">
        <v>81</v>
      </c>
      <c r="M741" s="1">
        <v>45978.613194444442</v>
      </c>
      <c r="N741">
        <v>81</v>
      </c>
      <c r="O741" t="s">
        <v>127</v>
      </c>
      <c r="P741" t="s">
        <v>37</v>
      </c>
      <c r="Q741" t="s">
        <v>2347</v>
      </c>
      <c r="R741">
        <f t="shared" si="77"/>
        <v>13137155</v>
      </c>
      <c r="S741" t="str" cm="1">
        <f t="array" ref="S741">IF(C741="",IFERROR(INDEX($C$2:$C$1166,MATCH(MAX(COUNTIF($C$2:$C$1166,$C$2:$C$1166)),COUNTIF($C$2:$C$1166,$C$2:$C$1166),0)),"Unknown"),C741)</f>
        <v>Fatima Brown</v>
      </c>
      <c r="T741" s="4" t="str" cm="1">
        <f t="array" ref="T741">IF(D741="",IFERROR(INDEX($D$2:$D$1000,MATCH(MAX(COUNTIF($D$2:$D$1166,$D$2:$D$1166)),COUNTIF($D$2:$D$1166,$D$2:$D$1166),0)),"Unknown"),D741)</f>
        <v>Elizabeth Jones</v>
      </c>
      <c r="U741" t="str">
        <f t="shared" si="78"/>
        <v>EUR</v>
      </c>
      <c r="V741" s="7" t="str">
        <f t="shared" si="78"/>
        <v>GBP</v>
      </c>
      <c r="W741" s="7" t="str">
        <f t="shared" si="79"/>
        <v>Canada</v>
      </c>
      <c r="X741" s="7" t="str">
        <f t="shared" si="79"/>
        <v>South Africa</v>
      </c>
      <c r="Y741" s="7" t="str" cm="1">
        <f t="array" ref="Y741">IF(H741="",IFERROR(INDEX($H$2:$H$1166,MATCH(MAX(COUNTIF($H$2:$H$1166,$H$2:$H$1166)),COUNTIF($H$2:$H$1166,$H$2:$H$1166),0)),"Unknown"),H741)</f>
        <v>Pending</v>
      </c>
      <c r="Z741" s="7" t="str">
        <f t="shared" si="80"/>
        <v>Internal</v>
      </c>
      <c r="AA741" s="7">
        <f>IF(J741="",AVERAGE($J:$J),J741)</f>
        <v>8390.43</v>
      </c>
      <c r="AB741" s="7">
        <f>IF(N741="",AVERAGE($N:$N),N741)</f>
        <v>81</v>
      </c>
      <c r="AC741" s="7">
        <f t="shared" si="81"/>
        <v>2025</v>
      </c>
      <c r="AD741" s="7">
        <f t="shared" si="82"/>
        <v>11</v>
      </c>
      <c r="AE741" s="7">
        <f>COUNTIF(A:A,A741)</f>
        <v>1</v>
      </c>
      <c r="AF741" s="7" t="str">
        <f t="shared" si="83"/>
        <v/>
      </c>
    </row>
    <row r="742" spans="1:32">
      <c r="A742" t="s">
        <v>2348</v>
      </c>
      <c r="B742">
        <v>19776373</v>
      </c>
      <c r="C742" t="s">
        <v>227</v>
      </c>
      <c r="D742" t="s">
        <v>793</v>
      </c>
      <c r="F742" t="s">
        <v>35</v>
      </c>
      <c r="G742" t="s">
        <v>44</v>
      </c>
      <c r="H742" t="s">
        <v>56</v>
      </c>
      <c r="I742" t="s">
        <v>3376</v>
      </c>
      <c r="J742">
        <v>2781.32</v>
      </c>
      <c r="K742" t="s">
        <v>86</v>
      </c>
      <c r="L742" t="s">
        <v>28</v>
      </c>
      <c r="M742" s="1">
        <v>44446.634027777778</v>
      </c>
      <c r="N742">
        <v>55</v>
      </c>
      <c r="O742" t="s">
        <v>37</v>
      </c>
      <c r="P742" t="s">
        <v>55</v>
      </c>
      <c r="Q742" t="s">
        <v>2349</v>
      </c>
      <c r="R742">
        <f t="shared" si="77"/>
        <v>19776373</v>
      </c>
      <c r="S742" t="str" cm="1">
        <f t="array" ref="S742">IF(C742="",IFERROR(INDEX($C$2:$C$1166,MATCH(MAX(COUNTIF($C$2:$C$1166,$C$2:$C$1166)),COUNTIF($C$2:$C$1166,$C$2:$C$1166),0)),"Unknown"),C742)</f>
        <v>Lucas Anderson</v>
      </c>
      <c r="T742" s="4" t="str" cm="1">
        <f t="array" ref="T742">IF(D742="",IFERROR(INDEX($D$2:$D$1000,MATCH(MAX(COUNTIF($D$2:$D$1166,$D$2:$D$1166)),COUNTIF($D$2:$D$1166,$D$2:$D$1166),0)),"Unknown"),D742)</f>
        <v>Susan Hernandez</v>
      </c>
      <c r="U742" t="str">
        <f t="shared" si="78"/>
        <v>EUR</v>
      </c>
      <c r="V742" s="7" t="str">
        <f t="shared" si="78"/>
        <v>SGD</v>
      </c>
      <c r="W742" s="7" t="str">
        <f t="shared" si="79"/>
        <v>South Africa</v>
      </c>
      <c r="X742" s="7" t="str">
        <f t="shared" si="79"/>
        <v>UK</v>
      </c>
      <c r="Y742" s="7" t="str" cm="1">
        <f t="array" ref="Y742">IF(H742="",IFERROR(INDEX($H$2:$H$1166,MATCH(MAX(COUNTIF($H$2:$H$1166,$H$2:$H$1166)),COUNTIF($H$2:$H$1166,$H$2:$H$1166),0)),"Unknown"),H742)</f>
        <v>Unverified</v>
      </c>
      <c r="Z742" s="7" t="str">
        <f t="shared" si="80"/>
        <v>Internal</v>
      </c>
      <c r="AA742" s="7">
        <f>IF(J742="",AVERAGE($J:$J),J742)</f>
        <v>2781.32</v>
      </c>
      <c r="AB742" s="7">
        <f>IF(N742="",AVERAGE($N:$N),N742)</f>
        <v>55</v>
      </c>
      <c r="AC742" s="7">
        <f t="shared" si="81"/>
        <v>2021</v>
      </c>
      <c r="AD742" s="7">
        <f t="shared" si="82"/>
        <v>9</v>
      </c>
      <c r="AE742" s="7">
        <f>COUNTIF(A:A,A742)</f>
        <v>1</v>
      </c>
      <c r="AF742" s="7" t="str">
        <f t="shared" si="83"/>
        <v/>
      </c>
    </row>
    <row r="743" spans="1:32">
      <c r="A743" t="s">
        <v>2350</v>
      </c>
      <c r="C743" t="s">
        <v>980</v>
      </c>
      <c r="D743" t="s">
        <v>2351</v>
      </c>
      <c r="F743" t="s">
        <v>22</v>
      </c>
      <c r="I743" t="s">
        <v>3378</v>
      </c>
      <c r="J743">
        <v>5599</v>
      </c>
      <c r="K743" t="s">
        <v>86</v>
      </c>
      <c r="L743" t="s">
        <v>75</v>
      </c>
      <c r="M743" s="1">
        <v>44778.990277777775</v>
      </c>
      <c r="N743">
        <v>54</v>
      </c>
      <c r="O743" t="s">
        <v>23</v>
      </c>
      <c r="P743" t="s">
        <v>62</v>
      </c>
      <c r="Q743" t="s">
        <v>2352</v>
      </c>
      <c r="R743">
        <f t="shared" si="77"/>
        <v>0</v>
      </c>
      <c r="S743" t="str" cm="1">
        <f t="array" ref="S743">IF(C743="",IFERROR(INDEX($C$2:$C$1166,MATCH(MAX(COUNTIF($C$2:$C$1166,$C$2:$C$1166)),COUNTIF($C$2:$C$1166,$C$2:$C$1166),0)),"Unknown"),C743)</f>
        <v>Richard Taylor</v>
      </c>
      <c r="T743" s="4" t="str" cm="1">
        <f t="array" ref="T743">IF(D743="",IFERROR(INDEX($D$2:$D$1000,MATCH(MAX(COUNTIF($D$2:$D$1166,$D$2:$D$1166)),COUNTIF($D$2:$D$1166,$D$2:$D$1166),0)),"Unknown"),D743)</f>
        <v>Christopher Williams</v>
      </c>
      <c r="U743" t="str">
        <f t="shared" si="78"/>
        <v>BRL</v>
      </c>
      <c r="V743" s="7" t="str">
        <f t="shared" si="78"/>
        <v/>
      </c>
      <c r="W743" s="7" t="str">
        <f t="shared" si="79"/>
        <v>France</v>
      </c>
      <c r="X743" s="7" t="str">
        <f t="shared" si="79"/>
        <v>Australia</v>
      </c>
      <c r="Y743" s="7" t="str" cm="1">
        <f t="array" ref="Y743">IF(H743="",IFERROR(INDEX($H$2:$H$1166,MATCH(MAX(COUNTIF($H$2:$H$1166,$H$2:$H$1166)),COUNTIF($H$2:$H$1166,$H$2:$H$1166),0)),"Unknown"),H743)</f>
        <v>Pending</v>
      </c>
      <c r="Z743" s="7" t="str">
        <f t="shared" si="80"/>
        <v>Inter-Transaction</v>
      </c>
      <c r="AA743" s="7">
        <f>IF(J743="",AVERAGE($J:$J),J743)</f>
        <v>5599</v>
      </c>
      <c r="AB743" s="7">
        <f>IF(N743="",AVERAGE($N:$N),N743)</f>
        <v>54</v>
      </c>
      <c r="AC743" s="7">
        <f t="shared" si="81"/>
        <v>2022</v>
      </c>
      <c r="AD743" s="7">
        <f t="shared" si="82"/>
        <v>8</v>
      </c>
      <c r="AE743" s="7">
        <f>COUNTIF(A:A,A743)</f>
        <v>1</v>
      </c>
      <c r="AF743" s="7" t="str">
        <f t="shared" si="83"/>
        <v/>
      </c>
    </row>
    <row r="744" spans="1:32">
      <c r="A744" t="s">
        <v>2353</v>
      </c>
      <c r="B744">
        <v>87111120</v>
      </c>
      <c r="C744" t="s">
        <v>2354</v>
      </c>
      <c r="D744" t="s">
        <v>1025</v>
      </c>
      <c r="G744" t="s">
        <v>22</v>
      </c>
      <c r="H744" t="s">
        <v>74</v>
      </c>
      <c r="I744" t="s">
        <v>3378</v>
      </c>
      <c r="J744">
        <v>12715.8</v>
      </c>
      <c r="K744" t="s">
        <v>39</v>
      </c>
      <c r="L744" t="s">
        <v>48</v>
      </c>
      <c r="M744" s="1">
        <v>45412.926388888889</v>
      </c>
      <c r="N744">
        <v>28</v>
      </c>
      <c r="O744" t="s">
        <v>54</v>
      </c>
      <c r="P744" t="s">
        <v>55</v>
      </c>
      <c r="Q744" t="s">
        <v>2355</v>
      </c>
      <c r="R744">
        <f t="shared" si="77"/>
        <v>87111120</v>
      </c>
      <c r="S744" t="str" cm="1">
        <f t="array" ref="S744">IF(C744="",IFERROR(INDEX($C$2:$C$1166,MATCH(MAX(COUNTIF($C$2:$C$1166,$C$2:$C$1166)),COUNTIF($C$2:$C$1166,$C$2:$C$1166),0)),"Unknown"),C744)</f>
        <v>John Al-Sayed</v>
      </c>
      <c r="T744" s="4" t="str" cm="1">
        <f t="array" ref="T744">IF(D744="",IFERROR(INDEX($D$2:$D$1000,MATCH(MAX(COUNTIF($D$2:$D$1166,$D$2:$D$1166)),COUNTIF($D$2:$D$1166,$D$2:$D$1166),0)),"Unknown"),D744)</f>
        <v>Mary Williams</v>
      </c>
      <c r="U744" t="str">
        <f t="shared" si="78"/>
        <v/>
      </c>
      <c r="V744" s="7" t="str">
        <f t="shared" si="78"/>
        <v>BRL</v>
      </c>
      <c r="W744" s="7" t="str">
        <f t="shared" si="79"/>
        <v>India</v>
      </c>
      <c r="X744" s="7" t="str">
        <f t="shared" si="79"/>
        <v>UK</v>
      </c>
      <c r="Y744" s="7" t="str" cm="1">
        <f t="array" ref="Y744">IF(H744="",IFERROR(INDEX($H$2:$H$1166,MATCH(MAX(COUNTIF($H$2:$H$1166,$H$2:$H$1166)),COUNTIF($H$2:$H$1166,$H$2:$H$1166),0)),"Unknown"),H744)</f>
        <v>Non-KYC</v>
      </c>
      <c r="Z744" s="7" t="str">
        <f t="shared" si="80"/>
        <v>Inter-Transaction</v>
      </c>
      <c r="AA744" s="7">
        <f>IF(J744="",AVERAGE($J:$J),J744)</f>
        <v>12715.8</v>
      </c>
      <c r="AB744" s="7">
        <f>IF(N744="",AVERAGE($N:$N),N744)</f>
        <v>28</v>
      </c>
      <c r="AC744" s="7">
        <f t="shared" si="81"/>
        <v>2024</v>
      </c>
      <c r="AD744" s="7">
        <f t="shared" si="82"/>
        <v>4</v>
      </c>
      <c r="AE744" s="7">
        <f>COUNTIF(A:A,A744)</f>
        <v>1</v>
      </c>
      <c r="AF744" s="7" t="str">
        <f t="shared" si="83"/>
        <v/>
      </c>
    </row>
    <row r="745" spans="1:32">
      <c r="A745" t="s">
        <v>2356</v>
      </c>
      <c r="B745">
        <v>79816122</v>
      </c>
      <c r="C745" t="s">
        <v>2357</v>
      </c>
      <c r="D745" t="s">
        <v>1180</v>
      </c>
      <c r="F745" t="s">
        <v>22</v>
      </c>
      <c r="G745" t="s">
        <v>53</v>
      </c>
      <c r="H745" t="s">
        <v>38</v>
      </c>
      <c r="I745" t="s">
        <v>3378</v>
      </c>
      <c r="J745">
        <v>103.64</v>
      </c>
      <c r="K745" t="s">
        <v>86</v>
      </c>
      <c r="L745" t="s">
        <v>28</v>
      </c>
      <c r="M745" s="1">
        <v>44386.754861111112</v>
      </c>
      <c r="N745">
        <v>20</v>
      </c>
      <c r="O745" t="s">
        <v>127</v>
      </c>
      <c r="P745" t="s">
        <v>55</v>
      </c>
      <c r="Q745" t="s">
        <v>2358</v>
      </c>
      <c r="R745">
        <f t="shared" si="77"/>
        <v>79816122</v>
      </c>
      <c r="S745" t="str" cm="1">
        <f t="array" ref="S745">IF(C745="",IFERROR(INDEX($C$2:$C$1166,MATCH(MAX(COUNTIF($C$2:$C$1166,$C$2:$C$1166)),COUNTIF($C$2:$C$1166,$C$2:$C$1166),0)),"Unknown"),C745)</f>
        <v>Sanjay Souza</v>
      </c>
      <c r="T745" s="4" t="str" cm="1">
        <f t="array" ref="T745">IF(D745="",IFERROR(INDEX($D$2:$D$1000,MATCH(MAX(COUNTIF($D$2:$D$1166,$D$2:$D$1166)),COUNTIF($D$2:$D$1166,$D$2:$D$1166),0)),"Unknown"),D745)</f>
        <v>Amir Taylor</v>
      </c>
      <c r="U745" t="str">
        <f t="shared" si="78"/>
        <v>BRL</v>
      </c>
      <c r="V745" s="7" t="str">
        <f t="shared" si="78"/>
        <v>AED</v>
      </c>
      <c r="W745" s="7" t="str">
        <f t="shared" si="79"/>
        <v>Canada</v>
      </c>
      <c r="X745" s="7" t="str">
        <f t="shared" si="79"/>
        <v>UK</v>
      </c>
      <c r="Y745" s="7" t="str" cm="1">
        <f t="array" ref="Y745">IF(H745="",IFERROR(INDEX($H$2:$H$1166,MATCH(MAX(COUNTIF($H$2:$H$1166,$H$2:$H$1166)),COUNTIF($H$2:$H$1166,$H$2:$H$1166),0)),"Unknown"),H745)</f>
        <v>Pending</v>
      </c>
      <c r="Z745" s="7" t="str">
        <f t="shared" si="80"/>
        <v>Inter-Transaction</v>
      </c>
      <c r="AA745" s="7">
        <f>IF(J745="",AVERAGE($J:$J),J745)</f>
        <v>103.64</v>
      </c>
      <c r="AB745" s="7">
        <f>IF(N745="",AVERAGE($N:$N),N745)</f>
        <v>20</v>
      </c>
      <c r="AC745" s="7">
        <f t="shared" si="81"/>
        <v>2021</v>
      </c>
      <c r="AD745" s="7">
        <f t="shared" si="82"/>
        <v>7</v>
      </c>
      <c r="AE745" s="7">
        <f>COUNTIF(A:A,A745)</f>
        <v>1</v>
      </c>
      <c r="AF745" s="7" t="str">
        <f t="shared" si="83"/>
        <v/>
      </c>
    </row>
    <row r="746" spans="1:32">
      <c r="A746" t="s">
        <v>2359</v>
      </c>
      <c r="B746">
        <v>72253115</v>
      </c>
      <c r="C746" t="s">
        <v>1479</v>
      </c>
      <c r="D746" t="s">
        <v>2360</v>
      </c>
      <c r="F746" t="s">
        <v>34</v>
      </c>
      <c r="G746" t="s">
        <v>91</v>
      </c>
      <c r="I746" t="s">
        <v>3377</v>
      </c>
      <c r="J746">
        <v>12314.02</v>
      </c>
      <c r="K746" t="s">
        <v>47</v>
      </c>
      <c r="L746" t="s">
        <v>48</v>
      </c>
      <c r="M746" s="1">
        <v>44108.042361111111</v>
      </c>
      <c r="N746">
        <v>50</v>
      </c>
      <c r="O746" t="s">
        <v>62</v>
      </c>
      <c r="P746" t="s">
        <v>37</v>
      </c>
      <c r="Q746" t="s">
        <v>2361</v>
      </c>
      <c r="R746">
        <f t="shared" si="77"/>
        <v>72253115</v>
      </c>
      <c r="S746" t="str" cm="1">
        <f t="array" ref="S746">IF(C746="",IFERROR(INDEX($C$2:$C$1166,MATCH(MAX(COUNTIF($C$2:$C$1166,$C$2:$C$1166)),COUNTIF($C$2:$C$1166,$C$2:$C$1166),0)),"Unknown"),C746)</f>
        <v>Carlos Silva</v>
      </c>
      <c r="T746" s="4" t="str" cm="1">
        <f t="array" ref="T746">IF(D746="",IFERROR(INDEX($D$2:$D$1000,MATCH(MAX(COUNTIF($D$2:$D$1166,$D$2:$D$1166)),COUNTIF($D$2:$D$1166,$D$2:$D$1166),0)),"Unknown"),D746)</f>
        <v>Patricia Khan</v>
      </c>
      <c r="U746" t="str">
        <f t="shared" si="78"/>
        <v>CAD</v>
      </c>
      <c r="V746" s="7" t="str">
        <f t="shared" si="78"/>
        <v>gbp</v>
      </c>
      <c r="W746" s="7" t="str">
        <f t="shared" si="79"/>
        <v>Australia</v>
      </c>
      <c r="X746" s="7" t="str">
        <f t="shared" si="79"/>
        <v>South Africa</v>
      </c>
      <c r="Y746" s="7" t="str" cm="1">
        <f t="array" ref="Y746">IF(H746="",IFERROR(INDEX($H$2:$H$1166,MATCH(MAX(COUNTIF($H$2:$H$1166,$H$2:$H$1166)),COUNTIF($H$2:$H$1166,$H$2:$H$1166),0)),"Unknown"),H746)</f>
        <v>Pending</v>
      </c>
      <c r="Z746" s="7" t="str">
        <f t="shared" si="80"/>
        <v>Inter-Transaction</v>
      </c>
      <c r="AA746" s="7">
        <f>IF(J746="",AVERAGE($J:$J),J746)</f>
        <v>12314.02</v>
      </c>
      <c r="AB746" s="7">
        <f>IF(N746="",AVERAGE($N:$N),N746)</f>
        <v>50</v>
      </c>
      <c r="AC746" s="7">
        <f t="shared" si="81"/>
        <v>2020</v>
      </c>
      <c r="AD746" s="7">
        <f t="shared" si="82"/>
        <v>10</v>
      </c>
      <c r="AE746" s="7">
        <f>COUNTIF(A:A,A746)</f>
        <v>1</v>
      </c>
      <c r="AF746" s="7" t="str">
        <f t="shared" si="83"/>
        <v/>
      </c>
    </row>
    <row r="747" spans="1:32">
      <c r="A747" t="s">
        <v>2362</v>
      </c>
      <c r="B747">
        <v>97730855</v>
      </c>
      <c r="C747" t="s">
        <v>2363</v>
      </c>
      <c r="D747" t="s">
        <v>247</v>
      </c>
      <c r="F747" t="s">
        <v>98</v>
      </c>
      <c r="G747" t="s">
        <v>22</v>
      </c>
      <c r="H747" t="s">
        <v>56</v>
      </c>
      <c r="I747" t="s">
        <v>3372</v>
      </c>
      <c r="J747">
        <v>8900.5400000000009</v>
      </c>
      <c r="K747" t="s">
        <v>27</v>
      </c>
      <c r="L747" t="s">
        <v>48</v>
      </c>
      <c r="M747" s="1">
        <v>45844.398611111108</v>
      </c>
      <c r="N747">
        <v>23</v>
      </c>
      <c r="O747" t="s">
        <v>24</v>
      </c>
      <c r="P747" t="s">
        <v>55</v>
      </c>
      <c r="Q747" t="s">
        <v>2364</v>
      </c>
      <c r="R747">
        <f t="shared" si="77"/>
        <v>97730855</v>
      </c>
      <c r="S747" t="str" cm="1">
        <f t="array" ref="S747">IF(C747="",IFERROR(INDEX($C$2:$C$1166,MATCH(MAX(COUNTIF($C$2:$C$1166,$C$2:$C$1166)),COUNTIF($C$2:$C$1166,$C$2:$C$1166),0)),"Unknown"),C747)</f>
        <v>Robert Volkov</v>
      </c>
      <c r="T747" s="4" t="str" cm="1">
        <f t="array" ref="T747">IF(D747="",IFERROR(INDEX($D$2:$D$1000,MATCH(MAX(COUNTIF($D$2:$D$1166,$D$2:$D$1166)),COUNTIF($D$2:$D$1166,$D$2:$D$1166),0)),"Unknown"),D747)</f>
        <v>Charles Jackson</v>
      </c>
      <c r="U747" t="str">
        <f t="shared" si="78"/>
        <v>JPY</v>
      </c>
      <c r="V747" s="7" t="str">
        <f t="shared" si="78"/>
        <v>BRL</v>
      </c>
      <c r="W747" s="7" t="str">
        <f t="shared" si="79"/>
        <v>Brazil</v>
      </c>
      <c r="X747" s="7" t="str">
        <f t="shared" si="79"/>
        <v>UK</v>
      </c>
      <c r="Y747" s="7" t="str" cm="1">
        <f t="array" ref="Y747">IF(H747="",IFERROR(INDEX($H$2:$H$1166,MATCH(MAX(COUNTIF($H$2:$H$1166,$H$2:$H$1166)),COUNTIF($H$2:$H$1166,$H$2:$H$1166),0)),"Unknown"),H747)</f>
        <v>Unverified</v>
      </c>
      <c r="Z747" s="7" t="str">
        <f t="shared" si="80"/>
        <v>Outer-Transaction</v>
      </c>
      <c r="AA747" s="7">
        <f>IF(J747="",AVERAGE($J:$J),J747)</f>
        <v>8900.5400000000009</v>
      </c>
      <c r="AB747" s="7">
        <f>IF(N747="",AVERAGE($N:$N),N747)</f>
        <v>23</v>
      </c>
      <c r="AC747" s="7">
        <f t="shared" si="81"/>
        <v>2025</v>
      </c>
      <c r="AD747" s="7">
        <f t="shared" si="82"/>
        <v>7</v>
      </c>
      <c r="AE747" s="7">
        <f>COUNTIF(A:A,A747)</f>
        <v>1</v>
      </c>
      <c r="AF747" s="7" t="str">
        <f t="shared" si="83"/>
        <v/>
      </c>
    </row>
    <row r="748" spans="1:32">
      <c r="A748" t="s">
        <v>2365</v>
      </c>
      <c r="B748">
        <v>93806250</v>
      </c>
      <c r="C748" t="s">
        <v>2366</v>
      </c>
      <c r="D748" t="s">
        <v>96</v>
      </c>
      <c r="F748" t="s">
        <v>44</v>
      </c>
      <c r="G748" t="s">
        <v>121</v>
      </c>
      <c r="H748" t="s">
        <v>25</v>
      </c>
      <c r="I748" t="s">
        <v>3377</v>
      </c>
      <c r="J748">
        <v>3874.68</v>
      </c>
      <c r="K748" t="s">
        <v>86</v>
      </c>
      <c r="L748" t="s">
        <v>48</v>
      </c>
      <c r="M748" s="1">
        <v>44321.95</v>
      </c>
      <c r="N748">
        <v>67</v>
      </c>
      <c r="O748" t="s">
        <v>68</v>
      </c>
      <c r="P748" t="s">
        <v>68</v>
      </c>
      <c r="Q748" t="s">
        <v>2367</v>
      </c>
      <c r="R748">
        <f t="shared" si="77"/>
        <v>93806250</v>
      </c>
      <c r="S748" t="str" cm="1">
        <f t="array" ref="S748">IF(C748="",IFERROR(INDEX($C$2:$C$1166,MATCH(MAX(COUNTIF($C$2:$C$1166,$C$2:$C$1166)),COUNTIF($C$2:$C$1166,$C$2:$C$1166),0)),"Unknown"),C748)</f>
        <v>Lucas Al-Sayed</v>
      </c>
      <c r="T748" s="4" t="str" cm="1">
        <f t="array" ref="T748">IF(D748="",IFERROR(INDEX($D$2:$D$1000,MATCH(MAX(COUNTIF($D$2:$D$1166,$D$2:$D$1166)),COUNTIF($D$2:$D$1166,$D$2:$D$1166),0)),"Unknown"),D748)</f>
        <v>Charles Souza</v>
      </c>
      <c r="U748" t="str">
        <f t="shared" si="78"/>
        <v>SGD</v>
      </c>
      <c r="V748" s="7" t="str">
        <f t="shared" si="78"/>
        <v>INR</v>
      </c>
      <c r="W748" s="7" t="str">
        <f t="shared" si="79"/>
        <v>UAE</v>
      </c>
      <c r="X748" s="7" t="str">
        <f t="shared" si="79"/>
        <v>UAE</v>
      </c>
      <c r="Y748" s="7" t="str" cm="1">
        <f t="array" ref="Y748">IF(H748="",IFERROR(INDEX($H$2:$H$1166,MATCH(MAX(COUNTIF($H$2:$H$1166,$H$2:$H$1166)),COUNTIF($H$2:$H$1166,$H$2:$H$1166),0)),"Unknown"),H748)</f>
        <v>KYC</v>
      </c>
      <c r="Z748" s="7" t="str">
        <f t="shared" si="80"/>
        <v>Inter-Transaction</v>
      </c>
      <c r="AA748" s="7">
        <f>IF(J748="",AVERAGE($J:$J),J748)</f>
        <v>3874.68</v>
      </c>
      <c r="AB748" s="7">
        <f>IF(N748="",AVERAGE($N:$N),N748)</f>
        <v>67</v>
      </c>
      <c r="AC748" s="7">
        <f t="shared" si="81"/>
        <v>2021</v>
      </c>
      <c r="AD748" s="7">
        <f t="shared" si="82"/>
        <v>5</v>
      </c>
      <c r="AE748" s="7">
        <f>COUNTIF(A:A,A748)</f>
        <v>1</v>
      </c>
      <c r="AF748" s="7" t="str">
        <f t="shared" si="83"/>
        <v/>
      </c>
    </row>
    <row r="749" spans="1:32">
      <c r="A749" t="s">
        <v>2368</v>
      </c>
      <c r="B749">
        <v>58310738</v>
      </c>
      <c r="C749" t="s">
        <v>142</v>
      </c>
      <c r="D749" t="s">
        <v>66</v>
      </c>
      <c r="F749" t="s">
        <v>121</v>
      </c>
      <c r="G749" t="s">
        <v>34</v>
      </c>
      <c r="H749" t="s">
        <v>38</v>
      </c>
      <c r="I749" t="s">
        <v>3372</v>
      </c>
      <c r="J749">
        <v>593.38</v>
      </c>
      <c r="K749" t="s">
        <v>39</v>
      </c>
      <c r="L749" t="s">
        <v>81</v>
      </c>
      <c r="M749" s="1">
        <v>44085.310416666667</v>
      </c>
      <c r="N749">
        <v>27</v>
      </c>
      <c r="O749" t="s">
        <v>36</v>
      </c>
      <c r="P749" t="s">
        <v>93</v>
      </c>
      <c r="Q749" t="s">
        <v>2369</v>
      </c>
      <c r="R749">
        <f t="shared" si="77"/>
        <v>58310738</v>
      </c>
      <c r="S749" t="str" cm="1">
        <f t="array" ref="S749">IF(C749="",IFERROR(INDEX($C$2:$C$1166,MATCH(MAX(COUNTIF($C$2:$C$1166,$C$2:$C$1166)),COUNTIF($C$2:$C$1166,$C$2:$C$1166),0)),"Unknown"),C749)</f>
        <v>Thomas Rodriguez</v>
      </c>
      <c r="T749" s="4" t="str" cm="1">
        <f t="array" ref="T749">IF(D749="",IFERROR(INDEX($D$2:$D$1000,MATCH(MAX(COUNTIF($D$2:$D$1166,$D$2:$D$1166)),COUNTIF($D$2:$D$1166,$D$2:$D$1166),0)),"Unknown"),D749)</f>
        <v>Charles Dubois</v>
      </c>
      <c r="U749" t="str">
        <f t="shared" si="78"/>
        <v>INR</v>
      </c>
      <c r="V749" s="7" t="str">
        <f t="shared" si="78"/>
        <v>CAD</v>
      </c>
      <c r="W749" s="7" t="str">
        <f t="shared" si="79"/>
        <v>Germany</v>
      </c>
      <c r="X749" s="7" t="str">
        <f t="shared" si="79"/>
        <v>USA</v>
      </c>
      <c r="Y749" s="7" t="str" cm="1">
        <f t="array" ref="Y749">IF(H749="",IFERROR(INDEX($H$2:$H$1166,MATCH(MAX(COUNTIF($H$2:$H$1166,$H$2:$H$1166)),COUNTIF($H$2:$H$1166,$H$2:$H$1166),0)),"Unknown"),H749)</f>
        <v>Pending</v>
      </c>
      <c r="Z749" s="7" t="str">
        <f t="shared" si="80"/>
        <v>Outer-Transaction</v>
      </c>
      <c r="AA749" s="7">
        <f>IF(J749="",AVERAGE($J:$J),J749)</f>
        <v>593.38</v>
      </c>
      <c r="AB749" s="7">
        <f>IF(N749="",AVERAGE($N:$N),N749)</f>
        <v>27</v>
      </c>
      <c r="AC749" s="7">
        <f t="shared" si="81"/>
        <v>2020</v>
      </c>
      <c r="AD749" s="7">
        <f t="shared" si="82"/>
        <v>9</v>
      </c>
      <c r="AE749" s="7">
        <f>COUNTIF(A:A,A749)</f>
        <v>1</v>
      </c>
      <c r="AF749" s="7" t="str">
        <f t="shared" si="83"/>
        <v/>
      </c>
    </row>
    <row r="750" spans="1:32">
      <c r="A750" t="s">
        <v>2370</v>
      </c>
      <c r="B750">
        <v>50753834</v>
      </c>
      <c r="C750" t="s">
        <v>2371</v>
      </c>
      <c r="D750" t="s">
        <v>457</v>
      </c>
      <c r="F750" t="s">
        <v>45</v>
      </c>
      <c r="G750" t="s">
        <v>176</v>
      </c>
      <c r="H750" t="s">
        <v>56</v>
      </c>
      <c r="I750" t="s">
        <v>3378</v>
      </c>
      <c r="J750">
        <v>10573.27</v>
      </c>
      <c r="K750" t="s">
        <v>39</v>
      </c>
      <c r="L750" t="s">
        <v>75</v>
      </c>
      <c r="M750" s="1">
        <v>46259.918749999997</v>
      </c>
      <c r="N750">
        <v>22</v>
      </c>
      <c r="O750" t="s">
        <v>127</v>
      </c>
      <c r="P750" t="s">
        <v>68</v>
      </c>
      <c r="Q750" t="s">
        <v>2372</v>
      </c>
      <c r="R750">
        <f t="shared" si="77"/>
        <v>50753834</v>
      </c>
      <c r="S750" t="str" cm="1">
        <f t="array" ref="S750">IF(C750="",IFERROR(INDEX($C$2:$C$1166,MATCH(MAX(COUNTIF($C$2:$C$1166,$C$2:$C$1166)),COUNTIF($C$2:$C$1166,$C$2:$C$1166),0)),"Unknown"),C750)</f>
        <v>Linda Hernandez</v>
      </c>
      <c r="T750" s="4" t="str" cm="1">
        <f t="array" ref="T750">IF(D750="",IFERROR(INDEX($D$2:$D$1000,MATCH(MAX(COUNTIF($D$2:$D$1166,$D$2:$D$1166)),COUNTIF($D$2:$D$1166,$D$2:$D$1166),0)),"Unknown"),D750)</f>
        <v>Lucas Davis</v>
      </c>
      <c r="U750" t="str">
        <f t="shared" si="78"/>
        <v>ZAR</v>
      </c>
      <c r="V750" s="7" t="str">
        <f t="shared" si="78"/>
        <v>aed</v>
      </c>
      <c r="W750" s="7" t="str">
        <f t="shared" si="79"/>
        <v>Canada</v>
      </c>
      <c r="X750" s="7" t="str">
        <f t="shared" si="79"/>
        <v>UAE</v>
      </c>
      <c r="Y750" s="7" t="str" cm="1">
        <f t="array" ref="Y750">IF(H750="",IFERROR(INDEX($H$2:$H$1166,MATCH(MAX(COUNTIF($H$2:$H$1166,$H$2:$H$1166)),COUNTIF($H$2:$H$1166,$H$2:$H$1166),0)),"Unknown"),H750)</f>
        <v>Unverified</v>
      </c>
      <c r="Z750" s="7" t="str">
        <f t="shared" si="80"/>
        <v>Inter-Transaction</v>
      </c>
      <c r="AA750" s="7">
        <f>IF(J750="",AVERAGE($J:$J),J750)</f>
        <v>10573.27</v>
      </c>
      <c r="AB750" s="7">
        <f>IF(N750="",AVERAGE($N:$N),N750)</f>
        <v>22</v>
      </c>
      <c r="AC750" s="7">
        <f t="shared" si="81"/>
        <v>2026</v>
      </c>
      <c r="AD750" s="7">
        <f t="shared" si="82"/>
        <v>8</v>
      </c>
      <c r="AE750" s="7">
        <f>COUNTIF(A:A,A750)</f>
        <v>1</v>
      </c>
      <c r="AF750" s="7" t="str">
        <f t="shared" si="83"/>
        <v/>
      </c>
    </row>
    <row r="751" spans="1:32">
      <c r="A751" t="s">
        <v>2373</v>
      </c>
      <c r="B751">
        <v>89734272</v>
      </c>
      <c r="C751" t="s">
        <v>2374</v>
      </c>
      <c r="F751" t="s">
        <v>393</v>
      </c>
      <c r="G751" t="s">
        <v>35</v>
      </c>
      <c r="H751" t="s">
        <v>25</v>
      </c>
      <c r="I751" t="s">
        <v>3371</v>
      </c>
      <c r="J751">
        <v>1504.95</v>
      </c>
      <c r="K751" t="s">
        <v>86</v>
      </c>
      <c r="L751" t="s">
        <v>28</v>
      </c>
      <c r="M751" s="1">
        <v>44722.577777777777</v>
      </c>
      <c r="N751">
        <v>40</v>
      </c>
      <c r="O751" t="s">
        <v>55</v>
      </c>
      <c r="P751" t="s">
        <v>93</v>
      </c>
      <c r="Q751" t="s">
        <v>2375</v>
      </c>
      <c r="R751">
        <f t="shared" si="77"/>
        <v>89734272</v>
      </c>
      <c r="S751" t="str" cm="1">
        <f t="array" ref="S751">IF(C751="",IFERROR(INDEX($C$2:$C$1166,MATCH(MAX(COUNTIF($C$2:$C$1166,$C$2:$C$1166)),COUNTIF($C$2:$C$1166,$C$2:$C$1166),0)),"Unknown"),C751)</f>
        <v xml:space="preserve">  MARY MOORE </v>
      </c>
      <c r="T751" s="4" t="str" cm="1">
        <f t="array" ref="T751">IF(D751="",IFERROR(INDEX($D$2:$D$1000,MATCH(MAX(COUNTIF($D$2:$D$1166,$D$2:$D$1166)),COUNTIF($D$2:$D$1166,$D$2:$D$1166),0)),"Unknown"),D751)</f>
        <v>Patricia Smith</v>
      </c>
      <c r="U751" t="str">
        <f t="shared" si="78"/>
        <v>cad</v>
      </c>
      <c r="V751" s="7" t="str">
        <f t="shared" si="78"/>
        <v>EUR</v>
      </c>
      <c r="W751" s="7" t="str">
        <f t="shared" si="79"/>
        <v>UK</v>
      </c>
      <c r="X751" s="7" t="str">
        <f t="shared" si="79"/>
        <v>USA</v>
      </c>
      <c r="Y751" s="7" t="str" cm="1">
        <f t="array" ref="Y751">IF(H751="",IFERROR(INDEX($H$2:$H$1166,MATCH(MAX(COUNTIF($H$2:$H$1166,$H$2:$H$1166)),COUNTIF($H$2:$H$1166,$H$2:$H$1166),0)),"Unknown"),H751)</f>
        <v>KYC</v>
      </c>
      <c r="Z751" s="7" t="str">
        <f t="shared" si="80"/>
        <v>Outer-Transaction</v>
      </c>
      <c r="AA751" s="7">
        <f>IF(J751="",AVERAGE($J:$J),J751)</f>
        <v>1504.95</v>
      </c>
      <c r="AB751" s="7">
        <f>IF(N751="",AVERAGE($N:$N),N751)</f>
        <v>40</v>
      </c>
      <c r="AC751" s="7">
        <f t="shared" si="81"/>
        <v>2022</v>
      </c>
      <c r="AD751" s="7">
        <f t="shared" si="82"/>
        <v>6</v>
      </c>
      <c r="AE751" s="7">
        <f>COUNTIF(A:A,A751)</f>
        <v>1</v>
      </c>
      <c r="AF751" s="7" t="str">
        <f t="shared" si="83"/>
        <v/>
      </c>
    </row>
    <row r="752" spans="1:32">
      <c r="A752" t="s">
        <v>2376</v>
      </c>
      <c r="B752">
        <v>62219432</v>
      </c>
      <c r="C752" t="s">
        <v>2377</v>
      </c>
      <c r="D752" t="s">
        <v>1418</v>
      </c>
      <c r="F752" t="s">
        <v>80</v>
      </c>
      <c r="I752" t="s">
        <v>3377</v>
      </c>
      <c r="J752">
        <v>10241.99</v>
      </c>
      <c r="K752" t="s">
        <v>86</v>
      </c>
      <c r="L752" t="s">
        <v>28</v>
      </c>
      <c r="M752" s="1">
        <v>44372.394444444442</v>
      </c>
      <c r="N752">
        <v>27</v>
      </c>
      <c r="O752" t="s">
        <v>55</v>
      </c>
      <c r="P752" t="s">
        <v>23</v>
      </c>
      <c r="Q752" t="s">
        <v>2378</v>
      </c>
      <c r="R752">
        <f t="shared" si="77"/>
        <v>62219432</v>
      </c>
      <c r="S752" t="str" cm="1">
        <f t="array" ref="S752">IF(C752="",IFERROR(INDEX($C$2:$C$1166,MATCH(MAX(COUNTIF($C$2:$C$1166,$C$2:$C$1166)),COUNTIF($C$2:$C$1166,$C$2:$C$1166),0)),"Unknown"),C752)</f>
        <v>Mary Velez</v>
      </c>
      <c r="T752" s="4" t="str" cm="1">
        <f t="array" ref="T752">IF(D752="",IFERROR(INDEX($D$2:$D$1000,MATCH(MAX(COUNTIF($D$2:$D$1166,$D$2:$D$1166)),COUNTIF($D$2:$D$1166,$D$2:$D$1166),0)),"Unknown"),D752)</f>
        <v>Elena Garcia</v>
      </c>
      <c r="U752" t="str">
        <f t="shared" si="78"/>
        <v>USD</v>
      </c>
      <c r="V752" s="7" t="str">
        <f t="shared" si="78"/>
        <v/>
      </c>
      <c r="W752" s="7" t="str">
        <f t="shared" si="79"/>
        <v>UK</v>
      </c>
      <c r="X752" s="7" t="str">
        <f t="shared" si="79"/>
        <v>France</v>
      </c>
      <c r="Y752" s="7" t="str" cm="1">
        <f t="array" ref="Y752">IF(H752="",IFERROR(INDEX($H$2:$H$1166,MATCH(MAX(COUNTIF($H$2:$H$1166,$H$2:$H$1166)),COUNTIF($H$2:$H$1166,$H$2:$H$1166),0)),"Unknown"),H752)</f>
        <v>Pending</v>
      </c>
      <c r="Z752" s="7" t="str">
        <f t="shared" si="80"/>
        <v>Inter-Transaction</v>
      </c>
      <c r="AA752" s="7">
        <f>IF(J752="",AVERAGE($J:$J),J752)</f>
        <v>10241.99</v>
      </c>
      <c r="AB752" s="7">
        <f>IF(N752="",AVERAGE($N:$N),N752)</f>
        <v>27</v>
      </c>
      <c r="AC752" s="7">
        <f t="shared" si="81"/>
        <v>2021</v>
      </c>
      <c r="AD752" s="7">
        <f t="shared" si="82"/>
        <v>6</v>
      </c>
      <c r="AE752" s="7">
        <f>COUNTIF(A:A,A752)</f>
        <v>1</v>
      </c>
      <c r="AF752" s="7" t="str">
        <f t="shared" si="83"/>
        <v/>
      </c>
    </row>
    <row r="753" spans="1:32">
      <c r="A753" t="s">
        <v>2379</v>
      </c>
      <c r="B753">
        <v>66060162</v>
      </c>
      <c r="C753" t="s">
        <v>1039</v>
      </c>
      <c r="D753" t="s">
        <v>491</v>
      </c>
      <c r="F753" t="s">
        <v>34</v>
      </c>
      <c r="G753" t="s">
        <v>35</v>
      </c>
      <c r="I753" t="s">
        <v>3374</v>
      </c>
      <c r="J753">
        <v>10299.040000000001</v>
      </c>
      <c r="K753" t="s">
        <v>57</v>
      </c>
      <c r="L753" t="s">
        <v>81</v>
      </c>
      <c r="M753" s="1">
        <v>45118.002083333333</v>
      </c>
      <c r="N753">
        <v>61</v>
      </c>
      <c r="O753" t="s">
        <v>127</v>
      </c>
      <c r="P753" t="s">
        <v>23</v>
      </c>
      <c r="Q753" t="s">
        <v>2380</v>
      </c>
      <c r="R753">
        <f t="shared" si="77"/>
        <v>66060162</v>
      </c>
      <c r="S753" t="str" cm="1">
        <f t="array" ref="S753">IF(C753="",IFERROR(INDEX($C$2:$C$1166,MATCH(MAX(COUNTIF($C$2:$C$1166,$C$2:$C$1166)),COUNTIF($C$2:$C$1166,$C$2:$C$1166),0)),"Unknown"),C753)</f>
        <v>Jean-Pierre Silva</v>
      </c>
      <c r="T753" s="4" t="str" cm="1">
        <f t="array" ref="T753">IF(D753="",IFERROR(INDEX($D$2:$D$1000,MATCH(MAX(COUNTIF($D$2:$D$1166,$D$2:$D$1166)),COUNTIF($D$2:$D$1166,$D$2:$D$1166),0)),"Unknown"),D753)</f>
        <v>Elena Souza</v>
      </c>
      <c r="U753" t="str">
        <f t="shared" si="78"/>
        <v>CAD</v>
      </c>
      <c r="V753" s="7" t="str">
        <f t="shared" si="78"/>
        <v>EUR</v>
      </c>
      <c r="W753" s="7" t="str">
        <f t="shared" si="79"/>
        <v>Canada</v>
      </c>
      <c r="X753" s="7" t="str">
        <f t="shared" si="79"/>
        <v>France</v>
      </c>
      <c r="Y753" s="7" t="str" cm="1">
        <f t="array" ref="Y753">IF(H753="",IFERROR(INDEX($H$2:$H$1166,MATCH(MAX(COUNTIF($H$2:$H$1166,$H$2:$H$1166)),COUNTIF($H$2:$H$1166,$H$2:$H$1166),0)),"Unknown"),H753)</f>
        <v>Pending</v>
      </c>
      <c r="Z753" s="7" t="str">
        <f t="shared" si="80"/>
        <v>External</v>
      </c>
      <c r="AA753" s="7">
        <f>IF(J753="",AVERAGE($J:$J),J753)</f>
        <v>10299.040000000001</v>
      </c>
      <c r="AB753" s="7">
        <f>IF(N753="",AVERAGE($N:$N),N753)</f>
        <v>61</v>
      </c>
      <c r="AC753" s="7">
        <f t="shared" si="81"/>
        <v>2023</v>
      </c>
      <c r="AD753" s="7">
        <f t="shared" si="82"/>
        <v>7</v>
      </c>
      <c r="AE753" s="7">
        <f>COUNTIF(A:A,A753)</f>
        <v>1</v>
      </c>
      <c r="AF753" s="7" t="str">
        <f t="shared" si="83"/>
        <v/>
      </c>
    </row>
    <row r="754" spans="1:32">
      <c r="A754" t="s">
        <v>2381</v>
      </c>
      <c r="B754">
        <v>72236168</v>
      </c>
      <c r="C754" t="s">
        <v>151</v>
      </c>
      <c r="D754" t="s">
        <v>1309</v>
      </c>
      <c r="F754" t="s">
        <v>22</v>
      </c>
      <c r="G754" t="s">
        <v>116</v>
      </c>
      <c r="H754" t="s">
        <v>25</v>
      </c>
      <c r="I754" t="s">
        <v>3377</v>
      </c>
      <c r="J754">
        <v>14738.68</v>
      </c>
      <c r="K754" t="s">
        <v>57</v>
      </c>
      <c r="L754" t="s">
        <v>48</v>
      </c>
      <c r="M754" s="1">
        <v>45464.033333333333</v>
      </c>
      <c r="N754">
        <v>19</v>
      </c>
      <c r="O754" t="s">
        <v>55</v>
      </c>
      <c r="P754" t="s">
        <v>55</v>
      </c>
      <c r="Q754" t="s">
        <v>2382</v>
      </c>
      <c r="R754">
        <f t="shared" si="77"/>
        <v>72236168</v>
      </c>
      <c r="S754" t="str" cm="1">
        <f t="array" ref="S754">IF(C754="",IFERROR(INDEX($C$2:$C$1166,MATCH(MAX(COUNTIF($C$2:$C$1166,$C$2:$C$1166)),COUNTIF($C$2:$C$1166,$C$2:$C$1166),0)),"Unknown"),C754)</f>
        <v>Nancy Moore</v>
      </c>
      <c r="T754" s="4" t="str" cm="1">
        <f t="array" ref="T754">IF(D754="",IFERROR(INDEX($D$2:$D$1000,MATCH(MAX(COUNTIF($D$2:$D$1166,$D$2:$D$1166)),COUNTIF($D$2:$D$1166,$D$2:$D$1166),0)),"Unknown"),D754)</f>
        <v>Mary Souza</v>
      </c>
      <c r="U754" t="str">
        <f t="shared" si="78"/>
        <v>BRL</v>
      </c>
      <c r="V754" s="7" t="str">
        <f t="shared" si="78"/>
        <v>CHF</v>
      </c>
      <c r="W754" s="7" t="str">
        <f t="shared" si="79"/>
        <v>UK</v>
      </c>
      <c r="X754" s="7" t="str">
        <f t="shared" si="79"/>
        <v>UK</v>
      </c>
      <c r="Y754" s="7" t="str" cm="1">
        <f t="array" ref="Y754">IF(H754="",IFERROR(INDEX($H$2:$H$1166,MATCH(MAX(COUNTIF($H$2:$H$1166,$H$2:$H$1166)),COUNTIF($H$2:$H$1166,$H$2:$H$1166),0)),"Unknown"),H754)</f>
        <v>KYC</v>
      </c>
      <c r="Z754" s="7" t="str">
        <f t="shared" si="80"/>
        <v>Inter-Transaction</v>
      </c>
      <c r="AA754" s="7">
        <f>IF(J754="",AVERAGE($J:$J),J754)</f>
        <v>14738.68</v>
      </c>
      <c r="AB754" s="7">
        <f>IF(N754="",AVERAGE($N:$N),N754)</f>
        <v>19</v>
      </c>
      <c r="AC754" s="7">
        <f t="shared" si="81"/>
        <v>2024</v>
      </c>
      <c r="AD754" s="7">
        <f t="shared" si="82"/>
        <v>6</v>
      </c>
      <c r="AE754" s="7">
        <f>COUNTIF(A:A,A754)</f>
        <v>1</v>
      </c>
      <c r="AF754" s="7" t="str">
        <f t="shared" si="83"/>
        <v/>
      </c>
    </row>
    <row r="755" spans="1:32">
      <c r="A755" t="s">
        <v>2383</v>
      </c>
      <c r="B755">
        <v>38791442</v>
      </c>
      <c r="C755" t="s">
        <v>1744</v>
      </c>
      <c r="D755" t="s">
        <v>2384</v>
      </c>
      <c r="F755" t="s">
        <v>176</v>
      </c>
      <c r="G755" t="s">
        <v>35</v>
      </c>
      <c r="I755" t="s">
        <v>3378</v>
      </c>
      <c r="J755">
        <v>13208.7</v>
      </c>
      <c r="K755" t="s">
        <v>27</v>
      </c>
      <c r="L755" t="s">
        <v>48</v>
      </c>
      <c r="M755" s="1">
        <v>44655.693055555559</v>
      </c>
      <c r="N755">
        <v>30</v>
      </c>
      <c r="O755" t="s">
        <v>24</v>
      </c>
      <c r="P755" t="s">
        <v>54</v>
      </c>
      <c r="Q755" t="s">
        <v>2385</v>
      </c>
      <c r="R755">
        <f t="shared" si="77"/>
        <v>38791442</v>
      </c>
      <c r="S755" t="str" cm="1">
        <f t="array" ref="S755">IF(C755="",IFERROR(INDEX($C$2:$C$1166,MATCH(MAX(COUNTIF($C$2:$C$1166,$C$2:$C$1166)),COUNTIF($C$2:$C$1166,$C$2:$C$1166),0)),"Unknown"),C755)</f>
        <v>Jessica Johnson</v>
      </c>
      <c r="T755" s="4" t="str" cm="1">
        <f t="array" ref="T755">IF(D755="",IFERROR(INDEX($D$2:$D$1000,MATCH(MAX(COUNTIF($D$2:$D$1166,$D$2:$D$1166)),COUNTIF($D$2:$D$1166,$D$2:$D$1166),0)),"Unknown"),D755)</f>
        <v>Charles Martin</v>
      </c>
      <c r="U755" t="str">
        <f t="shared" si="78"/>
        <v>aed</v>
      </c>
      <c r="V755" s="7" t="str">
        <f t="shared" si="78"/>
        <v>EUR</v>
      </c>
      <c r="W755" s="7" t="str">
        <f t="shared" si="79"/>
        <v>Brazil</v>
      </c>
      <c r="X755" s="7" t="str">
        <f t="shared" si="79"/>
        <v>India</v>
      </c>
      <c r="Y755" s="7" t="str" cm="1">
        <f t="array" ref="Y755">IF(H755="",IFERROR(INDEX($H$2:$H$1166,MATCH(MAX(COUNTIF($H$2:$H$1166,$H$2:$H$1166)),COUNTIF($H$2:$H$1166,$H$2:$H$1166),0)),"Unknown"),H755)</f>
        <v>Pending</v>
      </c>
      <c r="Z755" s="7" t="str">
        <f t="shared" si="80"/>
        <v>Inter-Transaction</v>
      </c>
      <c r="AA755" s="7">
        <f>IF(J755="",AVERAGE($J:$J),J755)</f>
        <v>13208.7</v>
      </c>
      <c r="AB755" s="7">
        <f>IF(N755="",AVERAGE($N:$N),N755)</f>
        <v>30</v>
      </c>
      <c r="AC755" s="7">
        <f t="shared" si="81"/>
        <v>2022</v>
      </c>
      <c r="AD755" s="7">
        <f t="shared" si="82"/>
        <v>4</v>
      </c>
      <c r="AE755" s="7">
        <f>COUNTIF(A:A,A755)</f>
        <v>1</v>
      </c>
      <c r="AF755" s="7" t="str">
        <f t="shared" si="83"/>
        <v/>
      </c>
    </row>
    <row r="756" spans="1:32">
      <c r="A756" t="s">
        <v>2386</v>
      </c>
      <c r="B756">
        <v>14463768</v>
      </c>
      <c r="C756" t="s">
        <v>2387</v>
      </c>
      <c r="D756" t="s">
        <v>456</v>
      </c>
      <c r="F756" t="s">
        <v>112</v>
      </c>
      <c r="G756" t="s">
        <v>45</v>
      </c>
      <c r="H756" t="s">
        <v>25</v>
      </c>
      <c r="I756" t="s">
        <v>3376</v>
      </c>
      <c r="J756">
        <v>5808.99</v>
      </c>
      <c r="K756" t="s">
        <v>39</v>
      </c>
      <c r="L756" t="s">
        <v>81</v>
      </c>
      <c r="M756" s="1">
        <v>45183.938194444447</v>
      </c>
      <c r="N756">
        <v>57</v>
      </c>
      <c r="O756" t="s">
        <v>55</v>
      </c>
      <c r="P756" t="s">
        <v>54</v>
      </c>
      <c r="Q756" t="s">
        <v>2388</v>
      </c>
      <c r="R756">
        <f t="shared" si="77"/>
        <v>14463768</v>
      </c>
      <c r="S756" t="str" cm="1">
        <f t="array" ref="S756">IF(C756="",IFERROR(INDEX($C$2:$C$1166,MATCH(MAX(COUNTIF($C$2:$C$1166,$C$2:$C$1166)),COUNTIF($C$2:$C$1166,$C$2:$C$1166),0)),"Unknown"),C756)</f>
        <v>Mary Wilson</v>
      </c>
      <c r="T756" s="4" t="str" cm="1">
        <f t="array" ref="T756">IF(D756="",IFERROR(INDEX($D$2:$D$1000,MATCH(MAX(COUNTIF($D$2:$D$1166,$D$2:$D$1166)),COUNTIF($D$2:$D$1166,$D$2:$D$1166),0)),"Unknown"),D756)</f>
        <v>Sarah Jackson</v>
      </c>
      <c r="U756" t="str">
        <f t="shared" si="78"/>
        <v>usd</v>
      </c>
      <c r="V756" s="7" t="str">
        <f t="shared" si="78"/>
        <v>ZAR</v>
      </c>
      <c r="W756" s="7" t="str">
        <f t="shared" si="79"/>
        <v>UK</v>
      </c>
      <c r="X756" s="7" t="str">
        <f t="shared" si="79"/>
        <v>India</v>
      </c>
      <c r="Y756" s="7" t="str" cm="1">
        <f t="array" ref="Y756">IF(H756="",IFERROR(INDEX($H$2:$H$1166,MATCH(MAX(COUNTIF($H$2:$H$1166,$H$2:$H$1166)),COUNTIF($H$2:$H$1166,$H$2:$H$1166),0)),"Unknown"),H756)</f>
        <v>KYC</v>
      </c>
      <c r="Z756" s="7" t="str">
        <f t="shared" si="80"/>
        <v>Internal</v>
      </c>
      <c r="AA756" s="7">
        <f>IF(J756="",AVERAGE($J:$J),J756)</f>
        <v>5808.99</v>
      </c>
      <c r="AB756" s="7">
        <f>IF(N756="",AVERAGE($N:$N),N756)</f>
        <v>57</v>
      </c>
      <c r="AC756" s="7">
        <f t="shared" si="81"/>
        <v>2023</v>
      </c>
      <c r="AD756" s="7">
        <f t="shared" si="82"/>
        <v>9</v>
      </c>
      <c r="AE756" s="7">
        <f>COUNTIF(A:A,A756)</f>
        <v>1</v>
      </c>
      <c r="AF756" s="7" t="str">
        <f t="shared" si="83"/>
        <v/>
      </c>
    </row>
    <row r="757" spans="1:32">
      <c r="A757" t="s">
        <v>2389</v>
      </c>
      <c r="B757">
        <v>39233152</v>
      </c>
      <c r="C757" t="s">
        <v>2390</v>
      </c>
      <c r="D757" t="s">
        <v>1978</v>
      </c>
      <c r="F757" t="s">
        <v>116</v>
      </c>
      <c r="G757" t="s">
        <v>22</v>
      </c>
      <c r="H757" t="s">
        <v>56</v>
      </c>
      <c r="I757" t="s">
        <v>3371</v>
      </c>
      <c r="J757">
        <v>5019.2700000000004</v>
      </c>
      <c r="K757" t="s">
        <v>86</v>
      </c>
      <c r="L757" t="s">
        <v>48</v>
      </c>
      <c r="M757" s="1">
        <v>44111.801388888889</v>
      </c>
      <c r="N757">
        <v>19</v>
      </c>
      <c r="O757" t="s">
        <v>23</v>
      </c>
      <c r="P757" t="s">
        <v>93</v>
      </c>
      <c r="Q757" t="s">
        <v>2391</v>
      </c>
      <c r="R757">
        <f t="shared" si="77"/>
        <v>39233152</v>
      </c>
      <c r="S757" t="str" cm="1">
        <f t="array" ref="S757">IF(C757="",IFERROR(INDEX($C$2:$C$1166,MATCH(MAX(COUNTIF($C$2:$C$1166,$C$2:$C$1166)),COUNTIF($C$2:$C$1166,$C$2:$C$1166),0)),"Unknown"),C757)</f>
        <v xml:space="preserve">  MARTA MILLER </v>
      </c>
      <c r="T757" s="4" t="str" cm="1">
        <f t="array" ref="T757">IF(D757="",IFERROR(INDEX($D$2:$D$1000,MATCH(MAX(COUNTIF($D$2:$D$1166,$D$2:$D$1166)),COUNTIF($D$2:$D$1166,$D$2:$D$1166),0)),"Unknown"),D757)</f>
        <v>Christopher Malik</v>
      </c>
      <c r="U757" t="str">
        <f t="shared" si="78"/>
        <v>CHF</v>
      </c>
      <c r="V757" s="7" t="str">
        <f t="shared" si="78"/>
        <v>BRL</v>
      </c>
      <c r="W757" s="7" t="str">
        <f t="shared" si="79"/>
        <v>France</v>
      </c>
      <c r="X757" s="7" t="str">
        <f t="shared" si="79"/>
        <v>USA</v>
      </c>
      <c r="Y757" s="7" t="str" cm="1">
        <f t="array" ref="Y757">IF(H757="",IFERROR(INDEX($H$2:$H$1166,MATCH(MAX(COUNTIF($H$2:$H$1166,$H$2:$H$1166)),COUNTIF($H$2:$H$1166,$H$2:$H$1166),0)),"Unknown"),H757)</f>
        <v>Unverified</v>
      </c>
      <c r="Z757" s="7" t="str">
        <f t="shared" si="80"/>
        <v>Outer-Transaction</v>
      </c>
      <c r="AA757" s="7">
        <f>IF(J757="",AVERAGE($J:$J),J757)</f>
        <v>5019.2700000000004</v>
      </c>
      <c r="AB757" s="7">
        <f>IF(N757="",AVERAGE($N:$N),N757)</f>
        <v>19</v>
      </c>
      <c r="AC757" s="7">
        <f t="shared" si="81"/>
        <v>2020</v>
      </c>
      <c r="AD757" s="7">
        <f t="shared" si="82"/>
        <v>10</v>
      </c>
      <c r="AE757" s="7">
        <f>COUNTIF(A:A,A757)</f>
        <v>1</v>
      </c>
      <c r="AF757" s="7" t="str">
        <f t="shared" si="83"/>
        <v/>
      </c>
    </row>
    <row r="758" spans="1:32">
      <c r="A758" t="s">
        <v>2392</v>
      </c>
      <c r="C758" t="s">
        <v>1405</v>
      </c>
      <c r="D758" t="s">
        <v>1850</v>
      </c>
      <c r="F758" t="s">
        <v>116</v>
      </c>
      <c r="G758" t="s">
        <v>80</v>
      </c>
      <c r="H758" t="s">
        <v>74</v>
      </c>
      <c r="I758" t="s">
        <v>3378</v>
      </c>
      <c r="J758">
        <v>4972.1400000000003</v>
      </c>
      <c r="K758" t="s">
        <v>86</v>
      </c>
      <c r="L758" t="s">
        <v>28</v>
      </c>
      <c r="M758" s="1">
        <v>45129.540972222225</v>
      </c>
      <c r="N758">
        <v>82</v>
      </c>
      <c r="O758" t="s">
        <v>68</v>
      </c>
      <c r="P758" t="s">
        <v>62</v>
      </c>
      <c r="Q758" t="s">
        <v>2393</v>
      </c>
      <c r="R758">
        <f t="shared" si="77"/>
        <v>0</v>
      </c>
      <c r="S758" t="str" cm="1">
        <f t="array" ref="S758">IF(C758="",IFERROR(INDEX($C$2:$C$1166,MATCH(MAX(COUNTIF($C$2:$C$1166,$C$2:$C$1166)),COUNTIF($C$2:$C$1166,$C$2:$C$1166),0)),"Unknown"),C758)</f>
        <v>Barbara Brown</v>
      </c>
      <c r="T758" s="4" t="str" cm="1">
        <f t="array" ref="T758">IF(D758="",IFERROR(INDEX($D$2:$D$1000,MATCH(MAX(COUNTIF($D$2:$D$1166,$D$2:$D$1166)),COUNTIF($D$2:$D$1166,$D$2:$D$1166),0)),"Unknown"),D758)</f>
        <v>Thomas Moore</v>
      </c>
      <c r="U758" t="str">
        <f t="shared" si="78"/>
        <v>CHF</v>
      </c>
      <c r="V758" s="7" t="str">
        <f t="shared" si="78"/>
        <v>USD</v>
      </c>
      <c r="W758" s="7" t="str">
        <f t="shared" si="79"/>
        <v>UAE</v>
      </c>
      <c r="X758" s="7" t="str">
        <f t="shared" si="79"/>
        <v>Australia</v>
      </c>
      <c r="Y758" s="7" t="str" cm="1">
        <f t="array" ref="Y758">IF(H758="",IFERROR(INDEX($H$2:$H$1166,MATCH(MAX(COUNTIF($H$2:$H$1166,$H$2:$H$1166)),COUNTIF($H$2:$H$1166,$H$2:$H$1166),0)),"Unknown"),H758)</f>
        <v>Non-KYC</v>
      </c>
      <c r="Z758" s="7" t="str">
        <f t="shared" si="80"/>
        <v>Inter-Transaction</v>
      </c>
      <c r="AA758" s="7">
        <f>IF(J758="",AVERAGE($J:$J),J758)</f>
        <v>4972.1400000000003</v>
      </c>
      <c r="AB758" s="7">
        <f>IF(N758="",AVERAGE($N:$N),N758)</f>
        <v>82</v>
      </c>
      <c r="AC758" s="7">
        <f t="shared" si="81"/>
        <v>2023</v>
      </c>
      <c r="AD758" s="7">
        <f t="shared" si="82"/>
        <v>7</v>
      </c>
      <c r="AE758" s="7">
        <f>COUNTIF(A:A,A758)</f>
        <v>1</v>
      </c>
      <c r="AF758" s="7" t="str">
        <f t="shared" si="83"/>
        <v/>
      </c>
    </row>
    <row r="759" spans="1:32">
      <c r="A759" t="s">
        <v>2394</v>
      </c>
      <c r="B759">
        <v>10754115</v>
      </c>
      <c r="C759" t="s">
        <v>342</v>
      </c>
      <c r="D759" t="s">
        <v>431</v>
      </c>
      <c r="F759" t="s">
        <v>98</v>
      </c>
      <c r="G759" t="s">
        <v>53</v>
      </c>
      <c r="H759" t="s">
        <v>74</v>
      </c>
      <c r="I759" t="s">
        <v>3371</v>
      </c>
      <c r="J759">
        <v>9247.83</v>
      </c>
      <c r="K759" t="s">
        <v>86</v>
      </c>
      <c r="L759" t="s">
        <v>75</v>
      </c>
      <c r="M759" s="1">
        <v>44603.082638888889</v>
      </c>
      <c r="N759">
        <v>80</v>
      </c>
      <c r="O759" t="s">
        <v>55</v>
      </c>
      <c r="P759" t="s">
        <v>37</v>
      </c>
      <c r="Q759" t="s">
        <v>2395</v>
      </c>
      <c r="R759">
        <f t="shared" si="77"/>
        <v>10754115</v>
      </c>
      <c r="S759" t="str" cm="1">
        <f t="array" ref="S759">IF(C759="",IFERROR(INDEX($C$2:$C$1166,MATCH(MAX(COUNTIF($C$2:$C$1166,$C$2:$C$1166)),COUNTIF($C$2:$C$1166,$C$2:$C$1166),0)),"Unknown"),C759)</f>
        <v>Sanjay Dubois</v>
      </c>
      <c r="T759" s="4" t="str" cm="1">
        <f t="array" ref="T759">IF(D759="",IFERROR(INDEX($D$2:$D$1000,MATCH(MAX(COUNTIF($D$2:$D$1166,$D$2:$D$1166)),COUNTIF($D$2:$D$1166,$D$2:$D$1166),0)),"Unknown"),D759)</f>
        <v>Karen Moore</v>
      </c>
      <c r="U759" t="str">
        <f t="shared" si="78"/>
        <v>JPY</v>
      </c>
      <c r="V759" s="7" t="str">
        <f t="shared" si="78"/>
        <v>AED</v>
      </c>
      <c r="W759" s="7" t="str">
        <f t="shared" si="79"/>
        <v>UK</v>
      </c>
      <c r="X759" s="7" t="str">
        <f t="shared" si="79"/>
        <v>South Africa</v>
      </c>
      <c r="Y759" s="7" t="str" cm="1">
        <f t="array" ref="Y759">IF(H759="",IFERROR(INDEX($H$2:$H$1166,MATCH(MAX(COUNTIF($H$2:$H$1166,$H$2:$H$1166)),COUNTIF($H$2:$H$1166,$H$2:$H$1166),0)),"Unknown"),H759)</f>
        <v>Non-KYC</v>
      </c>
      <c r="Z759" s="7" t="str">
        <f t="shared" si="80"/>
        <v>Outer-Transaction</v>
      </c>
      <c r="AA759" s="7">
        <f>IF(J759="",AVERAGE($J:$J),J759)</f>
        <v>9247.83</v>
      </c>
      <c r="AB759" s="7">
        <f>IF(N759="",AVERAGE($N:$N),N759)</f>
        <v>80</v>
      </c>
      <c r="AC759" s="7">
        <f t="shared" si="81"/>
        <v>2022</v>
      </c>
      <c r="AD759" s="7">
        <f t="shared" si="82"/>
        <v>2</v>
      </c>
      <c r="AE759" s="7">
        <f>COUNTIF(A:A,A759)</f>
        <v>1</v>
      </c>
      <c r="AF759" s="7" t="str">
        <f t="shared" si="83"/>
        <v/>
      </c>
    </row>
    <row r="760" spans="1:32">
      <c r="A760" t="s">
        <v>2396</v>
      </c>
      <c r="B760">
        <v>34973630</v>
      </c>
      <c r="C760" t="s">
        <v>1821</v>
      </c>
      <c r="D760" t="s">
        <v>868</v>
      </c>
      <c r="F760" t="s">
        <v>92</v>
      </c>
      <c r="G760" t="s">
        <v>53</v>
      </c>
      <c r="H760" t="s">
        <v>74</v>
      </c>
      <c r="I760" t="s">
        <v>3377</v>
      </c>
      <c r="J760">
        <v>13272.32</v>
      </c>
      <c r="K760" t="s">
        <v>47</v>
      </c>
      <c r="L760" t="s">
        <v>81</v>
      </c>
      <c r="M760" s="1">
        <v>44158.765972222223</v>
      </c>
      <c r="N760">
        <v>34</v>
      </c>
      <c r="O760" t="s">
        <v>68</v>
      </c>
      <c r="P760" t="s">
        <v>55</v>
      </c>
      <c r="Q760" t="s">
        <v>2397</v>
      </c>
      <c r="R760">
        <f t="shared" si="77"/>
        <v>34973630</v>
      </c>
      <c r="S760" t="str" cm="1">
        <f t="array" ref="S760">IF(C760="",IFERROR(INDEX($C$2:$C$1166,MATCH(MAX(COUNTIF($C$2:$C$1166,$C$2:$C$1166)),COUNTIF($C$2:$C$1166,$C$2:$C$1166),0)),"Unknown"),C760)</f>
        <v>Robert Garcia</v>
      </c>
      <c r="T760" s="4" t="str" cm="1">
        <f t="array" ref="T760">IF(D760="",IFERROR(INDEX($D$2:$D$1000,MATCH(MAX(COUNTIF($D$2:$D$1166,$D$2:$D$1166)),COUNTIF($D$2:$D$1166,$D$2:$D$1166),0)),"Unknown"),D760)</f>
        <v>Christopher Al-Sayed</v>
      </c>
      <c r="U760" t="str">
        <f t="shared" si="78"/>
        <v>AUD</v>
      </c>
      <c r="V760" s="7" t="str">
        <f t="shared" si="78"/>
        <v>AED</v>
      </c>
      <c r="W760" s="7" t="str">
        <f t="shared" si="79"/>
        <v>UAE</v>
      </c>
      <c r="X760" s="7" t="str">
        <f t="shared" si="79"/>
        <v>UK</v>
      </c>
      <c r="Y760" s="7" t="str" cm="1">
        <f t="array" ref="Y760">IF(H760="",IFERROR(INDEX($H$2:$H$1166,MATCH(MAX(COUNTIF($H$2:$H$1166,$H$2:$H$1166)),COUNTIF($H$2:$H$1166,$H$2:$H$1166),0)),"Unknown"),H760)</f>
        <v>Non-KYC</v>
      </c>
      <c r="Z760" s="7" t="str">
        <f t="shared" si="80"/>
        <v>Inter-Transaction</v>
      </c>
      <c r="AA760" s="7">
        <f>IF(J760="",AVERAGE($J:$J),J760)</f>
        <v>13272.32</v>
      </c>
      <c r="AB760" s="7">
        <f>IF(N760="",AVERAGE($N:$N),N760)</f>
        <v>34</v>
      </c>
      <c r="AC760" s="7">
        <f t="shared" si="81"/>
        <v>2020</v>
      </c>
      <c r="AD760" s="7">
        <f t="shared" si="82"/>
        <v>11</v>
      </c>
      <c r="AE760" s="7">
        <f>COUNTIF(A:A,A760)</f>
        <v>1</v>
      </c>
      <c r="AF760" s="7" t="str">
        <f t="shared" si="83"/>
        <v/>
      </c>
    </row>
    <row r="761" spans="1:32">
      <c r="A761" t="s">
        <v>2398</v>
      </c>
      <c r="B761">
        <v>69715838</v>
      </c>
      <c r="C761" t="s">
        <v>569</v>
      </c>
      <c r="D761" t="s">
        <v>2399</v>
      </c>
      <c r="F761" t="s">
        <v>121</v>
      </c>
      <c r="G761" t="s">
        <v>22</v>
      </c>
      <c r="I761" t="s">
        <v>3376</v>
      </c>
      <c r="J761">
        <v>10886.1</v>
      </c>
      <c r="K761" t="s">
        <v>47</v>
      </c>
      <c r="L761" t="s">
        <v>28</v>
      </c>
      <c r="M761" s="1">
        <v>46089.515972222223</v>
      </c>
      <c r="N761">
        <v>26</v>
      </c>
      <c r="O761" t="s">
        <v>54</v>
      </c>
      <c r="P761" t="s">
        <v>37</v>
      </c>
      <c r="Q761" t="s">
        <v>2400</v>
      </c>
      <c r="R761">
        <f t="shared" si="77"/>
        <v>69715838</v>
      </c>
      <c r="S761" t="str" cm="1">
        <f t="array" ref="S761">IF(C761="",IFERROR(INDEX($C$2:$C$1166,MATCH(MAX(COUNTIF($C$2:$C$1166,$C$2:$C$1166)),COUNTIF($C$2:$C$1166,$C$2:$C$1166),0)),"Unknown"),C761)</f>
        <v>Patricia Williams</v>
      </c>
      <c r="T761" s="4" t="str" cm="1">
        <f t="array" ref="T761">IF(D761="",IFERROR(INDEX($D$2:$D$1000,MATCH(MAX(COUNTIF($D$2:$D$1166,$D$2:$D$1166)),COUNTIF($D$2:$D$1166,$D$2:$D$1166),0)),"Unknown"),D761)</f>
        <v>Lucas Lopez</v>
      </c>
      <c r="U761" t="str">
        <f t="shared" si="78"/>
        <v>INR</v>
      </c>
      <c r="V761" s="7" t="str">
        <f t="shared" si="78"/>
        <v>BRL</v>
      </c>
      <c r="W761" s="7" t="str">
        <f t="shared" si="79"/>
        <v>India</v>
      </c>
      <c r="X761" s="7" t="str">
        <f t="shared" si="79"/>
        <v>South Africa</v>
      </c>
      <c r="Y761" s="7" t="str" cm="1">
        <f t="array" ref="Y761">IF(H761="",IFERROR(INDEX($H$2:$H$1166,MATCH(MAX(COUNTIF($H$2:$H$1166,$H$2:$H$1166)),COUNTIF($H$2:$H$1166,$H$2:$H$1166),0)),"Unknown"),H761)</f>
        <v>Pending</v>
      </c>
      <c r="Z761" s="7" t="str">
        <f t="shared" si="80"/>
        <v>Internal</v>
      </c>
      <c r="AA761" s="7">
        <f>IF(J761="",AVERAGE($J:$J),J761)</f>
        <v>10886.1</v>
      </c>
      <c r="AB761" s="7">
        <f>IF(N761="",AVERAGE($N:$N),N761)</f>
        <v>26</v>
      </c>
      <c r="AC761" s="7">
        <f t="shared" si="81"/>
        <v>2026</v>
      </c>
      <c r="AD761" s="7">
        <f t="shared" si="82"/>
        <v>3</v>
      </c>
      <c r="AE761" s="7">
        <f>COUNTIF(A:A,A761)</f>
        <v>1</v>
      </c>
      <c r="AF761" s="7" t="str">
        <f t="shared" si="83"/>
        <v/>
      </c>
    </row>
    <row r="762" spans="1:32">
      <c r="A762" t="s">
        <v>2401</v>
      </c>
      <c r="B762">
        <v>24282914</v>
      </c>
      <c r="C762" t="s">
        <v>966</v>
      </c>
      <c r="D762" t="s">
        <v>2402</v>
      </c>
      <c r="F762" t="s">
        <v>34</v>
      </c>
      <c r="G762" t="s">
        <v>34</v>
      </c>
      <c r="I762" t="s">
        <v>3372</v>
      </c>
      <c r="J762">
        <v>2520.52</v>
      </c>
      <c r="K762" t="s">
        <v>86</v>
      </c>
      <c r="L762" t="s">
        <v>81</v>
      </c>
      <c r="M762" s="1">
        <v>44753.456944444442</v>
      </c>
      <c r="N762">
        <v>32</v>
      </c>
      <c r="O762" t="s">
        <v>93</v>
      </c>
      <c r="P762" t="s">
        <v>68</v>
      </c>
      <c r="Q762" t="s">
        <v>2403</v>
      </c>
      <c r="R762">
        <f t="shared" si="77"/>
        <v>24282914</v>
      </c>
      <c r="S762" t="str" cm="1">
        <f t="array" ref="S762">IF(C762="",IFERROR(INDEX($C$2:$C$1166,MATCH(MAX(COUNTIF($C$2:$C$1166,$C$2:$C$1166)),COUNTIF($C$2:$C$1166,$C$2:$C$1166),0)),"Unknown"),C762)</f>
        <v>Jean-Pierre Brown</v>
      </c>
      <c r="T762" s="4" t="str" cm="1">
        <f t="array" ref="T762">IF(D762="",IFERROR(INDEX($D$2:$D$1000,MATCH(MAX(COUNTIF($D$2:$D$1166,$D$2:$D$1166)),COUNTIF($D$2:$D$1166,$D$2:$D$1166),0)),"Unknown"),D762)</f>
        <v>Charles Wilson</v>
      </c>
      <c r="U762" t="str">
        <f t="shared" si="78"/>
        <v>CAD</v>
      </c>
      <c r="V762" s="7" t="str">
        <f t="shared" si="78"/>
        <v>CAD</v>
      </c>
      <c r="W762" s="7" t="str">
        <f t="shared" si="79"/>
        <v>USA</v>
      </c>
      <c r="X762" s="7" t="str">
        <f t="shared" si="79"/>
        <v>UAE</v>
      </c>
      <c r="Y762" s="7" t="str" cm="1">
        <f t="array" ref="Y762">IF(H762="",IFERROR(INDEX($H$2:$H$1166,MATCH(MAX(COUNTIF($H$2:$H$1166,$H$2:$H$1166)),COUNTIF($H$2:$H$1166,$H$2:$H$1166),0)),"Unknown"),H762)</f>
        <v>Pending</v>
      </c>
      <c r="Z762" s="7" t="str">
        <f t="shared" si="80"/>
        <v>Outer-Transaction</v>
      </c>
      <c r="AA762" s="7">
        <f>IF(J762="",AVERAGE($J:$J),J762)</f>
        <v>2520.52</v>
      </c>
      <c r="AB762" s="7">
        <f>IF(N762="",AVERAGE($N:$N),N762)</f>
        <v>32</v>
      </c>
      <c r="AC762" s="7">
        <f t="shared" si="81"/>
        <v>2022</v>
      </c>
      <c r="AD762" s="7">
        <f t="shared" si="82"/>
        <v>7</v>
      </c>
      <c r="AE762" s="7">
        <f>COUNTIF(A:A,A762)</f>
        <v>1</v>
      </c>
      <c r="AF762" s="7" t="str">
        <f t="shared" si="83"/>
        <v/>
      </c>
    </row>
    <row r="763" spans="1:32">
      <c r="A763" t="s">
        <v>2404</v>
      </c>
      <c r="B763">
        <v>38983946</v>
      </c>
      <c r="D763" t="s">
        <v>2405</v>
      </c>
      <c r="F763" t="s">
        <v>98</v>
      </c>
      <c r="G763" t="s">
        <v>116</v>
      </c>
      <c r="H763" t="s">
        <v>25</v>
      </c>
      <c r="I763" t="s">
        <v>3374</v>
      </c>
      <c r="J763">
        <v>1448.66</v>
      </c>
      <c r="K763" t="s">
        <v>27</v>
      </c>
      <c r="L763" t="s">
        <v>48</v>
      </c>
      <c r="M763" s="1">
        <v>44382.884722222225</v>
      </c>
      <c r="N763">
        <v>41</v>
      </c>
      <c r="O763" t="s">
        <v>24</v>
      </c>
      <c r="P763" t="s">
        <v>54</v>
      </c>
      <c r="Q763" t="s">
        <v>2406</v>
      </c>
      <c r="R763">
        <f t="shared" si="77"/>
        <v>38983946</v>
      </c>
      <c r="S763" t="str" cm="1">
        <f t="array" ref="S763">IF(C763="",IFERROR(INDEX($C$2:$C$1166,MATCH(MAX(COUNTIF($C$2:$C$1166,$C$2:$C$1166)),COUNTIF($C$2:$C$1166,$C$2:$C$1166),0)),"Unknown"),C763)</f>
        <v>Fatima Brown</v>
      </c>
      <c r="T763" s="4" t="str" cm="1">
        <f t="array" ref="T763">IF(D763="",IFERROR(INDEX($D$2:$D$1000,MATCH(MAX(COUNTIF($D$2:$D$1166,$D$2:$D$1166)),COUNTIF($D$2:$D$1166,$D$2:$D$1166),0)),"Unknown"),D763)</f>
        <v>Joseph Martin</v>
      </c>
      <c r="U763" t="str">
        <f t="shared" si="78"/>
        <v>JPY</v>
      </c>
      <c r="V763" s="7" t="str">
        <f t="shared" si="78"/>
        <v>CHF</v>
      </c>
      <c r="W763" s="7" t="str">
        <f t="shared" si="79"/>
        <v>Brazil</v>
      </c>
      <c r="X763" s="7" t="str">
        <f t="shared" si="79"/>
        <v>India</v>
      </c>
      <c r="Y763" s="7" t="str" cm="1">
        <f t="array" ref="Y763">IF(H763="",IFERROR(INDEX($H$2:$H$1166,MATCH(MAX(COUNTIF($H$2:$H$1166,$H$2:$H$1166)),COUNTIF($H$2:$H$1166,$H$2:$H$1166),0)),"Unknown"),H763)</f>
        <v>KYC</v>
      </c>
      <c r="Z763" s="7" t="str">
        <f t="shared" si="80"/>
        <v>External</v>
      </c>
      <c r="AA763" s="7">
        <f>IF(J763="",AVERAGE($J:$J),J763)</f>
        <v>1448.66</v>
      </c>
      <c r="AB763" s="7">
        <f>IF(N763="",AVERAGE($N:$N),N763)</f>
        <v>41</v>
      </c>
      <c r="AC763" s="7">
        <f t="shared" si="81"/>
        <v>2021</v>
      </c>
      <c r="AD763" s="7">
        <f t="shared" si="82"/>
        <v>7</v>
      </c>
      <c r="AE763" s="7">
        <f>COUNTIF(A:A,A763)</f>
        <v>1</v>
      </c>
      <c r="AF763" s="7" t="str">
        <f t="shared" si="83"/>
        <v/>
      </c>
    </row>
    <row r="764" spans="1:32">
      <c r="A764" t="s">
        <v>2407</v>
      </c>
      <c r="B764">
        <v>40687335</v>
      </c>
      <c r="C764" t="s">
        <v>256</v>
      </c>
      <c r="D764" t="s">
        <v>2408</v>
      </c>
      <c r="F764" t="s">
        <v>53</v>
      </c>
      <c r="G764" t="s">
        <v>53</v>
      </c>
      <c r="H764" t="s">
        <v>38</v>
      </c>
      <c r="I764" t="s">
        <v>3374</v>
      </c>
      <c r="J764">
        <v>1654.5</v>
      </c>
      <c r="K764" t="s">
        <v>39</v>
      </c>
      <c r="L764" t="s">
        <v>75</v>
      </c>
      <c r="M764" s="1">
        <v>45904.402777777781</v>
      </c>
      <c r="N764">
        <v>55</v>
      </c>
      <c r="O764" t="s">
        <v>93</v>
      </c>
      <c r="P764" t="s">
        <v>36</v>
      </c>
      <c r="Q764" t="s">
        <v>2409</v>
      </c>
      <c r="R764">
        <f t="shared" si="77"/>
        <v>40687335</v>
      </c>
      <c r="S764" t="str" cm="1">
        <f t="array" ref="S764">IF(C764="",IFERROR(INDEX($C$2:$C$1166,MATCH(MAX(COUNTIF($C$2:$C$1166,$C$2:$C$1166)),COUNTIF($C$2:$C$1166,$C$2:$C$1166),0)),"Unknown"),C764)</f>
        <v>Michael Velez</v>
      </c>
      <c r="T764" s="4" t="str" cm="1">
        <f t="array" ref="T764">IF(D764="",IFERROR(INDEX($D$2:$D$1000,MATCH(MAX(COUNTIF($D$2:$D$1166,$D$2:$D$1166)),COUNTIF($D$2:$D$1166,$D$2:$D$1166),0)),"Unknown"),D764)</f>
        <v>Michael Johnson</v>
      </c>
      <c r="U764" t="str">
        <f t="shared" si="78"/>
        <v>AED</v>
      </c>
      <c r="V764" s="7" t="str">
        <f t="shared" si="78"/>
        <v>AED</v>
      </c>
      <c r="W764" s="7" t="str">
        <f t="shared" si="79"/>
        <v>USA</v>
      </c>
      <c r="X764" s="7" t="str">
        <f t="shared" si="79"/>
        <v>Germany</v>
      </c>
      <c r="Y764" s="7" t="str" cm="1">
        <f t="array" ref="Y764">IF(H764="",IFERROR(INDEX($H$2:$H$1166,MATCH(MAX(COUNTIF($H$2:$H$1166,$H$2:$H$1166)),COUNTIF($H$2:$H$1166,$H$2:$H$1166),0)),"Unknown"),H764)</f>
        <v>Pending</v>
      </c>
      <c r="Z764" s="7" t="str">
        <f t="shared" si="80"/>
        <v>External</v>
      </c>
      <c r="AA764" s="7">
        <f>IF(J764="",AVERAGE($J:$J),J764)</f>
        <v>1654.5</v>
      </c>
      <c r="AB764" s="7">
        <f>IF(N764="",AVERAGE($N:$N),N764)</f>
        <v>55</v>
      </c>
      <c r="AC764" s="7">
        <f t="shared" si="81"/>
        <v>2025</v>
      </c>
      <c r="AD764" s="7">
        <f t="shared" si="82"/>
        <v>9</v>
      </c>
      <c r="AE764" s="7">
        <f>COUNTIF(A:A,A764)</f>
        <v>1</v>
      </c>
      <c r="AF764" s="7" t="str">
        <f t="shared" si="83"/>
        <v/>
      </c>
    </row>
    <row r="765" spans="1:32">
      <c r="A765" t="s">
        <v>2410</v>
      </c>
      <c r="B765">
        <v>47178071</v>
      </c>
      <c r="C765" t="s">
        <v>236</v>
      </c>
      <c r="D765" t="s">
        <v>1604</v>
      </c>
      <c r="F765" t="s">
        <v>21</v>
      </c>
      <c r="G765" t="s">
        <v>21</v>
      </c>
      <c r="H765" t="s">
        <v>74</v>
      </c>
      <c r="I765" t="s">
        <v>3378</v>
      </c>
      <c r="J765">
        <v>10770.61</v>
      </c>
      <c r="K765" t="s">
        <v>86</v>
      </c>
      <c r="L765" t="s">
        <v>48</v>
      </c>
      <c r="M765" s="1">
        <v>45905.368750000001</v>
      </c>
      <c r="N765">
        <v>52</v>
      </c>
      <c r="O765" t="s">
        <v>54</v>
      </c>
      <c r="P765" t="s">
        <v>68</v>
      </c>
      <c r="Q765" t="s">
        <v>2411</v>
      </c>
      <c r="R765">
        <f t="shared" si="77"/>
        <v>47178071</v>
      </c>
      <c r="S765" t="str" cm="1">
        <f t="array" ref="S765">IF(C765="",IFERROR(INDEX($C$2:$C$1166,MATCH(MAX(COUNTIF($C$2:$C$1166,$C$2:$C$1166)),COUNTIF($C$2:$C$1166,$C$2:$C$1166),0)),"Unknown"),C765)</f>
        <v>Priya Rostova</v>
      </c>
      <c r="T765" s="4" t="str" cm="1">
        <f t="array" ref="T765">IF(D765="",IFERROR(INDEX($D$2:$D$1000,MATCH(MAX(COUNTIF($D$2:$D$1166,$D$2:$D$1166)),COUNTIF($D$2:$D$1166,$D$2:$D$1166),0)),"Unknown"),D765)</f>
        <v>Elena Jones</v>
      </c>
      <c r="U765" t="str">
        <f t="shared" si="78"/>
        <v>GBP</v>
      </c>
      <c r="V765" s="7" t="str">
        <f t="shared" si="78"/>
        <v>GBP</v>
      </c>
      <c r="W765" s="7" t="str">
        <f t="shared" si="79"/>
        <v>India</v>
      </c>
      <c r="X765" s="7" t="str">
        <f t="shared" si="79"/>
        <v>UAE</v>
      </c>
      <c r="Y765" s="7" t="str" cm="1">
        <f t="array" ref="Y765">IF(H765="",IFERROR(INDEX($H$2:$H$1166,MATCH(MAX(COUNTIF($H$2:$H$1166,$H$2:$H$1166)),COUNTIF($H$2:$H$1166,$H$2:$H$1166),0)),"Unknown"),H765)</f>
        <v>Non-KYC</v>
      </c>
      <c r="Z765" s="7" t="str">
        <f t="shared" si="80"/>
        <v>Inter-Transaction</v>
      </c>
      <c r="AA765" s="7">
        <f>IF(J765="",AVERAGE($J:$J),J765)</f>
        <v>10770.61</v>
      </c>
      <c r="AB765" s="7">
        <f>IF(N765="",AVERAGE($N:$N),N765)</f>
        <v>52</v>
      </c>
      <c r="AC765" s="7">
        <f t="shared" si="81"/>
        <v>2025</v>
      </c>
      <c r="AD765" s="7">
        <f t="shared" si="82"/>
        <v>9</v>
      </c>
      <c r="AE765" s="7">
        <f>COUNTIF(A:A,A765)</f>
        <v>1</v>
      </c>
      <c r="AF765" s="7" t="str">
        <f t="shared" si="83"/>
        <v/>
      </c>
    </row>
    <row r="766" spans="1:32">
      <c r="A766" t="s">
        <v>2412</v>
      </c>
      <c r="B766">
        <v>56229195</v>
      </c>
      <c r="C766" t="s">
        <v>2413</v>
      </c>
      <c r="D766" t="s">
        <v>1135</v>
      </c>
      <c r="F766" t="s">
        <v>44</v>
      </c>
      <c r="G766" t="s">
        <v>44</v>
      </c>
      <c r="H766" t="s">
        <v>25</v>
      </c>
      <c r="I766" t="s">
        <v>3374</v>
      </c>
      <c r="J766">
        <v>353.54</v>
      </c>
      <c r="K766" t="s">
        <v>47</v>
      </c>
      <c r="L766" t="s">
        <v>28</v>
      </c>
      <c r="M766" s="1">
        <v>44532.011111111111</v>
      </c>
      <c r="N766">
        <v>66</v>
      </c>
      <c r="O766" t="s">
        <v>24</v>
      </c>
      <c r="P766" t="s">
        <v>68</v>
      </c>
      <c r="Q766" t="s">
        <v>2414</v>
      </c>
      <c r="R766">
        <f t="shared" si="77"/>
        <v>56229195</v>
      </c>
      <c r="S766" t="str" cm="1">
        <f t="array" ref="S766">IF(C766="",IFERROR(INDEX($C$2:$C$1166,MATCH(MAX(COUNTIF($C$2:$C$1166,$C$2:$C$1166)),COUNTIF($C$2:$C$1166,$C$2:$C$1166),0)),"Unknown"),C766)</f>
        <v>Elena Silva</v>
      </c>
      <c r="T766" s="4" t="str" cm="1">
        <f t="array" ref="T766">IF(D766="",IFERROR(INDEX($D$2:$D$1000,MATCH(MAX(COUNTIF($D$2:$D$1166,$D$2:$D$1166)),COUNTIF($D$2:$D$1166,$D$2:$D$1166),0)),"Unknown"),D766)</f>
        <v>Nancy Davis</v>
      </c>
      <c r="U766" t="str">
        <f t="shared" si="78"/>
        <v>SGD</v>
      </c>
      <c r="V766" s="7" t="str">
        <f t="shared" si="78"/>
        <v>SGD</v>
      </c>
      <c r="W766" s="7" t="str">
        <f t="shared" si="79"/>
        <v>Brazil</v>
      </c>
      <c r="X766" s="7" t="str">
        <f t="shared" si="79"/>
        <v>UAE</v>
      </c>
      <c r="Y766" s="7" t="str" cm="1">
        <f t="array" ref="Y766">IF(H766="",IFERROR(INDEX($H$2:$H$1166,MATCH(MAX(COUNTIF($H$2:$H$1166,$H$2:$H$1166)),COUNTIF($H$2:$H$1166,$H$2:$H$1166),0)),"Unknown"),H766)</f>
        <v>KYC</v>
      </c>
      <c r="Z766" s="7" t="str">
        <f t="shared" si="80"/>
        <v>External</v>
      </c>
      <c r="AA766" s="7">
        <f>IF(J766="",AVERAGE($J:$J),J766)</f>
        <v>353.54</v>
      </c>
      <c r="AB766" s="7">
        <f>IF(N766="",AVERAGE($N:$N),N766)</f>
        <v>66</v>
      </c>
      <c r="AC766" s="7">
        <f t="shared" si="81"/>
        <v>2021</v>
      </c>
      <c r="AD766" s="7">
        <f t="shared" si="82"/>
        <v>12</v>
      </c>
      <c r="AE766" s="7">
        <f>COUNTIF(A:A,A766)</f>
        <v>1</v>
      </c>
      <c r="AF766" s="7" t="str">
        <f t="shared" si="83"/>
        <v/>
      </c>
    </row>
    <row r="767" spans="1:32">
      <c r="A767" t="s">
        <v>2415</v>
      </c>
      <c r="C767" t="s">
        <v>868</v>
      </c>
      <c r="D767" t="s">
        <v>1029</v>
      </c>
      <c r="F767" t="s">
        <v>80</v>
      </c>
      <c r="G767" t="s">
        <v>53</v>
      </c>
      <c r="H767" t="s">
        <v>56</v>
      </c>
      <c r="I767" t="s">
        <v>3371</v>
      </c>
      <c r="J767">
        <v>2271.0300000000002</v>
      </c>
      <c r="K767" t="s">
        <v>86</v>
      </c>
      <c r="L767" t="s">
        <v>48</v>
      </c>
      <c r="M767" s="1">
        <v>45750.464583333334</v>
      </c>
      <c r="N767">
        <v>79</v>
      </c>
      <c r="O767" t="s">
        <v>127</v>
      </c>
      <c r="P767" t="s">
        <v>93</v>
      </c>
      <c r="Q767" t="s">
        <v>2416</v>
      </c>
      <c r="R767">
        <f t="shared" si="77"/>
        <v>0</v>
      </c>
      <c r="S767" t="str" cm="1">
        <f t="array" ref="S767">IF(C767="",IFERROR(INDEX($C$2:$C$1166,MATCH(MAX(COUNTIF($C$2:$C$1166,$C$2:$C$1166)),COUNTIF($C$2:$C$1166,$C$2:$C$1166),0)),"Unknown"),C767)</f>
        <v>Christopher Al-Sayed</v>
      </c>
      <c r="T767" s="4" t="str" cm="1">
        <f t="array" ref="T767">IF(D767="",IFERROR(INDEX($D$2:$D$1000,MATCH(MAX(COUNTIF($D$2:$D$1166,$D$2:$D$1166)),COUNTIF($D$2:$D$1166,$D$2:$D$1166),0)),"Unknown"),D767)</f>
        <v>Charles Miller</v>
      </c>
      <c r="U767" t="str">
        <f t="shared" si="78"/>
        <v>USD</v>
      </c>
      <c r="V767" s="7" t="str">
        <f t="shared" si="78"/>
        <v>AED</v>
      </c>
      <c r="W767" s="7" t="str">
        <f t="shared" si="79"/>
        <v>Canada</v>
      </c>
      <c r="X767" s="7" t="str">
        <f t="shared" si="79"/>
        <v>USA</v>
      </c>
      <c r="Y767" s="7" t="str" cm="1">
        <f t="array" ref="Y767">IF(H767="",IFERROR(INDEX($H$2:$H$1166,MATCH(MAX(COUNTIF($H$2:$H$1166,$H$2:$H$1166)),COUNTIF($H$2:$H$1166,$H$2:$H$1166),0)),"Unknown"),H767)</f>
        <v>Unverified</v>
      </c>
      <c r="Z767" s="7" t="str">
        <f t="shared" si="80"/>
        <v>Outer-Transaction</v>
      </c>
      <c r="AA767" s="7">
        <f>IF(J767="",AVERAGE($J:$J),J767)</f>
        <v>2271.0300000000002</v>
      </c>
      <c r="AB767" s="7">
        <f>IF(N767="",AVERAGE($N:$N),N767)</f>
        <v>79</v>
      </c>
      <c r="AC767" s="7">
        <f t="shared" si="81"/>
        <v>2025</v>
      </c>
      <c r="AD767" s="7">
        <f t="shared" si="82"/>
        <v>4</v>
      </c>
      <c r="AE767" s="7">
        <f>COUNTIF(A:A,A767)</f>
        <v>1</v>
      </c>
      <c r="AF767" s="7" t="str">
        <f t="shared" si="83"/>
        <v/>
      </c>
    </row>
    <row r="768" spans="1:32">
      <c r="A768" t="s">
        <v>2417</v>
      </c>
      <c r="B768">
        <v>62781957</v>
      </c>
      <c r="C768" t="s">
        <v>2418</v>
      </c>
      <c r="D768" t="s">
        <v>1808</v>
      </c>
      <c r="F768" t="s">
        <v>121</v>
      </c>
      <c r="G768" t="s">
        <v>22</v>
      </c>
      <c r="H768" t="s">
        <v>25</v>
      </c>
      <c r="I768" t="s">
        <v>3378</v>
      </c>
      <c r="J768">
        <v>8722.39</v>
      </c>
      <c r="K768" t="s">
        <v>57</v>
      </c>
      <c r="L768" t="s">
        <v>75</v>
      </c>
      <c r="M768" s="1">
        <v>46291.186111111114</v>
      </c>
      <c r="N768">
        <v>77</v>
      </c>
      <c r="O768" t="s">
        <v>127</v>
      </c>
      <c r="P768" t="s">
        <v>127</v>
      </c>
      <c r="Q768" t="s">
        <v>2419</v>
      </c>
      <c r="R768">
        <f t="shared" si="77"/>
        <v>62781957</v>
      </c>
      <c r="S768" t="str" cm="1">
        <f t="array" ref="S768">IF(C768="",IFERROR(INDEX($C$2:$C$1166,MATCH(MAX(COUNTIF($C$2:$C$1166,$C$2:$C$1166)),COUNTIF($C$2:$C$1166,$C$2:$C$1166),0)),"Unknown"),C768)</f>
        <v>Thomas Dubois</v>
      </c>
      <c r="T768" s="4" t="str" cm="1">
        <f t="array" ref="T768">IF(D768="",IFERROR(INDEX($D$2:$D$1000,MATCH(MAX(COUNTIF($D$2:$D$1166,$D$2:$D$1166)),COUNTIF($D$2:$D$1166,$D$2:$D$1166),0)),"Unknown"),D768)</f>
        <v>Carlos Volkov</v>
      </c>
      <c r="U768" t="str">
        <f t="shared" si="78"/>
        <v>INR</v>
      </c>
      <c r="V768" s="7" t="str">
        <f t="shared" si="78"/>
        <v>BRL</v>
      </c>
      <c r="W768" s="7" t="str">
        <f t="shared" si="79"/>
        <v>Canada</v>
      </c>
      <c r="X768" s="7" t="str">
        <f t="shared" si="79"/>
        <v>Canada</v>
      </c>
      <c r="Y768" s="7" t="str" cm="1">
        <f t="array" ref="Y768">IF(H768="",IFERROR(INDEX($H$2:$H$1166,MATCH(MAX(COUNTIF($H$2:$H$1166,$H$2:$H$1166)),COUNTIF($H$2:$H$1166,$H$2:$H$1166),0)),"Unknown"),H768)</f>
        <v>KYC</v>
      </c>
      <c r="Z768" s="7" t="str">
        <f t="shared" si="80"/>
        <v>Inter-Transaction</v>
      </c>
      <c r="AA768" s="7">
        <f>IF(J768="",AVERAGE($J:$J),J768)</f>
        <v>8722.39</v>
      </c>
      <c r="AB768" s="7">
        <f>IF(N768="",AVERAGE($N:$N),N768)</f>
        <v>77</v>
      </c>
      <c r="AC768" s="7">
        <f t="shared" si="81"/>
        <v>2026</v>
      </c>
      <c r="AD768" s="7">
        <f t="shared" si="82"/>
        <v>9</v>
      </c>
      <c r="AE768" s="7">
        <f>COUNTIF(A:A,A768)</f>
        <v>1</v>
      </c>
      <c r="AF768" s="7" t="str">
        <f t="shared" si="83"/>
        <v/>
      </c>
    </row>
    <row r="769" spans="1:32">
      <c r="A769" t="s">
        <v>2420</v>
      </c>
      <c r="B769">
        <v>56142700</v>
      </c>
      <c r="C769" t="s">
        <v>2421</v>
      </c>
      <c r="D769" t="s">
        <v>1455</v>
      </c>
      <c r="F769" t="s">
        <v>44</v>
      </c>
      <c r="G769" t="s">
        <v>121</v>
      </c>
      <c r="H769" t="s">
        <v>103</v>
      </c>
      <c r="I769" t="s">
        <v>3371</v>
      </c>
      <c r="J769">
        <v>3843.34</v>
      </c>
      <c r="K769" t="s">
        <v>39</v>
      </c>
      <c r="L769" t="s">
        <v>48</v>
      </c>
      <c r="M769" s="1">
        <v>43997.740277777775</v>
      </c>
      <c r="N769">
        <v>67</v>
      </c>
      <c r="O769" t="s">
        <v>68</v>
      </c>
      <c r="P769" t="s">
        <v>68</v>
      </c>
      <c r="Q769" t="s">
        <v>2422</v>
      </c>
      <c r="R769">
        <f t="shared" si="77"/>
        <v>56142700</v>
      </c>
      <c r="S769" t="str" cm="1">
        <f t="array" ref="S769">IF(C769="",IFERROR(INDEX($C$2:$C$1166,MATCH(MAX(COUNTIF($C$2:$C$1166,$C$2:$C$1166)),COUNTIF($C$2:$C$1166,$C$2:$C$1166),0)),"Unknown"),C769)</f>
        <v>John Martinez</v>
      </c>
      <c r="T769" s="4" t="str" cm="1">
        <f t="array" ref="T769">IF(D769="",IFERROR(INDEX($D$2:$D$1000,MATCH(MAX(COUNTIF($D$2:$D$1166,$D$2:$D$1166)),COUNTIF($D$2:$D$1166,$D$2:$D$1166),0)),"Unknown"),D769)</f>
        <v>Sanjay Martin</v>
      </c>
      <c r="U769" t="str">
        <f t="shared" si="78"/>
        <v>SGD</v>
      </c>
      <c r="V769" s="7" t="str">
        <f t="shared" si="78"/>
        <v>INR</v>
      </c>
      <c r="W769" s="7" t="str">
        <f t="shared" si="79"/>
        <v>UAE</v>
      </c>
      <c r="X769" s="7" t="str">
        <f t="shared" si="79"/>
        <v>UAE</v>
      </c>
      <c r="Y769" s="7" t="str" cm="1">
        <f t="array" ref="Y769">IF(H769="",IFERROR(INDEX($H$2:$H$1166,MATCH(MAX(COUNTIF($H$2:$H$1166,$H$2:$H$1166)),COUNTIF($H$2:$H$1166,$H$2:$H$1166),0)),"Unknown"),H769)</f>
        <v>Verified</v>
      </c>
      <c r="Z769" s="7" t="str">
        <f t="shared" si="80"/>
        <v>Outer-Transaction</v>
      </c>
      <c r="AA769" s="7">
        <f>IF(J769="",AVERAGE($J:$J),J769)</f>
        <v>3843.34</v>
      </c>
      <c r="AB769" s="7">
        <f>IF(N769="",AVERAGE($N:$N),N769)</f>
        <v>67</v>
      </c>
      <c r="AC769" s="7">
        <f t="shared" si="81"/>
        <v>2020</v>
      </c>
      <c r="AD769" s="7">
        <f t="shared" si="82"/>
        <v>6</v>
      </c>
      <c r="AE769" s="7">
        <f>COUNTIF(A:A,A769)</f>
        <v>1</v>
      </c>
      <c r="AF769" s="7" t="str">
        <f t="shared" si="83"/>
        <v/>
      </c>
    </row>
    <row r="770" spans="1:32">
      <c r="A770" t="s">
        <v>2423</v>
      </c>
      <c r="B770">
        <v>15273520</v>
      </c>
      <c r="C770" t="s">
        <v>682</v>
      </c>
      <c r="D770" t="s">
        <v>1958</v>
      </c>
      <c r="F770" t="s">
        <v>116</v>
      </c>
      <c r="G770" t="s">
        <v>35</v>
      </c>
      <c r="I770" t="s">
        <v>3377</v>
      </c>
      <c r="J770">
        <v>9873.64</v>
      </c>
      <c r="K770" t="s">
        <v>27</v>
      </c>
      <c r="L770" t="s">
        <v>81</v>
      </c>
      <c r="M770" s="1">
        <v>43999.234722222223</v>
      </c>
      <c r="N770">
        <v>26</v>
      </c>
      <c r="O770" t="s">
        <v>54</v>
      </c>
      <c r="P770" t="s">
        <v>55</v>
      </c>
      <c r="Q770" t="s">
        <v>2424</v>
      </c>
      <c r="R770">
        <f t="shared" ref="R770:R833" si="84">IF(B770="",0,B770)</f>
        <v>15273520</v>
      </c>
      <c r="S770" t="str" cm="1">
        <f t="array" ref="S770">IF(C770="",IFERROR(INDEX($C$2:$C$1166,MATCH(MAX(COUNTIF($C$2:$C$1166,$C$2:$C$1166)),COUNTIF($C$2:$C$1166,$C$2:$C$1166),0)),"Unknown"),C770)</f>
        <v>Karen Al-Sayed</v>
      </c>
      <c r="T770" s="4" t="str" cm="1">
        <f t="array" ref="T770">IF(D770="",IFERROR(INDEX($D$2:$D$1000,MATCH(MAX(COUNTIF($D$2:$D$1166,$D$2:$D$1166)),COUNTIF($D$2:$D$1166,$D$2:$D$1166),0)),"Unknown"),D770)</f>
        <v>Sarah Martin</v>
      </c>
      <c r="U770" t="str">
        <f t="shared" ref="U770:V833" si="85">TRIM(F770)</f>
        <v>CHF</v>
      </c>
      <c r="V770" s="7" t="str">
        <f t="shared" si="85"/>
        <v>EUR</v>
      </c>
      <c r="W770" s="7" t="str">
        <f t="shared" ref="W770:X833" si="86">TRIM(O770)</f>
        <v>India</v>
      </c>
      <c r="X770" s="7" t="str">
        <f t="shared" si="86"/>
        <v>UK</v>
      </c>
      <c r="Y770" s="7" t="str" cm="1">
        <f t="array" ref="Y770">IF(H770="",IFERROR(INDEX($H$2:$H$1166,MATCH(MAX(COUNTIF($H$2:$H$1166,$H$2:$H$1166)),COUNTIF($H$2:$H$1166,$H$2:$H$1166),0)),"Unknown"),H770)</f>
        <v>Pending</v>
      </c>
      <c r="Z770" s="7" t="str">
        <f t="shared" ref="Z770:Z833" si="87">PROPER(I770)</f>
        <v>Inter-Transaction</v>
      </c>
      <c r="AA770" s="7">
        <f>IF(J770="",AVERAGE($J:$J),J770)</f>
        <v>9873.64</v>
      </c>
      <c r="AB770" s="7">
        <f>IF(N770="",AVERAGE($N:$N),N770)</f>
        <v>26</v>
      </c>
      <c r="AC770" s="7">
        <f t="shared" ref="AC770:AC833" si="88">YEAR(M770)</f>
        <v>2020</v>
      </c>
      <c r="AD770" s="7">
        <f t="shared" ref="AD770:AD833" si="89">MONTH(M770)</f>
        <v>6</v>
      </c>
      <c r="AE770" s="7">
        <f>COUNTIF(A:A,A770)</f>
        <v>1</v>
      </c>
      <c r="AF770" s="7" t="str">
        <f t="shared" ref="AF770:AF833" si="90">IF(E770="","",IF(OR(E770="Yes",E770="Y",E770="TRUE",E770=1),"Yes","No"))</f>
        <v/>
      </c>
    </row>
    <row r="771" spans="1:32">
      <c r="A771" t="s">
        <v>2425</v>
      </c>
      <c r="B771">
        <v>71865387</v>
      </c>
      <c r="C771" t="s">
        <v>2224</v>
      </c>
      <c r="D771" t="s">
        <v>1505</v>
      </c>
      <c r="F771" t="s">
        <v>98</v>
      </c>
      <c r="G771" t="s">
        <v>121</v>
      </c>
      <c r="H771" t="s">
        <v>74</v>
      </c>
      <c r="I771" t="s">
        <v>3377</v>
      </c>
      <c r="J771">
        <v>1189.5</v>
      </c>
      <c r="K771" t="s">
        <v>57</v>
      </c>
      <c r="L771" t="s">
        <v>81</v>
      </c>
      <c r="M771" s="1">
        <v>44059.670138888891</v>
      </c>
      <c r="N771">
        <v>51</v>
      </c>
      <c r="O771" t="s">
        <v>68</v>
      </c>
      <c r="P771" t="s">
        <v>24</v>
      </c>
      <c r="Q771" t="s">
        <v>2426</v>
      </c>
      <c r="R771">
        <f t="shared" si="84"/>
        <v>71865387</v>
      </c>
      <c r="S771" t="str" cm="1">
        <f t="array" ref="S771">IF(C771="",IFERROR(INDEX($C$2:$C$1166,MATCH(MAX(COUNTIF($C$2:$C$1166,$C$2:$C$1166)),COUNTIF($C$2:$C$1166,$C$2:$C$1166),0)),"Unknown"),C771)</f>
        <v>Linda Volkov</v>
      </c>
      <c r="T771" s="4" t="str" cm="1">
        <f t="array" ref="T771">IF(D771="",IFERROR(INDEX($D$2:$D$1000,MATCH(MAX(COUNTIF($D$2:$D$1166,$D$2:$D$1166)),COUNTIF($D$2:$D$1166,$D$2:$D$1166),0)),"Unknown"),D771)</f>
        <v>Susan Velez</v>
      </c>
      <c r="U771" t="str">
        <f t="shared" si="85"/>
        <v>JPY</v>
      </c>
      <c r="V771" s="7" t="str">
        <f t="shared" si="85"/>
        <v>INR</v>
      </c>
      <c r="W771" s="7" t="str">
        <f t="shared" si="86"/>
        <v>UAE</v>
      </c>
      <c r="X771" s="7" t="str">
        <f t="shared" si="86"/>
        <v>Brazil</v>
      </c>
      <c r="Y771" s="7" t="str" cm="1">
        <f t="array" ref="Y771">IF(H771="",IFERROR(INDEX($H$2:$H$1166,MATCH(MAX(COUNTIF($H$2:$H$1166,$H$2:$H$1166)),COUNTIF($H$2:$H$1166,$H$2:$H$1166),0)),"Unknown"),H771)</f>
        <v>Non-KYC</v>
      </c>
      <c r="Z771" s="7" t="str">
        <f t="shared" si="87"/>
        <v>Inter-Transaction</v>
      </c>
      <c r="AA771" s="7">
        <f>IF(J771="",AVERAGE($J:$J),J771)</f>
        <v>1189.5</v>
      </c>
      <c r="AB771" s="7">
        <f>IF(N771="",AVERAGE($N:$N),N771)</f>
        <v>51</v>
      </c>
      <c r="AC771" s="7">
        <f t="shared" si="88"/>
        <v>2020</v>
      </c>
      <c r="AD771" s="7">
        <f t="shared" si="89"/>
        <v>8</v>
      </c>
      <c r="AE771" s="7">
        <f>COUNTIF(A:A,A771)</f>
        <v>1</v>
      </c>
      <c r="AF771" s="7" t="str">
        <f t="shared" si="90"/>
        <v/>
      </c>
    </row>
    <row r="772" spans="1:32">
      <c r="A772" t="s">
        <v>2427</v>
      </c>
      <c r="B772">
        <v>46045914</v>
      </c>
      <c r="C772" t="s">
        <v>1001</v>
      </c>
      <c r="D772" t="s">
        <v>227</v>
      </c>
      <c r="F772" t="s">
        <v>22</v>
      </c>
      <c r="G772" t="s">
        <v>22</v>
      </c>
      <c r="H772" t="s">
        <v>74</v>
      </c>
      <c r="I772" t="s">
        <v>3378</v>
      </c>
      <c r="J772">
        <v>14506.14</v>
      </c>
      <c r="K772" t="s">
        <v>39</v>
      </c>
      <c r="L772" t="s">
        <v>75</v>
      </c>
      <c r="M772" s="1">
        <v>45833.299305555556</v>
      </c>
      <c r="N772">
        <v>52</v>
      </c>
      <c r="O772" t="s">
        <v>36</v>
      </c>
      <c r="P772" t="s">
        <v>24</v>
      </c>
      <c r="Q772" t="s">
        <v>2428</v>
      </c>
      <c r="R772">
        <f t="shared" si="84"/>
        <v>46045914</v>
      </c>
      <c r="S772" t="str" cm="1">
        <f t="array" ref="S772">IF(C772="",IFERROR(INDEX($C$2:$C$1166,MATCH(MAX(COUNTIF($C$2:$C$1166,$C$2:$C$1166)),COUNTIF($C$2:$C$1166,$C$2:$C$1166),0)),"Unknown"),C772)</f>
        <v>Sarah Hernandez</v>
      </c>
      <c r="T772" s="4" t="str" cm="1">
        <f t="array" ref="T772">IF(D772="",IFERROR(INDEX($D$2:$D$1000,MATCH(MAX(COUNTIF($D$2:$D$1166,$D$2:$D$1166)),COUNTIF($D$2:$D$1166,$D$2:$D$1166),0)),"Unknown"),D772)</f>
        <v>Lucas Anderson</v>
      </c>
      <c r="U772" t="str">
        <f t="shared" si="85"/>
        <v>BRL</v>
      </c>
      <c r="V772" s="7" t="str">
        <f t="shared" si="85"/>
        <v>BRL</v>
      </c>
      <c r="W772" s="7" t="str">
        <f t="shared" si="86"/>
        <v>Germany</v>
      </c>
      <c r="X772" s="7" t="str">
        <f t="shared" si="86"/>
        <v>Brazil</v>
      </c>
      <c r="Y772" s="7" t="str" cm="1">
        <f t="array" ref="Y772">IF(H772="",IFERROR(INDEX($H$2:$H$1166,MATCH(MAX(COUNTIF($H$2:$H$1166,$H$2:$H$1166)),COUNTIF($H$2:$H$1166,$H$2:$H$1166),0)),"Unknown"),H772)</f>
        <v>Non-KYC</v>
      </c>
      <c r="Z772" s="7" t="str">
        <f t="shared" si="87"/>
        <v>Inter-Transaction</v>
      </c>
      <c r="AA772" s="7">
        <f>IF(J772="",AVERAGE($J:$J),J772)</f>
        <v>14506.14</v>
      </c>
      <c r="AB772" s="7">
        <f>IF(N772="",AVERAGE($N:$N),N772)</f>
        <v>52</v>
      </c>
      <c r="AC772" s="7">
        <f t="shared" si="88"/>
        <v>2025</v>
      </c>
      <c r="AD772" s="7">
        <f t="shared" si="89"/>
        <v>6</v>
      </c>
      <c r="AE772" s="7">
        <f>COUNTIF(A:A,A772)</f>
        <v>1</v>
      </c>
      <c r="AF772" s="7" t="str">
        <f t="shared" si="90"/>
        <v/>
      </c>
    </row>
    <row r="773" spans="1:32">
      <c r="A773" t="s">
        <v>2429</v>
      </c>
      <c r="B773">
        <v>47628906</v>
      </c>
      <c r="C773" t="s">
        <v>212</v>
      </c>
      <c r="D773" t="s">
        <v>2371</v>
      </c>
      <c r="F773" t="s">
        <v>556</v>
      </c>
      <c r="G773" t="s">
        <v>98</v>
      </c>
      <c r="H773" t="s">
        <v>103</v>
      </c>
      <c r="I773" t="s">
        <v>3376</v>
      </c>
      <c r="J773">
        <v>1322.2</v>
      </c>
      <c r="K773" t="s">
        <v>57</v>
      </c>
      <c r="L773" t="s">
        <v>48</v>
      </c>
      <c r="M773" s="1">
        <v>44197.842361111114</v>
      </c>
      <c r="N773">
        <v>18</v>
      </c>
      <c r="O773" t="s">
        <v>55</v>
      </c>
      <c r="P773" t="s">
        <v>55</v>
      </c>
      <c r="Q773" t="s">
        <v>2430</v>
      </c>
      <c r="R773">
        <f t="shared" si="84"/>
        <v>47628906</v>
      </c>
      <c r="S773" t="str" cm="1">
        <f t="array" ref="S773">IF(C773="",IFERROR(INDEX($C$2:$C$1166,MATCH(MAX(COUNTIF($C$2:$C$1166,$C$2:$C$1166)),COUNTIF($C$2:$C$1166,$C$2:$C$1166),0)),"Unknown"),C773)</f>
        <v>Michael Williams</v>
      </c>
      <c r="T773" s="4" t="str" cm="1">
        <f t="array" ref="T773">IF(D773="",IFERROR(INDEX($D$2:$D$1000,MATCH(MAX(COUNTIF($D$2:$D$1166,$D$2:$D$1166)),COUNTIF($D$2:$D$1166,$D$2:$D$1166),0)),"Unknown"),D773)</f>
        <v>Linda Hernandez</v>
      </c>
      <c r="U773" t="str">
        <f t="shared" si="85"/>
        <v>$</v>
      </c>
      <c r="V773" s="7" t="str">
        <f t="shared" si="85"/>
        <v>JPY</v>
      </c>
      <c r="W773" s="7" t="str">
        <f t="shared" si="86"/>
        <v>UK</v>
      </c>
      <c r="X773" s="7" t="str">
        <f t="shared" si="86"/>
        <v>UK</v>
      </c>
      <c r="Y773" s="7" t="str" cm="1">
        <f t="array" ref="Y773">IF(H773="",IFERROR(INDEX($H$2:$H$1166,MATCH(MAX(COUNTIF($H$2:$H$1166,$H$2:$H$1166)),COUNTIF($H$2:$H$1166,$H$2:$H$1166),0)),"Unknown"),H773)</f>
        <v>Verified</v>
      </c>
      <c r="Z773" s="7" t="str">
        <f t="shared" si="87"/>
        <v>Internal</v>
      </c>
      <c r="AA773" s="7">
        <f>IF(J773="",AVERAGE($J:$J),J773)</f>
        <v>1322.2</v>
      </c>
      <c r="AB773" s="7">
        <f>IF(N773="",AVERAGE($N:$N),N773)</f>
        <v>18</v>
      </c>
      <c r="AC773" s="7">
        <f t="shared" si="88"/>
        <v>2021</v>
      </c>
      <c r="AD773" s="7">
        <f t="shared" si="89"/>
        <v>1</v>
      </c>
      <c r="AE773" s="7">
        <f>COUNTIF(A:A,A773)</f>
        <v>1</v>
      </c>
      <c r="AF773" s="7" t="str">
        <f t="shared" si="90"/>
        <v/>
      </c>
    </row>
    <row r="774" spans="1:32">
      <c r="A774" t="s">
        <v>2431</v>
      </c>
      <c r="B774">
        <v>42149055</v>
      </c>
      <c r="C774" t="s">
        <v>1917</v>
      </c>
      <c r="D774" t="s">
        <v>2432</v>
      </c>
      <c r="F774" t="s">
        <v>34</v>
      </c>
      <c r="G774" t="s">
        <v>22</v>
      </c>
      <c r="H774" t="s">
        <v>25</v>
      </c>
      <c r="I774" t="s">
        <v>3374</v>
      </c>
      <c r="J774">
        <v>14305.32</v>
      </c>
      <c r="K774" t="s">
        <v>27</v>
      </c>
      <c r="L774" t="s">
        <v>48</v>
      </c>
      <c r="M774" s="1">
        <v>44358.495833333334</v>
      </c>
      <c r="N774">
        <v>57</v>
      </c>
      <c r="O774" t="s">
        <v>37</v>
      </c>
      <c r="P774" t="s">
        <v>127</v>
      </c>
      <c r="Q774" t="s">
        <v>2433</v>
      </c>
      <c r="R774">
        <f t="shared" si="84"/>
        <v>42149055</v>
      </c>
      <c r="S774" t="str" cm="1">
        <f t="array" ref="S774">IF(C774="",IFERROR(INDEX($C$2:$C$1166,MATCH(MAX(COUNTIF($C$2:$C$1166,$C$2:$C$1166)),COUNTIF($C$2:$C$1166,$C$2:$C$1166),0)),"Unknown"),C774)</f>
        <v>John Anderson</v>
      </c>
      <c r="T774" s="4" t="str" cm="1">
        <f t="array" ref="T774">IF(D774="",IFERROR(INDEX($D$2:$D$1000,MATCH(MAX(COUNTIF($D$2:$D$1166,$D$2:$D$1166)),COUNTIF($D$2:$D$1166,$D$2:$D$1166),0)),"Unknown"),D774)</f>
        <v>Zayn Rodriguez</v>
      </c>
      <c r="U774" t="str">
        <f t="shared" si="85"/>
        <v>CAD</v>
      </c>
      <c r="V774" s="7" t="str">
        <f t="shared" si="85"/>
        <v>BRL</v>
      </c>
      <c r="W774" s="7" t="str">
        <f t="shared" si="86"/>
        <v>South Africa</v>
      </c>
      <c r="X774" s="7" t="str">
        <f t="shared" si="86"/>
        <v>Canada</v>
      </c>
      <c r="Y774" s="7" t="str" cm="1">
        <f t="array" ref="Y774">IF(H774="",IFERROR(INDEX($H$2:$H$1166,MATCH(MAX(COUNTIF($H$2:$H$1166,$H$2:$H$1166)),COUNTIF($H$2:$H$1166,$H$2:$H$1166),0)),"Unknown"),H774)</f>
        <v>KYC</v>
      </c>
      <c r="Z774" s="7" t="str">
        <f t="shared" si="87"/>
        <v>External</v>
      </c>
      <c r="AA774" s="7">
        <f>IF(J774="",AVERAGE($J:$J),J774)</f>
        <v>14305.32</v>
      </c>
      <c r="AB774" s="7">
        <f>IF(N774="",AVERAGE($N:$N),N774)</f>
        <v>57</v>
      </c>
      <c r="AC774" s="7">
        <f t="shared" si="88"/>
        <v>2021</v>
      </c>
      <c r="AD774" s="7">
        <f t="shared" si="89"/>
        <v>6</v>
      </c>
      <c r="AE774" s="7">
        <f>COUNTIF(A:A,A774)</f>
        <v>1</v>
      </c>
      <c r="AF774" s="7" t="str">
        <f t="shared" si="90"/>
        <v/>
      </c>
    </row>
    <row r="775" spans="1:32">
      <c r="A775" t="s">
        <v>2434</v>
      </c>
      <c r="B775">
        <v>86043905</v>
      </c>
      <c r="C775" t="s">
        <v>521</v>
      </c>
      <c r="D775" t="s">
        <v>2435</v>
      </c>
      <c r="F775" t="s">
        <v>35</v>
      </c>
      <c r="G775" t="s">
        <v>45</v>
      </c>
      <c r="H775" t="s">
        <v>38</v>
      </c>
      <c r="I775" t="s">
        <v>3378</v>
      </c>
      <c r="J775">
        <v>13797.09</v>
      </c>
      <c r="K775" t="s">
        <v>47</v>
      </c>
      <c r="L775" t="s">
        <v>28</v>
      </c>
      <c r="M775" s="1">
        <v>44621.411805555559</v>
      </c>
      <c r="N775">
        <v>81</v>
      </c>
      <c r="O775" t="s">
        <v>36</v>
      </c>
      <c r="P775" t="s">
        <v>127</v>
      </c>
      <c r="Q775" t="s">
        <v>2436</v>
      </c>
      <c r="R775">
        <f t="shared" si="84"/>
        <v>86043905</v>
      </c>
      <c r="S775" t="str" cm="1">
        <f t="array" ref="S775">IF(C775="",IFERROR(INDEX($C$2:$C$1166,MATCH(MAX(COUNTIF($C$2:$C$1166,$C$2:$C$1166)),COUNTIF($C$2:$C$1166,$C$2:$C$1166),0)),"Unknown"),C775)</f>
        <v>Jessica Davis</v>
      </c>
      <c r="T775" s="4" t="str" cm="1">
        <f t="array" ref="T775">IF(D775="",IFERROR(INDEX($D$2:$D$1000,MATCH(MAX(COUNTIF($D$2:$D$1166,$D$2:$D$1166)),COUNTIF($D$2:$D$1166,$D$2:$D$1166),0)),"Unknown"),D775)</f>
        <v>Marta Dubois</v>
      </c>
      <c r="U775" t="str">
        <f t="shared" si="85"/>
        <v>EUR</v>
      </c>
      <c r="V775" s="7" t="str">
        <f t="shared" si="85"/>
        <v>ZAR</v>
      </c>
      <c r="W775" s="7" t="str">
        <f t="shared" si="86"/>
        <v>Germany</v>
      </c>
      <c r="X775" s="7" t="str">
        <f t="shared" si="86"/>
        <v>Canada</v>
      </c>
      <c r="Y775" s="7" t="str" cm="1">
        <f t="array" ref="Y775">IF(H775="",IFERROR(INDEX($H$2:$H$1166,MATCH(MAX(COUNTIF($H$2:$H$1166,$H$2:$H$1166)),COUNTIF($H$2:$H$1166,$H$2:$H$1166),0)),"Unknown"),H775)</f>
        <v>Pending</v>
      </c>
      <c r="Z775" s="7" t="str">
        <f t="shared" si="87"/>
        <v>Inter-Transaction</v>
      </c>
      <c r="AA775" s="7">
        <f>IF(J775="",AVERAGE($J:$J),J775)</f>
        <v>13797.09</v>
      </c>
      <c r="AB775" s="7">
        <f>IF(N775="",AVERAGE($N:$N),N775)</f>
        <v>81</v>
      </c>
      <c r="AC775" s="7">
        <f t="shared" si="88"/>
        <v>2022</v>
      </c>
      <c r="AD775" s="7">
        <f t="shared" si="89"/>
        <v>3</v>
      </c>
      <c r="AE775" s="7">
        <f>COUNTIF(A:A,A775)</f>
        <v>1</v>
      </c>
      <c r="AF775" s="7" t="str">
        <f t="shared" si="90"/>
        <v/>
      </c>
    </row>
    <row r="776" spans="1:32">
      <c r="A776" t="s">
        <v>2437</v>
      </c>
      <c r="B776">
        <v>98307414</v>
      </c>
      <c r="C776" t="s">
        <v>1096</v>
      </c>
      <c r="D776" t="s">
        <v>2438</v>
      </c>
      <c r="F776" t="s">
        <v>98</v>
      </c>
      <c r="G776" t="s">
        <v>44</v>
      </c>
      <c r="H776" t="s">
        <v>56</v>
      </c>
      <c r="I776" t="s">
        <v>3371</v>
      </c>
      <c r="J776">
        <v>9645.81</v>
      </c>
      <c r="K776" t="s">
        <v>47</v>
      </c>
      <c r="L776" t="s">
        <v>28</v>
      </c>
      <c r="M776" s="1">
        <v>44354.801388888889</v>
      </c>
      <c r="N776">
        <v>39</v>
      </c>
      <c r="O776" t="s">
        <v>55</v>
      </c>
      <c r="P776" t="s">
        <v>93</v>
      </c>
      <c r="Q776" t="s">
        <v>2439</v>
      </c>
      <c r="R776">
        <f t="shared" si="84"/>
        <v>98307414</v>
      </c>
      <c r="S776" t="str" cm="1">
        <f t="array" ref="S776">IF(C776="",IFERROR(INDEX($C$2:$C$1166,MATCH(MAX(COUNTIF($C$2:$C$1166,$C$2:$C$1166)),COUNTIF($C$2:$C$1166,$C$2:$C$1166),0)),"Unknown"),C776)</f>
        <v>David Al-Sayed</v>
      </c>
      <c r="T776" s="4" t="str" cm="1">
        <f t="array" ref="T776">IF(D776="",IFERROR(INDEX($D$2:$D$1000,MATCH(MAX(COUNTIF($D$2:$D$1166,$D$2:$D$1166)),COUNTIF($D$2:$D$1166,$D$2:$D$1166),0)),"Unknown"),D776)</f>
        <v xml:space="preserve"> carlos garcia   </v>
      </c>
      <c r="U776" t="str">
        <f t="shared" si="85"/>
        <v>JPY</v>
      </c>
      <c r="V776" s="7" t="str">
        <f t="shared" si="85"/>
        <v>SGD</v>
      </c>
      <c r="W776" s="7" t="str">
        <f t="shared" si="86"/>
        <v>UK</v>
      </c>
      <c r="X776" s="7" t="str">
        <f t="shared" si="86"/>
        <v>USA</v>
      </c>
      <c r="Y776" s="7" t="str" cm="1">
        <f t="array" ref="Y776">IF(H776="",IFERROR(INDEX($H$2:$H$1166,MATCH(MAX(COUNTIF($H$2:$H$1166,$H$2:$H$1166)),COUNTIF($H$2:$H$1166,$H$2:$H$1166),0)),"Unknown"),H776)</f>
        <v>Unverified</v>
      </c>
      <c r="Z776" s="7" t="str">
        <f t="shared" si="87"/>
        <v>Outer-Transaction</v>
      </c>
      <c r="AA776" s="7">
        <f>IF(J776="",AVERAGE($J:$J),J776)</f>
        <v>9645.81</v>
      </c>
      <c r="AB776" s="7">
        <f>IF(N776="",AVERAGE($N:$N),N776)</f>
        <v>39</v>
      </c>
      <c r="AC776" s="7">
        <f t="shared" si="88"/>
        <v>2021</v>
      </c>
      <c r="AD776" s="7">
        <f t="shared" si="89"/>
        <v>6</v>
      </c>
      <c r="AE776" s="7">
        <f>COUNTIF(A:A,A776)</f>
        <v>1</v>
      </c>
      <c r="AF776" s="7" t="str">
        <f t="shared" si="90"/>
        <v/>
      </c>
    </row>
    <row r="777" spans="1:32">
      <c r="A777" t="s">
        <v>2440</v>
      </c>
      <c r="B777">
        <v>53474974</v>
      </c>
      <c r="C777" t="s">
        <v>976</v>
      </c>
      <c r="D777" t="s">
        <v>742</v>
      </c>
      <c r="F777" t="s">
        <v>53</v>
      </c>
      <c r="G777" t="s">
        <v>80</v>
      </c>
      <c r="H777" t="s">
        <v>56</v>
      </c>
      <c r="I777" t="s">
        <v>3376</v>
      </c>
      <c r="J777">
        <v>952.6</v>
      </c>
      <c r="K777" t="s">
        <v>57</v>
      </c>
      <c r="L777" t="s">
        <v>75</v>
      </c>
      <c r="M777" s="1">
        <v>44926.289583333331</v>
      </c>
      <c r="N777">
        <v>77</v>
      </c>
      <c r="O777" t="s">
        <v>24</v>
      </c>
      <c r="P777" t="s">
        <v>54</v>
      </c>
      <c r="Q777" t="s">
        <v>2441</v>
      </c>
      <c r="R777">
        <f t="shared" si="84"/>
        <v>53474974</v>
      </c>
      <c r="S777" t="str" cm="1">
        <f t="array" ref="S777">IF(C777="",IFERROR(INDEX($C$2:$C$1166,MATCH(MAX(COUNTIF($C$2:$C$1166,$C$2:$C$1166)),COUNTIF($C$2:$C$1166,$C$2:$C$1166),0)),"Unknown"),C777)</f>
        <v>Jessica Miller</v>
      </c>
      <c r="T777" s="4" t="str" cm="1">
        <f t="array" ref="T777">IF(D777="",IFERROR(INDEX($D$2:$D$1000,MATCH(MAX(COUNTIF($D$2:$D$1166,$D$2:$D$1166)),COUNTIF($D$2:$D$1166,$D$2:$D$1166),0)),"Unknown"),D777)</f>
        <v>William Anderson</v>
      </c>
      <c r="U777" t="str">
        <f t="shared" si="85"/>
        <v>AED</v>
      </c>
      <c r="V777" s="7" t="str">
        <f t="shared" si="85"/>
        <v>USD</v>
      </c>
      <c r="W777" s="7" t="str">
        <f t="shared" si="86"/>
        <v>Brazil</v>
      </c>
      <c r="X777" s="7" t="str">
        <f t="shared" si="86"/>
        <v>India</v>
      </c>
      <c r="Y777" s="7" t="str" cm="1">
        <f t="array" ref="Y777">IF(H777="",IFERROR(INDEX($H$2:$H$1166,MATCH(MAX(COUNTIF($H$2:$H$1166,$H$2:$H$1166)),COUNTIF($H$2:$H$1166,$H$2:$H$1166),0)),"Unknown"),H777)</f>
        <v>Unverified</v>
      </c>
      <c r="Z777" s="7" t="str">
        <f t="shared" si="87"/>
        <v>Internal</v>
      </c>
      <c r="AA777" s="7">
        <f>IF(J777="",AVERAGE($J:$J),J777)</f>
        <v>952.6</v>
      </c>
      <c r="AB777" s="7">
        <f>IF(N777="",AVERAGE($N:$N),N777)</f>
        <v>77</v>
      </c>
      <c r="AC777" s="7">
        <f t="shared" si="88"/>
        <v>2022</v>
      </c>
      <c r="AD777" s="7">
        <f t="shared" si="89"/>
        <v>12</v>
      </c>
      <c r="AE777" s="7">
        <f>COUNTIF(A:A,A777)</f>
        <v>1</v>
      </c>
      <c r="AF777" s="7" t="str">
        <f t="shared" si="90"/>
        <v/>
      </c>
    </row>
    <row r="778" spans="1:32">
      <c r="A778" t="s">
        <v>2442</v>
      </c>
      <c r="B778">
        <v>72158202</v>
      </c>
      <c r="C778" t="s">
        <v>886</v>
      </c>
      <c r="D778" t="s">
        <v>787</v>
      </c>
      <c r="F778" t="s">
        <v>116</v>
      </c>
      <c r="G778" t="s">
        <v>53</v>
      </c>
      <c r="H778" t="s">
        <v>56</v>
      </c>
      <c r="I778" t="s">
        <v>3376</v>
      </c>
      <c r="J778">
        <v>12093.78</v>
      </c>
      <c r="K778" t="s">
        <v>86</v>
      </c>
      <c r="L778" t="s">
        <v>81</v>
      </c>
      <c r="M778" s="1">
        <v>45499.339583333334</v>
      </c>
      <c r="N778">
        <v>81</v>
      </c>
      <c r="O778" t="s">
        <v>68</v>
      </c>
      <c r="P778" t="s">
        <v>37</v>
      </c>
      <c r="Q778" t="s">
        <v>2443</v>
      </c>
      <c r="R778">
        <f t="shared" si="84"/>
        <v>72158202</v>
      </c>
      <c r="S778" t="str" cm="1">
        <f t="array" ref="S778">IF(C778="",IFERROR(INDEX($C$2:$C$1166,MATCH(MAX(COUNTIF($C$2:$C$1166,$C$2:$C$1166)),COUNTIF($C$2:$C$1166,$C$2:$C$1166),0)),"Unknown"),C778)</f>
        <v>Marta Malik</v>
      </c>
      <c r="T778" s="4" t="str" cm="1">
        <f t="array" ref="T778">IF(D778="",IFERROR(INDEX($D$2:$D$1000,MATCH(MAX(COUNTIF($D$2:$D$1166,$D$2:$D$1166)),COUNTIF($D$2:$D$1166,$D$2:$D$1166),0)),"Unknown"),D778)</f>
        <v>William Brown</v>
      </c>
      <c r="U778" t="str">
        <f t="shared" si="85"/>
        <v>CHF</v>
      </c>
      <c r="V778" s="7" t="str">
        <f t="shared" si="85"/>
        <v>AED</v>
      </c>
      <c r="W778" s="7" t="str">
        <f t="shared" si="86"/>
        <v>UAE</v>
      </c>
      <c r="X778" s="7" t="str">
        <f t="shared" si="86"/>
        <v>South Africa</v>
      </c>
      <c r="Y778" s="7" t="str" cm="1">
        <f t="array" ref="Y778">IF(H778="",IFERROR(INDEX($H$2:$H$1166,MATCH(MAX(COUNTIF($H$2:$H$1166,$H$2:$H$1166)),COUNTIF($H$2:$H$1166,$H$2:$H$1166),0)),"Unknown"),H778)</f>
        <v>Unverified</v>
      </c>
      <c r="Z778" s="7" t="str">
        <f t="shared" si="87"/>
        <v>Internal</v>
      </c>
      <c r="AA778" s="7">
        <f>IF(J778="",AVERAGE($J:$J),J778)</f>
        <v>12093.78</v>
      </c>
      <c r="AB778" s="7">
        <f>IF(N778="",AVERAGE($N:$N),N778)</f>
        <v>81</v>
      </c>
      <c r="AC778" s="7">
        <f t="shared" si="88"/>
        <v>2024</v>
      </c>
      <c r="AD778" s="7">
        <f t="shared" si="89"/>
        <v>7</v>
      </c>
      <c r="AE778" s="7">
        <f>COUNTIF(A:A,A778)</f>
        <v>1</v>
      </c>
      <c r="AF778" s="7" t="str">
        <f t="shared" si="90"/>
        <v/>
      </c>
    </row>
    <row r="779" spans="1:32">
      <c r="A779" t="s">
        <v>2444</v>
      </c>
      <c r="B779">
        <v>13595556</v>
      </c>
      <c r="C779" t="s">
        <v>1126</v>
      </c>
      <c r="D779" t="s">
        <v>1265</v>
      </c>
      <c r="F779" t="s">
        <v>44</v>
      </c>
      <c r="G779" t="s">
        <v>121</v>
      </c>
      <c r="I779" t="s">
        <v>3374</v>
      </c>
      <c r="J779">
        <v>3206</v>
      </c>
      <c r="K779" t="s">
        <v>47</v>
      </c>
      <c r="L779" t="s">
        <v>48</v>
      </c>
      <c r="M779" s="1">
        <v>45984.407638888886</v>
      </c>
      <c r="N779">
        <v>28</v>
      </c>
      <c r="O779" t="s">
        <v>24</v>
      </c>
      <c r="P779" t="s">
        <v>127</v>
      </c>
      <c r="Q779" t="s">
        <v>2445</v>
      </c>
      <c r="R779">
        <f t="shared" si="84"/>
        <v>13595556</v>
      </c>
      <c r="S779" t="str" cm="1">
        <f t="array" ref="S779">IF(C779="",IFERROR(INDEX($C$2:$C$1166,MATCH(MAX(COUNTIF($C$2:$C$1166,$C$2:$C$1166)),COUNTIF($C$2:$C$1166,$C$2:$C$1166),0)),"Unknown"),C779)</f>
        <v>Nancy Nair</v>
      </c>
      <c r="T779" s="4" t="str" cm="1">
        <f t="array" ref="T779">IF(D779="",IFERROR(INDEX($D$2:$D$1000,MATCH(MAX(COUNTIF($D$2:$D$1166,$D$2:$D$1166)),COUNTIF($D$2:$D$1166,$D$2:$D$1166),0)),"Unknown"),D779)</f>
        <v>Linda Jackson</v>
      </c>
      <c r="U779" t="str">
        <f t="shared" si="85"/>
        <v>SGD</v>
      </c>
      <c r="V779" s="7" t="str">
        <f t="shared" si="85"/>
        <v>INR</v>
      </c>
      <c r="W779" s="7" t="str">
        <f t="shared" si="86"/>
        <v>Brazil</v>
      </c>
      <c r="X779" s="7" t="str">
        <f t="shared" si="86"/>
        <v>Canada</v>
      </c>
      <c r="Y779" s="7" t="str" cm="1">
        <f t="array" ref="Y779">IF(H779="",IFERROR(INDEX($H$2:$H$1166,MATCH(MAX(COUNTIF($H$2:$H$1166,$H$2:$H$1166)),COUNTIF($H$2:$H$1166,$H$2:$H$1166),0)),"Unknown"),H779)</f>
        <v>Pending</v>
      </c>
      <c r="Z779" s="7" t="str">
        <f t="shared" si="87"/>
        <v>External</v>
      </c>
      <c r="AA779" s="7">
        <f>IF(J779="",AVERAGE($J:$J),J779)</f>
        <v>3206</v>
      </c>
      <c r="AB779" s="7">
        <f>IF(N779="",AVERAGE($N:$N),N779)</f>
        <v>28</v>
      </c>
      <c r="AC779" s="7">
        <f t="shared" si="88"/>
        <v>2025</v>
      </c>
      <c r="AD779" s="7">
        <f t="shared" si="89"/>
        <v>11</v>
      </c>
      <c r="AE779" s="7">
        <f>COUNTIF(A:A,A779)</f>
        <v>1</v>
      </c>
      <c r="AF779" s="7" t="str">
        <f t="shared" si="90"/>
        <v/>
      </c>
    </row>
    <row r="780" spans="1:32">
      <c r="A780" t="s">
        <v>2446</v>
      </c>
      <c r="B780">
        <v>33395000</v>
      </c>
      <c r="C780" t="s">
        <v>2421</v>
      </c>
      <c r="D780" t="s">
        <v>829</v>
      </c>
      <c r="F780" t="s">
        <v>22</v>
      </c>
      <c r="G780" t="s">
        <v>121</v>
      </c>
      <c r="H780" t="s">
        <v>25</v>
      </c>
      <c r="I780" t="s">
        <v>3372</v>
      </c>
      <c r="J780">
        <v>5962.47</v>
      </c>
      <c r="K780" t="s">
        <v>86</v>
      </c>
      <c r="L780" t="s">
        <v>81</v>
      </c>
      <c r="M780" s="1">
        <v>45739.268750000003</v>
      </c>
      <c r="N780">
        <v>31</v>
      </c>
      <c r="O780" t="s">
        <v>24</v>
      </c>
      <c r="P780" t="s">
        <v>36</v>
      </c>
      <c r="Q780" t="s">
        <v>2447</v>
      </c>
      <c r="R780">
        <f t="shared" si="84"/>
        <v>33395000</v>
      </c>
      <c r="S780" t="str" cm="1">
        <f t="array" ref="S780">IF(C780="",IFERROR(INDEX($C$2:$C$1166,MATCH(MAX(COUNTIF($C$2:$C$1166,$C$2:$C$1166)),COUNTIF($C$2:$C$1166,$C$2:$C$1166),0)),"Unknown"),C780)</f>
        <v>John Martinez</v>
      </c>
      <c r="T780" s="4" t="str" cm="1">
        <f t="array" ref="T780">IF(D780="",IFERROR(INDEX($D$2:$D$1000,MATCH(MAX(COUNTIF($D$2:$D$1166,$D$2:$D$1166)),COUNTIF($D$2:$D$1166,$D$2:$D$1166),0)),"Unknown"),D780)</f>
        <v>Susan Malik</v>
      </c>
      <c r="U780" t="str">
        <f t="shared" si="85"/>
        <v>BRL</v>
      </c>
      <c r="V780" s="7" t="str">
        <f t="shared" si="85"/>
        <v>INR</v>
      </c>
      <c r="W780" s="7" t="str">
        <f t="shared" si="86"/>
        <v>Brazil</v>
      </c>
      <c r="X780" s="7" t="str">
        <f t="shared" si="86"/>
        <v>Germany</v>
      </c>
      <c r="Y780" s="7" t="str" cm="1">
        <f t="array" ref="Y780">IF(H780="",IFERROR(INDEX($H$2:$H$1166,MATCH(MAX(COUNTIF($H$2:$H$1166,$H$2:$H$1166)),COUNTIF($H$2:$H$1166,$H$2:$H$1166),0)),"Unknown"),H780)</f>
        <v>KYC</v>
      </c>
      <c r="Z780" s="7" t="str">
        <f t="shared" si="87"/>
        <v>Outer-Transaction</v>
      </c>
      <c r="AA780" s="7">
        <f>IF(J780="",AVERAGE($J:$J),J780)</f>
        <v>5962.47</v>
      </c>
      <c r="AB780" s="7">
        <f>IF(N780="",AVERAGE($N:$N),N780)</f>
        <v>31</v>
      </c>
      <c r="AC780" s="7">
        <f t="shared" si="88"/>
        <v>2025</v>
      </c>
      <c r="AD780" s="7">
        <f t="shared" si="89"/>
        <v>3</v>
      </c>
      <c r="AE780" s="7">
        <f>COUNTIF(A:A,A780)</f>
        <v>1</v>
      </c>
      <c r="AF780" s="7" t="str">
        <f t="shared" si="90"/>
        <v/>
      </c>
    </row>
    <row r="781" spans="1:32">
      <c r="A781" t="s">
        <v>2448</v>
      </c>
      <c r="B781">
        <v>36830566</v>
      </c>
      <c r="C781" t="s">
        <v>1519</v>
      </c>
      <c r="D781" t="s">
        <v>18</v>
      </c>
      <c r="F781" t="s">
        <v>21</v>
      </c>
      <c r="G781" t="s">
        <v>92</v>
      </c>
      <c r="H781" t="s">
        <v>38</v>
      </c>
      <c r="I781" t="s">
        <v>3374</v>
      </c>
      <c r="J781">
        <v>8407.7099999999991</v>
      </c>
      <c r="K781" t="s">
        <v>47</v>
      </c>
      <c r="L781" t="s">
        <v>28</v>
      </c>
      <c r="M781" s="1">
        <v>45136.20416666667</v>
      </c>
      <c r="N781">
        <v>77</v>
      </c>
      <c r="O781" t="s">
        <v>55</v>
      </c>
      <c r="P781" t="s">
        <v>93</v>
      </c>
      <c r="Q781" t="s">
        <v>2449</v>
      </c>
      <c r="R781">
        <f t="shared" si="84"/>
        <v>36830566</v>
      </c>
      <c r="S781" t="str" cm="1">
        <f t="array" ref="S781">IF(C781="",IFERROR(INDEX($C$2:$C$1166,MATCH(MAX(COUNTIF($C$2:$C$1166,$C$2:$C$1166)),COUNTIF($C$2:$C$1166,$C$2:$C$1166),0)),"Unknown"),C781)</f>
        <v>Joseph Johnson</v>
      </c>
      <c r="T781" s="4" t="str" cm="1">
        <f t="array" ref="T781">IF(D781="",IFERROR(INDEX($D$2:$D$1000,MATCH(MAX(COUNTIF($D$2:$D$1166,$D$2:$D$1166)),COUNTIF($D$2:$D$1166,$D$2:$D$1166),0)),"Unknown"),D781)</f>
        <v>Patricia Smith</v>
      </c>
      <c r="U781" t="str">
        <f t="shared" si="85"/>
        <v>GBP</v>
      </c>
      <c r="V781" s="7" t="str">
        <f t="shared" si="85"/>
        <v>AUD</v>
      </c>
      <c r="W781" s="7" t="str">
        <f t="shared" si="86"/>
        <v>UK</v>
      </c>
      <c r="X781" s="7" t="str">
        <f t="shared" si="86"/>
        <v>USA</v>
      </c>
      <c r="Y781" s="7" t="str" cm="1">
        <f t="array" ref="Y781">IF(H781="",IFERROR(INDEX($H$2:$H$1166,MATCH(MAX(COUNTIF($H$2:$H$1166,$H$2:$H$1166)),COUNTIF($H$2:$H$1166,$H$2:$H$1166),0)),"Unknown"),H781)</f>
        <v>Pending</v>
      </c>
      <c r="Z781" s="7" t="str">
        <f t="shared" si="87"/>
        <v>External</v>
      </c>
      <c r="AA781" s="7">
        <f>IF(J781="",AVERAGE($J:$J),J781)</f>
        <v>8407.7099999999991</v>
      </c>
      <c r="AB781" s="7">
        <f>IF(N781="",AVERAGE($N:$N),N781)</f>
        <v>77</v>
      </c>
      <c r="AC781" s="7">
        <f t="shared" si="88"/>
        <v>2023</v>
      </c>
      <c r="AD781" s="7">
        <f t="shared" si="89"/>
        <v>7</v>
      </c>
      <c r="AE781" s="7">
        <f>COUNTIF(A:A,A781)</f>
        <v>1</v>
      </c>
      <c r="AF781" s="7" t="str">
        <f t="shared" si="90"/>
        <v/>
      </c>
    </row>
    <row r="782" spans="1:32">
      <c r="A782" t="s">
        <v>2450</v>
      </c>
      <c r="B782">
        <v>74220011</v>
      </c>
      <c r="C782" t="s">
        <v>2451</v>
      </c>
      <c r="D782" t="s">
        <v>2418</v>
      </c>
      <c r="F782" t="s">
        <v>21</v>
      </c>
      <c r="G782" t="s">
        <v>121</v>
      </c>
      <c r="H782" t="s">
        <v>74</v>
      </c>
      <c r="I782" t="s">
        <v>3374</v>
      </c>
      <c r="J782">
        <v>7630.29</v>
      </c>
      <c r="K782" t="s">
        <v>86</v>
      </c>
      <c r="L782" t="s">
        <v>75</v>
      </c>
      <c r="M782" s="1">
        <v>43963.117361111108</v>
      </c>
      <c r="N782">
        <v>47</v>
      </c>
      <c r="O782" t="s">
        <v>54</v>
      </c>
      <c r="P782" t="s">
        <v>23</v>
      </c>
      <c r="Q782" t="s">
        <v>2452</v>
      </c>
      <c r="R782">
        <f t="shared" si="84"/>
        <v>74220011</v>
      </c>
      <c r="S782" t="str" cm="1">
        <f t="array" ref="S782">IF(C782="",IFERROR(INDEX($C$2:$C$1166,MATCH(MAX(COUNTIF($C$2:$C$1166,$C$2:$C$1166)),COUNTIF($C$2:$C$1166,$C$2:$C$1166),0)),"Unknown"),C782)</f>
        <v>William Hernandez</v>
      </c>
      <c r="T782" s="4" t="str" cm="1">
        <f t="array" ref="T782">IF(D782="",IFERROR(INDEX($D$2:$D$1000,MATCH(MAX(COUNTIF($D$2:$D$1166,$D$2:$D$1166)),COUNTIF($D$2:$D$1166,$D$2:$D$1166),0)),"Unknown"),D782)</f>
        <v>Thomas Dubois</v>
      </c>
      <c r="U782" t="str">
        <f t="shared" si="85"/>
        <v>GBP</v>
      </c>
      <c r="V782" s="7" t="str">
        <f t="shared" si="85"/>
        <v>INR</v>
      </c>
      <c r="W782" s="7" t="str">
        <f t="shared" si="86"/>
        <v>India</v>
      </c>
      <c r="X782" s="7" t="str">
        <f t="shared" si="86"/>
        <v>France</v>
      </c>
      <c r="Y782" s="7" t="str" cm="1">
        <f t="array" ref="Y782">IF(H782="",IFERROR(INDEX($H$2:$H$1166,MATCH(MAX(COUNTIF($H$2:$H$1166,$H$2:$H$1166)),COUNTIF($H$2:$H$1166,$H$2:$H$1166),0)),"Unknown"),H782)</f>
        <v>Non-KYC</v>
      </c>
      <c r="Z782" s="7" t="str">
        <f t="shared" si="87"/>
        <v>External</v>
      </c>
      <c r="AA782" s="7">
        <f>IF(J782="",AVERAGE($J:$J),J782)</f>
        <v>7630.29</v>
      </c>
      <c r="AB782" s="7">
        <f>IF(N782="",AVERAGE($N:$N),N782)</f>
        <v>47</v>
      </c>
      <c r="AC782" s="7">
        <f t="shared" si="88"/>
        <v>2020</v>
      </c>
      <c r="AD782" s="7">
        <f t="shared" si="89"/>
        <v>5</v>
      </c>
      <c r="AE782" s="7">
        <f>COUNTIF(A:A,A782)</f>
        <v>1</v>
      </c>
      <c r="AF782" s="7" t="str">
        <f t="shared" si="90"/>
        <v/>
      </c>
    </row>
    <row r="783" spans="1:32">
      <c r="A783" t="s">
        <v>2453</v>
      </c>
      <c r="B783">
        <v>94736386</v>
      </c>
      <c r="C783" t="s">
        <v>640</v>
      </c>
      <c r="D783" t="s">
        <v>2152</v>
      </c>
      <c r="F783" t="s">
        <v>92</v>
      </c>
      <c r="G783" t="s">
        <v>80</v>
      </c>
      <c r="I783" t="s">
        <v>3377</v>
      </c>
      <c r="J783">
        <v>13504.27</v>
      </c>
      <c r="K783" t="s">
        <v>47</v>
      </c>
      <c r="L783" t="s">
        <v>81</v>
      </c>
      <c r="M783" s="1">
        <v>46147.426388888889</v>
      </c>
      <c r="N783">
        <v>52</v>
      </c>
      <c r="O783" t="s">
        <v>55</v>
      </c>
      <c r="P783" t="s">
        <v>62</v>
      </c>
      <c r="Q783" t="s">
        <v>2454</v>
      </c>
      <c r="R783">
        <f t="shared" si="84"/>
        <v>94736386</v>
      </c>
      <c r="S783" t="str" cm="1">
        <f t="array" ref="S783">IF(C783="",IFERROR(INDEX($C$2:$C$1166,MATCH(MAX(COUNTIF($C$2:$C$1166,$C$2:$C$1166)),COUNTIF($C$2:$C$1166,$C$2:$C$1166),0)),"Unknown"),C783)</f>
        <v>Zayn Garcia</v>
      </c>
      <c r="T783" s="4" t="str" cm="1">
        <f t="array" ref="T783">IF(D783="",IFERROR(INDEX($D$2:$D$1000,MATCH(MAX(COUNTIF($D$2:$D$1166,$D$2:$D$1166)),COUNTIF($D$2:$D$1166,$D$2:$D$1166),0)),"Unknown"),D783)</f>
        <v>Linda Al-Sayed</v>
      </c>
      <c r="U783" t="str">
        <f t="shared" si="85"/>
        <v>AUD</v>
      </c>
      <c r="V783" s="7" t="str">
        <f t="shared" si="85"/>
        <v>USD</v>
      </c>
      <c r="W783" s="7" t="str">
        <f t="shared" si="86"/>
        <v>UK</v>
      </c>
      <c r="X783" s="7" t="str">
        <f t="shared" si="86"/>
        <v>Australia</v>
      </c>
      <c r="Y783" s="7" t="str" cm="1">
        <f t="array" ref="Y783">IF(H783="",IFERROR(INDEX($H$2:$H$1166,MATCH(MAX(COUNTIF($H$2:$H$1166,$H$2:$H$1166)),COUNTIF($H$2:$H$1166,$H$2:$H$1166),0)),"Unknown"),H783)</f>
        <v>Pending</v>
      </c>
      <c r="Z783" s="7" t="str">
        <f t="shared" si="87"/>
        <v>Inter-Transaction</v>
      </c>
      <c r="AA783" s="7">
        <f>IF(J783="",AVERAGE($J:$J),J783)</f>
        <v>13504.27</v>
      </c>
      <c r="AB783" s="7">
        <f>IF(N783="",AVERAGE($N:$N),N783)</f>
        <v>52</v>
      </c>
      <c r="AC783" s="7">
        <f t="shared" si="88"/>
        <v>2026</v>
      </c>
      <c r="AD783" s="7">
        <f t="shared" si="89"/>
        <v>5</v>
      </c>
      <c r="AE783" s="7">
        <f>COUNTIF(A:A,A783)</f>
        <v>1</v>
      </c>
      <c r="AF783" s="7" t="str">
        <f t="shared" si="90"/>
        <v/>
      </c>
    </row>
    <row r="784" spans="1:32">
      <c r="A784" t="s">
        <v>2455</v>
      </c>
      <c r="B784">
        <v>41717630</v>
      </c>
      <c r="C784" t="s">
        <v>2456</v>
      </c>
      <c r="D784" t="s">
        <v>994</v>
      </c>
      <c r="F784" t="s">
        <v>98</v>
      </c>
      <c r="G784" t="s">
        <v>53</v>
      </c>
      <c r="H784" t="s">
        <v>74</v>
      </c>
      <c r="I784" t="s">
        <v>3372</v>
      </c>
      <c r="J784">
        <v>2625.98</v>
      </c>
      <c r="K784" t="s">
        <v>86</v>
      </c>
      <c r="L784" t="s">
        <v>75</v>
      </c>
      <c r="M784" s="1">
        <v>45473.868750000001</v>
      </c>
      <c r="N784">
        <v>54</v>
      </c>
      <c r="O784" t="s">
        <v>62</v>
      </c>
      <c r="P784" t="s">
        <v>23</v>
      </c>
      <c r="Q784" t="s">
        <v>2457</v>
      </c>
      <c r="R784">
        <f t="shared" si="84"/>
        <v>41717630</v>
      </c>
      <c r="S784" t="str" cm="1">
        <f t="array" ref="S784">IF(C784="",IFERROR(INDEX($C$2:$C$1166,MATCH(MAX(COUNTIF($C$2:$C$1166,$C$2:$C$1166)),COUNTIF($C$2:$C$1166,$C$2:$C$1166),0)),"Unknown"),C784)</f>
        <v xml:space="preserve">  JOHN THOMAS </v>
      </c>
      <c r="T784" s="4" t="str" cm="1">
        <f t="array" ref="T784">IF(D784="",IFERROR(INDEX($D$2:$D$1000,MATCH(MAX(COUNTIF($D$2:$D$1166,$D$2:$D$1166)),COUNTIF($D$2:$D$1166,$D$2:$D$1166),0)),"Unknown"),D784)</f>
        <v>Marta Hernandez</v>
      </c>
      <c r="U784" t="str">
        <f t="shared" si="85"/>
        <v>JPY</v>
      </c>
      <c r="V784" s="7" t="str">
        <f t="shared" si="85"/>
        <v>AED</v>
      </c>
      <c r="W784" s="7" t="str">
        <f t="shared" si="86"/>
        <v>Australia</v>
      </c>
      <c r="X784" s="7" t="str">
        <f t="shared" si="86"/>
        <v>France</v>
      </c>
      <c r="Y784" s="7" t="str" cm="1">
        <f t="array" ref="Y784">IF(H784="",IFERROR(INDEX($H$2:$H$1166,MATCH(MAX(COUNTIF($H$2:$H$1166,$H$2:$H$1166)),COUNTIF($H$2:$H$1166,$H$2:$H$1166),0)),"Unknown"),H784)</f>
        <v>Non-KYC</v>
      </c>
      <c r="Z784" s="7" t="str">
        <f t="shared" si="87"/>
        <v>Outer-Transaction</v>
      </c>
      <c r="AA784" s="7">
        <f>IF(J784="",AVERAGE($J:$J),J784)</f>
        <v>2625.98</v>
      </c>
      <c r="AB784" s="7">
        <f>IF(N784="",AVERAGE($N:$N),N784)</f>
        <v>54</v>
      </c>
      <c r="AC784" s="7">
        <f t="shared" si="88"/>
        <v>2024</v>
      </c>
      <c r="AD784" s="7">
        <f t="shared" si="89"/>
        <v>6</v>
      </c>
      <c r="AE784" s="7">
        <f>COUNTIF(A:A,A784)</f>
        <v>2</v>
      </c>
      <c r="AF784" s="7" t="str">
        <f t="shared" si="90"/>
        <v/>
      </c>
    </row>
    <row r="785" spans="1:32">
      <c r="A785" t="s">
        <v>2458</v>
      </c>
      <c r="B785">
        <v>16044217</v>
      </c>
      <c r="C785" t="s">
        <v>793</v>
      </c>
      <c r="D785" t="s">
        <v>1590</v>
      </c>
      <c r="F785" t="s">
        <v>21</v>
      </c>
      <c r="G785" t="s">
        <v>45</v>
      </c>
      <c r="H785" t="s">
        <v>38</v>
      </c>
      <c r="I785" t="s">
        <v>3374</v>
      </c>
      <c r="J785">
        <v>5139.8900000000003</v>
      </c>
      <c r="K785" t="s">
        <v>39</v>
      </c>
      <c r="L785" t="s">
        <v>75</v>
      </c>
      <c r="M785" s="1">
        <v>45719.204861111109</v>
      </c>
      <c r="N785">
        <v>22</v>
      </c>
      <c r="O785" t="s">
        <v>127</v>
      </c>
      <c r="P785" t="s">
        <v>93</v>
      </c>
      <c r="Q785" t="s">
        <v>2459</v>
      </c>
      <c r="R785">
        <f t="shared" si="84"/>
        <v>16044217</v>
      </c>
      <c r="S785" t="str" cm="1">
        <f t="array" ref="S785">IF(C785="",IFERROR(INDEX($C$2:$C$1166,MATCH(MAX(COUNTIF($C$2:$C$1166,$C$2:$C$1166)),COUNTIF($C$2:$C$1166,$C$2:$C$1166),0)),"Unknown"),C785)</f>
        <v>Susan Hernandez</v>
      </c>
      <c r="T785" s="4" t="str" cm="1">
        <f t="array" ref="T785">IF(D785="",IFERROR(INDEX($D$2:$D$1000,MATCH(MAX(COUNTIF($D$2:$D$1166,$D$2:$D$1166)),COUNTIF($D$2:$D$1166,$D$2:$D$1166),0)),"Unknown"),D785)</f>
        <v>David Jackson</v>
      </c>
      <c r="U785" t="str">
        <f t="shared" si="85"/>
        <v>GBP</v>
      </c>
      <c r="V785" s="7" t="str">
        <f t="shared" si="85"/>
        <v>ZAR</v>
      </c>
      <c r="W785" s="7" t="str">
        <f t="shared" si="86"/>
        <v>Canada</v>
      </c>
      <c r="X785" s="7" t="str">
        <f t="shared" si="86"/>
        <v>USA</v>
      </c>
      <c r="Y785" s="7" t="str" cm="1">
        <f t="array" ref="Y785">IF(H785="",IFERROR(INDEX($H$2:$H$1166,MATCH(MAX(COUNTIF($H$2:$H$1166,$H$2:$H$1166)),COUNTIF($H$2:$H$1166,$H$2:$H$1166),0)),"Unknown"),H785)</f>
        <v>Pending</v>
      </c>
      <c r="Z785" s="7" t="str">
        <f t="shared" si="87"/>
        <v>External</v>
      </c>
      <c r="AA785" s="7">
        <f>IF(J785="",AVERAGE($J:$J),J785)</f>
        <v>5139.8900000000003</v>
      </c>
      <c r="AB785" s="7">
        <f>IF(N785="",AVERAGE($N:$N),N785)</f>
        <v>22</v>
      </c>
      <c r="AC785" s="7">
        <f t="shared" si="88"/>
        <v>2025</v>
      </c>
      <c r="AD785" s="7">
        <f t="shared" si="89"/>
        <v>3</v>
      </c>
      <c r="AE785" s="7">
        <f>COUNTIF(A:A,A785)</f>
        <v>1</v>
      </c>
      <c r="AF785" s="7" t="str">
        <f t="shared" si="90"/>
        <v/>
      </c>
    </row>
    <row r="786" spans="1:32">
      <c r="A786" t="s">
        <v>2460</v>
      </c>
      <c r="B786">
        <v>76659389</v>
      </c>
      <c r="C786" t="s">
        <v>2461</v>
      </c>
      <c r="D786" t="s">
        <v>286</v>
      </c>
      <c r="F786" t="s">
        <v>112</v>
      </c>
      <c r="G786" t="s">
        <v>21</v>
      </c>
      <c r="I786" t="s">
        <v>3372</v>
      </c>
      <c r="J786">
        <v>1450.45</v>
      </c>
      <c r="K786" t="s">
        <v>86</v>
      </c>
      <c r="L786" t="s">
        <v>48</v>
      </c>
      <c r="M786" s="1">
        <v>45601.460416666669</v>
      </c>
      <c r="N786">
        <v>43</v>
      </c>
      <c r="O786" t="s">
        <v>127</v>
      </c>
      <c r="P786" t="s">
        <v>68</v>
      </c>
      <c r="Q786" t="s">
        <v>2462</v>
      </c>
      <c r="R786">
        <f t="shared" si="84"/>
        <v>76659389</v>
      </c>
      <c r="S786" t="str" cm="1">
        <f t="array" ref="S786">IF(C786="",IFERROR(INDEX($C$2:$C$1166,MATCH(MAX(COUNTIF($C$2:$C$1166,$C$2:$C$1166)),COUNTIF($C$2:$C$1166,$C$2:$C$1166),0)),"Unknown"),C786)</f>
        <v>Susan Silva</v>
      </c>
      <c r="T786" s="4" t="str" cm="1">
        <f t="array" ref="T786">IF(D786="",IFERROR(INDEX($D$2:$D$1000,MATCH(MAX(COUNTIF($D$2:$D$1166,$D$2:$D$1166)),COUNTIF($D$2:$D$1166,$D$2:$D$1166),0)),"Unknown"),D786)</f>
        <v>Linda Johnson</v>
      </c>
      <c r="U786" t="str">
        <f t="shared" si="85"/>
        <v>usd</v>
      </c>
      <c r="V786" s="7" t="str">
        <f t="shared" si="85"/>
        <v>GBP</v>
      </c>
      <c r="W786" s="7" t="str">
        <f t="shared" si="86"/>
        <v>Canada</v>
      </c>
      <c r="X786" s="7" t="str">
        <f t="shared" si="86"/>
        <v>UAE</v>
      </c>
      <c r="Y786" s="7" t="str" cm="1">
        <f t="array" ref="Y786">IF(H786="",IFERROR(INDEX($H$2:$H$1166,MATCH(MAX(COUNTIF($H$2:$H$1166,$H$2:$H$1166)),COUNTIF($H$2:$H$1166,$H$2:$H$1166),0)),"Unknown"),H786)</f>
        <v>Pending</v>
      </c>
      <c r="Z786" s="7" t="str">
        <f t="shared" si="87"/>
        <v>Outer-Transaction</v>
      </c>
      <c r="AA786" s="7">
        <f>IF(J786="",AVERAGE($J:$J),J786)</f>
        <v>1450.45</v>
      </c>
      <c r="AB786" s="7">
        <f>IF(N786="",AVERAGE($N:$N),N786)</f>
        <v>43</v>
      </c>
      <c r="AC786" s="7">
        <f t="shared" si="88"/>
        <v>2024</v>
      </c>
      <c r="AD786" s="7">
        <f t="shared" si="89"/>
        <v>11</v>
      </c>
      <c r="AE786" s="7">
        <f>COUNTIF(A:A,A786)</f>
        <v>1</v>
      </c>
      <c r="AF786" s="7" t="str">
        <f t="shared" si="90"/>
        <v/>
      </c>
    </row>
    <row r="787" spans="1:32">
      <c r="A787" t="s">
        <v>2463</v>
      </c>
      <c r="B787">
        <v>96874609</v>
      </c>
      <c r="C787" t="s">
        <v>2004</v>
      </c>
      <c r="D787" t="s">
        <v>228</v>
      </c>
      <c r="F787" t="s">
        <v>686</v>
      </c>
      <c r="G787" t="s">
        <v>121</v>
      </c>
      <c r="H787" t="s">
        <v>74</v>
      </c>
      <c r="I787" t="s">
        <v>3371</v>
      </c>
      <c r="J787">
        <v>6573.36</v>
      </c>
      <c r="K787" t="s">
        <v>39</v>
      </c>
      <c r="L787" t="s">
        <v>28</v>
      </c>
      <c r="M787" s="1">
        <v>43848.588888888888</v>
      </c>
      <c r="N787">
        <v>79</v>
      </c>
      <c r="O787" t="s">
        <v>36</v>
      </c>
      <c r="P787" t="s">
        <v>37</v>
      </c>
      <c r="Q787" t="s">
        <v>2464</v>
      </c>
      <c r="R787">
        <f t="shared" si="84"/>
        <v>96874609</v>
      </c>
      <c r="S787" t="str" cm="1">
        <f t="array" ref="S787">IF(C787="",IFERROR(INDEX($C$2:$C$1166,MATCH(MAX(COUNTIF($C$2:$C$1166,$C$2:$C$1166)),COUNTIF($C$2:$C$1166,$C$2:$C$1166),0)),"Unknown"),C787)</f>
        <v>Thomas Gonzalez</v>
      </c>
      <c r="T787" s="4" t="str" cm="1">
        <f t="array" ref="T787">IF(D787="",IFERROR(INDEX($D$2:$D$1000,MATCH(MAX(COUNTIF($D$2:$D$1166,$D$2:$D$1166)),COUNTIF($D$2:$D$1166,$D$2:$D$1166),0)),"Unknown"),D787)</f>
        <v>Mary Jackson</v>
      </c>
      <c r="U787" t="str">
        <f t="shared" si="85"/>
        <v>sgd</v>
      </c>
      <c r="V787" s="7" t="str">
        <f t="shared" si="85"/>
        <v>INR</v>
      </c>
      <c r="W787" s="7" t="str">
        <f t="shared" si="86"/>
        <v>Germany</v>
      </c>
      <c r="X787" s="7" t="str">
        <f t="shared" si="86"/>
        <v>South Africa</v>
      </c>
      <c r="Y787" s="7" t="str" cm="1">
        <f t="array" ref="Y787">IF(H787="",IFERROR(INDEX($H$2:$H$1166,MATCH(MAX(COUNTIF($H$2:$H$1166,$H$2:$H$1166)),COUNTIF($H$2:$H$1166,$H$2:$H$1166),0)),"Unknown"),H787)</f>
        <v>Non-KYC</v>
      </c>
      <c r="Z787" s="7" t="str">
        <f t="shared" si="87"/>
        <v>Outer-Transaction</v>
      </c>
      <c r="AA787" s="7">
        <f>IF(J787="",AVERAGE($J:$J),J787)</f>
        <v>6573.36</v>
      </c>
      <c r="AB787" s="7">
        <f>IF(N787="",AVERAGE($N:$N),N787)</f>
        <v>79</v>
      </c>
      <c r="AC787" s="7">
        <f t="shared" si="88"/>
        <v>2020</v>
      </c>
      <c r="AD787" s="7">
        <f t="shared" si="89"/>
        <v>1</v>
      </c>
      <c r="AE787" s="7">
        <f>COUNTIF(A:A,A787)</f>
        <v>1</v>
      </c>
      <c r="AF787" s="7" t="str">
        <f t="shared" si="90"/>
        <v/>
      </c>
    </row>
    <row r="788" spans="1:32">
      <c r="A788" t="s">
        <v>2465</v>
      </c>
      <c r="B788">
        <v>95550709</v>
      </c>
      <c r="C788" t="s">
        <v>1272</v>
      </c>
      <c r="D788" t="s">
        <v>412</v>
      </c>
      <c r="F788" t="s">
        <v>22</v>
      </c>
      <c r="G788" t="s">
        <v>22</v>
      </c>
      <c r="H788" t="s">
        <v>74</v>
      </c>
      <c r="I788" t="s">
        <v>3377</v>
      </c>
      <c r="J788">
        <v>14307.66</v>
      </c>
      <c r="K788" t="s">
        <v>27</v>
      </c>
      <c r="L788" t="s">
        <v>75</v>
      </c>
      <c r="M788" s="1">
        <v>45608.27847222222</v>
      </c>
      <c r="N788">
        <v>21</v>
      </c>
      <c r="O788" t="s">
        <v>127</v>
      </c>
      <c r="P788" t="s">
        <v>62</v>
      </c>
      <c r="Q788" t="s">
        <v>2466</v>
      </c>
      <c r="R788">
        <f t="shared" si="84"/>
        <v>95550709</v>
      </c>
      <c r="S788" t="str" cm="1">
        <f t="array" ref="S788">IF(C788="",IFERROR(INDEX($C$2:$C$1166,MATCH(MAX(COUNTIF($C$2:$C$1166,$C$2:$C$1166)),COUNTIF($C$2:$C$1166,$C$2:$C$1166),0)),"Unknown"),C788)</f>
        <v>Priya Miller</v>
      </c>
      <c r="T788" s="4" t="str" cm="1">
        <f t="array" ref="T788">IF(D788="",IFERROR(INDEX($D$2:$D$1000,MATCH(MAX(COUNTIF($D$2:$D$1166,$D$2:$D$1166)),COUNTIF($D$2:$D$1166,$D$2:$D$1166),0)),"Unknown"),D788)</f>
        <v>Sanjay Velez</v>
      </c>
      <c r="U788" t="str">
        <f t="shared" si="85"/>
        <v>BRL</v>
      </c>
      <c r="V788" s="7" t="str">
        <f t="shared" si="85"/>
        <v>BRL</v>
      </c>
      <c r="W788" s="7" t="str">
        <f t="shared" si="86"/>
        <v>Canada</v>
      </c>
      <c r="X788" s="7" t="str">
        <f t="shared" si="86"/>
        <v>Australia</v>
      </c>
      <c r="Y788" s="7" t="str" cm="1">
        <f t="array" ref="Y788">IF(H788="",IFERROR(INDEX($H$2:$H$1166,MATCH(MAX(COUNTIF($H$2:$H$1166,$H$2:$H$1166)),COUNTIF($H$2:$H$1166,$H$2:$H$1166),0)),"Unknown"),H788)</f>
        <v>Non-KYC</v>
      </c>
      <c r="Z788" s="7" t="str">
        <f t="shared" si="87"/>
        <v>Inter-Transaction</v>
      </c>
      <c r="AA788" s="7">
        <f>IF(J788="",AVERAGE($J:$J),J788)</f>
        <v>14307.66</v>
      </c>
      <c r="AB788" s="7">
        <f>IF(N788="",AVERAGE($N:$N),N788)</f>
        <v>21</v>
      </c>
      <c r="AC788" s="7">
        <f t="shared" si="88"/>
        <v>2024</v>
      </c>
      <c r="AD788" s="7">
        <f t="shared" si="89"/>
        <v>11</v>
      </c>
      <c r="AE788" s="7">
        <f>COUNTIF(A:A,A788)</f>
        <v>1</v>
      </c>
      <c r="AF788" s="7" t="str">
        <f t="shared" si="90"/>
        <v/>
      </c>
    </row>
    <row r="789" spans="1:32">
      <c r="A789" t="s">
        <v>2467</v>
      </c>
      <c r="B789">
        <v>60752545</v>
      </c>
      <c r="C789" t="s">
        <v>2062</v>
      </c>
      <c r="D789" t="s">
        <v>1575</v>
      </c>
      <c r="F789" t="s">
        <v>176</v>
      </c>
      <c r="G789" t="s">
        <v>44</v>
      </c>
      <c r="H789" t="s">
        <v>103</v>
      </c>
      <c r="I789" t="s">
        <v>3378</v>
      </c>
      <c r="J789">
        <v>8175.89</v>
      </c>
      <c r="K789" t="s">
        <v>39</v>
      </c>
      <c r="L789" t="s">
        <v>81</v>
      </c>
      <c r="M789" s="1">
        <v>43947.947222222225</v>
      </c>
      <c r="N789">
        <v>59</v>
      </c>
      <c r="O789" t="s">
        <v>55</v>
      </c>
      <c r="P789" t="s">
        <v>23</v>
      </c>
      <c r="Q789" t="s">
        <v>2468</v>
      </c>
      <c r="R789">
        <f t="shared" si="84"/>
        <v>60752545</v>
      </c>
      <c r="S789" t="str" cm="1">
        <f t="array" ref="S789">IF(C789="",IFERROR(INDEX($C$2:$C$1166,MATCH(MAX(COUNTIF($C$2:$C$1166,$C$2:$C$1166)),COUNTIF($C$2:$C$1166,$C$2:$C$1166),0)),"Unknown"),C789)</f>
        <v>David Martinez</v>
      </c>
      <c r="T789" s="4" t="str" cm="1">
        <f t="array" ref="T789">IF(D789="",IFERROR(INDEX($D$2:$D$1000,MATCH(MAX(COUNTIF($D$2:$D$1166,$D$2:$D$1166)),COUNTIF($D$2:$D$1166,$D$2:$D$1166),0)),"Unknown"),D789)</f>
        <v>Christopher Nair</v>
      </c>
      <c r="U789" t="str">
        <f t="shared" si="85"/>
        <v>aed</v>
      </c>
      <c r="V789" s="7" t="str">
        <f t="shared" si="85"/>
        <v>SGD</v>
      </c>
      <c r="W789" s="7" t="str">
        <f t="shared" si="86"/>
        <v>UK</v>
      </c>
      <c r="X789" s="7" t="str">
        <f t="shared" si="86"/>
        <v>France</v>
      </c>
      <c r="Y789" s="7" t="str" cm="1">
        <f t="array" ref="Y789">IF(H789="",IFERROR(INDEX($H$2:$H$1166,MATCH(MAX(COUNTIF($H$2:$H$1166,$H$2:$H$1166)),COUNTIF($H$2:$H$1166,$H$2:$H$1166),0)),"Unknown"),H789)</f>
        <v>Verified</v>
      </c>
      <c r="Z789" s="7" t="str">
        <f t="shared" si="87"/>
        <v>Inter-Transaction</v>
      </c>
      <c r="AA789" s="7">
        <f>IF(J789="",AVERAGE($J:$J),J789)</f>
        <v>8175.89</v>
      </c>
      <c r="AB789" s="7">
        <f>IF(N789="",AVERAGE($N:$N),N789)</f>
        <v>59</v>
      </c>
      <c r="AC789" s="7">
        <f t="shared" si="88"/>
        <v>2020</v>
      </c>
      <c r="AD789" s="7">
        <f t="shared" si="89"/>
        <v>4</v>
      </c>
      <c r="AE789" s="7">
        <f>COUNTIF(A:A,A789)</f>
        <v>1</v>
      </c>
      <c r="AF789" s="7" t="str">
        <f t="shared" si="90"/>
        <v/>
      </c>
    </row>
    <row r="790" spans="1:32">
      <c r="A790" t="s">
        <v>2469</v>
      </c>
      <c r="B790">
        <v>56648543</v>
      </c>
      <c r="C790" t="s">
        <v>2470</v>
      </c>
      <c r="D790" t="s">
        <v>2471</v>
      </c>
      <c r="F790" t="s">
        <v>80</v>
      </c>
      <c r="G790" t="s">
        <v>80</v>
      </c>
      <c r="I790" t="s">
        <v>3372</v>
      </c>
      <c r="J790">
        <v>14626.02</v>
      </c>
      <c r="K790" t="s">
        <v>27</v>
      </c>
      <c r="L790" t="s">
        <v>81</v>
      </c>
      <c r="M790" s="1">
        <v>44628.321527777778</v>
      </c>
      <c r="N790">
        <v>35</v>
      </c>
      <c r="O790" t="s">
        <v>23</v>
      </c>
      <c r="P790" t="s">
        <v>62</v>
      </c>
      <c r="Q790" t="s">
        <v>2472</v>
      </c>
      <c r="R790">
        <f t="shared" si="84"/>
        <v>56648543</v>
      </c>
      <c r="S790" t="str" cm="1">
        <f t="array" ref="S790">IF(C790="",IFERROR(INDEX($C$2:$C$1166,MATCH(MAX(COUNTIF($C$2:$C$1166,$C$2:$C$1166)),COUNTIF($C$2:$C$1166,$C$2:$C$1166),0)),"Unknown"),C790)</f>
        <v>Jessica Rostova</v>
      </c>
      <c r="T790" s="4" t="str" cm="1">
        <f t="array" ref="T790">IF(D790="",IFERROR(INDEX($D$2:$D$1000,MATCH(MAX(COUNTIF($D$2:$D$1166,$D$2:$D$1166)),COUNTIF($D$2:$D$1166,$D$2:$D$1166),0)),"Unknown"),D790)</f>
        <v xml:space="preserve"> mary rodriguez   </v>
      </c>
      <c r="U790" t="str">
        <f t="shared" si="85"/>
        <v>USD</v>
      </c>
      <c r="V790" s="7" t="str">
        <f t="shared" si="85"/>
        <v>USD</v>
      </c>
      <c r="W790" s="7" t="str">
        <f t="shared" si="86"/>
        <v>France</v>
      </c>
      <c r="X790" s="7" t="str">
        <f t="shared" si="86"/>
        <v>Australia</v>
      </c>
      <c r="Y790" s="7" t="str" cm="1">
        <f t="array" ref="Y790">IF(H790="",IFERROR(INDEX($H$2:$H$1166,MATCH(MAX(COUNTIF($H$2:$H$1166,$H$2:$H$1166)),COUNTIF($H$2:$H$1166,$H$2:$H$1166),0)),"Unknown"),H790)</f>
        <v>Pending</v>
      </c>
      <c r="Z790" s="7" t="str">
        <f t="shared" si="87"/>
        <v>Outer-Transaction</v>
      </c>
      <c r="AA790" s="7">
        <f>IF(J790="",AVERAGE($J:$J),J790)</f>
        <v>14626.02</v>
      </c>
      <c r="AB790" s="7">
        <f>IF(N790="",AVERAGE($N:$N),N790)</f>
        <v>35</v>
      </c>
      <c r="AC790" s="7">
        <f t="shared" si="88"/>
        <v>2022</v>
      </c>
      <c r="AD790" s="7">
        <f t="shared" si="89"/>
        <v>3</v>
      </c>
      <c r="AE790" s="7">
        <f>COUNTIF(A:A,A790)</f>
        <v>1</v>
      </c>
      <c r="AF790" s="7" t="str">
        <f t="shared" si="90"/>
        <v/>
      </c>
    </row>
    <row r="791" spans="1:32">
      <c r="A791" t="s">
        <v>2473</v>
      </c>
      <c r="B791">
        <v>53096805</v>
      </c>
      <c r="C791" t="s">
        <v>1878</v>
      </c>
      <c r="D791" t="s">
        <v>913</v>
      </c>
      <c r="F791" t="s">
        <v>22</v>
      </c>
      <c r="G791" t="s">
        <v>80</v>
      </c>
      <c r="H791" t="s">
        <v>74</v>
      </c>
      <c r="I791" t="s">
        <v>3372</v>
      </c>
      <c r="J791">
        <v>4502.6499999999996</v>
      </c>
      <c r="K791" t="s">
        <v>86</v>
      </c>
      <c r="L791" t="s">
        <v>75</v>
      </c>
      <c r="M791" s="1">
        <v>45542.890972222223</v>
      </c>
      <c r="N791">
        <v>57</v>
      </c>
      <c r="O791" t="s">
        <v>68</v>
      </c>
      <c r="P791" t="s">
        <v>36</v>
      </c>
      <c r="Q791" t="s">
        <v>2474</v>
      </c>
      <c r="R791">
        <f t="shared" si="84"/>
        <v>53096805</v>
      </c>
      <c r="S791" t="str" cm="1">
        <f t="array" ref="S791">IF(C791="",IFERROR(INDEX($C$2:$C$1166,MATCH(MAX(COUNTIF($C$2:$C$1166,$C$2:$C$1166)),COUNTIF($C$2:$C$1166,$C$2:$C$1166),0)),"Unknown"),C791)</f>
        <v>William Johnson</v>
      </c>
      <c r="T791" s="4" t="str" cm="1">
        <f t="array" ref="T791">IF(D791="",IFERROR(INDEX($D$2:$D$1000,MATCH(MAX(COUNTIF($D$2:$D$1166,$D$2:$D$1166)),COUNTIF($D$2:$D$1166,$D$2:$D$1166),0)),"Unknown"),D791)</f>
        <v>Elena Lopez</v>
      </c>
      <c r="U791" t="str">
        <f t="shared" si="85"/>
        <v>BRL</v>
      </c>
      <c r="V791" s="7" t="str">
        <f t="shared" si="85"/>
        <v>USD</v>
      </c>
      <c r="W791" s="7" t="str">
        <f t="shared" si="86"/>
        <v>UAE</v>
      </c>
      <c r="X791" s="7" t="str">
        <f t="shared" si="86"/>
        <v>Germany</v>
      </c>
      <c r="Y791" s="7" t="str" cm="1">
        <f t="array" ref="Y791">IF(H791="",IFERROR(INDEX($H$2:$H$1166,MATCH(MAX(COUNTIF($H$2:$H$1166,$H$2:$H$1166)),COUNTIF($H$2:$H$1166,$H$2:$H$1166),0)),"Unknown"),H791)</f>
        <v>Non-KYC</v>
      </c>
      <c r="Z791" s="7" t="str">
        <f t="shared" si="87"/>
        <v>Outer-Transaction</v>
      </c>
      <c r="AA791" s="7">
        <f>IF(J791="",AVERAGE($J:$J),J791)</f>
        <v>4502.6499999999996</v>
      </c>
      <c r="AB791" s="7">
        <f>IF(N791="",AVERAGE($N:$N),N791)</f>
        <v>57</v>
      </c>
      <c r="AC791" s="7">
        <f t="shared" si="88"/>
        <v>2024</v>
      </c>
      <c r="AD791" s="7">
        <f t="shared" si="89"/>
        <v>9</v>
      </c>
      <c r="AE791" s="7">
        <f>COUNTIF(A:A,A791)</f>
        <v>1</v>
      </c>
      <c r="AF791" s="7" t="str">
        <f t="shared" si="90"/>
        <v/>
      </c>
    </row>
    <row r="792" spans="1:32">
      <c r="A792" t="s">
        <v>2475</v>
      </c>
      <c r="B792">
        <v>98242667</v>
      </c>
      <c r="C792" t="s">
        <v>521</v>
      </c>
      <c r="D792" t="s">
        <v>2476</v>
      </c>
      <c r="F792" t="s">
        <v>53</v>
      </c>
      <c r="G792" t="s">
        <v>22</v>
      </c>
      <c r="H792" t="s">
        <v>25</v>
      </c>
      <c r="I792" t="s">
        <v>3372</v>
      </c>
      <c r="J792">
        <v>8545.09</v>
      </c>
      <c r="K792" t="s">
        <v>27</v>
      </c>
      <c r="L792" t="s">
        <v>48</v>
      </c>
      <c r="M792" s="1">
        <v>44583.789583333331</v>
      </c>
      <c r="N792">
        <v>56</v>
      </c>
      <c r="O792" t="s">
        <v>55</v>
      </c>
      <c r="P792" t="s">
        <v>36</v>
      </c>
      <c r="Q792" t="s">
        <v>2477</v>
      </c>
      <c r="R792">
        <f t="shared" si="84"/>
        <v>98242667</v>
      </c>
      <c r="S792" t="str" cm="1">
        <f t="array" ref="S792">IF(C792="",IFERROR(INDEX($C$2:$C$1166,MATCH(MAX(COUNTIF($C$2:$C$1166,$C$2:$C$1166)),COUNTIF($C$2:$C$1166,$C$2:$C$1166),0)),"Unknown"),C792)</f>
        <v>Jessica Davis</v>
      </c>
      <c r="T792" s="4" t="str" cm="1">
        <f t="array" ref="T792">IF(D792="",IFERROR(INDEX($D$2:$D$1000,MATCH(MAX(COUNTIF($D$2:$D$1166,$D$2:$D$1166)),COUNTIF($D$2:$D$1166,$D$2:$D$1166),0)),"Unknown"),D792)</f>
        <v>Barbara Hernandez</v>
      </c>
      <c r="U792" t="str">
        <f t="shared" si="85"/>
        <v>AED</v>
      </c>
      <c r="V792" s="7" t="str">
        <f t="shared" si="85"/>
        <v>BRL</v>
      </c>
      <c r="W792" s="7" t="str">
        <f t="shared" si="86"/>
        <v>UK</v>
      </c>
      <c r="X792" s="7" t="str">
        <f t="shared" si="86"/>
        <v>Germany</v>
      </c>
      <c r="Y792" s="7" t="str" cm="1">
        <f t="array" ref="Y792">IF(H792="",IFERROR(INDEX($H$2:$H$1166,MATCH(MAX(COUNTIF($H$2:$H$1166,$H$2:$H$1166)),COUNTIF($H$2:$H$1166,$H$2:$H$1166),0)),"Unknown"),H792)</f>
        <v>KYC</v>
      </c>
      <c r="Z792" s="7" t="str">
        <f t="shared" si="87"/>
        <v>Outer-Transaction</v>
      </c>
      <c r="AA792" s="7">
        <f>IF(J792="",AVERAGE($J:$J),J792)</f>
        <v>8545.09</v>
      </c>
      <c r="AB792" s="7">
        <f>IF(N792="",AVERAGE($N:$N),N792)</f>
        <v>56</v>
      </c>
      <c r="AC792" s="7">
        <f t="shared" si="88"/>
        <v>2022</v>
      </c>
      <c r="AD792" s="7">
        <f t="shared" si="89"/>
        <v>1</v>
      </c>
      <c r="AE792" s="7">
        <f>COUNTIF(A:A,A792)</f>
        <v>1</v>
      </c>
      <c r="AF792" s="7" t="str">
        <f t="shared" si="90"/>
        <v/>
      </c>
    </row>
    <row r="793" spans="1:32">
      <c r="A793" t="s">
        <v>2478</v>
      </c>
      <c r="B793">
        <v>12305350</v>
      </c>
      <c r="D793" t="s">
        <v>2479</v>
      </c>
      <c r="F793" t="s">
        <v>98</v>
      </c>
      <c r="G793" t="s">
        <v>21</v>
      </c>
      <c r="H793" t="s">
        <v>56</v>
      </c>
      <c r="I793" t="s">
        <v>3374</v>
      </c>
      <c r="J793">
        <v>14028.34</v>
      </c>
      <c r="K793" t="s">
        <v>27</v>
      </c>
      <c r="L793" t="s">
        <v>75</v>
      </c>
      <c r="M793" s="1">
        <v>46300.010416666664</v>
      </c>
      <c r="N793">
        <v>31</v>
      </c>
      <c r="O793" t="s">
        <v>55</v>
      </c>
      <c r="P793" t="s">
        <v>36</v>
      </c>
      <c r="Q793" t="s">
        <v>2480</v>
      </c>
      <c r="R793">
        <f t="shared" si="84"/>
        <v>12305350</v>
      </c>
      <c r="S793" t="str" cm="1">
        <f t="array" ref="S793">IF(C793="",IFERROR(INDEX($C$2:$C$1166,MATCH(MAX(COUNTIF($C$2:$C$1166,$C$2:$C$1166)),COUNTIF($C$2:$C$1166,$C$2:$C$1166),0)),"Unknown"),C793)</f>
        <v>Fatima Brown</v>
      </c>
      <c r="T793" s="4" t="str" cm="1">
        <f t="array" ref="T793">IF(D793="",IFERROR(INDEX($D$2:$D$1000,MATCH(MAX(COUNTIF($D$2:$D$1166,$D$2:$D$1166)),COUNTIF($D$2:$D$1166,$D$2:$D$1166),0)),"Unknown"),D793)</f>
        <v>Marta Khan</v>
      </c>
      <c r="U793" t="str">
        <f t="shared" si="85"/>
        <v>JPY</v>
      </c>
      <c r="V793" s="7" t="str">
        <f t="shared" si="85"/>
        <v>GBP</v>
      </c>
      <c r="W793" s="7" t="str">
        <f t="shared" si="86"/>
        <v>UK</v>
      </c>
      <c r="X793" s="7" t="str">
        <f t="shared" si="86"/>
        <v>Germany</v>
      </c>
      <c r="Y793" s="7" t="str" cm="1">
        <f t="array" ref="Y793">IF(H793="",IFERROR(INDEX($H$2:$H$1166,MATCH(MAX(COUNTIF($H$2:$H$1166,$H$2:$H$1166)),COUNTIF($H$2:$H$1166,$H$2:$H$1166),0)),"Unknown"),H793)</f>
        <v>Unverified</v>
      </c>
      <c r="Z793" s="7" t="str">
        <f t="shared" si="87"/>
        <v>External</v>
      </c>
      <c r="AA793" s="7">
        <f>IF(J793="",AVERAGE($J:$J),J793)</f>
        <v>14028.34</v>
      </c>
      <c r="AB793" s="7">
        <f>IF(N793="",AVERAGE($N:$N),N793)</f>
        <v>31</v>
      </c>
      <c r="AC793" s="7">
        <f t="shared" si="88"/>
        <v>2026</v>
      </c>
      <c r="AD793" s="7">
        <f t="shared" si="89"/>
        <v>10</v>
      </c>
      <c r="AE793" s="7">
        <f>COUNTIF(A:A,A793)</f>
        <v>1</v>
      </c>
      <c r="AF793" s="7" t="str">
        <f t="shared" si="90"/>
        <v/>
      </c>
    </row>
    <row r="794" spans="1:32">
      <c r="A794" t="s">
        <v>2481</v>
      </c>
      <c r="B794">
        <v>25454302</v>
      </c>
      <c r="C794" t="s">
        <v>771</v>
      </c>
      <c r="D794" t="s">
        <v>848</v>
      </c>
      <c r="F794" t="s">
        <v>53</v>
      </c>
      <c r="G794" t="s">
        <v>98</v>
      </c>
      <c r="H794" t="s">
        <v>38</v>
      </c>
      <c r="I794" t="s">
        <v>3371</v>
      </c>
      <c r="J794">
        <v>12888.56</v>
      </c>
      <c r="K794" t="s">
        <v>47</v>
      </c>
      <c r="L794" t="s">
        <v>28</v>
      </c>
      <c r="M794" s="1">
        <v>45223.908333333333</v>
      </c>
      <c r="N794">
        <v>49</v>
      </c>
      <c r="O794" t="s">
        <v>37</v>
      </c>
      <c r="P794" t="s">
        <v>93</v>
      </c>
      <c r="Q794" t="s">
        <v>2482</v>
      </c>
      <c r="R794">
        <f t="shared" si="84"/>
        <v>25454302</v>
      </c>
      <c r="S794" t="str" cm="1">
        <f t="array" ref="S794">IF(C794="",IFERROR(INDEX($C$2:$C$1166,MATCH(MAX(COUNTIF($C$2:$C$1166,$C$2:$C$1166)),COUNTIF($C$2:$C$1166,$C$2:$C$1166),0)),"Unknown"),C794)</f>
        <v>Zayn Thomas</v>
      </c>
      <c r="T794" s="4" t="str" cm="1">
        <f t="array" ref="T794">IF(D794="",IFERROR(INDEX($D$2:$D$1000,MATCH(MAX(COUNTIF($D$2:$D$1166,$D$2:$D$1166)),COUNTIF($D$2:$D$1166,$D$2:$D$1166),0)),"Unknown"),D794)</f>
        <v>Jean-Pierre Johnson</v>
      </c>
      <c r="U794" t="str">
        <f t="shared" si="85"/>
        <v>AED</v>
      </c>
      <c r="V794" s="7" t="str">
        <f t="shared" si="85"/>
        <v>JPY</v>
      </c>
      <c r="W794" s="7" t="str">
        <f t="shared" si="86"/>
        <v>South Africa</v>
      </c>
      <c r="X794" s="7" t="str">
        <f t="shared" si="86"/>
        <v>USA</v>
      </c>
      <c r="Y794" s="7" t="str" cm="1">
        <f t="array" ref="Y794">IF(H794="",IFERROR(INDEX($H$2:$H$1166,MATCH(MAX(COUNTIF($H$2:$H$1166,$H$2:$H$1166)),COUNTIF($H$2:$H$1166,$H$2:$H$1166),0)),"Unknown"),H794)</f>
        <v>Pending</v>
      </c>
      <c r="Z794" s="7" t="str">
        <f t="shared" si="87"/>
        <v>Outer-Transaction</v>
      </c>
      <c r="AA794" s="7">
        <f>IF(J794="",AVERAGE($J:$J),J794)</f>
        <v>12888.56</v>
      </c>
      <c r="AB794" s="7">
        <f>IF(N794="",AVERAGE($N:$N),N794)</f>
        <v>49</v>
      </c>
      <c r="AC794" s="7">
        <f t="shared" si="88"/>
        <v>2023</v>
      </c>
      <c r="AD794" s="7">
        <f t="shared" si="89"/>
        <v>10</v>
      </c>
      <c r="AE794" s="7">
        <f>COUNTIF(A:A,A794)</f>
        <v>1</v>
      </c>
      <c r="AF794" s="7" t="str">
        <f t="shared" si="90"/>
        <v/>
      </c>
    </row>
    <row r="795" spans="1:32">
      <c r="A795" t="s">
        <v>2483</v>
      </c>
      <c r="B795">
        <v>39990423</v>
      </c>
      <c r="C795" t="s">
        <v>690</v>
      </c>
      <c r="D795" t="s">
        <v>783</v>
      </c>
      <c r="F795" t="s">
        <v>22</v>
      </c>
      <c r="G795" t="s">
        <v>34</v>
      </c>
      <c r="I795" t="s">
        <v>3378</v>
      </c>
      <c r="J795">
        <v>7936.19</v>
      </c>
      <c r="K795" t="s">
        <v>27</v>
      </c>
      <c r="L795" t="s">
        <v>81</v>
      </c>
      <c r="M795" s="1">
        <v>45928.737500000003</v>
      </c>
      <c r="N795">
        <v>68</v>
      </c>
      <c r="O795" t="s">
        <v>68</v>
      </c>
      <c r="P795" t="s">
        <v>37</v>
      </c>
      <c r="Q795" t="s">
        <v>2484</v>
      </c>
      <c r="R795">
        <f t="shared" si="84"/>
        <v>39990423</v>
      </c>
      <c r="S795" t="str" cm="1">
        <f t="array" ref="S795">IF(C795="",IFERROR(INDEX($C$2:$C$1166,MATCH(MAX(COUNTIF($C$2:$C$1166,$C$2:$C$1166)),COUNTIF($C$2:$C$1166,$C$2:$C$1166),0)),"Unknown"),C795)</f>
        <v>Christopher Johnson</v>
      </c>
      <c r="T795" s="4" t="str" cm="1">
        <f t="array" ref="T795">IF(D795="",IFERROR(INDEX($D$2:$D$1000,MATCH(MAX(COUNTIF($D$2:$D$1166,$D$2:$D$1166)),COUNTIF($D$2:$D$1166,$D$2:$D$1166),0)),"Unknown"),D795)</f>
        <v>Amir Smith</v>
      </c>
      <c r="U795" t="str">
        <f t="shared" si="85"/>
        <v>BRL</v>
      </c>
      <c r="V795" s="7" t="str">
        <f t="shared" si="85"/>
        <v>CAD</v>
      </c>
      <c r="W795" s="7" t="str">
        <f t="shared" si="86"/>
        <v>UAE</v>
      </c>
      <c r="X795" s="7" t="str">
        <f t="shared" si="86"/>
        <v>South Africa</v>
      </c>
      <c r="Y795" s="7" t="str" cm="1">
        <f t="array" ref="Y795">IF(H795="",IFERROR(INDEX($H$2:$H$1166,MATCH(MAX(COUNTIF($H$2:$H$1166,$H$2:$H$1166)),COUNTIF($H$2:$H$1166,$H$2:$H$1166),0)),"Unknown"),H795)</f>
        <v>Pending</v>
      </c>
      <c r="Z795" s="7" t="str">
        <f t="shared" si="87"/>
        <v>Inter-Transaction</v>
      </c>
      <c r="AA795" s="7">
        <f>IF(J795="",AVERAGE($J:$J),J795)</f>
        <v>7936.19</v>
      </c>
      <c r="AB795" s="7">
        <f>IF(N795="",AVERAGE($N:$N),N795)</f>
        <v>68</v>
      </c>
      <c r="AC795" s="7">
        <f t="shared" si="88"/>
        <v>2025</v>
      </c>
      <c r="AD795" s="7">
        <f t="shared" si="89"/>
        <v>9</v>
      </c>
      <c r="AE795" s="7">
        <f>COUNTIF(A:A,A795)</f>
        <v>1</v>
      </c>
      <c r="AF795" s="7" t="str">
        <f t="shared" si="90"/>
        <v/>
      </c>
    </row>
    <row r="796" spans="1:32">
      <c r="A796" t="s">
        <v>2485</v>
      </c>
      <c r="B796">
        <v>20587268</v>
      </c>
      <c r="C796" t="s">
        <v>1059</v>
      </c>
      <c r="D796" t="s">
        <v>1130</v>
      </c>
      <c r="F796" t="s">
        <v>53</v>
      </c>
      <c r="G796" t="s">
        <v>22</v>
      </c>
      <c r="H796" t="s">
        <v>25</v>
      </c>
      <c r="I796" t="s">
        <v>3377</v>
      </c>
      <c r="J796">
        <v>3350.11</v>
      </c>
      <c r="K796" t="s">
        <v>27</v>
      </c>
      <c r="L796" t="s">
        <v>75</v>
      </c>
      <c r="M796" s="1">
        <v>44508.712500000001</v>
      </c>
      <c r="N796">
        <v>55</v>
      </c>
      <c r="O796" t="s">
        <v>62</v>
      </c>
      <c r="P796" t="s">
        <v>93</v>
      </c>
      <c r="Q796" t="s">
        <v>2486</v>
      </c>
      <c r="R796">
        <f t="shared" si="84"/>
        <v>20587268</v>
      </c>
      <c r="S796" t="str" cm="1">
        <f t="array" ref="S796">IF(C796="",IFERROR(INDEX($C$2:$C$1166,MATCH(MAX(COUNTIF($C$2:$C$1166,$C$2:$C$1166)),COUNTIF($C$2:$C$1166,$C$2:$C$1166),0)),"Unknown"),C796)</f>
        <v>Priya Jackson</v>
      </c>
      <c r="T796" s="4" t="str" cm="1">
        <f t="array" ref="T796">IF(D796="",IFERROR(INDEX($D$2:$D$1000,MATCH(MAX(COUNTIF($D$2:$D$1166,$D$2:$D$1166)),COUNTIF($D$2:$D$1166,$D$2:$D$1166),0)),"Unknown"),D796)</f>
        <v>Nancy Miller</v>
      </c>
      <c r="U796" t="str">
        <f t="shared" si="85"/>
        <v>AED</v>
      </c>
      <c r="V796" s="7" t="str">
        <f t="shared" si="85"/>
        <v>BRL</v>
      </c>
      <c r="W796" s="7" t="str">
        <f t="shared" si="86"/>
        <v>Australia</v>
      </c>
      <c r="X796" s="7" t="str">
        <f t="shared" si="86"/>
        <v>USA</v>
      </c>
      <c r="Y796" s="7" t="str" cm="1">
        <f t="array" ref="Y796">IF(H796="",IFERROR(INDEX($H$2:$H$1166,MATCH(MAX(COUNTIF($H$2:$H$1166,$H$2:$H$1166)),COUNTIF($H$2:$H$1166,$H$2:$H$1166),0)),"Unknown"),H796)</f>
        <v>KYC</v>
      </c>
      <c r="Z796" s="7" t="str">
        <f t="shared" si="87"/>
        <v>Inter-Transaction</v>
      </c>
      <c r="AA796" s="7">
        <f>IF(J796="",AVERAGE($J:$J),J796)</f>
        <v>3350.11</v>
      </c>
      <c r="AB796" s="7">
        <f>IF(N796="",AVERAGE($N:$N),N796)</f>
        <v>55</v>
      </c>
      <c r="AC796" s="7">
        <f t="shared" si="88"/>
        <v>2021</v>
      </c>
      <c r="AD796" s="7">
        <f t="shared" si="89"/>
        <v>11</v>
      </c>
      <c r="AE796" s="7">
        <f>COUNTIF(A:A,A796)</f>
        <v>1</v>
      </c>
      <c r="AF796" s="7" t="str">
        <f t="shared" si="90"/>
        <v/>
      </c>
    </row>
    <row r="797" spans="1:32">
      <c r="A797" t="s">
        <v>2487</v>
      </c>
      <c r="B797">
        <v>43374719</v>
      </c>
      <c r="C797" t="s">
        <v>1861</v>
      </c>
      <c r="D797" t="s">
        <v>2488</v>
      </c>
      <c r="F797" t="s">
        <v>92</v>
      </c>
      <c r="G797" t="s">
        <v>121</v>
      </c>
      <c r="H797" t="s">
        <v>38</v>
      </c>
      <c r="I797" t="s">
        <v>3374</v>
      </c>
      <c r="J797">
        <v>10400.27</v>
      </c>
      <c r="K797" t="s">
        <v>39</v>
      </c>
      <c r="L797" t="s">
        <v>28</v>
      </c>
      <c r="M797" s="1">
        <v>43936.725694444445</v>
      </c>
      <c r="N797">
        <v>40</v>
      </c>
      <c r="O797" t="s">
        <v>127</v>
      </c>
      <c r="P797" t="s">
        <v>24</v>
      </c>
      <c r="Q797" t="s">
        <v>2489</v>
      </c>
      <c r="R797">
        <f t="shared" si="84"/>
        <v>43374719</v>
      </c>
      <c r="S797" t="str" cm="1">
        <f t="array" ref="S797">IF(C797="",IFERROR(INDEX($C$2:$C$1166,MATCH(MAX(COUNTIF($C$2:$C$1166,$C$2:$C$1166)),COUNTIF($C$2:$C$1166,$C$2:$C$1166),0)),"Unknown"),C797)</f>
        <v>William Martinez</v>
      </c>
      <c r="T797" s="4" t="str" cm="1">
        <f t="array" ref="T797">IF(D797="",IFERROR(INDEX($D$2:$D$1000,MATCH(MAX(COUNTIF($D$2:$D$1166,$D$2:$D$1166)),COUNTIF($D$2:$D$1166,$D$2:$D$1166),0)),"Unknown"),D797)</f>
        <v>Thomas Martinez</v>
      </c>
      <c r="U797" t="str">
        <f t="shared" si="85"/>
        <v>AUD</v>
      </c>
      <c r="V797" s="7" t="str">
        <f t="shared" si="85"/>
        <v>INR</v>
      </c>
      <c r="W797" s="7" t="str">
        <f t="shared" si="86"/>
        <v>Canada</v>
      </c>
      <c r="X797" s="7" t="str">
        <f t="shared" si="86"/>
        <v>Brazil</v>
      </c>
      <c r="Y797" s="7" t="str" cm="1">
        <f t="array" ref="Y797">IF(H797="",IFERROR(INDEX($H$2:$H$1166,MATCH(MAX(COUNTIF($H$2:$H$1166,$H$2:$H$1166)),COUNTIF($H$2:$H$1166,$H$2:$H$1166),0)),"Unknown"),H797)</f>
        <v>Pending</v>
      </c>
      <c r="Z797" s="7" t="str">
        <f t="shared" si="87"/>
        <v>External</v>
      </c>
      <c r="AA797" s="7">
        <f>IF(J797="",AVERAGE($J:$J),J797)</f>
        <v>10400.27</v>
      </c>
      <c r="AB797" s="7">
        <f>IF(N797="",AVERAGE($N:$N),N797)</f>
        <v>40</v>
      </c>
      <c r="AC797" s="7">
        <f t="shared" si="88"/>
        <v>2020</v>
      </c>
      <c r="AD797" s="7">
        <f t="shared" si="89"/>
        <v>4</v>
      </c>
      <c r="AE797" s="7">
        <f>COUNTIF(A:A,A797)</f>
        <v>1</v>
      </c>
      <c r="AF797" s="7" t="str">
        <f t="shared" si="90"/>
        <v/>
      </c>
    </row>
    <row r="798" spans="1:32">
      <c r="A798" t="s">
        <v>2490</v>
      </c>
      <c r="B798">
        <v>61194546</v>
      </c>
      <c r="C798" t="s">
        <v>563</v>
      </c>
      <c r="D798" t="s">
        <v>719</v>
      </c>
      <c r="F798" t="s">
        <v>45</v>
      </c>
      <c r="G798" t="s">
        <v>35</v>
      </c>
      <c r="H798" t="s">
        <v>74</v>
      </c>
      <c r="I798" t="s">
        <v>3377</v>
      </c>
      <c r="J798">
        <v>4538.45</v>
      </c>
      <c r="K798" t="s">
        <v>57</v>
      </c>
      <c r="L798" t="s">
        <v>28</v>
      </c>
      <c r="M798" s="1">
        <v>44488.295138888891</v>
      </c>
      <c r="N798">
        <v>80</v>
      </c>
      <c r="O798" t="s">
        <v>68</v>
      </c>
      <c r="P798" t="s">
        <v>68</v>
      </c>
      <c r="Q798" t="s">
        <v>2491</v>
      </c>
      <c r="R798">
        <f t="shared" si="84"/>
        <v>61194546</v>
      </c>
      <c r="S798" t="str" cm="1">
        <f t="array" ref="S798">IF(C798="",IFERROR(INDEX($C$2:$C$1166,MATCH(MAX(COUNTIF($C$2:$C$1166,$C$2:$C$1166)),COUNTIF($C$2:$C$1166,$C$2:$C$1166),0)),"Unknown"),C798)</f>
        <v>Jean-Pierre Jackson</v>
      </c>
      <c r="T798" s="4" t="str" cm="1">
        <f t="array" ref="T798">IF(D798="",IFERROR(INDEX($D$2:$D$1000,MATCH(MAX(COUNTIF($D$2:$D$1166,$D$2:$D$1166)),COUNTIF($D$2:$D$1166,$D$2:$D$1166),0)),"Unknown"),D798)</f>
        <v>Mary Jones</v>
      </c>
      <c r="U798" t="str">
        <f t="shared" si="85"/>
        <v>ZAR</v>
      </c>
      <c r="V798" s="7" t="str">
        <f t="shared" si="85"/>
        <v>EUR</v>
      </c>
      <c r="W798" s="7" t="str">
        <f t="shared" si="86"/>
        <v>UAE</v>
      </c>
      <c r="X798" s="7" t="str">
        <f t="shared" si="86"/>
        <v>UAE</v>
      </c>
      <c r="Y798" s="7" t="str" cm="1">
        <f t="array" ref="Y798">IF(H798="",IFERROR(INDEX($H$2:$H$1166,MATCH(MAX(COUNTIF($H$2:$H$1166,$H$2:$H$1166)),COUNTIF($H$2:$H$1166,$H$2:$H$1166),0)),"Unknown"),H798)</f>
        <v>Non-KYC</v>
      </c>
      <c r="Z798" s="7" t="str">
        <f t="shared" si="87"/>
        <v>Inter-Transaction</v>
      </c>
      <c r="AA798" s="7">
        <f>IF(J798="",AVERAGE($J:$J),J798)</f>
        <v>4538.45</v>
      </c>
      <c r="AB798" s="7">
        <f>IF(N798="",AVERAGE($N:$N),N798)</f>
        <v>80</v>
      </c>
      <c r="AC798" s="7">
        <f t="shared" si="88"/>
        <v>2021</v>
      </c>
      <c r="AD798" s="7">
        <f t="shared" si="89"/>
        <v>10</v>
      </c>
      <c r="AE798" s="7">
        <f>COUNTIF(A:A,A798)</f>
        <v>1</v>
      </c>
      <c r="AF798" s="7" t="str">
        <f t="shared" si="90"/>
        <v/>
      </c>
    </row>
    <row r="799" spans="1:32">
      <c r="A799" t="s">
        <v>2492</v>
      </c>
      <c r="B799">
        <v>47625379</v>
      </c>
      <c r="C799" t="s">
        <v>847</v>
      </c>
      <c r="D799" t="s">
        <v>570</v>
      </c>
      <c r="F799" t="s">
        <v>34</v>
      </c>
      <c r="G799" t="s">
        <v>22</v>
      </c>
      <c r="H799" t="s">
        <v>74</v>
      </c>
      <c r="I799" t="s">
        <v>3376</v>
      </c>
      <c r="J799">
        <v>11900.19</v>
      </c>
      <c r="K799" t="s">
        <v>86</v>
      </c>
      <c r="L799" t="s">
        <v>48</v>
      </c>
      <c r="M799" s="1">
        <v>45777.265277777777</v>
      </c>
      <c r="N799">
        <v>32</v>
      </c>
      <c r="O799" t="s">
        <v>127</v>
      </c>
      <c r="P799" t="s">
        <v>68</v>
      </c>
      <c r="Q799" t="s">
        <v>2493</v>
      </c>
      <c r="R799">
        <f t="shared" si="84"/>
        <v>47625379</v>
      </c>
      <c r="S799" t="str" cm="1">
        <f t="array" ref="S799">IF(C799="",IFERROR(INDEX($C$2:$C$1166,MATCH(MAX(COUNTIF($C$2:$C$1166,$C$2:$C$1166)),COUNTIF($C$2:$C$1166,$C$2:$C$1166),0)),"Unknown"),C799)</f>
        <v>Jessica Gonzalez</v>
      </c>
      <c r="T799" s="4" t="str" cm="1">
        <f t="array" ref="T799">IF(D799="",IFERROR(INDEX($D$2:$D$1000,MATCH(MAX(COUNTIF($D$2:$D$1166,$D$2:$D$1166)),COUNTIF($D$2:$D$1166,$D$2:$D$1166),0)),"Unknown"),D799)</f>
        <v>Richard Garcia</v>
      </c>
      <c r="U799" t="str">
        <f t="shared" si="85"/>
        <v>CAD</v>
      </c>
      <c r="V799" s="7" t="str">
        <f t="shared" si="85"/>
        <v>BRL</v>
      </c>
      <c r="W799" s="7" t="str">
        <f t="shared" si="86"/>
        <v>Canada</v>
      </c>
      <c r="X799" s="7" t="str">
        <f t="shared" si="86"/>
        <v>UAE</v>
      </c>
      <c r="Y799" s="7" t="str" cm="1">
        <f t="array" ref="Y799">IF(H799="",IFERROR(INDEX($H$2:$H$1166,MATCH(MAX(COUNTIF($H$2:$H$1166,$H$2:$H$1166)),COUNTIF($H$2:$H$1166,$H$2:$H$1166),0)),"Unknown"),H799)</f>
        <v>Non-KYC</v>
      </c>
      <c r="Z799" s="7" t="str">
        <f t="shared" si="87"/>
        <v>Internal</v>
      </c>
      <c r="AA799" s="7">
        <f>IF(J799="",AVERAGE($J:$J),J799)</f>
        <v>11900.19</v>
      </c>
      <c r="AB799" s="7">
        <f>IF(N799="",AVERAGE($N:$N),N799)</f>
        <v>32</v>
      </c>
      <c r="AC799" s="7">
        <f t="shared" si="88"/>
        <v>2025</v>
      </c>
      <c r="AD799" s="7">
        <f t="shared" si="89"/>
        <v>4</v>
      </c>
      <c r="AE799" s="7">
        <f>COUNTIF(A:A,A799)</f>
        <v>1</v>
      </c>
      <c r="AF799" s="7" t="str">
        <f t="shared" si="90"/>
        <v/>
      </c>
    </row>
    <row r="800" spans="1:32">
      <c r="A800" t="s">
        <v>2494</v>
      </c>
      <c r="B800">
        <v>44042835</v>
      </c>
      <c r="C800" t="s">
        <v>861</v>
      </c>
      <c r="D800" t="s">
        <v>1176</v>
      </c>
      <c r="F800" t="s">
        <v>35</v>
      </c>
      <c r="G800" t="s">
        <v>45</v>
      </c>
      <c r="H800" t="s">
        <v>56</v>
      </c>
      <c r="I800" t="s">
        <v>3371</v>
      </c>
      <c r="J800">
        <v>11640.83</v>
      </c>
      <c r="K800" t="s">
        <v>27</v>
      </c>
      <c r="L800" t="s">
        <v>75</v>
      </c>
      <c r="M800" s="1">
        <v>45279.90347222222</v>
      </c>
      <c r="N800">
        <v>42</v>
      </c>
      <c r="O800" t="s">
        <v>36</v>
      </c>
      <c r="P800" t="s">
        <v>36</v>
      </c>
      <c r="Q800" t="s">
        <v>2495</v>
      </c>
      <c r="R800">
        <f t="shared" si="84"/>
        <v>44042835</v>
      </c>
      <c r="S800" t="str" cm="1">
        <f t="array" ref="S800">IF(C800="",IFERROR(INDEX($C$2:$C$1166,MATCH(MAX(COUNTIF($C$2:$C$1166,$C$2:$C$1166)),COUNTIF($C$2:$C$1166,$C$2:$C$1166),0)),"Unknown"),C800)</f>
        <v>Jessica Anderson</v>
      </c>
      <c r="T800" s="4" t="str" cm="1">
        <f t="array" ref="T800">IF(D800="",IFERROR(INDEX($D$2:$D$1000,MATCH(MAX(COUNTIF($D$2:$D$1166,$D$2:$D$1166)),COUNTIF($D$2:$D$1166,$D$2:$D$1166),0)),"Unknown"),D800)</f>
        <v>Thomas Williams</v>
      </c>
      <c r="U800" t="str">
        <f t="shared" si="85"/>
        <v>EUR</v>
      </c>
      <c r="V800" s="7" t="str">
        <f t="shared" si="85"/>
        <v>ZAR</v>
      </c>
      <c r="W800" s="7" t="str">
        <f t="shared" si="86"/>
        <v>Germany</v>
      </c>
      <c r="X800" s="7" t="str">
        <f t="shared" si="86"/>
        <v>Germany</v>
      </c>
      <c r="Y800" s="7" t="str" cm="1">
        <f t="array" ref="Y800">IF(H800="",IFERROR(INDEX($H$2:$H$1166,MATCH(MAX(COUNTIF($H$2:$H$1166,$H$2:$H$1166)),COUNTIF($H$2:$H$1166,$H$2:$H$1166),0)),"Unknown"),H800)</f>
        <v>Unverified</v>
      </c>
      <c r="Z800" s="7" t="str">
        <f t="shared" si="87"/>
        <v>Outer-Transaction</v>
      </c>
      <c r="AA800" s="7">
        <f>IF(J800="",AVERAGE($J:$J),J800)</f>
        <v>11640.83</v>
      </c>
      <c r="AB800" s="7">
        <f>IF(N800="",AVERAGE($N:$N),N800)</f>
        <v>42</v>
      </c>
      <c r="AC800" s="7">
        <f t="shared" si="88"/>
        <v>2023</v>
      </c>
      <c r="AD800" s="7">
        <f t="shared" si="89"/>
        <v>12</v>
      </c>
      <c r="AE800" s="7">
        <f>COUNTIF(A:A,A800)</f>
        <v>1</v>
      </c>
      <c r="AF800" s="7" t="str">
        <f t="shared" si="90"/>
        <v/>
      </c>
    </row>
    <row r="801" spans="1:32">
      <c r="A801" t="s">
        <v>2496</v>
      </c>
      <c r="B801">
        <v>40981524</v>
      </c>
      <c r="C801" t="s">
        <v>644</v>
      </c>
      <c r="D801" t="s">
        <v>916</v>
      </c>
      <c r="F801" t="s">
        <v>44</v>
      </c>
      <c r="G801" t="s">
        <v>21</v>
      </c>
      <c r="H801" t="s">
        <v>74</v>
      </c>
      <c r="I801" t="s">
        <v>3376</v>
      </c>
      <c r="J801">
        <v>4447.12</v>
      </c>
      <c r="K801" t="s">
        <v>86</v>
      </c>
      <c r="L801" t="s">
        <v>28</v>
      </c>
      <c r="M801" s="1">
        <v>44926.455555555556</v>
      </c>
      <c r="N801">
        <v>34</v>
      </c>
      <c r="O801" t="s">
        <v>68</v>
      </c>
      <c r="P801" t="s">
        <v>24</v>
      </c>
      <c r="Q801" t="s">
        <v>2497</v>
      </c>
      <c r="R801">
        <f t="shared" si="84"/>
        <v>40981524</v>
      </c>
      <c r="S801" t="str" cm="1">
        <f t="array" ref="S801">IF(C801="",IFERROR(INDEX($C$2:$C$1166,MATCH(MAX(COUNTIF($C$2:$C$1166,$C$2:$C$1166)),COUNTIF($C$2:$C$1166,$C$2:$C$1166),0)),"Unknown"),C801)</f>
        <v>Fatima Jackson</v>
      </c>
      <c r="T801" s="4" t="str" cm="1">
        <f t="array" ref="T801">IF(D801="",IFERROR(INDEX($D$2:$D$1000,MATCH(MAX(COUNTIF($D$2:$D$1166,$D$2:$D$1166)),COUNTIF($D$2:$D$1166,$D$2:$D$1166),0)),"Unknown"),D801)</f>
        <v>Karen Dubois</v>
      </c>
      <c r="U801" t="str">
        <f t="shared" si="85"/>
        <v>SGD</v>
      </c>
      <c r="V801" s="7" t="str">
        <f t="shared" si="85"/>
        <v>GBP</v>
      </c>
      <c r="W801" s="7" t="str">
        <f t="shared" si="86"/>
        <v>UAE</v>
      </c>
      <c r="X801" s="7" t="str">
        <f t="shared" si="86"/>
        <v>Brazil</v>
      </c>
      <c r="Y801" s="7" t="str" cm="1">
        <f t="array" ref="Y801">IF(H801="",IFERROR(INDEX($H$2:$H$1166,MATCH(MAX(COUNTIF($H$2:$H$1166,$H$2:$H$1166)),COUNTIF($H$2:$H$1166,$H$2:$H$1166),0)),"Unknown"),H801)</f>
        <v>Non-KYC</v>
      </c>
      <c r="Z801" s="7" t="str">
        <f t="shared" si="87"/>
        <v>Internal</v>
      </c>
      <c r="AA801" s="7">
        <f>IF(J801="",AVERAGE($J:$J),J801)</f>
        <v>4447.12</v>
      </c>
      <c r="AB801" s="7">
        <f>IF(N801="",AVERAGE($N:$N),N801)</f>
        <v>34</v>
      </c>
      <c r="AC801" s="7">
        <f t="shared" si="88"/>
        <v>2022</v>
      </c>
      <c r="AD801" s="7">
        <f t="shared" si="89"/>
        <v>12</v>
      </c>
      <c r="AE801" s="7">
        <f>COUNTIF(A:A,A801)</f>
        <v>1</v>
      </c>
      <c r="AF801" s="7" t="str">
        <f t="shared" si="90"/>
        <v/>
      </c>
    </row>
    <row r="802" spans="1:32">
      <c r="A802" t="s">
        <v>2498</v>
      </c>
      <c r="B802">
        <v>65510726</v>
      </c>
      <c r="C802" t="s">
        <v>304</v>
      </c>
      <c r="D802" t="s">
        <v>219</v>
      </c>
      <c r="F802" t="s">
        <v>44</v>
      </c>
      <c r="G802" t="s">
        <v>22</v>
      </c>
      <c r="H802" t="s">
        <v>103</v>
      </c>
      <c r="I802" t="s">
        <v>3378</v>
      </c>
      <c r="J802">
        <v>6214.66</v>
      </c>
      <c r="K802" t="s">
        <v>27</v>
      </c>
      <c r="L802" t="s">
        <v>48</v>
      </c>
      <c r="M802" s="1">
        <v>44818.505555555559</v>
      </c>
      <c r="N802">
        <v>83</v>
      </c>
      <c r="O802" t="s">
        <v>127</v>
      </c>
      <c r="P802" t="s">
        <v>127</v>
      </c>
      <c r="Q802" t="s">
        <v>2499</v>
      </c>
      <c r="R802">
        <f t="shared" si="84"/>
        <v>65510726</v>
      </c>
      <c r="S802" t="str" cm="1">
        <f t="array" ref="S802">IF(C802="",IFERROR(INDEX($C$2:$C$1166,MATCH(MAX(COUNTIF($C$2:$C$1166,$C$2:$C$1166)),COUNTIF($C$2:$C$1166,$C$2:$C$1166),0)),"Unknown"),C802)</f>
        <v>Priya Khan</v>
      </c>
      <c r="T802" s="4" t="str" cm="1">
        <f t="array" ref="T802">IF(D802="",IFERROR(INDEX($D$2:$D$1000,MATCH(MAX(COUNTIF($D$2:$D$1166,$D$2:$D$1166)),COUNTIF($D$2:$D$1166,$D$2:$D$1166),0)),"Unknown"),D802)</f>
        <v>David Velez</v>
      </c>
      <c r="U802" t="str">
        <f t="shared" si="85"/>
        <v>SGD</v>
      </c>
      <c r="V802" s="7" t="str">
        <f t="shared" si="85"/>
        <v>BRL</v>
      </c>
      <c r="W802" s="7" t="str">
        <f t="shared" si="86"/>
        <v>Canada</v>
      </c>
      <c r="X802" s="7" t="str">
        <f t="shared" si="86"/>
        <v>Canada</v>
      </c>
      <c r="Y802" s="7" t="str" cm="1">
        <f t="array" ref="Y802">IF(H802="",IFERROR(INDEX($H$2:$H$1166,MATCH(MAX(COUNTIF($H$2:$H$1166,$H$2:$H$1166)),COUNTIF($H$2:$H$1166,$H$2:$H$1166),0)),"Unknown"),H802)</f>
        <v>Verified</v>
      </c>
      <c r="Z802" s="7" t="str">
        <f t="shared" si="87"/>
        <v>Inter-Transaction</v>
      </c>
      <c r="AA802" s="7">
        <f>IF(J802="",AVERAGE($J:$J),J802)</f>
        <v>6214.66</v>
      </c>
      <c r="AB802" s="7">
        <f>IF(N802="",AVERAGE($N:$N),N802)</f>
        <v>83</v>
      </c>
      <c r="AC802" s="7">
        <f t="shared" si="88"/>
        <v>2022</v>
      </c>
      <c r="AD802" s="7">
        <f t="shared" si="89"/>
        <v>9</v>
      </c>
      <c r="AE802" s="7">
        <f>COUNTIF(A:A,A802)</f>
        <v>1</v>
      </c>
      <c r="AF802" s="7" t="str">
        <f t="shared" si="90"/>
        <v/>
      </c>
    </row>
    <row r="803" spans="1:32">
      <c r="A803" t="s">
        <v>2500</v>
      </c>
      <c r="B803">
        <v>94412523</v>
      </c>
      <c r="C803" t="s">
        <v>983</v>
      </c>
      <c r="D803" t="s">
        <v>843</v>
      </c>
      <c r="F803" t="s">
        <v>21</v>
      </c>
      <c r="G803" t="s">
        <v>21</v>
      </c>
      <c r="H803" t="s">
        <v>56</v>
      </c>
      <c r="I803" t="s">
        <v>3376</v>
      </c>
      <c r="J803">
        <v>4233.3900000000003</v>
      </c>
      <c r="K803" t="s">
        <v>57</v>
      </c>
      <c r="L803" t="s">
        <v>48</v>
      </c>
      <c r="M803" s="1">
        <v>45639.255555555559</v>
      </c>
      <c r="N803">
        <v>70</v>
      </c>
      <c r="O803" t="s">
        <v>62</v>
      </c>
      <c r="P803" t="s">
        <v>127</v>
      </c>
      <c r="Q803" t="s">
        <v>2501</v>
      </c>
      <c r="R803">
        <f t="shared" si="84"/>
        <v>94412523</v>
      </c>
      <c r="S803" t="str" cm="1">
        <f t="array" ref="S803">IF(C803="",IFERROR(INDEX($C$2:$C$1166,MATCH(MAX(COUNTIF($C$2:$C$1166,$C$2:$C$1166)),COUNTIF($C$2:$C$1166,$C$2:$C$1166),0)),"Unknown"),C803)</f>
        <v>Michael Hernandez</v>
      </c>
      <c r="T803" s="4" t="str" cm="1">
        <f t="array" ref="T803">IF(D803="",IFERROR(INDEX($D$2:$D$1000,MATCH(MAX(COUNTIF($D$2:$D$1166,$D$2:$D$1166)),COUNTIF($D$2:$D$1166,$D$2:$D$1166),0)),"Unknown"),D803)</f>
        <v>Charles Malik</v>
      </c>
      <c r="U803" t="str">
        <f t="shared" si="85"/>
        <v>GBP</v>
      </c>
      <c r="V803" s="7" t="str">
        <f t="shared" si="85"/>
        <v>GBP</v>
      </c>
      <c r="W803" s="7" t="str">
        <f t="shared" si="86"/>
        <v>Australia</v>
      </c>
      <c r="X803" s="7" t="str">
        <f t="shared" si="86"/>
        <v>Canada</v>
      </c>
      <c r="Y803" s="7" t="str" cm="1">
        <f t="array" ref="Y803">IF(H803="",IFERROR(INDEX($H$2:$H$1166,MATCH(MAX(COUNTIF($H$2:$H$1166,$H$2:$H$1166)),COUNTIF($H$2:$H$1166,$H$2:$H$1166),0)),"Unknown"),H803)</f>
        <v>Unverified</v>
      </c>
      <c r="Z803" s="7" t="str">
        <f t="shared" si="87"/>
        <v>Internal</v>
      </c>
      <c r="AA803" s="7">
        <f>IF(J803="",AVERAGE($J:$J),J803)</f>
        <v>4233.3900000000003</v>
      </c>
      <c r="AB803" s="7">
        <f>IF(N803="",AVERAGE($N:$N),N803)</f>
        <v>70</v>
      </c>
      <c r="AC803" s="7">
        <f t="shared" si="88"/>
        <v>2024</v>
      </c>
      <c r="AD803" s="7">
        <f t="shared" si="89"/>
        <v>12</v>
      </c>
      <c r="AE803" s="7">
        <f>COUNTIF(A:A,A803)</f>
        <v>1</v>
      </c>
      <c r="AF803" s="7" t="str">
        <f t="shared" si="90"/>
        <v/>
      </c>
    </row>
    <row r="804" spans="1:32">
      <c r="A804" t="s">
        <v>2502</v>
      </c>
      <c r="B804">
        <v>21536372</v>
      </c>
      <c r="C804" t="s">
        <v>1480</v>
      </c>
      <c r="D804" t="s">
        <v>2291</v>
      </c>
      <c r="F804" t="s">
        <v>80</v>
      </c>
      <c r="G804" t="s">
        <v>121</v>
      </c>
      <c r="H804" t="s">
        <v>25</v>
      </c>
      <c r="I804" t="s">
        <v>3374</v>
      </c>
      <c r="J804">
        <v>13745.8</v>
      </c>
      <c r="K804" t="s">
        <v>86</v>
      </c>
      <c r="L804" t="s">
        <v>81</v>
      </c>
      <c r="M804" s="1">
        <v>45613.539583333331</v>
      </c>
      <c r="N804">
        <v>68</v>
      </c>
      <c r="O804" t="s">
        <v>93</v>
      </c>
      <c r="P804" t="s">
        <v>36</v>
      </c>
      <c r="Q804" t="s">
        <v>2503</v>
      </c>
      <c r="R804">
        <f t="shared" si="84"/>
        <v>21536372</v>
      </c>
      <c r="S804" t="str" cm="1">
        <f t="array" ref="S804">IF(C804="",IFERROR(INDEX($C$2:$C$1166,MATCH(MAX(COUNTIF($C$2:$C$1166,$C$2:$C$1166)),COUNTIF($C$2:$C$1166,$C$2:$C$1166),0)),"Unknown"),C804)</f>
        <v>Mary Brown</v>
      </c>
      <c r="T804" s="4" t="str" cm="1">
        <f t="array" ref="T804">IF(D804="",IFERROR(INDEX($D$2:$D$1000,MATCH(MAX(COUNTIF($D$2:$D$1166,$D$2:$D$1166)),COUNTIF($D$2:$D$1166,$D$2:$D$1166),0)),"Unknown"),D804)</f>
        <v>Charles Anderson</v>
      </c>
      <c r="U804" t="str">
        <f t="shared" si="85"/>
        <v>USD</v>
      </c>
      <c r="V804" s="7" t="str">
        <f t="shared" si="85"/>
        <v>INR</v>
      </c>
      <c r="W804" s="7" t="str">
        <f t="shared" si="86"/>
        <v>USA</v>
      </c>
      <c r="X804" s="7" t="str">
        <f t="shared" si="86"/>
        <v>Germany</v>
      </c>
      <c r="Y804" s="7" t="str" cm="1">
        <f t="array" ref="Y804">IF(H804="",IFERROR(INDEX($H$2:$H$1166,MATCH(MAX(COUNTIF($H$2:$H$1166,$H$2:$H$1166)),COUNTIF($H$2:$H$1166,$H$2:$H$1166),0)),"Unknown"),H804)</f>
        <v>KYC</v>
      </c>
      <c r="Z804" s="7" t="str">
        <f t="shared" si="87"/>
        <v>External</v>
      </c>
      <c r="AA804" s="7">
        <f>IF(J804="",AVERAGE($J:$J),J804)</f>
        <v>13745.8</v>
      </c>
      <c r="AB804" s="7">
        <f>IF(N804="",AVERAGE($N:$N),N804)</f>
        <v>68</v>
      </c>
      <c r="AC804" s="7">
        <f t="shared" si="88"/>
        <v>2024</v>
      </c>
      <c r="AD804" s="7">
        <f t="shared" si="89"/>
        <v>11</v>
      </c>
      <c r="AE804" s="7">
        <f>COUNTIF(A:A,A804)</f>
        <v>1</v>
      </c>
      <c r="AF804" s="7" t="str">
        <f t="shared" si="90"/>
        <v/>
      </c>
    </row>
    <row r="805" spans="1:32">
      <c r="A805" t="s">
        <v>2504</v>
      </c>
      <c r="C805" t="s">
        <v>2505</v>
      </c>
      <c r="D805" t="s">
        <v>913</v>
      </c>
      <c r="F805" t="s">
        <v>34</v>
      </c>
      <c r="G805" t="s">
        <v>22</v>
      </c>
      <c r="H805" t="s">
        <v>56</v>
      </c>
      <c r="I805" t="s">
        <v>3372</v>
      </c>
      <c r="J805">
        <v>11229.09</v>
      </c>
      <c r="K805" t="s">
        <v>47</v>
      </c>
      <c r="L805" t="s">
        <v>48</v>
      </c>
      <c r="M805" s="1">
        <v>44276.106944444444</v>
      </c>
      <c r="N805">
        <v>56</v>
      </c>
      <c r="O805" t="s">
        <v>24</v>
      </c>
      <c r="P805" t="s">
        <v>23</v>
      </c>
      <c r="Q805" t="s">
        <v>2506</v>
      </c>
      <c r="R805">
        <f t="shared" si="84"/>
        <v>0</v>
      </c>
      <c r="S805" t="str" cm="1">
        <f t="array" ref="S805">IF(C805="",IFERROR(INDEX($C$2:$C$1166,MATCH(MAX(COUNTIF($C$2:$C$1166,$C$2:$C$1166)),COUNTIF($C$2:$C$1166,$C$2:$C$1166),0)),"Unknown"),C805)</f>
        <v>Nancy Rodriguez</v>
      </c>
      <c r="T805" s="4" t="str" cm="1">
        <f t="array" ref="T805">IF(D805="",IFERROR(INDEX($D$2:$D$1000,MATCH(MAX(COUNTIF($D$2:$D$1166,$D$2:$D$1166)),COUNTIF($D$2:$D$1166,$D$2:$D$1166),0)),"Unknown"),D805)</f>
        <v>Elena Lopez</v>
      </c>
      <c r="U805" t="str">
        <f t="shared" si="85"/>
        <v>CAD</v>
      </c>
      <c r="V805" s="7" t="str">
        <f t="shared" si="85"/>
        <v>BRL</v>
      </c>
      <c r="W805" s="7" t="str">
        <f t="shared" si="86"/>
        <v>Brazil</v>
      </c>
      <c r="X805" s="7" t="str">
        <f t="shared" si="86"/>
        <v>France</v>
      </c>
      <c r="Y805" s="7" t="str" cm="1">
        <f t="array" ref="Y805">IF(H805="",IFERROR(INDEX($H$2:$H$1166,MATCH(MAX(COUNTIF($H$2:$H$1166,$H$2:$H$1166)),COUNTIF($H$2:$H$1166,$H$2:$H$1166),0)),"Unknown"),H805)</f>
        <v>Unverified</v>
      </c>
      <c r="Z805" s="7" t="str">
        <f t="shared" si="87"/>
        <v>Outer-Transaction</v>
      </c>
      <c r="AA805" s="7">
        <f>IF(J805="",AVERAGE($J:$J),J805)</f>
        <v>11229.09</v>
      </c>
      <c r="AB805" s="7">
        <f>IF(N805="",AVERAGE($N:$N),N805)</f>
        <v>56</v>
      </c>
      <c r="AC805" s="7">
        <f t="shared" si="88"/>
        <v>2021</v>
      </c>
      <c r="AD805" s="7">
        <f t="shared" si="89"/>
        <v>3</v>
      </c>
      <c r="AE805" s="7">
        <f>COUNTIF(A:A,A805)</f>
        <v>1</v>
      </c>
      <c r="AF805" s="7" t="str">
        <f t="shared" si="90"/>
        <v/>
      </c>
    </row>
    <row r="806" spans="1:32">
      <c r="A806" t="s">
        <v>2507</v>
      </c>
      <c r="B806">
        <v>44986948</v>
      </c>
      <c r="C806" t="s">
        <v>618</v>
      </c>
      <c r="D806" t="s">
        <v>323</v>
      </c>
      <c r="F806" t="s">
        <v>121</v>
      </c>
      <c r="G806" t="s">
        <v>121</v>
      </c>
      <c r="H806" t="s">
        <v>103</v>
      </c>
      <c r="I806" t="s">
        <v>3378</v>
      </c>
      <c r="J806">
        <v>6647.85</v>
      </c>
      <c r="K806" t="s">
        <v>86</v>
      </c>
      <c r="L806" t="s">
        <v>75</v>
      </c>
      <c r="M806" s="1">
        <v>45779.013888888891</v>
      </c>
      <c r="N806">
        <v>68</v>
      </c>
      <c r="O806" t="s">
        <v>24</v>
      </c>
      <c r="P806" t="s">
        <v>93</v>
      </c>
      <c r="Q806" t="s">
        <v>2508</v>
      </c>
      <c r="R806">
        <f t="shared" si="84"/>
        <v>44986948</v>
      </c>
      <c r="S806" t="str" cm="1">
        <f t="array" ref="S806">IF(C806="",IFERROR(INDEX($C$2:$C$1166,MATCH(MAX(COUNTIF($C$2:$C$1166,$C$2:$C$1166)),COUNTIF($C$2:$C$1166,$C$2:$C$1166),0)),"Unknown"),C806)</f>
        <v>Christopher Volkov</v>
      </c>
      <c r="T806" s="4" t="str" cm="1">
        <f t="array" ref="T806">IF(D806="",IFERROR(INDEX($D$2:$D$1000,MATCH(MAX(COUNTIF($D$2:$D$1166,$D$2:$D$1166)),COUNTIF($D$2:$D$1166,$D$2:$D$1166),0)),"Unknown"),D806)</f>
        <v>Sanjay Gonzalez</v>
      </c>
      <c r="U806" t="str">
        <f t="shared" si="85"/>
        <v>INR</v>
      </c>
      <c r="V806" s="7" t="str">
        <f t="shared" si="85"/>
        <v>INR</v>
      </c>
      <c r="W806" s="7" t="str">
        <f t="shared" si="86"/>
        <v>Brazil</v>
      </c>
      <c r="X806" s="7" t="str">
        <f t="shared" si="86"/>
        <v>USA</v>
      </c>
      <c r="Y806" s="7" t="str" cm="1">
        <f t="array" ref="Y806">IF(H806="",IFERROR(INDEX($H$2:$H$1166,MATCH(MAX(COUNTIF($H$2:$H$1166,$H$2:$H$1166)),COUNTIF($H$2:$H$1166,$H$2:$H$1166),0)),"Unknown"),H806)</f>
        <v>Verified</v>
      </c>
      <c r="Z806" s="7" t="str">
        <f t="shared" si="87"/>
        <v>Inter-Transaction</v>
      </c>
      <c r="AA806" s="7">
        <f>IF(J806="",AVERAGE($J:$J),J806)</f>
        <v>6647.85</v>
      </c>
      <c r="AB806" s="7">
        <f>IF(N806="",AVERAGE($N:$N),N806)</f>
        <v>68</v>
      </c>
      <c r="AC806" s="7">
        <f t="shared" si="88"/>
        <v>2025</v>
      </c>
      <c r="AD806" s="7">
        <f t="shared" si="89"/>
        <v>5</v>
      </c>
      <c r="AE806" s="7">
        <f>COUNTIF(A:A,A806)</f>
        <v>1</v>
      </c>
      <c r="AF806" s="7" t="str">
        <f t="shared" si="90"/>
        <v/>
      </c>
    </row>
    <row r="807" spans="1:32">
      <c r="A807" t="s">
        <v>2509</v>
      </c>
      <c r="B807">
        <v>60223068</v>
      </c>
      <c r="C807" t="s">
        <v>1164</v>
      </c>
      <c r="D807" t="s">
        <v>1618</v>
      </c>
      <c r="F807" t="s">
        <v>34</v>
      </c>
      <c r="G807" t="s">
        <v>35</v>
      </c>
      <c r="H807" t="s">
        <v>38</v>
      </c>
      <c r="I807" t="s">
        <v>3374</v>
      </c>
      <c r="J807">
        <v>13557.57</v>
      </c>
      <c r="K807" t="s">
        <v>39</v>
      </c>
      <c r="L807" t="s">
        <v>81</v>
      </c>
      <c r="M807" s="1">
        <v>45948.814583333333</v>
      </c>
      <c r="N807">
        <v>23</v>
      </c>
      <c r="O807" t="s">
        <v>62</v>
      </c>
      <c r="P807" t="s">
        <v>36</v>
      </c>
      <c r="Q807" t="s">
        <v>2510</v>
      </c>
      <c r="R807">
        <f t="shared" si="84"/>
        <v>60223068</v>
      </c>
      <c r="S807" t="str" cm="1">
        <f t="array" ref="S807">IF(C807="",IFERROR(INDEX($C$2:$C$1166,MATCH(MAX(COUNTIF($C$2:$C$1166,$C$2:$C$1166)),COUNTIF($C$2:$C$1166,$C$2:$C$1166),0)),"Unknown"),C807)</f>
        <v>Nancy Velez</v>
      </c>
      <c r="T807" s="4" t="str" cm="1">
        <f t="array" ref="T807">IF(D807="",IFERROR(INDEX($D$2:$D$1000,MATCH(MAX(COUNTIF($D$2:$D$1166,$D$2:$D$1166)),COUNTIF($D$2:$D$1166,$D$2:$D$1166),0)),"Unknown"),D807)</f>
        <v>Joseph Dubois</v>
      </c>
      <c r="U807" t="str">
        <f t="shared" si="85"/>
        <v>CAD</v>
      </c>
      <c r="V807" s="7" t="str">
        <f t="shared" si="85"/>
        <v>EUR</v>
      </c>
      <c r="W807" s="7" t="str">
        <f t="shared" si="86"/>
        <v>Australia</v>
      </c>
      <c r="X807" s="7" t="str">
        <f t="shared" si="86"/>
        <v>Germany</v>
      </c>
      <c r="Y807" s="7" t="str" cm="1">
        <f t="array" ref="Y807">IF(H807="",IFERROR(INDEX($H$2:$H$1166,MATCH(MAX(COUNTIF($H$2:$H$1166,$H$2:$H$1166)),COUNTIF($H$2:$H$1166,$H$2:$H$1166),0)),"Unknown"),H807)</f>
        <v>Pending</v>
      </c>
      <c r="Z807" s="7" t="str">
        <f t="shared" si="87"/>
        <v>External</v>
      </c>
      <c r="AA807" s="7">
        <f>IF(J807="",AVERAGE($J:$J),J807)</f>
        <v>13557.57</v>
      </c>
      <c r="AB807" s="7">
        <f>IF(N807="",AVERAGE($N:$N),N807)</f>
        <v>23</v>
      </c>
      <c r="AC807" s="7">
        <f t="shared" si="88"/>
        <v>2025</v>
      </c>
      <c r="AD807" s="7">
        <f t="shared" si="89"/>
        <v>10</v>
      </c>
      <c r="AE807" s="7">
        <f>COUNTIF(A:A,A807)</f>
        <v>1</v>
      </c>
      <c r="AF807" s="7" t="str">
        <f t="shared" si="90"/>
        <v/>
      </c>
    </row>
    <row r="808" spans="1:32">
      <c r="A808" t="s">
        <v>2511</v>
      </c>
      <c r="B808">
        <v>32883633</v>
      </c>
      <c r="C808" t="s">
        <v>2196</v>
      </c>
      <c r="D808" t="s">
        <v>2512</v>
      </c>
      <c r="F808" t="s">
        <v>92</v>
      </c>
      <c r="G808" t="s">
        <v>35</v>
      </c>
      <c r="I808" t="s">
        <v>3378</v>
      </c>
      <c r="J808">
        <v>8594.84</v>
      </c>
      <c r="K808" t="s">
        <v>47</v>
      </c>
      <c r="L808" t="s">
        <v>48</v>
      </c>
      <c r="M808" s="1">
        <v>45828.093055555553</v>
      </c>
      <c r="N808">
        <v>84</v>
      </c>
      <c r="O808" t="s">
        <v>37</v>
      </c>
      <c r="P808" t="s">
        <v>54</v>
      </c>
      <c r="Q808" t="s">
        <v>2513</v>
      </c>
      <c r="R808">
        <f t="shared" si="84"/>
        <v>32883633</v>
      </c>
      <c r="S808" t="str" cm="1">
        <f t="array" ref="S808">IF(C808="",IFERROR(INDEX($C$2:$C$1166,MATCH(MAX(COUNTIF($C$2:$C$1166,$C$2:$C$1166)),COUNTIF($C$2:$C$1166,$C$2:$C$1166),0)),"Unknown"),C808)</f>
        <v>Linda Souza</v>
      </c>
      <c r="T808" s="4" t="str" cm="1">
        <f t="array" ref="T808">IF(D808="",IFERROR(INDEX($D$2:$D$1000,MATCH(MAX(COUNTIF($D$2:$D$1166,$D$2:$D$1166)),COUNTIF($D$2:$D$1166,$D$2:$D$1166),0)),"Unknown"),D808)</f>
        <v>Susan Jackson</v>
      </c>
      <c r="U808" t="str">
        <f t="shared" si="85"/>
        <v>AUD</v>
      </c>
      <c r="V808" s="7" t="str">
        <f t="shared" si="85"/>
        <v>EUR</v>
      </c>
      <c r="W808" s="7" t="str">
        <f t="shared" si="86"/>
        <v>South Africa</v>
      </c>
      <c r="X808" s="7" t="str">
        <f t="shared" si="86"/>
        <v>India</v>
      </c>
      <c r="Y808" s="7" t="str" cm="1">
        <f t="array" ref="Y808">IF(H808="",IFERROR(INDEX($H$2:$H$1166,MATCH(MAX(COUNTIF($H$2:$H$1166,$H$2:$H$1166)),COUNTIF($H$2:$H$1166,$H$2:$H$1166),0)),"Unknown"),H808)</f>
        <v>Pending</v>
      </c>
      <c r="Z808" s="7" t="str">
        <f t="shared" si="87"/>
        <v>Inter-Transaction</v>
      </c>
      <c r="AA808" s="7">
        <f>IF(J808="",AVERAGE($J:$J),J808)</f>
        <v>8594.84</v>
      </c>
      <c r="AB808" s="7">
        <f>IF(N808="",AVERAGE($N:$N),N808)</f>
        <v>84</v>
      </c>
      <c r="AC808" s="7">
        <f t="shared" si="88"/>
        <v>2025</v>
      </c>
      <c r="AD808" s="7">
        <f t="shared" si="89"/>
        <v>6</v>
      </c>
      <c r="AE808" s="7">
        <f>COUNTIF(A:A,A808)</f>
        <v>1</v>
      </c>
      <c r="AF808" s="7" t="str">
        <f t="shared" si="90"/>
        <v/>
      </c>
    </row>
    <row r="809" spans="1:32">
      <c r="A809" t="s">
        <v>2514</v>
      </c>
      <c r="B809">
        <v>52386580</v>
      </c>
      <c r="C809" t="s">
        <v>2244</v>
      </c>
      <c r="D809" t="s">
        <v>2515</v>
      </c>
      <c r="F809" t="s">
        <v>92</v>
      </c>
      <c r="G809" t="s">
        <v>121</v>
      </c>
      <c r="I809" t="s">
        <v>3378</v>
      </c>
      <c r="J809">
        <v>9964.56</v>
      </c>
      <c r="K809" t="s">
        <v>47</v>
      </c>
      <c r="L809" t="s">
        <v>28</v>
      </c>
      <c r="M809" s="1">
        <v>46028.979861111111</v>
      </c>
      <c r="N809">
        <v>24</v>
      </c>
      <c r="O809" t="s">
        <v>93</v>
      </c>
      <c r="P809" t="s">
        <v>62</v>
      </c>
      <c r="Q809" t="s">
        <v>2516</v>
      </c>
      <c r="R809">
        <f t="shared" si="84"/>
        <v>52386580</v>
      </c>
      <c r="S809" t="str" cm="1">
        <f t="array" ref="S809">IF(C809="",IFERROR(INDEX($C$2:$C$1166,MATCH(MAX(COUNTIF($C$2:$C$1166,$C$2:$C$1166)),COUNTIF($C$2:$C$1166,$C$2:$C$1166),0)),"Unknown"),C809)</f>
        <v>Jean-Pierre Velez</v>
      </c>
      <c r="T809" s="4" t="str" cm="1">
        <f t="array" ref="T809">IF(D809="",IFERROR(INDEX($D$2:$D$1000,MATCH(MAX(COUNTIF($D$2:$D$1166,$D$2:$D$1166)),COUNTIF($D$2:$D$1166,$D$2:$D$1166),0)),"Unknown"),D809)</f>
        <v>Elena Jackson</v>
      </c>
      <c r="U809" t="str">
        <f t="shared" si="85"/>
        <v>AUD</v>
      </c>
      <c r="V809" s="7" t="str">
        <f t="shared" si="85"/>
        <v>INR</v>
      </c>
      <c r="W809" s="7" t="str">
        <f t="shared" si="86"/>
        <v>USA</v>
      </c>
      <c r="X809" s="7" t="str">
        <f t="shared" si="86"/>
        <v>Australia</v>
      </c>
      <c r="Y809" s="7" t="str" cm="1">
        <f t="array" ref="Y809">IF(H809="",IFERROR(INDEX($H$2:$H$1166,MATCH(MAX(COUNTIF($H$2:$H$1166,$H$2:$H$1166)),COUNTIF($H$2:$H$1166,$H$2:$H$1166),0)),"Unknown"),H809)</f>
        <v>Pending</v>
      </c>
      <c r="Z809" s="7" t="str">
        <f t="shared" si="87"/>
        <v>Inter-Transaction</v>
      </c>
      <c r="AA809" s="7">
        <f>IF(J809="",AVERAGE($J:$J),J809)</f>
        <v>9964.56</v>
      </c>
      <c r="AB809" s="7">
        <f>IF(N809="",AVERAGE($N:$N),N809)</f>
        <v>24</v>
      </c>
      <c r="AC809" s="7">
        <f t="shared" si="88"/>
        <v>2026</v>
      </c>
      <c r="AD809" s="7">
        <f t="shared" si="89"/>
        <v>1</v>
      </c>
      <c r="AE809" s="7">
        <f>COUNTIF(A:A,A809)</f>
        <v>1</v>
      </c>
      <c r="AF809" s="7" t="str">
        <f t="shared" si="90"/>
        <v/>
      </c>
    </row>
    <row r="810" spans="1:32">
      <c r="A810" t="s">
        <v>2517</v>
      </c>
      <c r="B810">
        <v>37482786</v>
      </c>
      <c r="C810" t="s">
        <v>146</v>
      </c>
      <c r="D810" t="s">
        <v>155</v>
      </c>
      <c r="F810" t="s">
        <v>80</v>
      </c>
      <c r="G810" t="s">
        <v>80</v>
      </c>
      <c r="I810" t="s">
        <v>3377</v>
      </c>
      <c r="J810">
        <v>2659.94</v>
      </c>
      <c r="K810" t="s">
        <v>47</v>
      </c>
      <c r="L810" t="s">
        <v>28</v>
      </c>
      <c r="M810" s="1">
        <v>44604.238888888889</v>
      </c>
      <c r="N810">
        <v>68</v>
      </c>
      <c r="O810" t="s">
        <v>36</v>
      </c>
      <c r="P810" t="s">
        <v>68</v>
      </c>
      <c r="Q810" t="s">
        <v>2518</v>
      </c>
      <c r="R810">
        <f t="shared" si="84"/>
        <v>37482786</v>
      </c>
      <c r="S810" t="str" cm="1">
        <f t="array" ref="S810">IF(C810="",IFERROR(INDEX($C$2:$C$1166,MATCH(MAX(COUNTIF($C$2:$C$1166,$C$2:$C$1166)),COUNTIF($C$2:$C$1166,$C$2:$C$1166),0)),"Unknown"),C810)</f>
        <v>Fatima Brown</v>
      </c>
      <c r="T810" s="4" t="str" cm="1">
        <f t="array" ref="T810">IF(D810="",IFERROR(INDEX($D$2:$D$1000,MATCH(MAX(COUNTIF($D$2:$D$1166,$D$2:$D$1166)),COUNTIF($D$2:$D$1166,$D$2:$D$1166),0)),"Unknown"),D810)</f>
        <v>Elizabeth Nair</v>
      </c>
      <c r="U810" t="str">
        <f t="shared" si="85"/>
        <v>USD</v>
      </c>
      <c r="V810" s="7" t="str">
        <f t="shared" si="85"/>
        <v>USD</v>
      </c>
      <c r="W810" s="7" t="str">
        <f t="shared" si="86"/>
        <v>Germany</v>
      </c>
      <c r="X810" s="7" t="str">
        <f t="shared" si="86"/>
        <v>UAE</v>
      </c>
      <c r="Y810" s="7" t="str" cm="1">
        <f t="array" ref="Y810">IF(H810="",IFERROR(INDEX($H$2:$H$1166,MATCH(MAX(COUNTIF($H$2:$H$1166,$H$2:$H$1166)),COUNTIF($H$2:$H$1166,$H$2:$H$1166),0)),"Unknown"),H810)</f>
        <v>Pending</v>
      </c>
      <c r="Z810" s="7" t="str">
        <f t="shared" si="87"/>
        <v>Inter-Transaction</v>
      </c>
      <c r="AA810" s="7">
        <f>IF(J810="",AVERAGE($J:$J),J810)</f>
        <v>2659.94</v>
      </c>
      <c r="AB810" s="7">
        <f>IF(N810="",AVERAGE($N:$N),N810)</f>
        <v>68</v>
      </c>
      <c r="AC810" s="7">
        <f t="shared" si="88"/>
        <v>2022</v>
      </c>
      <c r="AD810" s="7">
        <f t="shared" si="89"/>
        <v>2</v>
      </c>
      <c r="AE810" s="7">
        <f>COUNTIF(A:A,A810)</f>
        <v>1</v>
      </c>
      <c r="AF810" s="7" t="str">
        <f t="shared" si="90"/>
        <v/>
      </c>
    </row>
    <row r="811" spans="1:32">
      <c r="A811" t="s">
        <v>2519</v>
      </c>
      <c r="B811">
        <v>68443796</v>
      </c>
      <c r="C811" t="s">
        <v>2137</v>
      </c>
      <c r="D811" t="s">
        <v>1905</v>
      </c>
      <c r="F811" t="s">
        <v>53</v>
      </c>
      <c r="G811" t="s">
        <v>80</v>
      </c>
      <c r="H811" t="s">
        <v>56</v>
      </c>
      <c r="I811" t="s">
        <v>3378</v>
      </c>
      <c r="J811">
        <v>14832.44</v>
      </c>
      <c r="K811" t="s">
        <v>47</v>
      </c>
      <c r="L811" t="s">
        <v>28</v>
      </c>
      <c r="M811" s="1">
        <v>45392.855555555558</v>
      </c>
      <c r="N811">
        <v>59</v>
      </c>
      <c r="O811" t="s">
        <v>62</v>
      </c>
      <c r="P811" t="s">
        <v>127</v>
      </c>
      <c r="Q811" t="s">
        <v>2520</v>
      </c>
      <c r="R811">
        <f t="shared" si="84"/>
        <v>68443796</v>
      </c>
      <c r="S811" t="str" cm="1">
        <f t="array" ref="S811">IF(C811="",IFERROR(INDEX($C$2:$C$1166,MATCH(MAX(COUNTIF($C$2:$C$1166,$C$2:$C$1166)),COUNTIF($C$2:$C$1166,$C$2:$C$1166),0)),"Unknown"),C811)</f>
        <v>Karen Wilson</v>
      </c>
      <c r="T811" s="4" t="str" cm="1">
        <f t="array" ref="T811">IF(D811="",IFERROR(INDEX($D$2:$D$1000,MATCH(MAX(COUNTIF($D$2:$D$1166,$D$2:$D$1166)),COUNTIF($D$2:$D$1166,$D$2:$D$1166),0)),"Unknown"),D811)</f>
        <v>Karen Thomas</v>
      </c>
      <c r="U811" t="str">
        <f t="shared" si="85"/>
        <v>AED</v>
      </c>
      <c r="V811" s="7" t="str">
        <f t="shared" si="85"/>
        <v>USD</v>
      </c>
      <c r="W811" s="7" t="str">
        <f t="shared" si="86"/>
        <v>Australia</v>
      </c>
      <c r="X811" s="7" t="str">
        <f t="shared" si="86"/>
        <v>Canada</v>
      </c>
      <c r="Y811" s="7" t="str" cm="1">
        <f t="array" ref="Y811">IF(H811="",IFERROR(INDEX($H$2:$H$1166,MATCH(MAX(COUNTIF($H$2:$H$1166,$H$2:$H$1166)),COUNTIF($H$2:$H$1166,$H$2:$H$1166),0)),"Unknown"),H811)</f>
        <v>Unverified</v>
      </c>
      <c r="Z811" s="7" t="str">
        <f t="shared" si="87"/>
        <v>Inter-Transaction</v>
      </c>
      <c r="AA811" s="7">
        <f>IF(J811="",AVERAGE($J:$J),J811)</f>
        <v>14832.44</v>
      </c>
      <c r="AB811" s="7">
        <f>IF(N811="",AVERAGE($N:$N),N811)</f>
        <v>59</v>
      </c>
      <c r="AC811" s="7">
        <f t="shared" si="88"/>
        <v>2024</v>
      </c>
      <c r="AD811" s="7">
        <f t="shared" si="89"/>
        <v>4</v>
      </c>
      <c r="AE811" s="7">
        <f>COUNTIF(A:A,A811)</f>
        <v>1</v>
      </c>
      <c r="AF811" s="7" t="str">
        <f t="shared" si="90"/>
        <v/>
      </c>
    </row>
    <row r="812" spans="1:32">
      <c r="A812" t="s">
        <v>2521</v>
      </c>
      <c r="B812">
        <v>52101199</v>
      </c>
      <c r="C812" t="s">
        <v>929</v>
      </c>
      <c r="D812" t="s">
        <v>689</v>
      </c>
      <c r="F812" t="s">
        <v>45</v>
      </c>
      <c r="G812" t="s">
        <v>92</v>
      </c>
      <c r="H812" t="s">
        <v>56</v>
      </c>
      <c r="I812" t="s">
        <v>3374</v>
      </c>
      <c r="J812">
        <v>1948.22</v>
      </c>
      <c r="K812" t="s">
        <v>57</v>
      </c>
      <c r="L812" t="s">
        <v>48</v>
      </c>
      <c r="M812" s="1">
        <v>45506.804166666669</v>
      </c>
      <c r="N812">
        <v>81</v>
      </c>
      <c r="O812" t="s">
        <v>24</v>
      </c>
      <c r="P812" t="s">
        <v>55</v>
      </c>
      <c r="Q812" t="s">
        <v>2522</v>
      </c>
      <c r="R812">
        <f t="shared" si="84"/>
        <v>52101199</v>
      </c>
      <c r="S812" t="str" cm="1">
        <f t="array" ref="S812">IF(C812="",IFERROR(INDEX($C$2:$C$1166,MATCH(MAX(COUNTIF($C$2:$C$1166,$C$2:$C$1166)),COUNTIF($C$2:$C$1166,$C$2:$C$1166),0)),"Unknown"),C812)</f>
        <v>Charles Hernandez</v>
      </c>
      <c r="T812" s="4" t="str" cm="1">
        <f t="array" ref="T812">IF(D812="",IFERROR(INDEX($D$2:$D$1000,MATCH(MAX(COUNTIF($D$2:$D$1166,$D$2:$D$1166)),COUNTIF($D$2:$D$1166,$D$2:$D$1166),0)),"Unknown"),D812)</f>
        <v>Jean-Pierre Al-Sayed</v>
      </c>
      <c r="U812" t="str">
        <f t="shared" si="85"/>
        <v>ZAR</v>
      </c>
      <c r="V812" s="7" t="str">
        <f t="shared" si="85"/>
        <v>AUD</v>
      </c>
      <c r="W812" s="7" t="str">
        <f t="shared" si="86"/>
        <v>Brazil</v>
      </c>
      <c r="X812" s="7" t="str">
        <f t="shared" si="86"/>
        <v>UK</v>
      </c>
      <c r="Y812" s="7" t="str" cm="1">
        <f t="array" ref="Y812">IF(H812="",IFERROR(INDEX($H$2:$H$1166,MATCH(MAX(COUNTIF($H$2:$H$1166,$H$2:$H$1166)),COUNTIF($H$2:$H$1166,$H$2:$H$1166),0)),"Unknown"),H812)</f>
        <v>Unverified</v>
      </c>
      <c r="Z812" s="7" t="str">
        <f t="shared" si="87"/>
        <v>External</v>
      </c>
      <c r="AA812" s="7">
        <f>IF(J812="",AVERAGE($J:$J),J812)</f>
        <v>1948.22</v>
      </c>
      <c r="AB812" s="7">
        <f>IF(N812="",AVERAGE($N:$N),N812)</f>
        <v>81</v>
      </c>
      <c r="AC812" s="7">
        <f t="shared" si="88"/>
        <v>2024</v>
      </c>
      <c r="AD812" s="7">
        <f t="shared" si="89"/>
        <v>8</v>
      </c>
      <c r="AE812" s="7">
        <f>COUNTIF(A:A,A812)</f>
        <v>1</v>
      </c>
      <c r="AF812" s="7" t="str">
        <f t="shared" si="90"/>
        <v/>
      </c>
    </row>
    <row r="813" spans="1:32">
      <c r="A813" t="s">
        <v>2523</v>
      </c>
      <c r="B813">
        <v>18585082</v>
      </c>
      <c r="C813" t="s">
        <v>2247</v>
      </c>
      <c r="D813" t="s">
        <v>383</v>
      </c>
      <c r="F813" t="s">
        <v>121</v>
      </c>
      <c r="G813" t="s">
        <v>35</v>
      </c>
      <c r="I813" t="s">
        <v>3377</v>
      </c>
      <c r="J813">
        <v>1359.81</v>
      </c>
      <c r="K813" t="s">
        <v>27</v>
      </c>
      <c r="L813" t="s">
        <v>81</v>
      </c>
      <c r="M813" s="1">
        <v>44953.018750000003</v>
      </c>
      <c r="N813">
        <v>32</v>
      </c>
      <c r="O813" t="s">
        <v>24</v>
      </c>
      <c r="P813" t="s">
        <v>127</v>
      </c>
      <c r="Q813" t="s">
        <v>2524</v>
      </c>
      <c r="R813">
        <f t="shared" si="84"/>
        <v>18585082</v>
      </c>
      <c r="S813" t="str" cm="1">
        <f t="array" ref="S813">IF(C813="",IFERROR(INDEX($C$2:$C$1166,MATCH(MAX(COUNTIF($C$2:$C$1166,$C$2:$C$1166)),COUNTIF($C$2:$C$1166,$C$2:$C$1166),0)),"Unknown"),C813)</f>
        <v>Mary Martinez</v>
      </c>
      <c r="T813" s="4" t="str" cm="1">
        <f t="array" ref="T813">IF(D813="",IFERROR(INDEX($D$2:$D$1000,MATCH(MAX(COUNTIF($D$2:$D$1166,$D$2:$D$1166)),COUNTIF($D$2:$D$1166,$D$2:$D$1166),0)),"Unknown"),D813)</f>
        <v>Linda Martin</v>
      </c>
      <c r="U813" t="str">
        <f t="shared" si="85"/>
        <v>INR</v>
      </c>
      <c r="V813" s="7" t="str">
        <f t="shared" si="85"/>
        <v>EUR</v>
      </c>
      <c r="W813" s="7" t="str">
        <f t="shared" si="86"/>
        <v>Brazil</v>
      </c>
      <c r="X813" s="7" t="str">
        <f t="shared" si="86"/>
        <v>Canada</v>
      </c>
      <c r="Y813" s="7" t="str" cm="1">
        <f t="array" ref="Y813">IF(H813="",IFERROR(INDEX($H$2:$H$1166,MATCH(MAX(COUNTIF($H$2:$H$1166,$H$2:$H$1166)),COUNTIF($H$2:$H$1166,$H$2:$H$1166),0)),"Unknown"),H813)</f>
        <v>Pending</v>
      </c>
      <c r="Z813" s="7" t="str">
        <f t="shared" si="87"/>
        <v>Inter-Transaction</v>
      </c>
      <c r="AA813" s="7">
        <f>IF(J813="",AVERAGE($J:$J),J813)</f>
        <v>1359.81</v>
      </c>
      <c r="AB813" s="7">
        <f>IF(N813="",AVERAGE($N:$N),N813)</f>
        <v>32</v>
      </c>
      <c r="AC813" s="7">
        <f t="shared" si="88"/>
        <v>2023</v>
      </c>
      <c r="AD813" s="7">
        <f t="shared" si="89"/>
        <v>1</v>
      </c>
      <c r="AE813" s="7">
        <f>COUNTIF(A:A,A813)</f>
        <v>1</v>
      </c>
      <c r="AF813" s="7" t="str">
        <f t="shared" si="90"/>
        <v/>
      </c>
    </row>
    <row r="814" spans="1:32">
      <c r="A814" t="s">
        <v>2525</v>
      </c>
      <c r="B814">
        <v>36731136</v>
      </c>
      <c r="C814" t="s">
        <v>998</v>
      </c>
      <c r="D814" t="s">
        <v>2526</v>
      </c>
      <c r="F814" t="s">
        <v>92</v>
      </c>
      <c r="G814" t="s">
        <v>92</v>
      </c>
      <c r="H814" t="s">
        <v>103</v>
      </c>
      <c r="I814" t="s">
        <v>3371</v>
      </c>
      <c r="J814">
        <v>11222.46</v>
      </c>
      <c r="K814" t="s">
        <v>27</v>
      </c>
      <c r="L814" t="s">
        <v>75</v>
      </c>
      <c r="M814" s="1">
        <v>45132.870138888888</v>
      </c>
      <c r="N814">
        <v>46</v>
      </c>
      <c r="O814" t="s">
        <v>24</v>
      </c>
      <c r="P814" t="s">
        <v>68</v>
      </c>
      <c r="Q814" t="s">
        <v>2527</v>
      </c>
      <c r="R814">
        <f t="shared" si="84"/>
        <v>36731136</v>
      </c>
      <c r="S814" t="str" cm="1">
        <f t="array" ref="S814">IF(C814="",IFERROR(INDEX($C$2:$C$1166,MATCH(MAX(COUNTIF($C$2:$C$1166,$C$2:$C$1166)),COUNTIF($C$2:$C$1166,$C$2:$C$1166),0)),"Unknown"),C814)</f>
        <v>Patricia Al-Sayed</v>
      </c>
      <c r="T814" s="4" t="str" cm="1">
        <f t="array" ref="T814">IF(D814="",IFERROR(INDEX($D$2:$D$1000,MATCH(MAX(COUNTIF($D$2:$D$1166,$D$2:$D$1166)),COUNTIF($D$2:$D$1166,$D$2:$D$1166),0)),"Unknown"),D814)</f>
        <v xml:space="preserve"> karen smith   </v>
      </c>
      <c r="U814" t="str">
        <f t="shared" si="85"/>
        <v>AUD</v>
      </c>
      <c r="V814" s="7" t="str">
        <f t="shared" si="85"/>
        <v>AUD</v>
      </c>
      <c r="W814" s="7" t="str">
        <f t="shared" si="86"/>
        <v>Brazil</v>
      </c>
      <c r="X814" s="7" t="str">
        <f t="shared" si="86"/>
        <v>UAE</v>
      </c>
      <c r="Y814" s="7" t="str" cm="1">
        <f t="array" ref="Y814">IF(H814="",IFERROR(INDEX($H$2:$H$1166,MATCH(MAX(COUNTIF($H$2:$H$1166,$H$2:$H$1166)),COUNTIF($H$2:$H$1166,$H$2:$H$1166),0)),"Unknown"),H814)</f>
        <v>Verified</v>
      </c>
      <c r="Z814" s="7" t="str">
        <f t="shared" si="87"/>
        <v>Outer-Transaction</v>
      </c>
      <c r="AA814" s="7">
        <f>IF(J814="",AVERAGE($J:$J),J814)</f>
        <v>11222.46</v>
      </c>
      <c r="AB814" s="7">
        <f>IF(N814="",AVERAGE($N:$N),N814)</f>
        <v>46</v>
      </c>
      <c r="AC814" s="7">
        <f t="shared" si="88"/>
        <v>2023</v>
      </c>
      <c r="AD814" s="7">
        <f t="shared" si="89"/>
        <v>7</v>
      </c>
      <c r="AE814" s="7">
        <f>COUNTIF(A:A,A814)</f>
        <v>1</v>
      </c>
      <c r="AF814" s="7" t="str">
        <f t="shared" si="90"/>
        <v/>
      </c>
    </row>
    <row r="815" spans="1:32">
      <c r="A815" t="s">
        <v>2528</v>
      </c>
      <c r="B815">
        <v>81062939</v>
      </c>
      <c r="C815" t="s">
        <v>2529</v>
      </c>
      <c r="D815" t="s">
        <v>111</v>
      </c>
      <c r="F815" t="s">
        <v>34</v>
      </c>
      <c r="G815" t="s">
        <v>98</v>
      </c>
      <c r="H815" t="s">
        <v>38</v>
      </c>
      <c r="I815" t="s">
        <v>3376</v>
      </c>
      <c r="J815">
        <v>946.09</v>
      </c>
      <c r="K815" t="s">
        <v>39</v>
      </c>
      <c r="L815" t="s">
        <v>81</v>
      </c>
      <c r="M815" s="1">
        <v>45417.051388888889</v>
      </c>
      <c r="N815">
        <v>50</v>
      </c>
      <c r="O815" t="s">
        <v>54</v>
      </c>
      <c r="P815" t="s">
        <v>62</v>
      </c>
      <c r="Q815" t="s">
        <v>2530</v>
      </c>
      <c r="R815">
        <f t="shared" si="84"/>
        <v>81062939</v>
      </c>
      <c r="S815" t="str" cm="1">
        <f t="array" ref="S815">IF(C815="",IFERROR(INDEX($C$2:$C$1166,MATCH(MAX(COUNTIF($C$2:$C$1166,$C$2:$C$1166)),COUNTIF($C$2:$C$1166,$C$2:$C$1166),0)),"Unknown"),C815)</f>
        <v>Carlos Davis</v>
      </c>
      <c r="T815" s="4" t="str" cm="1">
        <f t="array" ref="T815">IF(D815="",IFERROR(INDEX($D$2:$D$1000,MATCH(MAX(COUNTIF($D$2:$D$1166,$D$2:$D$1166)),COUNTIF($D$2:$D$1166,$D$2:$D$1166),0)),"Unknown"),D815)</f>
        <v>Karen Rostova</v>
      </c>
      <c r="U815" t="str">
        <f t="shared" si="85"/>
        <v>CAD</v>
      </c>
      <c r="V815" s="7" t="str">
        <f t="shared" si="85"/>
        <v>JPY</v>
      </c>
      <c r="W815" s="7" t="str">
        <f t="shared" si="86"/>
        <v>India</v>
      </c>
      <c r="X815" s="7" t="str">
        <f t="shared" si="86"/>
        <v>Australia</v>
      </c>
      <c r="Y815" s="7" t="str" cm="1">
        <f t="array" ref="Y815">IF(H815="",IFERROR(INDEX($H$2:$H$1166,MATCH(MAX(COUNTIF($H$2:$H$1166,$H$2:$H$1166)),COUNTIF($H$2:$H$1166,$H$2:$H$1166),0)),"Unknown"),H815)</f>
        <v>Pending</v>
      </c>
      <c r="Z815" s="7" t="str">
        <f t="shared" si="87"/>
        <v>Internal</v>
      </c>
      <c r="AA815" s="7">
        <f>IF(J815="",AVERAGE($J:$J),J815)</f>
        <v>946.09</v>
      </c>
      <c r="AB815" s="7">
        <f>IF(N815="",AVERAGE($N:$N),N815)</f>
        <v>50</v>
      </c>
      <c r="AC815" s="7">
        <f t="shared" si="88"/>
        <v>2024</v>
      </c>
      <c r="AD815" s="7">
        <f t="shared" si="89"/>
        <v>5</v>
      </c>
      <c r="AE815" s="7">
        <f>COUNTIF(A:A,A815)</f>
        <v>1</v>
      </c>
      <c r="AF815" s="7" t="str">
        <f t="shared" si="90"/>
        <v/>
      </c>
    </row>
    <row r="816" spans="1:32">
      <c r="A816" t="s">
        <v>2531</v>
      </c>
      <c r="B816">
        <v>37757450</v>
      </c>
      <c r="C816" t="s">
        <v>115</v>
      </c>
      <c r="D816" t="s">
        <v>2384</v>
      </c>
      <c r="F816" t="s">
        <v>45</v>
      </c>
      <c r="G816" t="s">
        <v>121</v>
      </c>
      <c r="H816" t="s">
        <v>25</v>
      </c>
      <c r="I816" t="s">
        <v>3374</v>
      </c>
      <c r="J816">
        <v>14452.49</v>
      </c>
      <c r="K816" t="s">
        <v>39</v>
      </c>
      <c r="L816" t="s">
        <v>48</v>
      </c>
      <c r="M816" s="1">
        <v>45517.554166666669</v>
      </c>
      <c r="N816">
        <v>44</v>
      </c>
      <c r="O816" t="s">
        <v>62</v>
      </c>
      <c r="P816" t="s">
        <v>68</v>
      </c>
      <c r="Q816" t="s">
        <v>2532</v>
      </c>
      <c r="R816">
        <f t="shared" si="84"/>
        <v>37757450</v>
      </c>
      <c r="S816" t="str" cm="1">
        <f t="array" ref="S816">IF(C816="",IFERROR(INDEX($C$2:$C$1166,MATCH(MAX(COUNTIF($C$2:$C$1166,$C$2:$C$1166)),COUNTIF($C$2:$C$1166,$C$2:$C$1166),0)),"Unknown"),C816)</f>
        <v>Carlos Malik</v>
      </c>
      <c r="T816" s="4" t="str" cm="1">
        <f t="array" ref="T816">IF(D816="",IFERROR(INDEX($D$2:$D$1000,MATCH(MAX(COUNTIF($D$2:$D$1166,$D$2:$D$1166)),COUNTIF($D$2:$D$1166,$D$2:$D$1166),0)),"Unknown"),D816)</f>
        <v>Charles Martin</v>
      </c>
      <c r="U816" t="str">
        <f t="shared" si="85"/>
        <v>ZAR</v>
      </c>
      <c r="V816" s="7" t="str">
        <f t="shared" si="85"/>
        <v>INR</v>
      </c>
      <c r="W816" s="7" t="str">
        <f t="shared" si="86"/>
        <v>Australia</v>
      </c>
      <c r="X816" s="7" t="str">
        <f t="shared" si="86"/>
        <v>UAE</v>
      </c>
      <c r="Y816" s="7" t="str" cm="1">
        <f t="array" ref="Y816">IF(H816="",IFERROR(INDEX($H$2:$H$1166,MATCH(MAX(COUNTIF($H$2:$H$1166,$H$2:$H$1166)),COUNTIF($H$2:$H$1166,$H$2:$H$1166),0)),"Unknown"),H816)</f>
        <v>KYC</v>
      </c>
      <c r="Z816" s="7" t="str">
        <f t="shared" si="87"/>
        <v>External</v>
      </c>
      <c r="AA816" s="7">
        <f>IF(J816="",AVERAGE($J:$J),J816)</f>
        <v>14452.49</v>
      </c>
      <c r="AB816" s="7">
        <f>IF(N816="",AVERAGE($N:$N),N816)</f>
        <v>44</v>
      </c>
      <c r="AC816" s="7">
        <f t="shared" si="88"/>
        <v>2024</v>
      </c>
      <c r="AD816" s="7">
        <f t="shared" si="89"/>
        <v>8</v>
      </c>
      <c r="AE816" s="7">
        <f>COUNTIF(A:A,A816)</f>
        <v>1</v>
      </c>
      <c r="AF816" s="7" t="str">
        <f t="shared" si="90"/>
        <v/>
      </c>
    </row>
    <row r="817" spans="1:32">
      <c r="A817" t="s">
        <v>2533</v>
      </c>
      <c r="B817">
        <v>99096950</v>
      </c>
      <c r="C817" t="s">
        <v>1261</v>
      </c>
      <c r="D817" t="s">
        <v>1284</v>
      </c>
      <c r="F817" t="s">
        <v>22</v>
      </c>
      <c r="G817" t="s">
        <v>116</v>
      </c>
      <c r="H817" t="s">
        <v>74</v>
      </c>
      <c r="I817" t="s">
        <v>3372</v>
      </c>
      <c r="J817">
        <v>11060.23</v>
      </c>
      <c r="K817" t="s">
        <v>86</v>
      </c>
      <c r="L817" t="s">
        <v>81</v>
      </c>
      <c r="M817" s="1">
        <v>44774.426388888889</v>
      </c>
      <c r="N817">
        <v>53</v>
      </c>
      <c r="O817" t="s">
        <v>55</v>
      </c>
      <c r="P817" t="s">
        <v>55</v>
      </c>
      <c r="Q817" t="s">
        <v>2534</v>
      </c>
      <c r="R817">
        <f t="shared" si="84"/>
        <v>99096950</v>
      </c>
      <c r="S817" t="str" cm="1">
        <f t="array" ref="S817">IF(C817="",IFERROR(INDEX($C$2:$C$1166,MATCH(MAX(COUNTIF($C$2:$C$1166,$C$2:$C$1166)),COUNTIF($C$2:$C$1166,$C$2:$C$1166),0)),"Unknown"),C817)</f>
        <v>Charles Silva</v>
      </c>
      <c r="T817" s="4" t="str" cm="1">
        <f t="array" ref="T817">IF(D817="",IFERROR(INDEX($D$2:$D$1000,MATCH(MAX(COUNTIF($D$2:$D$1166,$D$2:$D$1166)),COUNTIF($D$2:$D$1166,$D$2:$D$1166),0)),"Unknown"),D817)</f>
        <v>Linda Miller</v>
      </c>
      <c r="U817" t="str">
        <f t="shared" si="85"/>
        <v>BRL</v>
      </c>
      <c r="V817" s="7" t="str">
        <f t="shared" si="85"/>
        <v>CHF</v>
      </c>
      <c r="W817" s="7" t="str">
        <f t="shared" si="86"/>
        <v>UK</v>
      </c>
      <c r="X817" s="7" t="str">
        <f t="shared" si="86"/>
        <v>UK</v>
      </c>
      <c r="Y817" s="7" t="str" cm="1">
        <f t="array" ref="Y817">IF(H817="",IFERROR(INDEX($H$2:$H$1166,MATCH(MAX(COUNTIF($H$2:$H$1166,$H$2:$H$1166)),COUNTIF($H$2:$H$1166,$H$2:$H$1166),0)),"Unknown"),H817)</f>
        <v>Non-KYC</v>
      </c>
      <c r="Z817" s="7" t="str">
        <f t="shared" si="87"/>
        <v>Outer-Transaction</v>
      </c>
      <c r="AA817" s="7">
        <f>IF(J817="",AVERAGE($J:$J),J817)</f>
        <v>11060.23</v>
      </c>
      <c r="AB817" s="7">
        <f>IF(N817="",AVERAGE($N:$N),N817)</f>
        <v>53</v>
      </c>
      <c r="AC817" s="7">
        <f t="shared" si="88"/>
        <v>2022</v>
      </c>
      <c r="AD817" s="7">
        <f t="shared" si="89"/>
        <v>8</v>
      </c>
      <c r="AE817" s="7">
        <f>COUNTIF(A:A,A817)</f>
        <v>1</v>
      </c>
      <c r="AF817" s="7" t="str">
        <f t="shared" si="90"/>
        <v/>
      </c>
    </row>
    <row r="818" spans="1:32">
      <c r="A818" t="s">
        <v>2535</v>
      </c>
      <c r="B818">
        <v>15831593</v>
      </c>
      <c r="C818" t="s">
        <v>1087</v>
      </c>
      <c r="D818" t="s">
        <v>1652</v>
      </c>
      <c r="F818" t="s">
        <v>1084</v>
      </c>
      <c r="G818" t="s">
        <v>21</v>
      </c>
      <c r="H818" t="s">
        <v>103</v>
      </c>
      <c r="I818" t="s">
        <v>3371</v>
      </c>
      <c r="J818">
        <v>11557.16</v>
      </c>
      <c r="K818" t="s">
        <v>27</v>
      </c>
      <c r="L818" t="s">
        <v>48</v>
      </c>
      <c r="M818" s="1">
        <v>44285.243750000001</v>
      </c>
      <c r="N818">
        <v>46</v>
      </c>
      <c r="O818" t="s">
        <v>36</v>
      </c>
      <c r="P818" t="s">
        <v>36</v>
      </c>
      <c r="Q818" t="s">
        <v>2536</v>
      </c>
      <c r="R818">
        <f t="shared" si="84"/>
        <v>15831593</v>
      </c>
      <c r="S818" t="str" cm="1">
        <f t="array" ref="S818">IF(C818="",IFERROR(INDEX($C$2:$C$1166,MATCH(MAX(COUNTIF($C$2:$C$1166,$C$2:$C$1166)),COUNTIF($C$2:$C$1166,$C$2:$C$1166),0)),"Unknown"),C818)</f>
        <v>Jessica Dubois</v>
      </c>
      <c r="T818" s="4" t="str" cm="1">
        <f t="array" ref="T818">IF(D818="",IFERROR(INDEX($D$2:$D$1000,MATCH(MAX(COUNTIF($D$2:$D$1166,$D$2:$D$1166)),COUNTIF($D$2:$D$1166,$D$2:$D$1166),0)),"Unknown"),D818)</f>
        <v>Sanjay Al-Sayed</v>
      </c>
      <c r="U818" t="str">
        <f t="shared" si="85"/>
        <v>chf</v>
      </c>
      <c r="V818" s="7" t="str">
        <f t="shared" si="85"/>
        <v>GBP</v>
      </c>
      <c r="W818" s="7" t="str">
        <f t="shared" si="86"/>
        <v>Germany</v>
      </c>
      <c r="X818" s="7" t="str">
        <f t="shared" si="86"/>
        <v>Germany</v>
      </c>
      <c r="Y818" s="7" t="str" cm="1">
        <f t="array" ref="Y818">IF(H818="",IFERROR(INDEX($H$2:$H$1166,MATCH(MAX(COUNTIF($H$2:$H$1166,$H$2:$H$1166)),COUNTIF($H$2:$H$1166,$H$2:$H$1166),0)),"Unknown"),H818)</f>
        <v>Verified</v>
      </c>
      <c r="Z818" s="7" t="str">
        <f t="shared" si="87"/>
        <v>Outer-Transaction</v>
      </c>
      <c r="AA818" s="7">
        <f>IF(J818="",AVERAGE($J:$J),J818)</f>
        <v>11557.16</v>
      </c>
      <c r="AB818" s="7">
        <f>IF(N818="",AVERAGE($N:$N),N818)</f>
        <v>46</v>
      </c>
      <c r="AC818" s="7">
        <f t="shared" si="88"/>
        <v>2021</v>
      </c>
      <c r="AD818" s="7">
        <f t="shared" si="89"/>
        <v>3</v>
      </c>
      <c r="AE818" s="7">
        <f>COUNTIF(A:A,A818)</f>
        <v>1</v>
      </c>
      <c r="AF818" s="7" t="str">
        <f t="shared" si="90"/>
        <v/>
      </c>
    </row>
    <row r="819" spans="1:32">
      <c r="A819" t="s">
        <v>2537</v>
      </c>
      <c r="B819">
        <v>87786608</v>
      </c>
      <c r="C819" t="s">
        <v>589</v>
      </c>
      <c r="D819" t="s">
        <v>1966</v>
      </c>
      <c r="F819" t="s">
        <v>53</v>
      </c>
      <c r="G819" t="s">
        <v>34</v>
      </c>
      <c r="H819" t="s">
        <v>74</v>
      </c>
      <c r="I819" t="s">
        <v>3374</v>
      </c>
      <c r="J819">
        <v>5867.93</v>
      </c>
      <c r="K819" t="s">
        <v>57</v>
      </c>
      <c r="L819" t="s">
        <v>81</v>
      </c>
      <c r="M819" s="1">
        <v>44958.35833333333</v>
      </c>
      <c r="N819">
        <v>55</v>
      </c>
      <c r="O819" t="s">
        <v>24</v>
      </c>
      <c r="P819" t="s">
        <v>24</v>
      </c>
      <c r="Q819" t="s">
        <v>2538</v>
      </c>
      <c r="R819">
        <f t="shared" si="84"/>
        <v>87786608</v>
      </c>
      <c r="S819" t="str" cm="1">
        <f t="array" ref="S819">IF(C819="",IFERROR(INDEX($C$2:$C$1166,MATCH(MAX(COUNTIF($C$2:$C$1166,$C$2:$C$1166)),COUNTIF($C$2:$C$1166,$C$2:$C$1166),0)),"Unknown"),C819)</f>
        <v>Zayn Moore</v>
      </c>
      <c r="T819" s="4" t="str" cm="1">
        <f t="array" ref="T819">IF(D819="",IFERROR(INDEX($D$2:$D$1000,MATCH(MAX(COUNTIF($D$2:$D$1166,$D$2:$D$1166)),COUNTIF($D$2:$D$1166,$D$2:$D$1166),0)),"Unknown"),D819)</f>
        <v>Sanjay Davis</v>
      </c>
      <c r="U819" t="str">
        <f t="shared" si="85"/>
        <v>AED</v>
      </c>
      <c r="V819" s="7" t="str">
        <f t="shared" si="85"/>
        <v>CAD</v>
      </c>
      <c r="W819" s="7" t="str">
        <f t="shared" si="86"/>
        <v>Brazil</v>
      </c>
      <c r="X819" s="7" t="str">
        <f t="shared" si="86"/>
        <v>Brazil</v>
      </c>
      <c r="Y819" s="7" t="str" cm="1">
        <f t="array" ref="Y819">IF(H819="",IFERROR(INDEX($H$2:$H$1166,MATCH(MAX(COUNTIF($H$2:$H$1166,$H$2:$H$1166)),COUNTIF($H$2:$H$1166,$H$2:$H$1166),0)),"Unknown"),H819)</f>
        <v>Non-KYC</v>
      </c>
      <c r="Z819" s="7" t="str">
        <f t="shared" si="87"/>
        <v>External</v>
      </c>
      <c r="AA819" s="7">
        <f>IF(J819="",AVERAGE($J:$J),J819)</f>
        <v>5867.93</v>
      </c>
      <c r="AB819" s="7">
        <f>IF(N819="",AVERAGE($N:$N),N819)</f>
        <v>55</v>
      </c>
      <c r="AC819" s="7">
        <f t="shared" si="88"/>
        <v>2023</v>
      </c>
      <c r="AD819" s="7">
        <f t="shared" si="89"/>
        <v>2</v>
      </c>
      <c r="AE819" s="7">
        <f>COUNTIF(A:A,A819)</f>
        <v>1</v>
      </c>
      <c r="AF819" s="7" t="str">
        <f t="shared" si="90"/>
        <v/>
      </c>
    </row>
    <row r="820" spans="1:32">
      <c r="A820" t="s">
        <v>2539</v>
      </c>
      <c r="B820">
        <v>89614817</v>
      </c>
      <c r="C820" t="s">
        <v>618</v>
      </c>
      <c r="D820" t="s">
        <v>2371</v>
      </c>
      <c r="F820" t="s">
        <v>116</v>
      </c>
      <c r="G820" t="s">
        <v>176</v>
      </c>
      <c r="H820" t="s">
        <v>74</v>
      </c>
      <c r="I820" t="s">
        <v>3376</v>
      </c>
      <c r="J820">
        <v>12926.18</v>
      </c>
      <c r="K820" t="s">
        <v>86</v>
      </c>
      <c r="L820" t="s">
        <v>81</v>
      </c>
      <c r="M820" s="1">
        <v>44776.814583333333</v>
      </c>
      <c r="N820">
        <v>74</v>
      </c>
      <c r="O820" t="s">
        <v>127</v>
      </c>
      <c r="P820" t="s">
        <v>55</v>
      </c>
      <c r="Q820" t="s">
        <v>2540</v>
      </c>
      <c r="R820">
        <f t="shared" si="84"/>
        <v>89614817</v>
      </c>
      <c r="S820" t="str" cm="1">
        <f t="array" ref="S820">IF(C820="",IFERROR(INDEX($C$2:$C$1166,MATCH(MAX(COUNTIF($C$2:$C$1166,$C$2:$C$1166)),COUNTIF($C$2:$C$1166,$C$2:$C$1166),0)),"Unknown"),C820)</f>
        <v>Christopher Volkov</v>
      </c>
      <c r="T820" s="4" t="str" cm="1">
        <f t="array" ref="T820">IF(D820="",IFERROR(INDEX($D$2:$D$1000,MATCH(MAX(COUNTIF($D$2:$D$1166,$D$2:$D$1166)),COUNTIF($D$2:$D$1166,$D$2:$D$1166),0)),"Unknown"),D820)</f>
        <v>Linda Hernandez</v>
      </c>
      <c r="U820" t="str">
        <f t="shared" si="85"/>
        <v>CHF</v>
      </c>
      <c r="V820" s="7" t="str">
        <f t="shared" si="85"/>
        <v>aed</v>
      </c>
      <c r="W820" s="7" t="str">
        <f t="shared" si="86"/>
        <v>Canada</v>
      </c>
      <c r="X820" s="7" t="str">
        <f t="shared" si="86"/>
        <v>UK</v>
      </c>
      <c r="Y820" s="7" t="str" cm="1">
        <f t="array" ref="Y820">IF(H820="",IFERROR(INDEX($H$2:$H$1166,MATCH(MAX(COUNTIF($H$2:$H$1166,$H$2:$H$1166)),COUNTIF($H$2:$H$1166,$H$2:$H$1166),0)),"Unknown"),H820)</f>
        <v>Non-KYC</v>
      </c>
      <c r="Z820" s="7" t="str">
        <f t="shared" si="87"/>
        <v>Internal</v>
      </c>
      <c r="AA820" s="7">
        <f>IF(J820="",AVERAGE($J:$J),J820)</f>
        <v>12926.18</v>
      </c>
      <c r="AB820" s="7">
        <f>IF(N820="",AVERAGE($N:$N),N820)</f>
        <v>74</v>
      </c>
      <c r="AC820" s="7">
        <f t="shared" si="88"/>
        <v>2022</v>
      </c>
      <c r="AD820" s="7">
        <f t="shared" si="89"/>
        <v>8</v>
      </c>
      <c r="AE820" s="7">
        <f>COUNTIF(A:A,A820)</f>
        <v>1</v>
      </c>
      <c r="AF820" s="7" t="str">
        <f t="shared" si="90"/>
        <v/>
      </c>
    </row>
    <row r="821" spans="1:32">
      <c r="A821" t="s">
        <v>2541</v>
      </c>
      <c r="B821">
        <v>87053633</v>
      </c>
      <c r="C821" t="s">
        <v>473</v>
      </c>
      <c r="D821" t="s">
        <v>350</v>
      </c>
      <c r="F821" t="s">
        <v>98</v>
      </c>
      <c r="G821" t="s">
        <v>116</v>
      </c>
      <c r="H821" t="s">
        <v>38</v>
      </c>
      <c r="I821" t="s">
        <v>3378</v>
      </c>
      <c r="J821">
        <v>6090.37</v>
      </c>
      <c r="K821" t="s">
        <v>86</v>
      </c>
      <c r="L821" t="s">
        <v>48</v>
      </c>
      <c r="M821" s="1">
        <v>44431.225694444445</v>
      </c>
      <c r="N821">
        <v>44</v>
      </c>
      <c r="O821" t="s">
        <v>62</v>
      </c>
      <c r="P821" t="s">
        <v>68</v>
      </c>
      <c r="Q821" t="s">
        <v>2542</v>
      </c>
      <c r="R821">
        <f t="shared" si="84"/>
        <v>87053633</v>
      </c>
      <c r="S821" t="str" cm="1">
        <f t="array" ref="S821">IF(C821="",IFERROR(INDEX($C$2:$C$1166,MATCH(MAX(COUNTIF($C$2:$C$1166,$C$2:$C$1166)),COUNTIF($C$2:$C$1166,$C$2:$C$1166),0)),"Unknown"),C821)</f>
        <v>Nancy Gonzalez</v>
      </c>
      <c r="T821" s="4" t="str" cm="1">
        <f t="array" ref="T821">IF(D821="",IFERROR(INDEX($D$2:$D$1000,MATCH(MAX(COUNTIF($D$2:$D$1166,$D$2:$D$1166)),COUNTIF($D$2:$D$1166,$D$2:$D$1166),0)),"Unknown"),D821)</f>
        <v>Sarah Smith</v>
      </c>
      <c r="U821" t="str">
        <f t="shared" si="85"/>
        <v>JPY</v>
      </c>
      <c r="V821" s="7" t="str">
        <f t="shared" si="85"/>
        <v>CHF</v>
      </c>
      <c r="W821" s="7" t="str">
        <f t="shared" si="86"/>
        <v>Australia</v>
      </c>
      <c r="X821" s="7" t="str">
        <f t="shared" si="86"/>
        <v>UAE</v>
      </c>
      <c r="Y821" s="7" t="str" cm="1">
        <f t="array" ref="Y821">IF(H821="",IFERROR(INDEX($H$2:$H$1166,MATCH(MAX(COUNTIF($H$2:$H$1166,$H$2:$H$1166)),COUNTIF($H$2:$H$1166,$H$2:$H$1166),0)),"Unknown"),H821)</f>
        <v>Pending</v>
      </c>
      <c r="Z821" s="7" t="str">
        <f t="shared" si="87"/>
        <v>Inter-Transaction</v>
      </c>
      <c r="AA821" s="7">
        <f>IF(J821="",AVERAGE($J:$J),J821)</f>
        <v>6090.37</v>
      </c>
      <c r="AB821" s="7">
        <f>IF(N821="",AVERAGE($N:$N),N821)</f>
        <v>44</v>
      </c>
      <c r="AC821" s="7">
        <f t="shared" si="88"/>
        <v>2021</v>
      </c>
      <c r="AD821" s="7">
        <f t="shared" si="89"/>
        <v>8</v>
      </c>
      <c r="AE821" s="7">
        <f>COUNTIF(A:A,A821)</f>
        <v>1</v>
      </c>
      <c r="AF821" s="7" t="str">
        <f t="shared" si="90"/>
        <v/>
      </c>
    </row>
    <row r="822" spans="1:32">
      <c r="A822" t="s">
        <v>2543</v>
      </c>
      <c r="B822">
        <v>88050960</v>
      </c>
      <c r="C822" t="s">
        <v>1593</v>
      </c>
      <c r="D822" t="s">
        <v>900</v>
      </c>
      <c r="F822" t="s">
        <v>53</v>
      </c>
      <c r="G822" t="s">
        <v>116</v>
      </c>
      <c r="I822" t="s">
        <v>3376</v>
      </c>
      <c r="J822">
        <v>12094.99</v>
      </c>
      <c r="K822" t="s">
        <v>86</v>
      </c>
      <c r="L822" t="s">
        <v>75</v>
      </c>
      <c r="M822" s="1">
        <v>44555.727083333331</v>
      </c>
      <c r="N822">
        <v>72</v>
      </c>
      <c r="O822" t="s">
        <v>54</v>
      </c>
      <c r="P822" t="s">
        <v>68</v>
      </c>
      <c r="Q822" t="s">
        <v>2544</v>
      </c>
      <c r="R822">
        <f t="shared" si="84"/>
        <v>88050960</v>
      </c>
      <c r="S822" t="str" cm="1">
        <f t="array" ref="S822">IF(C822="",IFERROR(INDEX($C$2:$C$1166,MATCH(MAX(COUNTIF($C$2:$C$1166,$C$2:$C$1166)),COUNTIF($C$2:$C$1166,$C$2:$C$1166),0)),"Unknown"),C822)</f>
        <v>Karen Silva</v>
      </c>
      <c r="T822" s="4" t="str" cm="1">
        <f t="array" ref="T822">IF(D822="",IFERROR(INDEX($D$2:$D$1000,MATCH(MAX(COUNTIF($D$2:$D$1166,$D$2:$D$1166)),COUNTIF($D$2:$D$1166,$D$2:$D$1166),0)),"Unknown"),D822)</f>
        <v>Karen Brown</v>
      </c>
      <c r="U822" t="str">
        <f t="shared" si="85"/>
        <v>AED</v>
      </c>
      <c r="V822" s="7" t="str">
        <f t="shared" si="85"/>
        <v>CHF</v>
      </c>
      <c r="W822" s="7" t="str">
        <f t="shared" si="86"/>
        <v>India</v>
      </c>
      <c r="X822" s="7" t="str">
        <f t="shared" si="86"/>
        <v>UAE</v>
      </c>
      <c r="Y822" s="7" t="str" cm="1">
        <f t="array" ref="Y822">IF(H822="",IFERROR(INDEX($H$2:$H$1166,MATCH(MAX(COUNTIF($H$2:$H$1166,$H$2:$H$1166)),COUNTIF($H$2:$H$1166,$H$2:$H$1166),0)),"Unknown"),H822)</f>
        <v>Pending</v>
      </c>
      <c r="Z822" s="7" t="str">
        <f t="shared" si="87"/>
        <v>Internal</v>
      </c>
      <c r="AA822" s="7">
        <f>IF(J822="",AVERAGE($J:$J),J822)</f>
        <v>12094.99</v>
      </c>
      <c r="AB822" s="7">
        <f>IF(N822="",AVERAGE($N:$N),N822)</f>
        <v>72</v>
      </c>
      <c r="AC822" s="7">
        <f t="shared" si="88"/>
        <v>2021</v>
      </c>
      <c r="AD822" s="7">
        <f t="shared" si="89"/>
        <v>12</v>
      </c>
      <c r="AE822" s="7">
        <f>COUNTIF(A:A,A822)</f>
        <v>1</v>
      </c>
      <c r="AF822" s="7" t="str">
        <f t="shared" si="90"/>
        <v/>
      </c>
    </row>
    <row r="823" spans="1:32">
      <c r="A823" t="s">
        <v>2545</v>
      </c>
      <c r="B823">
        <v>84205887</v>
      </c>
      <c r="C823" t="s">
        <v>1469</v>
      </c>
      <c r="D823" t="s">
        <v>2546</v>
      </c>
      <c r="F823" t="s">
        <v>21</v>
      </c>
      <c r="G823" t="s">
        <v>53</v>
      </c>
      <c r="H823" t="s">
        <v>38</v>
      </c>
      <c r="I823" t="s">
        <v>3376</v>
      </c>
      <c r="J823">
        <v>8337.61</v>
      </c>
      <c r="K823" t="s">
        <v>86</v>
      </c>
      <c r="L823" t="s">
        <v>75</v>
      </c>
      <c r="M823" s="1">
        <v>46111.951388888891</v>
      </c>
      <c r="N823">
        <v>50</v>
      </c>
      <c r="O823" t="s">
        <v>62</v>
      </c>
      <c r="P823" t="s">
        <v>54</v>
      </c>
      <c r="Q823" t="s">
        <v>2547</v>
      </c>
      <c r="R823">
        <f t="shared" si="84"/>
        <v>84205887</v>
      </c>
      <c r="S823" t="str" cm="1">
        <f t="array" ref="S823">IF(C823="",IFERROR(INDEX($C$2:$C$1166,MATCH(MAX(COUNTIF($C$2:$C$1166,$C$2:$C$1166)),COUNTIF($C$2:$C$1166,$C$2:$C$1166),0)),"Unknown"),C823)</f>
        <v>Nancy Volkov</v>
      </c>
      <c r="T823" s="4" t="str" cm="1">
        <f t="array" ref="T823">IF(D823="",IFERROR(INDEX($D$2:$D$1000,MATCH(MAX(COUNTIF($D$2:$D$1166,$D$2:$D$1166)),COUNTIF($D$2:$D$1166,$D$2:$D$1166),0)),"Unknown"),D823)</f>
        <v xml:space="preserve"> mary smith   </v>
      </c>
      <c r="U823" t="str">
        <f t="shared" si="85"/>
        <v>GBP</v>
      </c>
      <c r="V823" s="7" t="str">
        <f t="shared" si="85"/>
        <v>AED</v>
      </c>
      <c r="W823" s="7" t="str">
        <f t="shared" si="86"/>
        <v>Australia</v>
      </c>
      <c r="X823" s="7" t="str">
        <f t="shared" si="86"/>
        <v>India</v>
      </c>
      <c r="Y823" s="7" t="str" cm="1">
        <f t="array" ref="Y823">IF(H823="",IFERROR(INDEX($H$2:$H$1166,MATCH(MAX(COUNTIF($H$2:$H$1166,$H$2:$H$1166)),COUNTIF($H$2:$H$1166,$H$2:$H$1166),0)),"Unknown"),H823)</f>
        <v>Pending</v>
      </c>
      <c r="Z823" s="7" t="str">
        <f t="shared" si="87"/>
        <v>Internal</v>
      </c>
      <c r="AA823" s="7">
        <f>IF(J823="",AVERAGE($J:$J),J823)</f>
        <v>8337.61</v>
      </c>
      <c r="AB823" s="7">
        <f>IF(N823="",AVERAGE($N:$N),N823)</f>
        <v>50</v>
      </c>
      <c r="AC823" s="7">
        <f t="shared" si="88"/>
        <v>2026</v>
      </c>
      <c r="AD823" s="7">
        <f t="shared" si="89"/>
        <v>3</v>
      </c>
      <c r="AE823" s="7">
        <f>COUNTIF(A:A,A823)</f>
        <v>1</v>
      </c>
      <c r="AF823" s="7" t="str">
        <f t="shared" si="90"/>
        <v/>
      </c>
    </row>
    <row r="824" spans="1:32">
      <c r="A824" t="s">
        <v>2548</v>
      </c>
      <c r="C824" t="s">
        <v>2549</v>
      </c>
      <c r="D824" t="s">
        <v>2550</v>
      </c>
      <c r="F824" t="s">
        <v>21</v>
      </c>
      <c r="G824" t="s">
        <v>686</v>
      </c>
      <c r="I824" t="s">
        <v>3372</v>
      </c>
      <c r="J824">
        <v>11398.99</v>
      </c>
      <c r="K824" t="s">
        <v>39</v>
      </c>
      <c r="L824" t="s">
        <v>28</v>
      </c>
      <c r="M824" s="1">
        <v>45248.354861111111</v>
      </c>
      <c r="N824">
        <v>85</v>
      </c>
      <c r="O824" t="s">
        <v>36</v>
      </c>
      <c r="P824" t="s">
        <v>54</v>
      </c>
      <c r="Q824" t="s">
        <v>2551</v>
      </c>
      <c r="R824">
        <f t="shared" si="84"/>
        <v>0</v>
      </c>
      <c r="S824" t="str" cm="1">
        <f t="array" ref="S824">IF(C824="",IFERROR(INDEX($C$2:$C$1166,MATCH(MAX(COUNTIF($C$2:$C$1166,$C$2:$C$1166)),COUNTIF($C$2:$C$1166,$C$2:$C$1166),0)),"Unknown"),C824)</f>
        <v>Karen Lopez</v>
      </c>
      <c r="T824" s="4" t="str" cm="1">
        <f t="array" ref="T824">IF(D824="",IFERROR(INDEX($D$2:$D$1000,MATCH(MAX(COUNTIF($D$2:$D$1166,$D$2:$D$1166)),COUNTIF($D$2:$D$1166,$D$2:$D$1166),0)),"Unknown"),D824)</f>
        <v>Jessica Malik</v>
      </c>
      <c r="U824" t="str">
        <f t="shared" si="85"/>
        <v>GBP</v>
      </c>
      <c r="V824" s="7" t="str">
        <f t="shared" si="85"/>
        <v>sgd</v>
      </c>
      <c r="W824" s="7" t="str">
        <f t="shared" si="86"/>
        <v>Germany</v>
      </c>
      <c r="X824" s="7" t="str">
        <f t="shared" si="86"/>
        <v>India</v>
      </c>
      <c r="Y824" s="7" t="str" cm="1">
        <f t="array" ref="Y824">IF(H824="",IFERROR(INDEX($H$2:$H$1166,MATCH(MAX(COUNTIF($H$2:$H$1166,$H$2:$H$1166)),COUNTIF($H$2:$H$1166,$H$2:$H$1166),0)),"Unknown"),H824)</f>
        <v>Pending</v>
      </c>
      <c r="Z824" s="7" t="str">
        <f t="shared" si="87"/>
        <v>Outer-Transaction</v>
      </c>
      <c r="AA824" s="7">
        <f>IF(J824="",AVERAGE($J:$J),J824)</f>
        <v>11398.99</v>
      </c>
      <c r="AB824" s="7">
        <f>IF(N824="",AVERAGE($N:$N),N824)</f>
        <v>85</v>
      </c>
      <c r="AC824" s="7">
        <f t="shared" si="88"/>
        <v>2023</v>
      </c>
      <c r="AD824" s="7">
        <f t="shared" si="89"/>
        <v>11</v>
      </c>
      <c r="AE824" s="7">
        <f>COUNTIF(A:A,A824)</f>
        <v>1</v>
      </c>
      <c r="AF824" s="7" t="str">
        <f t="shared" si="90"/>
        <v/>
      </c>
    </row>
    <row r="825" spans="1:32">
      <c r="A825" t="s">
        <v>2552</v>
      </c>
      <c r="B825">
        <v>35713686</v>
      </c>
      <c r="C825" t="s">
        <v>235</v>
      </c>
      <c r="D825" t="s">
        <v>1045</v>
      </c>
      <c r="F825" t="s">
        <v>53</v>
      </c>
      <c r="G825" t="s">
        <v>92</v>
      </c>
      <c r="I825" t="s">
        <v>3377</v>
      </c>
      <c r="J825">
        <v>7966.98</v>
      </c>
      <c r="K825" t="s">
        <v>47</v>
      </c>
      <c r="L825" t="s">
        <v>81</v>
      </c>
      <c r="M825" s="1">
        <v>45355.871527777781</v>
      </c>
      <c r="N825">
        <v>83</v>
      </c>
      <c r="O825" t="s">
        <v>54</v>
      </c>
      <c r="P825" t="s">
        <v>37</v>
      </c>
      <c r="Q825" t="s">
        <v>2553</v>
      </c>
      <c r="R825">
        <f t="shared" si="84"/>
        <v>35713686</v>
      </c>
      <c r="S825" t="str" cm="1">
        <f t="array" ref="S825">IF(C825="",IFERROR(INDEX($C$2:$C$1166,MATCH(MAX(COUNTIF($C$2:$C$1166,$C$2:$C$1166)),COUNTIF($C$2:$C$1166,$C$2:$C$1166),0)),"Unknown"),C825)</f>
        <v>Amir Anderson</v>
      </c>
      <c r="T825" s="4" t="str" cm="1">
        <f t="array" ref="T825">IF(D825="",IFERROR(INDEX($D$2:$D$1000,MATCH(MAX(COUNTIF($D$2:$D$1166,$D$2:$D$1166)),COUNTIF($D$2:$D$1166,$D$2:$D$1166),0)),"Unknown"),D825)</f>
        <v>Karen Velez</v>
      </c>
      <c r="U825" t="str">
        <f t="shared" si="85"/>
        <v>AED</v>
      </c>
      <c r="V825" s="7" t="str">
        <f t="shared" si="85"/>
        <v>AUD</v>
      </c>
      <c r="W825" s="7" t="str">
        <f t="shared" si="86"/>
        <v>India</v>
      </c>
      <c r="X825" s="7" t="str">
        <f t="shared" si="86"/>
        <v>South Africa</v>
      </c>
      <c r="Y825" s="7" t="str" cm="1">
        <f t="array" ref="Y825">IF(H825="",IFERROR(INDEX($H$2:$H$1166,MATCH(MAX(COUNTIF($H$2:$H$1166,$H$2:$H$1166)),COUNTIF($H$2:$H$1166,$H$2:$H$1166),0)),"Unknown"),H825)</f>
        <v>Pending</v>
      </c>
      <c r="Z825" s="7" t="str">
        <f t="shared" si="87"/>
        <v>Inter-Transaction</v>
      </c>
      <c r="AA825" s="7">
        <f>IF(J825="",AVERAGE($J:$J),J825)</f>
        <v>7966.98</v>
      </c>
      <c r="AB825" s="7">
        <f>IF(N825="",AVERAGE($N:$N),N825)</f>
        <v>83</v>
      </c>
      <c r="AC825" s="7">
        <f t="shared" si="88"/>
        <v>2024</v>
      </c>
      <c r="AD825" s="7">
        <f t="shared" si="89"/>
        <v>3</v>
      </c>
      <c r="AE825" s="7">
        <f>COUNTIF(A:A,A825)</f>
        <v>1</v>
      </c>
      <c r="AF825" s="7" t="str">
        <f t="shared" si="90"/>
        <v/>
      </c>
    </row>
    <row r="826" spans="1:32">
      <c r="A826" t="s">
        <v>2554</v>
      </c>
      <c r="B826">
        <v>49678304</v>
      </c>
      <c r="C826" t="s">
        <v>592</v>
      </c>
      <c r="D826" t="s">
        <v>357</v>
      </c>
      <c r="F826" t="s">
        <v>80</v>
      </c>
      <c r="G826" t="s">
        <v>92</v>
      </c>
      <c r="H826" t="s">
        <v>103</v>
      </c>
      <c r="I826" t="s">
        <v>3371</v>
      </c>
      <c r="J826">
        <v>4520.24</v>
      </c>
      <c r="K826" t="s">
        <v>86</v>
      </c>
      <c r="L826" t="s">
        <v>81</v>
      </c>
      <c r="M826" s="1">
        <v>44081.217361111114</v>
      </c>
      <c r="N826">
        <v>27</v>
      </c>
      <c r="O826" t="s">
        <v>36</v>
      </c>
      <c r="P826" t="s">
        <v>54</v>
      </c>
      <c r="Q826" t="s">
        <v>2555</v>
      </c>
      <c r="R826">
        <f t="shared" si="84"/>
        <v>49678304</v>
      </c>
      <c r="S826" t="str" cm="1">
        <f t="array" ref="S826">IF(C826="",IFERROR(INDEX($C$2:$C$1166,MATCH(MAX(COUNTIF($C$2:$C$1166,$C$2:$C$1166)),COUNTIF($C$2:$C$1166,$C$2:$C$1166),0)),"Unknown"),C826)</f>
        <v>Barbara Rodriguez</v>
      </c>
      <c r="T826" s="4" t="str" cm="1">
        <f t="array" ref="T826">IF(D826="",IFERROR(INDEX($D$2:$D$1000,MATCH(MAX(COUNTIF($D$2:$D$1166,$D$2:$D$1166)),COUNTIF($D$2:$D$1166,$D$2:$D$1166),0)),"Unknown"),D826)</f>
        <v>Michael Martin</v>
      </c>
      <c r="U826" t="str">
        <f t="shared" si="85"/>
        <v>USD</v>
      </c>
      <c r="V826" s="7" t="str">
        <f t="shared" si="85"/>
        <v>AUD</v>
      </c>
      <c r="W826" s="7" t="str">
        <f t="shared" si="86"/>
        <v>Germany</v>
      </c>
      <c r="X826" s="7" t="str">
        <f t="shared" si="86"/>
        <v>India</v>
      </c>
      <c r="Y826" s="7" t="str" cm="1">
        <f t="array" ref="Y826">IF(H826="",IFERROR(INDEX($H$2:$H$1166,MATCH(MAX(COUNTIF($H$2:$H$1166,$H$2:$H$1166)),COUNTIF($H$2:$H$1166,$H$2:$H$1166),0)),"Unknown"),H826)</f>
        <v>Verified</v>
      </c>
      <c r="Z826" s="7" t="str">
        <f t="shared" si="87"/>
        <v>Outer-Transaction</v>
      </c>
      <c r="AA826" s="7">
        <f>IF(J826="",AVERAGE($J:$J),J826)</f>
        <v>4520.24</v>
      </c>
      <c r="AB826" s="7">
        <f>IF(N826="",AVERAGE($N:$N),N826)</f>
        <v>27</v>
      </c>
      <c r="AC826" s="7">
        <f t="shared" si="88"/>
        <v>2020</v>
      </c>
      <c r="AD826" s="7">
        <f t="shared" si="89"/>
        <v>9</v>
      </c>
      <c r="AE826" s="7">
        <f>COUNTIF(A:A,A826)</f>
        <v>1</v>
      </c>
      <c r="AF826" s="7" t="str">
        <f t="shared" si="90"/>
        <v/>
      </c>
    </row>
    <row r="827" spans="1:32">
      <c r="A827" t="s">
        <v>2556</v>
      </c>
      <c r="B827">
        <v>33925710</v>
      </c>
      <c r="C827" t="s">
        <v>2557</v>
      </c>
      <c r="D827" t="s">
        <v>2558</v>
      </c>
      <c r="F827" t="s">
        <v>34</v>
      </c>
      <c r="G827" t="s">
        <v>121</v>
      </c>
      <c r="H827" t="s">
        <v>56</v>
      </c>
      <c r="I827" t="s">
        <v>3378</v>
      </c>
      <c r="J827">
        <v>7211.2</v>
      </c>
      <c r="K827" t="s">
        <v>39</v>
      </c>
      <c r="L827" t="s">
        <v>75</v>
      </c>
      <c r="M827" s="1">
        <v>45375.966666666667</v>
      </c>
      <c r="N827">
        <v>22</v>
      </c>
      <c r="O827" t="s">
        <v>62</v>
      </c>
      <c r="P827" t="s">
        <v>93</v>
      </c>
      <c r="Q827" t="s">
        <v>2559</v>
      </c>
      <c r="R827">
        <f t="shared" si="84"/>
        <v>33925710</v>
      </c>
      <c r="S827" t="str" cm="1">
        <f t="array" ref="S827">IF(C827="",IFERROR(INDEX($C$2:$C$1166,MATCH(MAX(COUNTIF($C$2:$C$1166,$C$2:$C$1166)),COUNTIF($C$2:$C$1166,$C$2:$C$1166),0)),"Unknown"),C827)</f>
        <v>Linda Malik</v>
      </c>
      <c r="T827" s="4" t="str" cm="1">
        <f t="array" ref="T827">IF(D827="",IFERROR(INDEX($D$2:$D$1000,MATCH(MAX(COUNTIF($D$2:$D$1166,$D$2:$D$1166)),COUNTIF($D$2:$D$1166,$D$2:$D$1166),0)),"Unknown"),D827)</f>
        <v xml:space="preserve"> linda brown   </v>
      </c>
      <c r="U827" t="str">
        <f t="shared" si="85"/>
        <v>CAD</v>
      </c>
      <c r="V827" s="7" t="str">
        <f t="shared" si="85"/>
        <v>INR</v>
      </c>
      <c r="W827" s="7" t="str">
        <f t="shared" si="86"/>
        <v>Australia</v>
      </c>
      <c r="X827" s="7" t="str">
        <f t="shared" si="86"/>
        <v>USA</v>
      </c>
      <c r="Y827" s="7" t="str" cm="1">
        <f t="array" ref="Y827">IF(H827="",IFERROR(INDEX($H$2:$H$1166,MATCH(MAX(COUNTIF($H$2:$H$1166,$H$2:$H$1166)),COUNTIF($H$2:$H$1166,$H$2:$H$1166),0)),"Unknown"),H827)</f>
        <v>Unverified</v>
      </c>
      <c r="Z827" s="7" t="str">
        <f t="shared" si="87"/>
        <v>Inter-Transaction</v>
      </c>
      <c r="AA827" s="7">
        <f>IF(J827="",AVERAGE($J:$J),J827)</f>
        <v>7211.2</v>
      </c>
      <c r="AB827" s="7">
        <f>IF(N827="",AVERAGE($N:$N),N827)</f>
        <v>22</v>
      </c>
      <c r="AC827" s="7">
        <f t="shared" si="88"/>
        <v>2024</v>
      </c>
      <c r="AD827" s="7">
        <f t="shared" si="89"/>
        <v>3</v>
      </c>
      <c r="AE827" s="7">
        <f>COUNTIF(A:A,A827)</f>
        <v>1</v>
      </c>
      <c r="AF827" s="7" t="str">
        <f t="shared" si="90"/>
        <v/>
      </c>
    </row>
    <row r="828" spans="1:32">
      <c r="A828" t="s">
        <v>2560</v>
      </c>
      <c r="B828">
        <v>41106335</v>
      </c>
      <c r="C828" t="s">
        <v>187</v>
      </c>
      <c r="D828" t="s">
        <v>809</v>
      </c>
      <c r="F828" t="s">
        <v>35</v>
      </c>
      <c r="G828" t="s">
        <v>21</v>
      </c>
      <c r="H828" t="s">
        <v>38</v>
      </c>
      <c r="I828" t="s">
        <v>3377</v>
      </c>
      <c r="J828">
        <v>59.83</v>
      </c>
      <c r="K828" t="s">
        <v>47</v>
      </c>
      <c r="L828" t="s">
        <v>81</v>
      </c>
      <c r="M828" s="1">
        <v>43909.424305555556</v>
      </c>
      <c r="N828">
        <v>55</v>
      </c>
      <c r="O828" t="s">
        <v>55</v>
      </c>
      <c r="P828" t="s">
        <v>24</v>
      </c>
      <c r="Q828" t="s">
        <v>2561</v>
      </c>
      <c r="R828">
        <f t="shared" si="84"/>
        <v>41106335</v>
      </c>
      <c r="S828" t="str" cm="1">
        <f t="array" ref="S828">IF(C828="",IFERROR(INDEX($C$2:$C$1166,MATCH(MAX(COUNTIF($C$2:$C$1166,$C$2:$C$1166)),COUNTIF($C$2:$C$1166,$C$2:$C$1166),0)),"Unknown"),C828)</f>
        <v>Karen Davis</v>
      </c>
      <c r="T828" s="4" t="str" cm="1">
        <f t="array" ref="T828">IF(D828="",IFERROR(INDEX($D$2:$D$1000,MATCH(MAX(COUNTIF($D$2:$D$1166,$D$2:$D$1166)),COUNTIF($D$2:$D$1166,$D$2:$D$1166),0)),"Unknown"),D828)</f>
        <v>Richard Smith</v>
      </c>
      <c r="U828" t="str">
        <f t="shared" si="85"/>
        <v>EUR</v>
      </c>
      <c r="V828" s="7" t="str">
        <f t="shared" si="85"/>
        <v>GBP</v>
      </c>
      <c r="W828" s="7" t="str">
        <f t="shared" si="86"/>
        <v>UK</v>
      </c>
      <c r="X828" s="7" t="str">
        <f t="shared" si="86"/>
        <v>Brazil</v>
      </c>
      <c r="Y828" s="7" t="str" cm="1">
        <f t="array" ref="Y828">IF(H828="",IFERROR(INDEX($H$2:$H$1166,MATCH(MAX(COUNTIF($H$2:$H$1166,$H$2:$H$1166)),COUNTIF($H$2:$H$1166,$H$2:$H$1166),0)),"Unknown"),H828)</f>
        <v>Pending</v>
      </c>
      <c r="Z828" s="7" t="str">
        <f t="shared" si="87"/>
        <v>Inter-Transaction</v>
      </c>
      <c r="AA828" s="7">
        <f>IF(J828="",AVERAGE($J:$J),J828)</f>
        <v>59.83</v>
      </c>
      <c r="AB828" s="7">
        <f>IF(N828="",AVERAGE($N:$N),N828)</f>
        <v>55</v>
      </c>
      <c r="AC828" s="7">
        <f t="shared" si="88"/>
        <v>2020</v>
      </c>
      <c r="AD828" s="7">
        <f t="shared" si="89"/>
        <v>3</v>
      </c>
      <c r="AE828" s="7">
        <f>COUNTIF(A:A,A828)</f>
        <v>1</v>
      </c>
      <c r="AF828" s="7" t="str">
        <f t="shared" si="90"/>
        <v/>
      </c>
    </row>
    <row r="829" spans="1:32">
      <c r="A829" t="s">
        <v>2562</v>
      </c>
      <c r="B829">
        <v>95911762</v>
      </c>
      <c r="C829" t="s">
        <v>939</v>
      </c>
      <c r="D829" t="s">
        <v>1476</v>
      </c>
      <c r="F829" t="s">
        <v>53</v>
      </c>
      <c r="G829" t="s">
        <v>98</v>
      </c>
      <c r="H829" t="s">
        <v>103</v>
      </c>
      <c r="I829" t="s">
        <v>3376</v>
      </c>
      <c r="J829">
        <v>4877.6099999999997</v>
      </c>
      <c r="K829" t="s">
        <v>47</v>
      </c>
      <c r="L829" t="s">
        <v>75</v>
      </c>
      <c r="M829" s="1">
        <v>44728.762499999997</v>
      </c>
      <c r="N829">
        <v>30</v>
      </c>
      <c r="O829" t="s">
        <v>36</v>
      </c>
      <c r="P829" t="s">
        <v>62</v>
      </c>
      <c r="Q829" t="s">
        <v>2563</v>
      </c>
      <c r="R829">
        <f t="shared" si="84"/>
        <v>95911762</v>
      </c>
      <c r="S829" t="str" cm="1">
        <f t="array" ref="S829">IF(C829="",IFERROR(INDEX($C$2:$C$1166,MATCH(MAX(COUNTIF($C$2:$C$1166,$C$2:$C$1166)),COUNTIF($C$2:$C$1166,$C$2:$C$1166),0)),"Unknown"),C829)</f>
        <v>Michael Nair</v>
      </c>
      <c r="T829" s="4" t="str" cm="1">
        <f t="array" ref="T829">IF(D829="",IFERROR(INDEX($D$2:$D$1000,MATCH(MAX(COUNTIF($D$2:$D$1166,$D$2:$D$1166)),COUNTIF($D$2:$D$1166,$D$2:$D$1166),0)),"Unknown"),D829)</f>
        <v>Thomas Thomas</v>
      </c>
      <c r="U829" t="str">
        <f t="shared" si="85"/>
        <v>AED</v>
      </c>
      <c r="V829" s="7" t="str">
        <f t="shared" si="85"/>
        <v>JPY</v>
      </c>
      <c r="W829" s="7" t="str">
        <f t="shared" si="86"/>
        <v>Germany</v>
      </c>
      <c r="X829" s="7" t="str">
        <f t="shared" si="86"/>
        <v>Australia</v>
      </c>
      <c r="Y829" s="7" t="str" cm="1">
        <f t="array" ref="Y829">IF(H829="",IFERROR(INDEX($H$2:$H$1166,MATCH(MAX(COUNTIF($H$2:$H$1166,$H$2:$H$1166)),COUNTIF($H$2:$H$1166,$H$2:$H$1166),0)),"Unknown"),H829)</f>
        <v>Verified</v>
      </c>
      <c r="Z829" s="7" t="str">
        <f t="shared" si="87"/>
        <v>Internal</v>
      </c>
      <c r="AA829" s="7">
        <f>IF(J829="",AVERAGE($J:$J),J829)</f>
        <v>4877.6099999999997</v>
      </c>
      <c r="AB829" s="7">
        <f>IF(N829="",AVERAGE($N:$N),N829)</f>
        <v>30</v>
      </c>
      <c r="AC829" s="7">
        <f t="shared" si="88"/>
        <v>2022</v>
      </c>
      <c r="AD829" s="7">
        <f t="shared" si="89"/>
        <v>6</v>
      </c>
      <c r="AE829" s="7">
        <f>COUNTIF(A:A,A829)</f>
        <v>1</v>
      </c>
      <c r="AF829" s="7" t="str">
        <f t="shared" si="90"/>
        <v/>
      </c>
    </row>
    <row r="830" spans="1:32">
      <c r="A830" t="s">
        <v>2564</v>
      </c>
      <c r="B830">
        <v>59424791</v>
      </c>
      <c r="C830" t="s">
        <v>960</v>
      </c>
      <c r="D830" t="s">
        <v>1176</v>
      </c>
      <c r="F830" t="s">
        <v>556</v>
      </c>
      <c r="G830" t="s">
        <v>98</v>
      </c>
      <c r="H830" t="s">
        <v>103</v>
      </c>
      <c r="I830" t="s">
        <v>3378</v>
      </c>
      <c r="J830">
        <v>7079.52</v>
      </c>
      <c r="K830" t="s">
        <v>57</v>
      </c>
      <c r="L830" t="s">
        <v>48</v>
      </c>
      <c r="M830" s="1">
        <v>44611.851388888892</v>
      </c>
      <c r="N830">
        <v>48</v>
      </c>
      <c r="O830" t="s">
        <v>54</v>
      </c>
      <c r="P830" t="s">
        <v>55</v>
      </c>
      <c r="Q830" t="s">
        <v>2565</v>
      </c>
      <c r="R830">
        <f t="shared" si="84"/>
        <v>59424791</v>
      </c>
      <c r="S830" t="str" cm="1">
        <f t="array" ref="S830">IF(C830="",IFERROR(INDEX($C$2:$C$1166,MATCH(MAX(COUNTIF($C$2:$C$1166,$C$2:$C$1166)),COUNTIF($C$2:$C$1166,$C$2:$C$1166),0)),"Unknown"),C830)</f>
        <v>Nancy Williams</v>
      </c>
      <c r="T830" s="4" t="str" cm="1">
        <f t="array" ref="T830">IF(D830="",IFERROR(INDEX($D$2:$D$1000,MATCH(MAX(COUNTIF($D$2:$D$1166,$D$2:$D$1166)),COUNTIF($D$2:$D$1166,$D$2:$D$1166),0)),"Unknown"),D830)</f>
        <v>Thomas Williams</v>
      </c>
      <c r="U830" t="str">
        <f t="shared" si="85"/>
        <v>$</v>
      </c>
      <c r="V830" s="7" t="str">
        <f t="shared" si="85"/>
        <v>JPY</v>
      </c>
      <c r="W830" s="7" t="str">
        <f t="shared" si="86"/>
        <v>India</v>
      </c>
      <c r="X830" s="7" t="str">
        <f t="shared" si="86"/>
        <v>UK</v>
      </c>
      <c r="Y830" s="7" t="str" cm="1">
        <f t="array" ref="Y830">IF(H830="",IFERROR(INDEX($H$2:$H$1166,MATCH(MAX(COUNTIF($H$2:$H$1166,$H$2:$H$1166)),COUNTIF($H$2:$H$1166,$H$2:$H$1166),0)),"Unknown"),H830)</f>
        <v>Verified</v>
      </c>
      <c r="Z830" s="7" t="str">
        <f t="shared" si="87"/>
        <v>Inter-Transaction</v>
      </c>
      <c r="AA830" s="7">
        <f>IF(J830="",AVERAGE($J:$J),J830)</f>
        <v>7079.52</v>
      </c>
      <c r="AB830" s="7">
        <f>IF(N830="",AVERAGE($N:$N),N830)</f>
        <v>48</v>
      </c>
      <c r="AC830" s="7">
        <f t="shared" si="88"/>
        <v>2022</v>
      </c>
      <c r="AD830" s="7">
        <f t="shared" si="89"/>
        <v>2</v>
      </c>
      <c r="AE830" s="7">
        <f>COUNTIF(A:A,A830)</f>
        <v>1</v>
      </c>
      <c r="AF830" s="7" t="str">
        <f t="shared" si="90"/>
        <v/>
      </c>
    </row>
    <row r="831" spans="1:32">
      <c r="A831" t="s">
        <v>2566</v>
      </c>
      <c r="B831">
        <v>71907135</v>
      </c>
      <c r="C831" t="s">
        <v>1314</v>
      </c>
      <c r="D831" t="s">
        <v>2134</v>
      </c>
      <c r="F831" t="s">
        <v>116</v>
      </c>
      <c r="G831" t="s">
        <v>44</v>
      </c>
      <c r="H831" t="s">
        <v>56</v>
      </c>
      <c r="I831" t="s">
        <v>3376</v>
      </c>
      <c r="J831">
        <v>8019.39</v>
      </c>
      <c r="K831" t="s">
        <v>47</v>
      </c>
      <c r="L831" t="s">
        <v>48</v>
      </c>
      <c r="M831" s="1">
        <v>44056.765972222223</v>
      </c>
      <c r="N831">
        <v>64</v>
      </c>
      <c r="O831" t="s">
        <v>54</v>
      </c>
      <c r="P831" t="s">
        <v>68</v>
      </c>
      <c r="Q831" t="s">
        <v>2567</v>
      </c>
      <c r="R831">
        <f t="shared" si="84"/>
        <v>71907135</v>
      </c>
      <c r="S831" t="str" cm="1">
        <f t="array" ref="S831">IF(C831="",IFERROR(INDEX($C$2:$C$1166,MATCH(MAX(COUNTIF($C$2:$C$1166,$C$2:$C$1166)),COUNTIF($C$2:$C$1166,$C$2:$C$1166),0)),"Unknown"),C831)</f>
        <v>Patricia Lopez</v>
      </c>
      <c r="T831" s="4" t="str" cm="1">
        <f t="array" ref="T831">IF(D831="",IFERROR(INDEX($D$2:$D$1000,MATCH(MAX(COUNTIF($D$2:$D$1166,$D$2:$D$1166)),COUNTIF($D$2:$D$1166,$D$2:$D$1166),0)),"Unknown"),D831)</f>
        <v>Christopher Martinez</v>
      </c>
      <c r="U831" t="str">
        <f t="shared" si="85"/>
        <v>CHF</v>
      </c>
      <c r="V831" s="7" t="str">
        <f t="shared" si="85"/>
        <v>SGD</v>
      </c>
      <c r="W831" s="7" t="str">
        <f t="shared" si="86"/>
        <v>India</v>
      </c>
      <c r="X831" s="7" t="str">
        <f t="shared" si="86"/>
        <v>UAE</v>
      </c>
      <c r="Y831" s="7" t="str" cm="1">
        <f t="array" ref="Y831">IF(H831="",IFERROR(INDEX($H$2:$H$1166,MATCH(MAX(COUNTIF($H$2:$H$1166,$H$2:$H$1166)),COUNTIF($H$2:$H$1166,$H$2:$H$1166),0)),"Unknown"),H831)</f>
        <v>Unverified</v>
      </c>
      <c r="Z831" s="7" t="str">
        <f t="shared" si="87"/>
        <v>Internal</v>
      </c>
      <c r="AA831" s="7">
        <f>IF(J831="",AVERAGE($J:$J),J831)</f>
        <v>8019.39</v>
      </c>
      <c r="AB831" s="7">
        <f>IF(N831="",AVERAGE($N:$N),N831)</f>
        <v>64</v>
      </c>
      <c r="AC831" s="7">
        <f t="shared" si="88"/>
        <v>2020</v>
      </c>
      <c r="AD831" s="7">
        <f t="shared" si="89"/>
        <v>8</v>
      </c>
      <c r="AE831" s="7">
        <f>COUNTIF(A:A,A831)</f>
        <v>1</v>
      </c>
      <c r="AF831" s="7" t="str">
        <f t="shared" si="90"/>
        <v/>
      </c>
    </row>
    <row r="832" spans="1:32">
      <c r="A832" t="s">
        <v>2568</v>
      </c>
      <c r="B832">
        <v>90648127</v>
      </c>
      <c r="C832" t="s">
        <v>2569</v>
      </c>
      <c r="D832" t="s">
        <v>885</v>
      </c>
      <c r="F832" t="s">
        <v>98</v>
      </c>
      <c r="G832" t="s">
        <v>98</v>
      </c>
      <c r="H832" t="s">
        <v>38</v>
      </c>
      <c r="I832" t="s">
        <v>3372</v>
      </c>
      <c r="J832">
        <v>2952.53</v>
      </c>
      <c r="K832" t="s">
        <v>57</v>
      </c>
      <c r="L832" t="s">
        <v>81</v>
      </c>
      <c r="M832" s="1">
        <v>44905.518750000003</v>
      </c>
      <c r="N832">
        <v>69</v>
      </c>
      <c r="O832" t="s">
        <v>36</v>
      </c>
      <c r="P832" t="s">
        <v>37</v>
      </c>
      <c r="Q832" t="s">
        <v>2570</v>
      </c>
      <c r="R832">
        <f t="shared" si="84"/>
        <v>90648127</v>
      </c>
      <c r="S832" t="str" cm="1">
        <f t="array" ref="S832">IF(C832="",IFERROR(INDEX($C$2:$C$1166,MATCH(MAX(COUNTIF($C$2:$C$1166,$C$2:$C$1166)),COUNTIF($C$2:$C$1166,$C$2:$C$1166),0)),"Unknown"),C832)</f>
        <v>Linda Wilson</v>
      </c>
      <c r="T832" s="4" t="str" cm="1">
        <f t="array" ref="T832">IF(D832="",IFERROR(INDEX($D$2:$D$1000,MATCH(MAX(COUNTIF($D$2:$D$1166,$D$2:$D$1166)),COUNTIF($D$2:$D$1166,$D$2:$D$1166),0)),"Unknown"),D832)</f>
        <v>Priya Johnson</v>
      </c>
      <c r="U832" t="str">
        <f t="shared" si="85"/>
        <v>JPY</v>
      </c>
      <c r="V832" s="7" t="str">
        <f t="shared" si="85"/>
        <v>JPY</v>
      </c>
      <c r="W832" s="7" t="str">
        <f t="shared" si="86"/>
        <v>Germany</v>
      </c>
      <c r="X832" s="7" t="str">
        <f t="shared" si="86"/>
        <v>South Africa</v>
      </c>
      <c r="Y832" s="7" t="str" cm="1">
        <f t="array" ref="Y832">IF(H832="",IFERROR(INDEX($H$2:$H$1166,MATCH(MAX(COUNTIF($H$2:$H$1166,$H$2:$H$1166)),COUNTIF($H$2:$H$1166,$H$2:$H$1166),0)),"Unknown"),H832)</f>
        <v>Pending</v>
      </c>
      <c r="Z832" s="7" t="str">
        <f t="shared" si="87"/>
        <v>Outer-Transaction</v>
      </c>
      <c r="AA832" s="7">
        <f>IF(J832="",AVERAGE($J:$J),J832)</f>
        <v>2952.53</v>
      </c>
      <c r="AB832" s="7">
        <f>IF(N832="",AVERAGE($N:$N),N832)</f>
        <v>69</v>
      </c>
      <c r="AC832" s="7">
        <f t="shared" si="88"/>
        <v>2022</v>
      </c>
      <c r="AD832" s="7">
        <f t="shared" si="89"/>
        <v>12</v>
      </c>
      <c r="AE832" s="7">
        <f>COUNTIF(A:A,A832)</f>
        <v>1</v>
      </c>
      <c r="AF832" s="7" t="str">
        <f t="shared" si="90"/>
        <v/>
      </c>
    </row>
    <row r="833" spans="1:32">
      <c r="A833" t="s">
        <v>2571</v>
      </c>
      <c r="B833">
        <v>53947932</v>
      </c>
      <c r="C833" t="s">
        <v>802</v>
      </c>
      <c r="D833" t="s">
        <v>757</v>
      </c>
      <c r="F833" t="s">
        <v>98</v>
      </c>
      <c r="G833" t="s">
        <v>80</v>
      </c>
      <c r="H833" t="s">
        <v>103</v>
      </c>
      <c r="I833" t="s">
        <v>3378</v>
      </c>
      <c r="J833">
        <v>13041.65</v>
      </c>
      <c r="K833" t="s">
        <v>39</v>
      </c>
      <c r="L833" t="s">
        <v>28</v>
      </c>
      <c r="M833" s="1">
        <v>45040.579861111109</v>
      </c>
      <c r="N833">
        <v>73</v>
      </c>
      <c r="O833" t="s">
        <v>23</v>
      </c>
      <c r="P833" t="s">
        <v>37</v>
      </c>
      <c r="Q833" t="s">
        <v>2572</v>
      </c>
      <c r="R833">
        <f t="shared" si="84"/>
        <v>53947932</v>
      </c>
      <c r="S833" t="str" cm="1">
        <f t="array" ref="S833">IF(C833="",IFERROR(INDEX($C$2:$C$1166,MATCH(MAX(COUNTIF($C$2:$C$1166,$C$2:$C$1166)),COUNTIF($C$2:$C$1166,$C$2:$C$1166),0)),"Unknown"),C833)</f>
        <v>Fatima Davis</v>
      </c>
      <c r="T833" s="4" t="str" cm="1">
        <f t="array" ref="T833">IF(D833="",IFERROR(INDEX($D$2:$D$1000,MATCH(MAX(COUNTIF($D$2:$D$1166,$D$2:$D$1166)),COUNTIF($D$2:$D$1166,$D$2:$D$1166),0)),"Unknown"),D833)</f>
        <v>Sarah Silva</v>
      </c>
      <c r="U833" t="str">
        <f t="shared" si="85"/>
        <v>JPY</v>
      </c>
      <c r="V833" s="7" t="str">
        <f t="shared" si="85"/>
        <v>USD</v>
      </c>
      <c r="W833" s="7" t="str">
        <f t="shared" si="86"/>
        <v>France</v>
      </c>
      <c r="X833" s="7" t="str">
        <f t="shared" si="86"/>
        <v>South Africa</v>
      </c>
      <c r="Y833" s="7" t="str" cm="1">
        <f t="array" ref="Y833">IF(H833="",IFERROR(INDEX($H$2:$H$1166,MATCH(MAX(COUNTIF($H$2:$H$1166,$H$2:$H$1166)),COUNTIF($H$2:$H$1166,$H$2:$H$1166),0)),"Unknown"),H833)</f>
        <v>Verified</v>
      </c>
      <c r="Z833" s="7" t="str">
        <f t="shared" si="87"/>
        <v>Inter-Transaction</v>
      </c>
      <c r="AA833" s="7">
        <f>IF(J833="",AVERAGE($J:$J),J833)</f>
        <v>13041.65</v>
      </c>
      <c r="AB833" s="7">
        <f>IF(N833="",AVERAGE($N:$N),N833)</f>
        <v>73</v>
      </c>
      <c r="AC833" s="7">
        <f t="shared" si="88"/>
        <v>2023</v>
      </c>
      <c r="AD833" s="7">
        <f t="shared" si="89"/>
        <v>4</v>
      </c>
      <c r="AE833" s="7">
        <f>COUNTIF(A:A,A833)</f>
        <v>1</v>
      </c>
      <c r="AF833" s="7" t="str">
        <f t="shared" si="90"/>
        <v/>
      </c>
    </row>
    <row r="834" spans="1:32">
      <c r="A834" t="s">
        <v>2573</v>
      </c>
      <c r="B834">
        <v>38172320</v>
      </c>
      <c r="C834" t="s">
        <v>2574</v>
      </c>
      <c r="D834" t="s">
        <v>700</v>
      </c>
      <c r="F834" t="s">
        <v>53</v>
      </c>
      <c r="G834" t="s">
        <v>92</v>
      </c>
      <c r="H834" t="s">
        <v>38</v>
      </c>
      <c r="I834" t="s">
        <v>3376</v>
      </c>
      <c r="J834">
        <v>11856.55</v>
      </c>
      <c r="K834" t="s">
        <v>86</v>
      </c>
      <c r="L834" t="s">
        <v>28</v>
      </c>
      <c r="M834" s="1">
        <v>44888.738194444442</v>
      </c>
      <c r="N834">
        <v>32</v>
      </c>
      <c r="O834" t="s">
        <v>62</v>
      </c>
      <c r="P834" t="s">
        <v>62</v>
      </c>
      <c r="Q834" t="s">
        <v>2575</v>
      </c>
      <c r="R834">
        <f t="shared" ref="R834:R897" si="91">IF(B834="",0,B834)</f>
        <v>38172320</v>
      </c>
      <c r="S834" t="str" cm="1">
        <f t="array" ref="S834">IF(C834="",IFERROR(INDEX($C$2:$C$1166,MATCH(MAX(COUNTIF($C$2:$C$1166,$C$2:$C$1166)),COUNTIF($C$2:$C$1166,$C$2:$C$1166),0)),"Unknown"),C834)</f>
        <v>Amir Gonzalez</v>
      </c>
      <c r="T834" s="4" t="str" cm="1">
        <f t="array" ref="T834">IF(D834="",IFERROR(INDEX($D$2:$D$1000,MATCH(MAX(COUNTIF($D$2:$D$1166,$D$2:$D$1166)),COUNTIF($D$2:$D$1166,$D$2:$D$1166),0)),"Unknown"),D834)</f>
        <v>Michael Jackson</v>
      </c>
      <c r="U834" t="str">
        <f t="shared" ref="U834:V897" si="92">TRIM(F834)</f>
        <v>AED</v>
      </c>
      <c r="V834" s="7" t="str">
        <f t="shared" si="92"/>
        <v>AUD</v>
      </c>
      <c r="W834" s="7" t="str">
        <f t="shared" ref="W834:X897" si="93">TRIM(O834)</f>
        <v>Australia</v>
      </c>
      <c r="X834" s="7" t="str">
        <f t="shared" si="93"/>
        <v>Australia</v>
      </c>
      <c r="Y834" s="7" t="str" cm="1">
        <f t="array" ref="Y834">IF(H834="",IFERROR(INDEX($H$2:$H$1166,MATCH(MAX(COUNTIF($H$2:$H$1166,$H$2:$H$1166)),COUNTIF($H$2:$H$1166,$H$2:$H$1166),0)),"Unknown"),H834)</f>
        <v>Pending</v>
      </c>
      <c r="Z834" s="7" t="str">
        <f t="shared" ref="Z834:Z897" si="94">PROPER(I834)</f>
        <v>Internal</v>
      </c>
      <c r="AA834" s="7">
        <f>IF(J834="",AVERAGE($J:$J),J834)</f>
        <v>11856.55</v>
      </c>
      <c r="AB834" s="7">
        <f>IF(N834="",AVERAGE($N:$N),N834)</f>
        <v>32</v>
      </c>
      <c r="AC834" s="7">
        <f t="shared" ref="AC834:AC897" si="95">YEAR(M834)</f>
        <v>2022</v>
      </c>
      <c r="AD834" s="7">
        <f t="shared" ref="AD834:AD897" si="96">MONTH(M834)</f>
        <v>11</v>
      </c>
      <c r="AE834" s="7">
        <f>COUNTIF(A:A,A834)</f>
        <v>1</v>
      </c>
      <c r="AF834" s="7" t="str">
        <f t="shared" ref="AF834:AF897" si="97">IF(E834="","",IF(OR(E834="Yes",E834="Y",E834="TRUE",E834=1),"Yes","No"))</f>
        <v/>
      </c>
    </row>
    <row r="835" spans="1:32">
      <c r="A835" t="s">
        <v>2576</v>
      </c>
      <c r="B835">
        <v>55685117</v>
      </c>
      <c r="C835" t="s">
        <v>2577</v>
      </c>
      <c r="D835" t="s">
        <v>331</v>
      </c>
      <c r="F835" t="s">
        <v>92</v>
      </c>
      <c r="G835" t="s">
        <v>45</v>
      </c>
      <c r="H835" t="s">
        <v>38</v>
      </c>
      <c r="I835" t="s">
        <v>3376</v>
      </c>
      <c r="J835">
        <v>4470.1400000000003</v>
      </c>
      <c r="K835" t="s">
        <v>27</v>
      </c>
      <c r="L835" t="s">
        <v>81</v>
      </c>
      <c r="M835" s="1">
        <v>44633.15347222222</v>
      </c>
      <c r="N835">
        <v>46</v>
      </c>
      <c r="O835" t="s">
        <v>23</v>
      </c>
      <c r="P835" t="s">
        <v>24</v>
      </c>
      <c r="Q835" t="s">
        <v>2578</v>
      </c>
      <c r="R835">
        <f t="shared" si="91"/>
        <v>55685117</v>
      </c>
      <c r="S835" t="str" cm="1">
        <f t="array" ref="S835">IF(C835="",IFERROR(INDEX($C$2:$C$1166,MATCH(MAX(COUNTIF($C$2:$C$1166,$C$2:$C$1166)),COUNTIF($C$2:$C$1166,$C$2:$C$1166),0)),"Unknown"),C835)</f>
        <v>Linda Brown</v>
      </c>
      <c r="T835" s="4" t="str" cm="1">
        <f t="array" ref="T835">IF(D835="",IFERROR(INDEX($D$2:$D$1000,MATCH(MAX(COUNTIF($D$2:$D$1166,$D$2:$D$1166)),COUNTIF($D$2:$D$1166,$D$2:$D$1166),0)),"Unknown"),D835)</f>
        <v>Elena Williams</v>
      </c>
      <c r="U835" t="str">
        <f t="shared" si="92"/>
        <v>AUD</v>
      </c>
      <c r="V835" s="7" t="str">
        <f t="shared" si="92"/>
        <v>ZAR</v>
      </c>
      <c r="W835" s="7" t="str">
        <f t="shared" si="93"/>
        <v>France</v>
      </c>
      <c r="X835" s="7" t="str">
        <f t="shared" si="93"/>
        <v>Brazil</v>
      </c>
      <c r="Y835" s="7" t="str" cm="1">
        <f t="array" ref="Y835">IF(H835="",IFERROR(INDEX($H$2:$H$1166,MATCH(MAX(COUNTIF($H$2:$H$1166,$H$2:$H$1166)),COUNTIF($H$2:$H$1166,$H$2:$H$1166),0)),"Unknown"),H835)</f>
        <v>Pending</v>
      </c>
      <c r="Z835" s="7" t="str">
        <f t="shared" si="94"/>
        <v>Internal</v>
      </c>
      <c r="AA835" s="7">
        <f>IF(J835="",AVERAGE($J:$J),J835)</f>
        <v>4470.1400000000003</v>
      </c>
      <c r="AB835" s="7">
        <f>IF(N835="",AVERAGE($N:$N),N835)</f>
        <v>46</v>
      </c>
      <c r="AC835" s="7">
        <f t="shared" si="95"/>
        <v>2022</v>
      </c>
      <c r="AD835" s="7">
        <f t="shared" si="96"/>
        <v>3</v>
      </c>
      <c r="AE835" s="7">
        <f>COUNTIF(A:A,A835)</f>
        <v>1</v>
      </c>
      <c r="AF835" s="7" t="str">
        <f t="shared" si="97"/>
        <v/>
      </c>
    </row>
    <row r="836" spans="1:32">
      <c r="A836" t="s">
        <v>2579</v>
      </c>
      <c r="B836">
        <v>56778834</v>
      </c>
      <c r="C836" t="s">
        <v>174</v>
      </c>
      <c r="D836" t="s">
        <v>408</v>
      </c>
      <c r="F836" t="s">
        <v>116</v>
      </c>
      <c r="G836" t="s">
        <v>80</v>
      </c>
      <c r="I836" t="s">
        <v>3374</v>
      </c>
      <c r="J836">
        <v>12687.47</v>
      </c>
      <c r="K836" t="s">
        <v>86</v>
      </c>
      <c r="L836" t="s">
        <v>48</v>
      </c>
      <c r="M836" s="1">
        <v>44572.668749999997</v>
      </c>
      <c r="N836">
        <v>25</v>
      </c>
      <c r="O836" t="s">
        <v>37</v>
      </c>
      <c r="P836" t="s">
        <v>55</v>
      </c>
      <c r="Q836" t="s">
        <v>2580</v>
      </c>
      <c r="R836">
        <f t="shared" si="91"/>
        <v>56778834</v>
      </c>
      <c r="S836" t="str" cm="1">
        <f t="array" ref="S836">IF(C836="",IFERROR(INDEX($C$2:$C$1166,MATCH(MAX(COUNTIF($C$2:$C$1166,$C$2:$C$1166)),COUNTIF($C$2:$C$1166,$C$2:$C$1166),0)),"Unknown"),C836)</f>
        <v>Jean-Pierre Taylor</v>
      </c>
      <c r="T836" s="4" t="str" cm="1">
        <f t="array" ref="T836">IF(D836="",IFERROR(INDEX($D$2:$D$1000,MATCH(MAX(COUNTIF($D$2:$D$1166,$D$2:$D$1166)),COUNTIF($D$2:$D$1166,$D$2:$D$1166),0)),"Unknown"),D836)</f>
        <v>Michael Taylor</v>
      </c>
      <c r="U836" t="str">
        <f t="shared" si="92"/>
        <v>CHF</v>
      </c>
      <c r="V836" s="7" t="str">
        <f t="shared" si="92"/>
        <v>USD</v>
      </c>
      <c r="W836" s="7" t="str">
        <f t="shared" si="93"/>
        <v>South Africa</v>
      </c>
      <c r="X836" s="7" t="str">
        <f t="shared" si="93"/>
        <v>UK</v>
      </c>
      <c r="Y836" s="7" t="str" cm="1">
        <f t="array" ref="Y836">IF(H836="",IFERROR(INDEX($H$2:$H$1166,MATCH(MAX(COUNTIF($H$2:$H$1166,$H$2:$H$1166)),COUNTIF($H$2:$H$1166,$H$2:$H$1166),0)),"Unknown"),H836)</f>
        <v>Pending</v>
      </c>
      <c r="Z836" s="7" t="str">
        <f t="shared" si="94"/>
        <v>External</v>
      </c>
      <c r="AA836" s="7">
        <f>IF(J836="",AVERAGE($J:$J),J836)</f>
        <v>12687.47</v>
      </c>
      <c r="AB836" s="7">
        <f>IF(N836="",AVERAGE($N:$N),N836)</f>
        <v>25</v>
      </c>
      <c r="AC836" s="7">
        <f t="shared" si="95"/>
        <v>2022</v>
      </c>
      <c r="AD836" s="7">
        <f t="shared" si="96"/>
        <v>1</v>
      </c>
      <c r="AE836" s="7">
        <f>COUNTIF(A:A,A836)</f>
        <v>1</v>
      </c>
      <c r="AF836" s="7" t="str">
        <f t="shared" si="97"/>
        <v/>
      </c>
    </row>
    <row r="837" spans="1:32">
      <c r="A837" t="s">
        <v>2581</v>
      </c>
      <c r="B837">
        <v>87926745</v>
      </c>
      <c r="C837" t="s">
        <v>1361</v>
      </c>
      <c r="D837" t="s">
        <v>1986</v>
      </c>
      <c r="F837" t="s">
        <v>35</v>
      </c>
      <c r="G837" t="s">
        <v>53</v>
      </c>
      <c r="H837" t="s">
        <v>56</v>
      </c>
      <c r="I837" t="s">
        <v>3376</v>
      </c>
      <c r="J837">
        <v>1581.12</v>
      </c>
      <c r="K837" t="s">
        <v>47</v>
      </c>
      <c r="L837" t="s">
        <v>48</v>
      </c>
      <c r="M837" s="1">
        <v>46009.488888888889</v>
      </c>
      <c r="N837">
        <v>22</v>
      </c>
      <c r="O837" t="s">
        <v>62</v>
      </c>
      <c r="P837" t="s">
        <v>127</v>
      </c>
      <c r="Q837" t="s">
        <v>2582</v>
      </c>
      <c r="R837">
        <f t="shared" si="91"/>
        <v>87926745</v>
      </c>
      <c r="S837" t="str" cm="1">
        <f t="array" ref="S837">IF(C837="",IFERROR(INDEX($C$2:$C$1166,MATCH(MAX(COUNTIF($C$2:$C$1166,$C$2:$C$1166)),COUNTIF($C$2:$C$1166,$C$2:$C$1166),0)),"Unknown"),C837)</f>
        <v>Charles Martinez</v>
      </c>
      <c r="T837" s="4" t="str" cm="1">
        <f t="array" ref="T837">IF(D837="",IFERROR(INDEX($D$2:$D$1000,MATCH(MAX(COUNTIF($D$2:$D$1166,$D$2:$D$1166)),COUNTIF($D$2:$D$1166,$D$2:$D$1166),0)),"Unknown"),D837)</f>
        <v>Priya Rodriguez</v>
      </c>
      <c r="U837" t="str">
        <f t="shared" si="92"/>
        <v>EUR</v>
      </c>
      <c r="V837" s="7" t="str">
        <f t="shared" si="92"/>
        <v>AED</v>
      </c>
      <c r="W837" s="7" t="str">
        <f t="shared" si="93"/>
        <v>Australia</v>
      </c>
      <c r="X837" s="7" t="str">
        <f t="shared" si="93"/>
        <v>Canada</v>
      </c>
      <c r="Y837" s="7" t="str" cm="1">
        <f t="array" ref="Y837">IF(H837="",IFERROR(INDEX($H$2:$H$1166,MATCH(MAX(COUNTIF($H$2:$H$1166,$H$2:$H$1166)),COUNTIF($H$2:$H$1166,$H$2:$H$1166),0)),"Unknown"),H837)</f>
        <v>Unverified</v>
      </c>
      <c r="Z837" s="7" t="str">
        <f t="shared" si="94"/>
        <v>Internal</v>
      </c>
      <c r="AA837" s="7">
        <f>IF(J837="",AVERAGE($J:$J),J837)</f>
        <v>1581.12</v>
      </c>
      <c r="AB837" s="7">
        <f>IF(N837="",AVERAGE($N:$N),N837)</f>
        <v>22</v>
      </c>
      <c r="AC837" s="7">
        <f t="shared" si="95"/>
        <v>2025</v>
      </c>
      <c r="AD837" s="7">
        <f t="shared" si="96"/>
        <v>12</v>
      </c>
      <c r="AE837" s="7">
        <f>COUNTIF(A:A,A837)</f>
        <v>1</v>
      </c>
      <c r="AF837" s="7" t="str">
        <f t="shared" si="97"/>
        <v/>
      </c>
    </row>
    <row r="838" spans="1:32">
      <c r="A838" t="s">
        <v>2583</v>
      </c>
      <c r="B838">
        <v>75992723</v>
      </c>
      <c r="C838" t="s">
        <v>106</v>
      </c>
      <c r="D838" t="s">
        <v>854</v>
      </c>
      <c r="F838" t="s">
        <v>393</v>
      </c>
      <c r="G838" t="s">
        <v>116</v>
      </c>
      <c r="I838" t="s">
        <v>3376</v>
      </c>
      <c r="J838">
        <v>9457.82</v>
      </c>
      <c r="K838" t="s">
        <v>47</v>
      </c>
      <c r="L838" t="s">
        <v>28</v>
      </c>
      <c r="M838" s="1">
        <v>44534.131249999999</v>
      </c>
      <c r="N838">
        <v>46</v>
      </c>
      <c r="O838" t="s">
        <v>36</v>
      </c>
      <c r="P838" t="s">
        <v>54</v>
      </c>
      <c r="Q838" t="s">
        <v>2584</v>
      </c>
      <c r="R838">
        <f t="shared" si="91"/>
        <v>75992723</v>
      </c>
      <c r="S838" t="str" cm="1">
        <f t="array" ref="S838">IF(C838="",IFERROR(INDEX($C$2:$C$1166,MATCH(MAX(COUNTIF($C$2:$C$1166,$C$2:$C$1166)),COUNTIF($C$2:$C$1166,$C$2:$C$1166),0)),"Unknown"),C838)</f>
        <v>Amir Moore</v>
      </c>
      <c r="T838" s="4" t="str" cm="1">
        <f t="array" ref="T838">IF(D838="",IFERROR(INDEX($D$2:$D$1000,MATCH(MAX(COUNTIF($D$2:$D$1166,$D$2:$D$1166)),COUNTIF($D$2:$D$1166,$D$2:$D$1166),0)),"Unknown"),D838)</f>
        <v>Robert Rodriguez</v>
      </c>
      <c r="U838" t="str">
        <f t="shared" si="92"/>
        <v>cad</v>
      </c>
      <c r="V838" s="7" t="str">
        <f t="shared" si="92"/>
        <v>CHF</v>
      </c>
      <c r="W838" s="7" t="str">
        <f t="shared" si="93"/>
        <v>Germany</v>
      </c>
      <c r="X838" s="7" t="str">
        <f t="shared" si="93"/>
        <v>India</v>
      </c>
      <c r="Y838" s="7" t="str" cm="1">
        <f t="array" ref="Y838">IF(H838="",IFERROR(INDEX($H$2:$H$1166,MATCH(MAX(COUNTIF($H$2:$H$1166,$H$2:$H$1166)),COUNTIF($H$2:$H$1166,$H$2:$H$1166),0)),"Unknown"),H838)</f>
        <v>Pending</v>
      </c>
      <c r="Z838" s="7" t="str">
        <f t="shared" si="94"/>
        <v>Internal</v>
      </c>
      <c r="AA838" s="7">
        <f>IF(J838="",AVERAGE($J:$J),J838)</f>
        <v>9457.82</v>
      </c>
      <c r="AB838" s="7">
        <f>IF(N838="",AVERAGE($N:$N),N838)</f>
        <v>46</v>
      </c>
      <c r="AC838" s="7">
        <f t="shared" si="95"/>
        <v>2021</v>
      </c>
      <c r="AD838" s="7">
        <f t="shared" si="96"/>
        <v>12</v>
      </c>
      <c r="AE838" s="7">
        <f>COUNTIF(A:A,A838)</f>
        <v>1</v>
      </c>
      <c r="AF838" s="7" t="str">
        <f t="shared" si="97"/>
        <v/>
      </c>
    </row>
    <row r="839" spans="1:32">
      <c r="A839" t="s">
        <v>2585</v>
      </c>
      <c r="B839">
        <v>60152980</v>
      </c>
      <c r="C839" t="s">
        <v>511</v>
      </c>
      <c r="F839" t="s">
        <v>98</v>
      </c>
      <c r="G839" t="s">
        <v>98</v>
      </c>
      <c r="I839" t="s">
        <v>3378</v>
      </c>
      <c r="J839">
        <v>2935.43</v>
      </c>
      <c r="K839" t="s">
        <v>39</v>
      </c>
      <c r="L839" t="s">
        <v>28</v>
      </c>
      <c r="M839" s="1">
        <v>46375.115277777775</v>
      </c>
      <c r="N839">
        <v>64</v>
      </c>
      <c r="O839" t="s">
        <v>93</v>
      </c>
      <c r="P839" t="s">
        <v>36</v>
      </c>
      <c r="Q839" t="s">
        <v>2586</v>
      </c>
      <c r="R839">
        <f t="shared" si="91"/>
        <v>60152980</v>
      </c>
      <c r="S839" t="str" cm="1">
        <f t="array" ref="S839">IF(C839="",IFERROR(INDEX($C$2:$C$1166,MATCH(MAX(COUNTIF($C$2:$C$1166,$C$2:$C$1166)),COUNTIF($C$2:$C$1166,$C$2:$C$1166),0)),"Unknown"),C839)</f>
        <v>Robert Nair</v>
      </c>
      <c r="T839" s="4" t="str" cm="1">
        <f t="array" ref="T839">IF(D839="",IFERROR(INDEX($D$2:$D$1000,MATCH(MAX(COUNTIF($D$2:$D$1166,$D$2:$D$1166)),COUNTIF($D$2:$D$1166,$D$2:$D$1166),0)),"Unknown"),D839)</f>
        <v>Patricia Smith</v>
      </c>
      <c r="U839" t="str">
        <f t="shared" si="92"/>
        <v>JPY</v>
      </c>
      <c r="V839" s="7" t="str">
        <f t="shared" si="92"/>
        <v>JPY</v>
      </c>
      <c r="W839" s="7" t="str">
        <f t="shared" si="93"/>
        <v>USA</v>
      </c>
      <c r="X839" s="7" t="str">
        <f t="shared" si="93"/>
        <v>Germany</v>
      </c>
      <c r="Y839" s="7" t="str" cm="1">
        <f t="array" ref="Y839">IF(H839="",IFERROR(INDEX($H$2:$H$1166,MATCH(MAX(COUNTIF($H$2:$H$1166,$H$2:$H$1166)),COUNTIF($H$2:$H$1166,$H$2:$H$1166),0)),"Unknown"),H839)</f>
        <v>Pending</v>
      </c>
      <c r="Z839" s="7" t="str">
        <f t="shared" si="94"/>
        <v>Inter-Transaction</v>
      </c>
      <c r="AA839" s="7">
        <f>IF(J839="",AVERAGE($J:$J),J839)</f>
        <v>2935.43</v>
      </c>
      <c r="AB839" s="7">
        <f>IF(N839="",AVERAGE($N:$N),N839)</f>
        <v>64</v>
      </c>
      <c r="AC839" s="7">
        <f t="shared" si="95"/>
        <v>2026</v>
      </c>
      <c r="AD839" s="7">
        <f t="shared" si="96"/>
        <v>12</v>
      </c>
      <c r="AE839" s="7">
        <f>COUNTIF(A:A,A839)</f>
        <v>1</v>
      </c>
      <c r="AF839" s="7" t="str">
        <f t="shared" si="97"/>
        <v/>
      </c>
    </row>
    <row r="840" spans="1:32">
      <c r="A840" t="s">
        <v>2587</v>
      </c>
      <c r="B840">
        <v>73660887</v>
      </c>
      <c r="C840" t="s">
        <v>1306</v>
      </c>
      <c r="D840" t="s">
        <v>2588</v>
      </c>
      <c r="F840" t="s">
        <v>35</v>
      </c>
      <c r="G840" t="s">
        <v>126</v>
      </c>
      <c r="H840" t="s">
        <v>25</v>
      </c>
      <c r="I840" t="s">
        <v>3376</v>
      </c>
      <c r="J840">
        <v>10760.51</v>
      </c>
      <c r="K840" t="s">
        <v>86</v>
      </c>
      <c r="L840" t="s">
        <v>75</v>
      </c>
      <c r="M840" s="1">
        <v>45257.080555555556</v>
      </c>
      <c r="N840">
        <v>85</v>
      </c>
      <c r="O840" t="s">
        <v>36</v>
      </c>
      <c r="P840" t="s">
        <v>37</v>
      </c>
      <c r="Q840" t="s">
        <v>2589</v>
      </c>
      <c r="R840">
        <f t="shared" si="91"/>
        <v>73660887</v>
      </c>
      <c r="S840" t="str" cm="1">
        <f t="array" ref="S840">IF(C840="",IFERROR(INDEX($C$2:$C$1166,MATCH(MAX(COUNTIF($C$2:$C$1166,$C$2:$C$1166)),COUNTIF($C$2:$C$1166,$C$2:$C$1166),0)),"Unknown"),C840)</f>
        <v>Barbara Jones</v>
      </c>
      <c r="T840" s="4" t="str" cm="1">
        <f t="array" ref="T840">IF(D840="",IFERROR(INDEX($D$2:$D$1000,MATCH(MAX(COUNTIF($D$2:$D$1166,$D$2:$D$1166)),COUNTIF($D$2:$D$1166,$D$2:$D$1166),0)),"Unknown"),D840)</f>
        <v>Sanjay Malik</v>
      </c>
      <c r="U840" t="str">
        <f t="shared" si="92"/>
        <v>EUR</v>
      </c>
      <c r="V840" s="7" t="str">
        <f t="shared" si="92"/>
        <v>inr</v>
      </c>
      <c r="W840" s="7" t="str">
        <f t="shared" si="93"/>
        <v>Germany</v>
      </c>
      <c r="X840" s="7" t="str">
        <f t="shared" si="93"/>
        <v>South Africa</v>
      </c>
      <c r="Y840" s="7" t="str" cm="1">
        <f t="array" ref="Y840">IF(H840="",IFERROR(INDEX($H$2:$H$1166,MATCH(MAX(COUNTIF($H$2:$H$1166,$H$2:$H$1166)),COUNTIF($H$2:$H$1166,$H$2:$H$1166),0)),"Unknown"),H840)</f>
        <v>KYC</v>
      </c>
      <c r="Z840" s="7" t="str">
        <f t="shared" si="94"/>
        <v>Internal</v>
      </c>
      <c r="AA840" s="7">
        <f>IF(J840="",AVERAGE($J:$J),J840)</f>
        <v>10760.51</v>
      </c>
      <c r="AB840" s="7">
        <f>IF(N840="",AVERAGE($N:$N),N840)</f>
        <v>85</v>
      </c>
      <c r="AC840" s="7">
        <f t="shared" si="95"/>
        <v>2023</v>
      </c>
      <c r="AD840" s="7">
        <f t="shared" si="96"/>
        <v>11</v>
      </c>
      <c r="AE840" s="7">
        <f>COUNTIF(A:A,A840)</f>
        <v>1</v>
      </c>
      <c r="AF840" s="7" t="str">
        <f t="shared" si="97"/>
        <v/>
      </c>
    </row>
    <row r="841" spans="1:32">
      <c r="A841" t="s">
        <v>2590</v>
      </c>
      <c r="B841">
        <v>81260169</v>
      </c>
      <c r="C841" t="s">
        <v>89</v>
      </c>
      <c r="D841" t="s">
        <v>1618</v>
      </c>
      <c r="F841" t="s">
        <v>44</v>
      </c>
      <c r="G841" t="s">
        <v>35</v>
      </c>
      <c r="H841" t="s">
        <v>103</v>
      </c>
      <c r="I841" t="s">
        <v>3371</v>
      </c>
      <c r="J841">
        <v>11979.2</v>
      </c>
      <c r="K841" t="s">
        <v>86</v>
      </c>
      <c r="L841" t="s">
        <v>28</v>
      </c>
      <c r="M841" s="1">
        <v>46201.670138888891</v>
      </c>
      <c r="N841">
        <v>62</v>
      </c>
      <c r="O841" t="s">
        <v>23</v>
      </c>
      <c r="P841" t="s">
        <v>54</v>
      </c>
      <c r="Q841" t="s">
        <v>2591</v>
      </c>
      <c r="R841">
        <f t="shared" si="91"/>
        <v>81260169</v>
      </c>
      <c r="S841" t="str" cm="1">
        <f t="array" ref="S841">IF(C841="",IFERROR(INDEX($C$2:$C$1166,MATCH(MAX(COUNTIF($C$2:$C$1166,$C$2:$C$1166)),COUNTIF($C$2:$C$1166,$C$2:$C$1166),0)),"Unknown"),C841)</f>
        <v>Sarah Miller</v>
      </c>
      <c r="T841" s="4" t="str" cm="1">
        <f t="array" ref="T841">IF(D841="",IFERROR(INDEX($D$2:$D$1000,MATCH(MAX(COUNTIF($D$2:$D$1166,$D$2:$D$1166)),COUNTIF($D$2:$D$1166,$D$2:$D$1166),0)),"Unknown"),D841)</f>
        <v>Joseph Dubois</v>
      </c>
      <c r="U841" t="str">
        <f t="shared" si="92"/>
        <v>SGD</v>
      </c>
      <c r="V841" s="7" t="str">
        <f t="shared" si="92"/>
        <v>EUR</v>
      </c>
      <c r="W841" s="7" t="str">
        <f t="shared" si="93"/>
        <v>France</v>
      </c>
      <c r="X841" s="7" t="str">
        <f t="shared" si="93"/>
        <v>India</v>
      </c>
      <c r="Y841" s="7" t="str" cm="1">
        <f t="array" ref="Y841">IF(H841="",IFERROR(INDEX($H$2:$H$1166,MATCH(MAX(COUNTIF($H$2:$H$1166,$H$2:$H$1166)),COUNTIF($H$2:$H$1166,$H$2:$H$1166),0)),"Unknown"),H841)</f>
        <v>Verified</v>
      </c>
      <c r="Z841" s="7" t="str">
        <f t="shared" si="94"/>
        <v>Outer-Transaction</v>
      </c>
      <c r="AA841" s="7">
        <f>IF(J841="",AVERAGE($J:$J),J841)</f>
        <v>11979.2</v>
      </c>
      <c r="AB841" s="7">
        <f>IF(N841="",AVERAGE($N:$N),N841)</f>
        <v>62</v>
      </c>
      <c r="AC841" s="7">
        <f t="shared" si="95"/>
        <v>2026</v>
      </c>
      <c r="AD841" s="7">
        <f t="shared" si="96"/>
        <v>6</v>
      </c>
      <c r="AE841" s="7">
        <f>COUNTIF(A:A,A841)</f>
        <v>1</v>
      </c>
      <c r="AF841" s="7" t="str">
        <f t="shared" si="97"/>
        <v/>
      </c>
    </row>
    <row r="842" spans="1:32">
      <c r="A842" t="s">
        <v>2592</v>
      </c>
      <c r="B842">
        <v>70446666</v>
      </c>
      <c r="C842" t="s">
        <v>550</v>
      </c>
      <c r="D842" t="s">
        <v>511</v>
      </c>
      <c r="F842" t="s">
        <v>92</v>
      </c>
      <c r="G842" t="s">
        <v>92</v>
      </c>
      <c r="H842" t="s">
        <v>25</v>
      </c>
      <c r="I842" t="s">
        <v>3372</v>
      </c>
      <c r="J842">
        <v>4359.76</v>
      </c>
      <c r="K842" t="s">
        <v>39</v>
      </c>
      <c r="L842" t="s">
        <v>28</v>
      </c>
      <c r="M842" s="1">
        <v>44445.31527777778</v>
      </c>
      <c r="N842">
        <v>19</v>
      </c>
      <c r="O842" t="s">
        <v>55</v>
      </c>
      <c r="P842" t="s">
        <v>54</v>
      </c>
      <c r="Q842" t="s">
        <v>2593</v>
      </c>
      <c r="R842">
        <f t="shared" si="91"/>
        <v>70446666</v>
      </c>
      <c r="S842" t="str" cm="1">
        <f t="array" ref="S842">IF(C842="",IFERROR(INDEX($C$2:$C$1166,MATCH(MAX(COUNTIF($C$2:$C$1166,$C$2:$C$1166)),COUNTIF($C$2:$C$1166,$C$2:$C$1166),0)),"Unknown"),C842)</f>
        <v>Marta Davis</v>
      </c>
      <c r="T842" s="4" t="str" cm="1">
        <f t="array" ref="T842">IF(D842="",IFERROR(INDEX($D$2:$D$1000,MATCH(MAX(COUNTIF($D$2:$D$1166,$D$2:$D$1166)),COUNTIF($D$2:$D$1166,$D$2:$D$1166),0)),"Unknown"),D842)</f>
        <v>Robert Nair</v>
      </c>
      <c r="U842" t="str">
        <f t="shared" si="92"/>
        <v>AUD</v>
      </c>
      <c r="V842" s="7" t="str">
        <f t="shared" si="92"/>
        <v>AUD</v>
      </c>
      <c r="W842" s="7" t="str">
        <f t="shared" si="93"/>
        <v>UK</v>
      </c>
      <c r="X842" s="7" t="str">
        <f t="shared" si="93"/>
        <v>India</v>
      </c>
      <c r="Y842" s="7" t="str" cm="1">
        <f t="array" ref="Y842">IF(H842="",IFERROR(INDEX($H$2:$H$1166,MATCH(MAX(COUNTIF($H$2:$H$1166,$H$2:$H$1166)),COUNTIF($H$2:$H$1166,$H$2:$H$1166),0)),"Unknown"),H842)</f>
        <v>KYC</v>
      </c>
      <c r="Z842" s="7" t="str">
        <f t="shared" si="94"/>
        <v>Outer-Transaction</v>
      </c>
      <c r="AA842" s="7">
        <f>IF(J842="",AVERAGE($J:$J),J842)</f>
        <v>4359.76</v>
      </c>
      <c r="AB842" s="7">
        <f>IF(N842="",AVERAGE($N:$N),N842)</f>
        <v>19</v>
      </c>
      <c r="AC842" s="7">
        <f t="shared" si="95"/>
        <v>2021</v>
      </c>
      <c r="AD842" s="7">
        <f t="shared" si="96"/>
        <v>9</v>
      </c>
      <c r="AE842" s="7">
        <f>COUNTIF(A:A,A842)</f>
        <v>1</v>
      </c>
      <c r="AF842" s="7" t="str">
        <f t="shared" si="97"/>
        <v/>
      </c>
    </row>
    <row r="843" spans="1:32">
      <c r="A843" t="s">
        <v>2594</v>
      </c>
      <c r="B843">
        <v>97262584</v>
      </c>
      <c r="C843" t="s">
        <v>2595</v>
      </c>
      <c r="D843" t="s">
        <v>2596</v>
      </c>
      <c r="F843" t="s">
        <v>53</v>
      </c>
      <c r="G843" t="s">
        <v>21</v>
      </c>
      <c r="H843" t="s">
        <v>56</v>
      </c>
      <c r="I843" t="s">
        <v>3377</v>
      </c>
      <c r="J843">
        <v>534.08000000000004</v>
      </c>
      <c r="K843" t="s">
        <v>86</v>
      </c>
      <c r="L843" t="s">
        <v>81</v>
      </c>
      <c r="M843" s="1">
        <v>44159.745138888888</v>
      </c>
      <c r="N843">
        <v>44</v>
      </c>
      <c r="O843" t="s">
        <v>36</v>
      </c>
      <c r="P843" t="s">
        <v>93</v>
      </c>
      <c r="Q843" t="s">
        <v>2597</v>
      </c>
      <c r="R843">
        <f t="shared" si="91"/>
        <v>97262584</v>
      </c>
      <c r="S843" t="str" cm="1">
        <f t="array" ref="S843">IF(C843="",IFERROR(INDEX($C$2:$C$1166,MATCH(MAX(COUNTIF($C$2:$C$1166,$C$2:$C$1166)),COUNTIF($C$2:$C$1166,$C$2:$C$1166),0)),"Unknown"),C843)</f>
        <v xml:space="preserve">  JOSEPH WILSON </v>
      </c>
      <c r="T843" s="4" t="str" cm="1">
        <f t="array" ref="T843">IF(D843="",IFERROR(INDEX($D$2:$D$1000,MATCH(MAX(COUNTIF($D$2:$D$1166,$D$2:$D$1166)),COUNTIF($D$2:$D$1166,$D$2:$D$1166),0)),"Unknown"),D843)</f>
        <v>John Hernandez</v>
      </c>
      <c r="U843" t="str">
        <f t="shared" si="92"/>
        <v>AED</v>
      </c>
      <c r="V843" s="7" t="str">
        <f t="shared" si="92"/>
        <v>GBP</v>
      </c>
      <c r="W843" s="7" t="str">
        <f t="shared" si="93"/>
        <v>Germany</v>
      </c>
      <c r="X843" s="7" t="str">
        <f t="shared" si="93"/>
        <v>USA</v>
      </c>
      <c r="Y843" s="7" t="str" cm="1">
        <f t="array" ref="Y843">IF(H843="",IFERROR(INDEX($H$2:$H$1166,MATCH(MAX(COUNTIF($H$2:$H$1166,$H$2:$H$1166)),COUNTIF($H$2:$H$1166,$H$2:$H$1166),0)),"Unknown"),H843)</f>
        <v>Unverified</v>
      </c>
      <c r="Z843" s="7" t="str">
        <f t="shared" si="94"/>
        <v>Inter-Transaction</v>
      </c>
      <c r="AA843" s="7">
        <f>IF(J843="",AVERAGE($J:$J),J843)</f>
        <v>534.08000000000004</v>
      </c>
      <c r="AB843" s="7">
        <f>IF(N843="",AVERAGE($N:$N),N843)</f>
        <v>44</v>
      </c>
      <c r="AC843" s="7">
        <f t="shared" si="95"/>
        <v>2020</v>
      </c>
      <c r="AD843" s="7">
        <f t="shared" si="96"/>
        <v>11</v>
      </c>
      <c r="AE843" s="7">
        <f>COUNTIF(A:A,A843)</f>
        <v>1</v>
      </c>
      <c r="AF843" s="7" t="str">
        <f t="shared" si="97"/>
        <v/>
      </c>
    </row>
    <row r="844" spans="1:32">
      <c r="A844" t="s">
        <v>2598</v>
      </c>
      <c r="B844">
        <v>60104145</v>
      </c>
      <c r="C844" t="s">
        <v>2145</v>
      </c>
      <c r="D844" t="s">
        <v>2599</v>
      </c>
      <c r="F844" t="s">
        <v>80</v>
      </c>
      <c r="G844" t="s">
        <v>21</v>
      </c>
      <c r="H844" t="s">
        <v>74</v>
      </c>
      <c r="I844" t="s">
        <v>3376</v>
      </c>
      <c r="J844">
        <v>13086.71</v>
      </c>
      <c r="K844" t="s">
        <v>57</v>
      </c>
      <c r="L844" t="s">
        <v>75</v>
      </c>
      <c r="M844" s="1">
        <v>45226.032638888886</v>
      </c>
      <c r="N844">
        <v>53</v>
      </c>
      <c r="O844" t="s">
        <v>36</v>
      </c>
      <c r="P844" t="s">
        <v>24</v>
      </c>
      <c r="Q844" t="s">
        <v>2600</v>
      </c>
      <c r="R844">
        <f t="shared" si="91"/>
        <v>60104145</v>
      </c>
      <c r="S844" t="str" cm="1">
        <f t="array" ref="S844">IF(C844="",IFERROR(INDEX($C$2:$C$1166,MATCH(MAX(COUNTIF($C$2:$C$1166,$C$2:$C$1166)),COUNTIF($C$2:$C$1166,$C$2:$C$1166),0)),"Unknown"),C844)</f>
        <v>Patricia Johnson</v>
      </c>
      <c r="T844" s="4" t="str" cm="1">
        <f t="array" ref="T844">IF(D844="",IFERROR(INDEX($D$2:$D$1000,MATCH(MAX(COUNTIF($D$2:$D$1166,$D$2:$D$1166)),COUNTIF($D$2:$D$1166,$D$2:$D$1166),0)),"Unknown"),D844)</f>
        <v>William Velez</v>
      </c>
      <c r="U844" t="str">
        <f t="shared" si="92"/>
        <v>USD</v>
      </c>
      <c r="V844" s="7" t="str">
        <f t="shared" si="92"/>
        <v>GBP</v>
      </c>
      <c r="W844" s="7" t="str">
        <f t="shared" si="93"/>
        <v>Germany</v>
      </c>
      <c r="X844" s="7" t="str">
        <f t="shared" si="93"/>
        <v>Brazil</v>
      </c>
      <c r="Y844" s="7" t="str" cm="1">
        <f t="array" ref="Y844">IF(H844="",IFERROR(INDEX($H$2:$H$1166,MATCH(MAX(COUNTIF($H$2:$H$1166,$H$2:$H$1166)),COUNTIF($H$2:$H$1166,$H$2:$H$1166),0)),"Unknown"),H844)</f>
        <v>Non-KYC</v>
      </c>
      <c r="Z844" s="7" t="str">
        <f t="shared" si="94"/>
        <v>Internal</v>
      </c>
      <c r="AA844" s="7">
        <f>IF(J844="",AVERAGE($J:$J),J844)</f>
        <v>13086.71</v>
      </c>
      <c r="AB844" s="7">
        <f>IF(N844="",AVERAGE($N:$N),N844)</f>
        <v>53</v>
      </c>
      <c r="AC844" s="7">
        <f t="shared" si="95"/>
        <v>2023</v>
      </c>
      <c r="AD844" s="7">
        <f t="shared" si="96"/>
        <v>10</v>
      </c>
      <c r="AE844" s="7">
        <f>COUNTIF(A:A,A844)</f>
        <v>1</v>
      </c>
      <c r="AF844" s="7" t="str">
        <f t="shared" si="97"/>
        <v/>
      </c>
    </row>
    <row r="845" spans="1:32">
      <c r="A845" t="s">
        <v>2601</v>
      </c>
      <c r="B845">
        <v>87193004</v>
      </c>
      <c r="C845" t="s">
        <v>2602</v>
      </c>
      <c r="D845" t="s">
        <v>1346</v>
      </c>
      <c r="F845" t="s">
        <v>22</v>
      </c>
      <c r="G845" t="s">
        <v>45</v>
      </c>
      <c r="H845" t="s">
        <v>38</v>
      </c>
      <c r="I845" t="s">
        <v>3376</v>
      </c>
      <c r="J845">
        <v>11455.34</v>
      </c>
      <c r="K845" t="s">
        <v>57</v>
      </c>
      <c r="L845" t="s">
        <v>81</v>
      </c>
      <c r="M845" s="1">
        <v>45314.251388888886</v>
      </c>
      <c r="N845">
        <v>53</v>
      </c>
      <c r="O845" t="s">
        <v>55</v>
      </c>
      <c r="P845" t="s">
        <v>36</v>
      </c>
      <c r="Q845" t="s">
        <v>2603</v>
      </c>
      <c r="R845">
        <f t="shared" si="91"/>
        <v>87193004</v>
      </c>
      <c r="S845" t="str" cm="1">
        <f t="array" ref="S845">IF(C845="",IFERROR(INDEX($C$2:$C$1166,MATCH(MAX(COUNTIF($C$2:$C$1166,$C$2:$C$1166)),COUNTIF($C$2:$C$1166,$C$2:$C$1166),0)),"Unknown"),C845)</f>
        <v xml:space="preserve">  LUCAS JOHNSON </v>
      </c>
      <c r="T845" s="4" t="str" cm="1">
        <f t="array" ref="T845">IF(D845="",IFERROR(INDEX($D$2:$D$1000,MATCH(MAX(COUNTIF($D$2:$D$1166,$D$2:$D$1166)),COUNTIF($D$2:$D$1166,$D$2:$D$1166),0)),"Unknown"),D845)</f>
        <v>Jessica Thomas</v>
      </c>
      <c r="U845" t="str">
        <f t="shared" si="92"/>
        <v>BRL</v>
      </c>
      <c r="V845" s="7" t="str">
        <f t="shared" si="92"/>
        <v>ZAR</v>
      </c>
      <c r="W845" s="7" t="str">
        <f t="shared" si="93"/>
        <v>UK</v>
      </c>
      <c r="X845" s="7" t="str">
        <f t="shared" si="93"/>
        <v>Germany</v>
      </c>
      <c r="Y845" s="7" t="str" cm="1">
        <f t="array" ref="Y845">IF(H845="",IFERROR(INDEX($H$2:$H$1166,MATCH(MAX(COUNTIF($H$2:$H$1166,$H$2:$H$1166)),COUNTIF($H$2:$H$1166,$H$2:$H$1166),0)),"Unknown"),H845)</f>
        <v>Pending</v>
      </c>
      <c r="Z845" s="7" t="str">
        <f t="shared" si="94"/>
        <v>Internal</v>
      </c>
      <c r="AA845" s="7">
        <f>IF(J845="",AVERAGE($J:$J),J845)</f>
        <v>11455.34</v>
      </c>
      <c r="AB845" s="7">
        <f>IF(N845="",AVERAGE($N:$N),N845)</f>
        <v>53</v>
      </c>
      <c r="AC845" s="7">
        <f t="shared" si="95"/>
        <v>2024</v>
      </c>
      <c r="AD845" s="7">
        <f t="shared" si="96"/>
        <v>1</v>
      </c>
      <c r="AE845" s="7">
        <f>COUNTIF(A:A,A845)</f>
        <v>1</v>
      </c>
      <c r="AF845" s="7" t="str">
        <f t="shared" si="97"/>
        <v/>
      </c>
    </row>
    <row r="846" spans="1:32">
      <c r="A846" t="s">
        <v>2604</v>
      </c>
      <c r="B846">
        <v>70891160</v>
      </c>
      <c r="C846" t="s">
        <v>1303</v>
      </c>
      <c r="D846" t="s">
        <v>745</v>
      </c>
      <c r="F846" t="s">
        <v>121</v>
      </c>
      <c r="G846" t="s">
        <v>80</v>
      </c>
      <c r="H846" t="s">
        <v>25</v>
      </c>
      <c r="I846" t="s">
        <v>3372</v>
      </c>
      <c r="J846">
        <v>12588.76</v>
      </c>
      <c r="K846" t="s">
        <v>57</v>
      </c>
      <c r="L846" t="s">
        <v>28</v>
      </c>
      <c r="M846" s="1">
        <v>43963.918749999997</v>
      </c>
      <c r="N846">
        <v>43</v>
      </c>
      <c r="O846" t="s">
        <v>36</v>
      </c>
      <c r="P846" t="s">
        <v>127</v>
      </c>
      <c r="Q846" t="s">
        <v>2605</v>
      </c>
      <c r="R846">
        <f t="shared" si="91"/>
        <v>70891160</v>
      </c>
      <c r="S846" t="str" cm="1">
        <f t="array" ref="S846">IF(C846="",IFERROR(INDEX($C$2:$C$1166,MATCH(MAX(COUNTIF($C$2:$C$1166,$C$2:$C$1166)),COUNTIF($C$2:$C$1166,$C$2:$C$1166),0)),"Unknown"),C846)</f>
        <v>Michael Malik</v>
      </c>
      <c r="T846" s="4" t="str" cm="1">
        <f t="array" ref="T846">IF(D846="",IFERROR(INDEX($D$2:$D$1000,MATCH(MAX(COUNTIF($D$2:$D$1166,$D$2:$D$1166)),COUNTIF($D$2:$D$1166,$D$2:$D$1166),0)),"Unknown"),D846)</f>
        <v>Sarah Brown</v>
      </c>
      <c r="U846" t="str">
        <f t="shared" si="92"/>
        <v>INR</v>
      </c>
      <c r="V846" s="7" t="str">
        <f t="shared" si="92"/>
        <v>USD</v>
      </c>
      <c r="W846" s="7" t="str">
        <f t="shared" si="93"/>
        <v>Germany</v>
      </c>
      <c r="X846" s="7" t="str">
        <f t="shared" si="93"/>
        <v>Canada</v>
      </c>
      <c r="Y846" s="7" t="str" cm="1">
        <f t="array" ref="Y846">IF(H846="",IFERROR(INDEX($H$2:$H$1166,MATCH(MAX(COUNTIF($H$2:$H$1166,$H$2:$H$1166)),COUNTIF($H$2:$H$1166,$H$2:$H$1166),0)),"Unknown"),H846)</f>
        <v>KYC</v>
      </c>
      <c r="Z846" s="7" t="str">
        <f t="shared" si="94"/>
        <v>Outer-Transaction</v>
      </c>
      <c r="AA846" s="7">
        <f>IF(J846="",AVERAGE($J:$J),J846)</f>
        <v>12588.76</v>
      </c>
      <c r="AB846" s="7">
        <f>IF(N846="",AVERAGE($N:$N),N846)</f>
        <v>43</v>
      </c>
      <c r="AC846" s="7">
        <f t="shared" si="95"/>
        <v>2020</v>
      </c>
      <c r="AD846" s="7">
        <f t="shared" si="96"/>
        <v>5</v>
      </c>
      <c r="AE846" s="7">
        <f>COUNTIF(A:A,A846)</f>
        <v>1</v>
      </c>
      <c r="AF846" s="7" t="str">
        <f t="shared" si="97"/>
        <v/>
      </c>
    </row>
    <row r="847" spans="1:32">
      <c r="A847" t="s">
        <v>2606</v>
      </c>
      <c r="B847">
        <v>97496479</v>
      </c>
      <c r="C847" t="s">
        <v>1414</v>
      </c>
      <c r="F847" t="s">
        <v>121</v>
      </c>
      <c r="G847" t="s">
        <v>160</v>
      </c>
      <c r="H847" t="s">
        <v>25</v>
      </c>
      <c r="I847" t="s">
        <v>3376</v>
      </c>
      <c r="J847">
        <v>196.72</v>
      </c>
      <c r="K847" t="s">
        <v>86</v>
      </c>
      <c r="L847" t="s">
        <v>75</v>
      </c>
      <c r="M847" s="1">
        <v>44665.35833333333</v>
      </c>
      <c r="N847">
        <v>60</v>
      </c>
      <c r="O847" t="s">
        <v>24</v>
      </c>
      <c r="P847" t="s">
        <v>68</v>
      </c>
      <c r="Q847" t="s">
        <v>2607</v>
      </c>
      <c r="R847">
        <f t="shared" si="91"/>
        <v>97496479</v>
      </c>
      <c r="S847" t="str" cm="1">
        <f t="array" ref="S847">IF(C847="",IFERROR(INDEX($C$2:$C$1166,MATCH(MAX(COUNTIF($C$2:$C$1166,$C$2:$C$1166)),COUNTIF($C$2:$C$1166,$C$2:$C$1166),0)),"Unknown"),C847)</f>
        <v>Fatima Lopez</v>
      </c>
      <c r="T847" s="4" t="str" cm="1">
        <f t="array" ref="T847">IF(D847="",IFERROR(INDEX($D$2:$D$1000,MATCH(MAX(COUNTIF($D$2:$D$1166,$D$2:$D$1166)),COUNTIF($D$2:$D$1166,$D$2:$D$1166),0)),"Unknown"),D847)</f>
        <v>Patricia Smith</v>
      </c>
      <c r="U847" t="str">
        <f t="shared" si="92"/>
        <v>INR</v>
      </c>
      <c r="V847" s="7" t="str">
        <f t="shared" si="92"/>
        <v>aud</v>
      </c>
      <c r="W847" s="7" t="str">
        <f t="shared" si="93"/>
        <v>Brazil</v>
      </c>
      <c r="X847" s="7" t="str">
        <f t="shared" si="93"/>
        <v>UAE</v>
      </c>
      <c r="Y847" s="7" t="str" cm="1">
        <f t="array" ref="Y847">IF(H847="",IFERROR(INDEX($H$2:$H$1166,MATCH(MAX(COUNTIF($H$2:$H$1166,$H$2:$H$1166)),COUNTIF($H$2:$H$1166,$H$2:$H$1166),0)),"Unknown"),H847)</f>
        <v>KYC</v>
      </c>
      <c r="Z847" s="7" t="str">
        <f t="shared" si="94"/>
        <v>Internal</v>
      </c>
      <c r="AA847" s="7">
        <f>IF(J847="",AVERAGE($J:$J),J847)</f>
        <v>196.72</v>
      </c>
      <c r="AB847" s="7">
        <f>IF(N847="",AVERAGE($N:$N),N847)</f>
        <v>60</v>
      </c>
      <c r="AC847" s="7">
        <f t="shared" si="95"/>
        <v>2022</v>
      </c>
      <c r="AD847" s="7">
        <f t="shared" si="96"/>
        <v>4</v>
      </c>
      <c r="AE847" s="7">
        <f>COUNTIF(A:A,A847)</f>
        <v>1</v>
      </c>
      <c r="AF847" s="7" t="str">
        <f t="shared" si="97"/>
        <v/>
      </c>
    </row>
    <row r="848" spans="1:32">
      <c r="A848" t="s">
        <v>2608</v>
      </c>
      <c r="B848">
        <v>32395401</v>
      </c>
      <c r="C848" t="s">
        <v>1309</v>
      </c>
      <c r="D848" t="s">
        <v>577</v>
      </c>
      <c r="F848" t="s">
        <v>21</v>
      </c>
      <c r="G848" t="s">
        <v>121</v>
      </c>
      <c r="H848" t="s">
        <v>25</v>
      </c>
      <c r="I848" t="s">
        <v>3378</v>
      </c>
      <c r="J848">
        <v>11371.85</v>
      </c>
      <c r="K848" t="s">
        <v>86</v>
      </c>
      <c r="L848" t="s">
        <v>28</v>
      </c>
      <c r="M848" s="1">
        <v>43951.759722222225</v>
      </c>
      <c r="N848">
        <v>44</v>
      </c>
      <c r="O848" t="s">
        <v>93</v>
      </c>
      <c r="P848" t="s">
        <v>93</v>
      </c>
      <c r="Q848" t="s">
        <v>2609</v>
      </c>
      <c r="R848">
        <f t="shared" si="91"/>
        <v>32395401</v>
      </c>
      <c r="S848" t="str" cm="1">
        <f t="array" ref="S848">IF(C848="",IFERROR(INDEX($C$2:$C$1166,MATCH(MAX(COUNTIF($C$2:$C$1166,$C$2:$C$1166)),COUNTIF($C$2:$C$1166,$C$2:$C$1166),0)),"Unknown"),C848)</f>
        <v>Mary Souza</v>
      </c>
      <c r="T848" s="4" t="str" cm="1">
        <f t="array" ref="T848">IF(D848="",IFERROR(INDEX($D$2:$D$1000,MATCH(MAX(COUNTIF($D$2:$D$1166,$D$2:$D$1166)),COUNTIF($D$2:$D$1166,$D$2:$D$1166),0)),"Unknown"),D848)</f>
        <v>David Williams</v>
      </c>
      <c r="U848" t="str">
        <f t="shared" si="92"/>
        <v>GBP</v>
      </c>
      <c r="V848" s="7" t="str">
        <f t="shared" si="92"/>
        <v>INR</v>
      </c>
      <c r="W848" s="7" t="str">
        <f t="shared" si="93"/>
        <v>USA</v>
      </c>
      <c r="X848" s="7" t="str">
        <f t="shared" si="93"/>
        <v>USA</v>
      </c>
      <c r="Y848" s="7" t="str" cm="1">
        <f t="array" ref="Y848">IF(H848="",IFERROR(INDEX($H$2:$H$1166,MATCH(MAX(COUNTIF($H$2:$H$1166,$H$2:$H$1166)),COUNTIF($H$2:$H$1166,$H$2:$H$1166),0)),"Unknown"),H848)</f>
        <v>KYC</v>
      </c>
      <c r="Z848" s="7" t="str">
        <f t="shared" si="94"/>
        <v>Inter-Transaction</v>
      </c>
      <c r="AA848" s="7">
        <f>IF(J848="",AVERAGE($J:$J),J848)</f>
        <v>11371.85</v>
      </c>
      <c r="AB848" s="7">
        <f>IF(N848="",AVERAGE($N:$N),N848)</f>
        <v>44</v>
      </c>
      <c r="AC848" s="7">
        <f t="shared" si="95"/>
        <v>2020</v>
      </c>
      <c r="AD848" s="7">
        <f t="shared" si="96"/>
        <v>4</v>
      </c>
      <c r="AE848" s="7">
        <f>COUNTIF(A:A,A848)</f>
        <v>1</v>
      </c>
      <c r="AF848" s="7" t="str">
        <f t="shared" si="97"/>
        <v/>
      </c>
    </row>
    <row r="849" spans="1:32">
      <c r="A849" t="s">
        <v>2610</v>
      </c>
      <c r="B849">
        <v>42238832</v>
      </c>
      <c r="C849" t="s">
        <v>106</v>
      </c>
      <c r="D849" t="s">
        <v>278</v>
      </c>
      <c r="F849" t="s">
        <v>44</v>
      </c>
      <c r="G849" t="s">
        <v>22</v>
      </c>
      <c r="H849" t="s">
        <v>38</v>
      </c>
      <c r="I849" t="s">
        <v>3372</v>
      </c>
      <c r="J849">
        <v>432.14</v>
      </c>
      <c r="K849" t="s">
        <v>27</v>
      </c>
      <c r="L849" t="s">
        <v>81</v>
      </c>
      <c r="M849" s="1">
        <v>45306.317361111112</v>
      </c>
      <c r="N849">
        <v>37</v>
      </c>
      <c r="O849" t="s">
        <v>127</v>
      </c>
      <c r="P849" t="s">
        <v>54</v>
      </c>
      <c r="Q849" t="s">
        <v>2611</v>
      </c>
      <c r="R849">
        <f t="shared" si="91"/>
        <v>42238832</v>
      </c>
      <c r="S849" t="str" cm="1">
        <f t="array" ref="S849">IF(C849="",IFERROR(INDEX($C$2:$C$1166,MATCH(MAX(COUNTIF($C$2:$C$1166,$C$2:$C$1166)),COUNTIF($C$2:$C$1166,$C$2:$C$1166),0)),"Unknown"),C849)</f>
        <v>Amir Moore</v>
      </c>
      <c r="T849" s="4" t="str" cm="1">
        <f t="array" ref="T849">IF(D849="",IFERROR(INDEX($D$2:$D$1000,MATCH(MAX(COUNTIF($D$2:$D$1166,$D$2:$D$1166)),COUNTIF($D$2:$D$1166,$D$2:$D$1166),0)),"Unknown"),D849)</f>
        <v>Sanjay Williams</v>
      </c>
      <c r="U849" t="str">
        <f t="shared" si="92"/>
        <v>SGD</v>
      </c>
      <c r="V849" s="7" t="str">
        <f t="shared" si="92"/>
        <v>BRL</v>
      </c>
      <c r="W849" s="7" t="str">
        <f t="shared" si="93"/>
        <v>Canada</v>
      </c>
      <c r="X849" s="7" t="str">
        <f t="shared" si="93"/>
        <v>India</v>
      </c>
      <c r="Y849" s="7" t="str" cm="1">
        <f t="array" ref="Y849">IF(H849="",IFERROR(INDEX($H$2:$H$1166,MATCH(MAX(COUNTIF($H$2:$H$1166,$H$2:$H$1166)),COUNTIF($H$2:$H$1166,$H$2:$H$1166),0)),"Unknown"),H849)</f>
        <v>Pending</v>
      </c>
      <c r="Z849" s="7" t="str">
        <f t="shared" si="94"/>
        <v>Outer-Transaction</v>
      </c>
      <c r="AA849" s="7">
        <f>IF(J849="",AVERAGE($J:$J),J849)</f>
        <v>432.14</v>
      </c>
      <c r="AB849" s="7">
        <f>IF(N849="",AVERAGE($N:$N),N849)</f>
        <v>37</v>
      </c>
      <c r="AC849" s="7">
        <f t="shared" si="95"/>
        <v>2024</v>
      </c>
      <c r="AD849" s="7">
        <f t="shared" si="96"/>
        <v>1</v>
      </c>
      <c r="AE849" s="7">
        <f>COUNTIF(A:A,A849)</f>
        <v>1</v>
      </c>
      <c r="AF849" s="7" t="str">
        <f t="shared" si="97"/>
        <v/>
      </c>
    </row>
    <row r="850" spans="1:32">
      <c r="A850" t="s">
        <v>2612</v>
      </c>
      <c r="B850">
        <v>76573189</v>
      </c>
      <c r="C850" t="s">
        <v>1010</v>
      </c>
      <c r="D850" t="s">
        <v>504</v>
      </c>
      <c r="F850" t="s">
        <v>80</v>
      </c>
      <c r="G850" t="s">
        <v>53</v>
      </c>
      <c r="I850" t="s">
        <v>3376</v>
      </c>
      <c r="J850">
        <v>783.75</v>
      </c>
      <c r="K850" t="s">
        <v>47</v>
      </c>
      <c r="L850" t="s">
        <v>75</v>
      </c>
      <c r="M850" s="1">
        <v>44795.720833333333</v>
      </c>
      <c r="N850">
        <v>28</v>
      </c>
      <c r="O850" t="s">
        <v>93</v>
      </c>
      <c r="P850" t="s">
        <v>54</v>
      </c>
      <c r="Q850" t="s">
        <v>2613</v>
      </c>
      <c r="R850">
        <f t="shared" si="91"/>
        <v>76573189</v>
      </c>
      <c r="S850" t="str" cm="1">
        <f t="array" ref="S850">IF(C850="",IFERROR(INDEX($C$2:$C$1166,MATCH(MAX(COUNTIF($C$2:$C$1166,$C$2:$C$1166)),COUNTIF($C$2:$C$1166,$C$2:$C$1166),0)),"Unknown"),C850)</f>
        <v>Amir Martinez</v>
      </c>
      <c r="T850" s="4" t="str" cm="1">
        <f t="array" ref="T850">IF(D850="",IFERROR(INDEX($D$2:$D$1000,MATCH(MAX(COUNTIF($D$2:$D$1166,$D$2:$D$1166)),COUNTIF($D$2:$D$1166,$D$2:$D$1166),0)),"Unknown"),D850)</f>
        <v>Lucas Jones</v>
      </c>
      <c r="U850" t="str">
        <f t="shared" si="92"/>
        <v>USD</v>
      </c>
      <c r="V850" s="7" t="str">
        <f t="shared" si="92"/>
        <v>AED</v>
      </c>
      <c r="W850" s="7" t="str">
        <f t="shared" si="93"/>
        <v>USA</v>
      </c>
      <c r="X850" s="7" t="str">
        <f t="shared" si="93"/>
        <v>India</v>
      </c>
      <c r="Y850" s="7" t="str" cm="1">
        <f t="array" ref="Y850">IF(H850="",IFERROR(INDEX($H$2:$H$1166,MATCH(MAX(COUNTIF($H$2:$H$1166,$H$2:$H$1166)),COUNTIF($H$2:$H$1166,$H$2:$H$1166),0)),"Unknown"),H850)</f>
        <v>Pending</v>
      </c>
      <c r="Z850" s="7" t="str">
        <f t="shared" si="94"/>
        <v>Internal</v>
      </c>
      <c r="AA850" s="7">
        <f>IF(J850="",AVERAGE($J:$J),J850)</f>
        <v>783.75</v>
      </c>
      <c r="AB850" s="7">
        <f>IF(N850="",AVERAGE($N:$N),N850)</f>
        <v>28</v>
      </c>
      <c r="AC850" s="7">
        <f t="shared" si="95"/>
        <v>2022</v>
      </c>
      <c r="AD850" s="7">
        <f t="shared" si="96"/>
        <v>8</v>
      </c>
      <c r="AE850" s="7">
        <f>COUNTIF(A:A,A850)</f>
        <v>1</v>
      </c>
      <c r="AF850" s="7" t="str">
        <f t="shared" si="97"/>
        <v/>
      </c>
    </row>
    <row r="851" spans="1:32">
      <c r="A851" t="s">
        <v>2614</v>
      </c>
      <c r="B851">
        <v>97617026</v>
      </c>
      <c r="C851" t="s">
        <v>286</v>
      </c>
      <c r="D851" t="s">
        <v>1088</v>
      </c>
      <c r="F851" t="s">
        <v>80</v>
      </c>
      <c r="G851" t="s">
        <v>80</v>
      </c>
      <c r="H851" t="s">
        <v>74</v>
      </c>
      <c r="I851" t="s">
        <v>3377</v>
      </c>
      <c r="J851">
        <v>8572.91</v>
      </c>
      <c r="K851" t="s">
        <v>47</v>
      </c>
      <c r="L851" t="s">
        <v>81</v>
      </c>
      <c r="M851" s="1">
        <v>43959.990277777775</v>
      </c>
      <c r="N851">
        <v>55</v>
      </c>
      <c r="O851" t="s">
        <v>36</v>
      </c>
      <c r="P851" t="s">
        <v>23</v>
      </c>
      <c r="Q851" t="s">
        <v>2615</v>
      </c>
      <c r="R851">
        <f t="shared" si="91"/>
        <v>97617026</v>
      </c>
      <c r="S851" t="str" cm="1">
        <f t="array" ref="S851">IF(C851="",IFERROR(INDEX($C$2:$C$1166,MATCH(MAX(COUNTIF($C$2:$C$1166,$C$2:$C$1166)),COUNTIF($C$2:$C$1166,$C$2:$C$1166),0)),"Unknown"),C851)</f>
        <v>Linda Johnson</v>
      </c>
      <c r="T851" s="4" t="str" cm="1">
        <f t="array" ref="T851">IF(D851="",IFERROR(INDEX($D$2:$D$1000,MATCH(MAX(COUNTIF($D$2:$D$1166,$D$2:$D$1166)),COUNTIF($D$2:$D$1166,$D$2:$D$1166),0)),"Unknown"),D851)</f>
        <v>Priya Souza</v>
      </c>
      <c r="U851" t="str">
        <f t="shared" si="92"/>
        <v>USD</v>
      </c>
      <c r="V851" s="7" t="str">
        <f t="shared" si="92"/>
        <v>USD</v>
      </c>
      <c r="W851" s="7" t="str">
        <f t="shared" si="93"/>
        <v>Germany</v>
      </c>
      <c r="X851" s="7" t="str">
        <f t="shared" si="93"/>
        <v>France</v>
      </c>
      <c r="Y851" s="7" t="str" cm="1">
        <f t="array" ref="Y851">IF(H851="",IFERROR(INDEX($H$2:$H$1166,MATCH(MAX(COUNTIF($H$2:$H$1166,$H$2:$H$1166)),COUNTIF($H$2:$H$1166,$H$2:$H$1166),0)),"Unknown"),H851)</f>
        <v>Non-KYC</v>
      </c>
      <c r="Z851" s="7" t="str">
        <f t="shared" si="94"/>
        <v>Inter-Transaction</v>
      </c>
      <c r="AA851" s="7">
        <f>IF(J851="",AVERAGE($J:$J),J851)</f>
        <v>8572.91</v>
      </c>
      <c r="AB851" s="7">
        <f>IF(N851="",AVERAGE($N:$N),N851)</f>
        <v>55</v>
      </c>
      <c r="AC851" s="7">
        <f t="shared" si="95"/>
        <v>2020</v>
      </c>
      <c r="AD851" s="7">
        <f t="shared" si="96"/>
        <v>5</v>
      </c>
      <c r="AE851" s="7">
        <f>COUNTIF(A:A,A851)</f>
        <v>1</v>
      </c>
      <c r="AF851" s="7" t="str">
        <f t="shared" si="97"/>
        <v/>
      </c>
    </row>
    <row r="852" spans="1:32">
      <c r="A852" t="s">
        <v>2616</v>
      </c>
      <c r="B852">
        <v>85576096</v>
      </c>
      <c r="C852" t="s">
        <v>1117</v>
      </c>
      <c r="D852" t="s">
        <v>227</v>
      </c>
      <c r="F852" t="s">
        <v>44</v>
      </c>
      <c r="G852" t="s">
        <v>35</v>
      </c>
      <c r="H852" t="s">
        <v>74</v>
      </c>
      <c r="I852" t="s">
        <v>3376</v>
      </c>
      <c r="J852">
        <v>12196.82</v>
      </c>
      <c r="K852" t="s">
        <v>27</v>
      </c>
      <c r="L852" t="s">
        <v>28</v>
      </c>
      <c r="M852" s="1">
        <v>45429.256249999999</v>
      </c>
      <c r="N852">
        <v>23</v>
      </c>
      <c r="O852" t="s">
        <v>24</v>
      </c>
      <c r="P852" t="s">
        <v>36</v>
      </c>
      <c r="Q852" t="s">
        <v>2617</v>
      </c>
      <c r="R852">
        <f t="shared" si="91"/>
        <v>85576096</v>
      </c>
      <c r="S852" t="str" cm="1">
        <f t="array" ref="S852">IF(C852="",IFERROR(INDEX($C$2:$C$1166,MATCH(MAX(COUNTIF($C$2:$C$1166,$C$2:$C$1166)),COUNTIF($C$2:$C$1166,$C$2:$C$1166),0)),"Unknown"),C852)</f>
        <v>John Smith</v>
      </c>
      <c r="T852" s="4" t="str" cm="1">
        <f t="array" ref="T852">IF(D852="",IFERROR(INDEX($D$2:$D$1000,MATCH(MAX(COUNTIF($D$2:$D$1166,$D$2:$D$1166)),COUNTIF($D$2:$D$1166,$D$2:$D$1166),0)),"Unknown"),D852)</f>
        <v>Lucas Anderson</v>
      </c>
      <c r="U852" t="str">
        <f t="shared" si="92"/>
        <v>SGD</v>
      </c>
      <c r="V852" s="7" t="str">
        <f t="shared" si="92"/>
        <v>EUR</v>
      </c>
      <c r="W852" s="7" t="str">
        <f t="shared" si="93"/>
        <v>Brazil</v>
      </c>
      <c r="X852" s="7" t="str">
        <f t="shared" si="93"/>
        <v>Germany</v>
      </c>
      <c r="Y852" s="7" t="str" cm="1">
        <f t="array" ref="Y852">IF(H852="",IFERROR(INDEX($H$2:$H$1166,MATCH(MAX(COUNTIF($H$2:$H$1166,$H$2:$H$1166)),COUNTIF($H$2:$H$1166,$H$2:$H$1166),0)),"Unknown"),H852)</f>
        <v>Non-KYC</v>
      </c>
      <c r="Z852" s="7" t="str">
        <f t="shared" si="94"/>
        <v>Internal</v>
      </c>
      <c r="AA852" s="7">
        <f>IF(J852="",AVERAGE($J:$J),J852)</f>
        <v>12196.82</v>
      </c>
      <c r="AB852" s="7">
        <f>IF(N852="",AVERAGE($N:$N),N852)</f>
        <v>23</v>
      </c>
      <c r="AC852" s="7">
        <f t="shared" si="95"/>
        <v>2024</v>
      </c>
      <c r="AD852" s="7">
        <f t="shared" si="96"/>
        <v>5</v>
      </c>
      <c r="AE852" s="7">
        <f>COUNTIF(A:A,A852)</f>
        <v>1</v>
      </c>
      <c r="AF852" s="7" t="str">
        <f t="shared" si="97"/>
        <v/>
      </c>
    </row>
    <row r="853" spans="1:32">
      <c r="A853" t="s">
        <v>2618</v>
      </c>
      <c r="B853">
        <v>47490735</v>
      </c>
      <c r="C853" t="s">
        <v>1349</v>
      </c>
      <c r="D853" t="s">
        <v>2619</v>
      </c>
      <c r="F853" t="s">
        <v>35</v>
      </c>
      <c r="G853" t="s">
        <v>116</v>
      </c>
      <c r="H853" t="s">
        <v>103</v>
      </c>
      <c r="I853" t="s">
        <v>3378</v>
      </c>
      <c r="J853">
        <v>3680.73</v>
      </c>
      <c r="K853" t="s">
        <v>86</v>
      </c>
      <c r="L853" t="s">
        <v>48</v>
      </c>
      <c r="M853" s="1">
        <v>45907.217361111114</v>
      </c>
      <c r="N853">
        <v>40</v>
      </c>
      <c r="O853" t="s">
        <v>62</v>
      </c>
      <c r="P853" t="s">
        <v>36</v>
      </c>
      <c r="Q853" t="s">
        <v>2620</v>
      </c>
      <c r="R853">
        <f t="shared" si="91"/>
        <v>47490735</v>
      </c>
      <c r="S853" t="str" cm="1">
        <f t="array" ref="S853">IF(C853="",IFERROR(INDEX($C$2:$C$1166,MATCH(MAX(COUNTIF($C$2:$C$1166,$C$2:$C$1166)),COUNTIF($C$2:$C$1166,$C$2:$C$1166),0)),"Unknown"),C853)</f>
        <v>Fatima Wilson</v>
      </c>
      <c r="T853" s="4" t="str" cm="1">
        <f t="array" ref="T853">IF(D853="",IFERROR(INDEX($D$2:$D$1000,MATCH(MAX(COUNTIF($D$2:$D$1166,$D$2:$D$1166)),COUNTIF($D$2:$D$1166,$D$2:$D$1166),0)),"Unknown"),D853)</f>
        <v xml:space="preserve"> lucas brown   </v>
      </c>
      <c r="U853" t="str">
        <f t="shared" si="92"/>
        <v>EUR</v>
      </c>
      <c r="V853" s="7" t="str">
        <f t="shared" si="92"/>
        <v>CHF</v>
      </c>
      <c r="W853" s="7" t="str">
        <f t="shared" si="93"/>
        <v>Australia</v>
      </c>
      <c r="X853" s="7" t="str">
        <f t="shared" si="93"/>
        <v>Germany</v>
      </c>
      <c r="Y853" s="7" t="str" cm="1">
        <f t="array" ref="Y853">IF(H853="",IFERROR(INDEX($H$2:$H$1166,MATCH(MAX(COUNTIF($H$2:$H$1166,$H$2:$H$1166)),COUNTIF($H$2:$H$1166,$H$2:$H$1166),0)),"Unknown"),H853)</f>
        <v>Verified</v>
      </c>
      <c r="Z853" s="7" t="str">
        <f t="shared" si="94"/>
        <v>Inter-Transaction</v>
      </c>
      <c r="AA853" s="7">
        <f>IF(J853="",AVERAGE($J:$J),J853)</f>
        <v>3680.73</v>
      </c>
      <c r="AB853" s="7">
        <f>IF(N853="",AVERAGE($N:$N),N853)</f>
        <v>40</v>
      </c>
      <c r="AC853" s="7">
        <f t="shared" si="95"/>
        <v>2025</v>
      </c>
      <c r="AD853" s="7">
        <f t="shared" si="96"/>
        <v>9</v>
      </c>
      <c r="AE853" s="7">
        <f>COUNTIF(A:A,A853)</f>
        <v>1</v>
      </c>
      <c r="AF853" s="7" t="str">
        <f t="shared" si="97"/>
        <v/>
      </c>
    </row>
    <row r="854" spans="1:32">
      <c r="A854" t="s">
        <v>2621</v>
      </c>
      <c r="B854">
        <v>29336846</v>
      </c>
      <c r="C854" t="s">
        <v>2622</v>
      </c>
      <c r="D854" t="s">
        <v>203</v>
      </c>
      <c r="F854" t="s">
        <v>35</v>
      </c>
      <c r="G854" t="s">
        <v>21</v>
      </c>
      <c r="I854" t="s">
        <v>3372</v>
      </c>
      <c r="J854">
        <v>11969.57</v>
      </c>
      <c r="K854" t="s">
        <v>39</v>
      </c>
      <c r="L854" t="s">
        <v>48</v>
      </c>
      <c r="M854" s="1">
        <v>45378.694444444445</v>
      </c>
      <c r="N854">
        <v>64</v>
      </c>
      <c r="O854" t="s">
        <v>36</v>
      </c>
      <c r="P854" t="s">
        <v>23</v>
      </c>
      <c r="Q854" t="s">
        <v>2623</v>
      </c>
      <c r="R854">
        <f t="shared" si="91"/>
        <v>29336846</v>
      </c>
      <c r="S854" t="str" cm="1">
        <f t="array" ref="S854">IF(C854="",IFERROR(INDEX($C$2:$C$1166,MATCH(MAX(COUNTIF($C$2:$C$1166,$C$2:$C$1166)),COUNTIF($C$2:$C$1166,$C$2:$C$1166),0)),"Unknown"),C854)</f>
        <v xml:space="preserve">  RICHARD GARCIA </v>
      </c>
      <c r="T854" s="4" t="str" cm="1">
        <f t="array" ref="T854">IF(D854="",IFERROR(INDEX($D$2:$D$1000,MATCH(MAX(COUNTIF($D$2:$D$1166,$D$2:$D$1166)),COUNTIF($D$2:$D$1166,$D$2:$D$1166),0)),"Unknown"),D854)</f>
        <v>William Souza</v>
      </c>
      <c r="U854" t="str">
        <f t="shared" si="92"/>
        <v>EUR</v>
      </c>
      <c r="V854" s="7" t="str">
        <f t="shared" si="92"/>
        <v>GBP</v>
      </c>
      <c r="W854" s="7" t="str">
        <f t="shared" si="93"/>
        <v>Germany</v>
      </c>
      <c r="X854" s="7" t="str">
        <f t="shared" si="93"/>
        <v>France</v>
      </c>
      <c r="Y854" s="7" t="str" cm="1">
        <f t="array" ref="Y854">IF(H854="",IFERROR(INDEX($H$2:$H$1166,MATCH(MAX(COUNTIF($H$2:$H$1166,$H$2:$H$1166)),COUNTIF($H$2:$H$1166,$H$2:$H$1166),0)),"Unknown"),H854)</f>
        <v>Pending</v>
      </c>
      <c r="Z854" s="7" t="str">
        <f t="shared" si="94"/>
        <v>Outer-Transaction</v>
      </c>
      <c r="AA854" s="7">
        <f>IF(J854="",AVERAGE($J:$J),J854)</f>
        <v>11969.57</v>
      </c>
      <c r="AB854" s="7">
        <f>IF(N854="",AVERAGE($N:$N),N854)</f>
        <v>64</v>
      </c>
      <c r="AC854" s="7">
        <f t="shared" si="95"/>
        <v>2024</v>
      </c>
      <c r="AD854" s="7">
        <f t="shared" si="96"/>
        <v>3</v>
      </c>
      <c r="AE854" s="7">
        <f>COUNTIF(A:A,A854)</f>
        <v>1</v>
      </c>
      <c r="AF854" s="7" t="str">
        <f t="shared" si="97"/>
        <v/>
      </c>
    </row>
    <row r="855" spans="1:32">
      <c r="A855" t="s">
        <v>2624</v>
      </c>
      <c r="B855">
        <v>73125920</v>
      </c>
      <c r="C855" t="s">
        <v>1200</v>
      </c>
      <c r="D855" t="s">
        <v>1079</v>
      </c>
      <c r="F855" t="s">
        <v>53</v>
      </c>
      <c r="G855" t="s">
        <v>22</v>
      </c>
      <c r="I855" t="s">
        <v>3378</v>
      </c>
      <c r="J855">
        <v>8769.35</v>
      </c>
      <c r="K855" t="s">
        <v>57</v>
      </c>
      <c r="L855" t="s">
        <v>28</v>
      </c>
      <c r="M855" s="1">
        <v>44163.770138888889</v>
      </c>
      <c r="N855">
        <v>63</v>
      </c>
      <c r="O855" t="s">
        <v>23</v>
      </c>
      <c r="P855" t="s">
        <v>36</v>
      </c>
      <c r="Q855" t="s">
        <v>2625</v>
      </c>
      <c r="R855">
        <f t="shared" si="91"/>
        <v>73125920</v>
      </c>
      <c r="S855" t="str" cm="1">
        <f t="array" ref="S855">IF(C855="",IFERROR(INDEX($C$2:$C$1166,MATCH(MAX(COUNTIF($C$2:$C$1166,$C$2:$C$1166)),COUNTIF($C$2:$C$1166,$C$2:$C$1166),0)),"Unknown"),C855)</f>
        <v>Jessica Williams</v>
      </c>
      <c r="T855" s="4" t="str" cm="1">
        <f t="array" ref="T855">IF(D855="",IFERROR(INDEX($D$2:$D$1000,MATCH(MAX(COUNTIF($D$2:$D$1166,$D$2:$D$1166)),COUNTIF($D$2:$D$1166,$D$2:$D$1166),0)),"Unknown"),D855)</f>
        <v>Sanjay Anderson</v>
      </c>
      <c r="U855" t="str">
        <f t="shared" si="92"/>
        <v>AED</v>
      </c>
      <c r="V855" s="7" t="str">
        <f t="shared" si="92"/>
        <v>BRL</v>
      </c>
      <c r="W855" s="7" t="str">
        <f t="shared" si="93"/>
        <v>France</v>
      </c>
      <c r="X855" s="7" t="str">
        <f t="shared" si="93"/>
        <v>Germany</v>
      </c>
      <c r="Y855" s="7" t="str" cm="1">
        <f t="array" ref="Y855">IF(H855="",IFERROR(INDEX($H$2:$H$1166,MATCH(MAX(COUNTIF($H$2:$H$1166,$H$2:$H$1166)),COUNTIF($H$2:$H$1166,$H$2:$H$1166),0)),"Unknown"),H855)</f>
        <v>Pending</v>
      </c>
      <c r="Z855" s="7" t="str">
        <f t="shared" si="94"/>
        <v>Inter-Transaction</v>
      </c>
      <c r="AA855" s="7">
        <f>IF(J855="",AVERAGE($J:$J),J855)</f>
        <v>8769.35</v>
      </c>
      <c r="AB855" s="7">
        <f>IF(N855="",AVERAGE($N:$N),N855)</f>
        <v>63</v>
      </c>
      <c r="AC855" s="7">
        <f t="shared" si="95"/>
        <v>2020</v>
      </c>
      <c r="AD855" s="7">
        <f t="shared" si="96"/>
        <v>11</v>
      </c>
      <c r="AE855" s="7">
        <f>COUNTIF(A:A,A855)</f>
        <v>1</v>
      </c>
      <c r="AF855" s="7" t="str">
        <f t="shared" si="97"/>
        <v/>
      </c>
    </row>
    <row r="856" spans="1:32">
      <c r="A856" t="s">
        <v>2626</v>
      </c>
      <c r="C856" t="s">
        <v>536</v>
      </c>
      <c r="D856" t="s">
        <v>2085</v>
      </c>
      <c r="F856" t="s">
        <v>22</v>
      </c>
      <c r="G856" t="s">
        <v>53</v>
      </c>
      <c r="H856" t="s">
        <v>38</v>
      </c>
      <c r="I856" t="s">
        <v>3374</v>
      </c>
      <c r="J856">
        <v>6325.3</v>
      </c>
      <c r="K856" t="s">
        <v>47</v>
      </c>
      <c r="L856" t="s">
        <v>81</v>
      </c>
      <c r="M856" s="1">
        <v>44984.20416666667</v>
      </c>
      <c r="N856">
        <v>29</v>
      </c>
      <c r="O856" t="s">
        <v>24</v>
      </c>
      <c r="P856" t="s">
        <v>54</v>
      </c>
      <c r="Q856" t="s">
        <v>2627</v>
      </c>
      <c r="R856">
        <f t="shared" si="91"/>
        <v>0</v>
      </c>
      <c r="S856" t="str" cm="1">
        <f t="array" ref="S856">IF(C856="",IFERROR(INDEX($C$2:$C$1166,MATCH(MAX(COUNTIF($C$2:$C$1166,$C$2:$C$1166)),COUNTIF($C$2:$C$1166,$C$2:$C$1166),0)),"Unknown"),C856)</f>
        <v>Linda Silva</v>
      </c>
      <c r="T856" s="4" t="str" cm="1">
        <f t="array" ref="T856">IF(D856="",IFERROR(INDEX($D$2:$D$1000,MATCH(MAX(COUNTIF($D$2:$D$1166,$D$2:$D$1166)),COUNTIF($D$2:$D$1166,$D$2:$D$1166),0)),"Unknown"),D856)</f>
        <v>Jessica Moore</v>
      </c>
      <c r="U856" t="str">
        <f t="shared" si="92"/>
        <v>BRL</v>
      </c>
      <c r="V856" s="7" t="str">
        <f t="shared" si="92"/>
        <v>AED</v>
      </c>
      <c r="W856" s="7" t="str">
        <f t="shared" si="93"/>
        <v>Brazil</v>
      </c>
      <c r="X856" s="7" t="str">
        <f t="shared" si="93"/>
        <v>India</v>
      </c>
      <c r="Y856" s="7" t="str" cm="1">
        <f t="array" ref="Y856">IF(H856="",IFERROR(INDEX($H$2:$H$1166,MATCH(MAX(COUNTIF($H$2:$H$1166,$H$2:$H$1166)),COUNTIF($H$2:$H$1166,$H$2:$H$1166),0)),"Unknown"),H856)</f>
        <v>Pending</v>
      </c>
      <c r="Z856" s="7" t="str">
        <f t="shared" si="94"/>
        <v>External</v>
      </c>
      <c r="AA856" s="7">
        <f>IF(J856="",AVERAGE($J:$J),J856)</f>
        <v>6325.3</v>
      </c>
      <c r="AB856" s="7">
        <f>IF(N856="",AVERAGE($N:$N),N856)</f>
        <v>29</v>
      </c>
      <c r="AC856" s="7">
        <f t="shared" si="95"/>
        <v>2023</v>
      </c>
      <c r="AD856" s="7">
        <f t="shared" si="96"/>
        <v>2</v>
      </c>
      <c r="AE856" s="7">
        <f>COUNTIF(A:A,A856)</f>
        <v>1</v>
      </c>
      <c r="AF856" s="7" t="str">
        <f t="shared" si="97"/>
        <v/>
      </c>
    </row>
    <row r="857" spans="1:32">
      <c r="A857" t="s">
        <v>2628</v>
      </c>
      <c r="B857">
        <v>98227915</v>
      </c>
      <c r="C857" t="s">
        <v>2101</v>
      </c>
      <c r="D857" t="s">
        <v>2629</v>
      </c>
      <c r="F857" t="s">
        <v>44</v>
      </c>
      <c r="G857" t="s">
        <v>53</v>
      </c>
      <c r="H857" t="s">
        <v>38</v>
      </c>
      <c r="I857" t="s">
        <v>3374</v>
      </c>
      <c r="J857">
        <v>10894.23</v>
      </c>
      <c r="K857" t="s">
        <v>27</v>
      </c>
      <c r="L857" t="s">
        <v>48</v>
      </c>
      <c r="M857" s="1">
        <v>45147.262499999997</v>
      </c>
      <c r="N857">
        <v>30</v>
      </c>
      <c r="O857" t="s">
        <v>55</v>
      </c>
      <c r="P857" t="s">
        <v>37</v>
      </c>
      <c r="Q857" t="s">
        <v>2630</v>
      </c>
      <c r="R857">
        <f t="shared" si="91"/>
        <v>98227915</v>
      </c>
      <c r="S857" t="str" cm="1">
        <f t="array" ref="S857">IF(C857="",IFERROR(INDEX($C$2:$C$1166,MATCH(MAX(COUNTIF($C$2:$C$1166,$C$2:$C$1166)),COUNTIF($C$2:$C$1166,$C$2:$C$1166),0)),"Unknown"),C857)</f>
        <v>Karen Williams</v>
      </c>
      <c r="T857" s="4" t="str" cm="1">
        <f t="array" ref="T857">IF(D857="",IFERROR(INDEX($D$2:$D$1000,MATCH(MAX(COUNTIF($D$2:$D$1166,$D$2:$D$1166)),COUNTIF($D$2:$D$1166,$D$2:$D$1166),0)),"Unknown"),D857)</f>
        <v xml:space="preserve"> christopher brown   </v>
      </c>
      <c r="U857" t="str">
        <f t="shared" si="92"/>
        <v>SGD</v>
      </c>
      <c r="V857" s="7" t="str">
        <f t="shared" si="92"/>
        <v>AED</v>
      </c>
      <c r="W857" s="7" t="str">
        <f t="shared" si="93"/>
        <v>UK</v>
      </c>
      <c r="X857" s="7" t="str">
        <f t="shared" si="93"/>
        <v>South Africa</v>
      </c>
      <c r="Y857" s="7" t="str" cm="1">
        <f t="array" ref="Y857">IF(H857="",IFERROR(INDEX($H$2:$H$1166,MATCH(MAX(COUNTIF($H$2:$H$1166,$H$2:$H$1166)),COUNTIF($H$2:$H$1166,$H$2:$H$1166),0)),"Unknown"),H857)</f>
        <v>Pending</v>
      </c>
      <c r="Z857" s="7" t="str">
        <f t="shared" si="94"/>
        <v>External</v>
      </c>
      <c r="AA857" s="7">
        <f>IF(J857="",AVERAGE($J:$J),J857)</f>
        <v>10894.23</v>
      </c>
      <c r="AB857" s="7">
        <f>IF(N857="",AVERAGE($N:$N),N857)</f>
        <v>30</v>
      </c>
      <c r="AC857" s="7">
        <f t="shared" si="95"/>
        <v>2023</v>
      </c>
      <c r="AD857" s="7">
        <f t="shared" si="96"/>
        <v>8</v>
      </c>
      <c r="AE857" s="7">
        <f>COUNTIF(A:A,A857)</f>
        <v>1</v>
      </c>
      <c r="AF857" s="7" t="str">
        <f t="shared" si="97"/>
        <v/>
      </c>
    </row>
    <row r="858" spans="1:32">
      <c r="A858" t="s">
        <v>2631</v>
      </c>
      <c r="B858">
        <v>68659357</v>
      </c>
      <c r="D858" t="s">
        <v>647</v>
      </c>
      <c r="F858" t="s">
        <v>121</v>
      </c>
      <c r="G858" t="s">
        <v>116</v>
      </c>
      <c r="I858" t="s">
        <v>3371</v>
      </c>
      <c r="J858">
        <v>998.11</v>
      </c>
      <c r="K858" t="s">
        <v>47</v>
      </c>
      <c r="L858" t="s">
        <v>48</v>
      </c>
      <c r="M858" s="1">
        <v>45027.831250000003</v>
      </c>
      <c r="N858">
        <v>79</v>
      </c>
      <c r="O858" t="s">
        <v>24</v>
      </c>
      <c r="P858" t="s">
        <v>55</v>
      </c>
      <c r="Q858" t="s">
        <v>2632</v>
      </c>
      <c r="R858">
        <f t="shared" si="91"/>
        <v>68659357</v>
      </c>
      <c r="S858" t="str" cm="1">
        <f t="array" ref="S858">IF(C858="",IFERROR(INDEX($C$2:$C$1166,MATCH(MAX(COUNTIF($C$2:$C$1166,$C$2:$C$1166)),COUNTIF($C$2:$C$1166,$C$2:$C$1166),0)),"Unknown"),C858)</f>
        <v>Fatima Brown</v>
      </c>
      <c r="T858" s="4" t="str" cm="1">
        <f t="array" ref="T858">IF(D858="",IFERROR(INDEX($D$2:$D$1000,MATCH(MAX(COUNTIF($D$2:$D$1166,$D$2:$D$1166)),COUNTIF($D$2:$D$1166,$D$2:$D$1166),0)),"Unknown"),D858)</f>
        <v>Mary Taylor</v>
      </c>
      <c r="U858" t="str">
        <f t="shared" si="92"/>
        <v>INR</v>
      </c>
      <c r="V858" s="7" t="str">
        <f t="shared" si="92"/>
        <v>CHF</v>
      </c>
      <c r="W858" s="7" t="str">
        <f t="shared" si="93"/>
        <v>Brazil</v>
      </c>
      <c r="X858" s="7" t="str">
        <f t="shared" si="93"/>
        <v>UK</v>
      </c>
      <c r="Y858" s="7" t="str" cm="1">
        <f t="array" ref="Y858">IF(H858="",IFERROR(INDEX($H$2:$H$1166,MATCH(MAX(COUNTIF($H$2:$H$1166,$H$2:$H$1166)),COUNTIF($H$2:$H$1166,$H$2:$H$1166),0)),"Unknown"),H858)</f>
        <v>Pending</v>
      </c>
      <c r="Z858" s="7" t="str">
        <f t="shared" si="94"/>
        <v>Outer-Transaction</v>
      </c>
      <c r="AA858" s="7">
        <f>IF(J858="",AVERAGE($J:$J),J858)</f>
        <v>998.11</v>
      </c>
      <c r="AB858" s="7">
        <f>IF(N858="",AVERAGE($N:$N),N858)</f>
        <v>79</v>
      </c>
      <c r="AC858" s="7">
        <f t="shared" si="95"/>
        <v>2023</v>
      </c>
      <c r="AD858" s="7">
        <f t="shared" si="96"/>
        <v>4</v>
      </c>
      <c r="AE858" s="7">
        <f>COUNTIF(A:A,A858)</f>
        <v>1</v>
      </c>
      <c r="AF858" s="7" t="str">
        <f t="shared" si="97"/>
        <v/>
      </c>
    </row>
    <row r="859" spans="1:32">
      <c r="A859" t="s">
        <v>2633</v>
      </c>
      <c r="B859">
        <v>18181846</v>
      </c>
      <c r="D859" t="s">
        <v>2634</v>
      </c>
      <c r="F859" t="s">
        <v>53</v>
      </c>
      <c r="G859" t="s">
        <v>22</v>
      </c>
      <c r="H859" t="s">
        <v>38</v>
      </c>
      <c r="I859" t="s">
        <v>3376</v>
      </c>
      <c r="J859">
        <v>8580.34</v>
      </c>
      <c r="K859" t="s">
        <v>27</v>
      </c>
      <c r="L859" t="s">
        <v>28</v>
      </c>
      <c r="M859" s="1">
        <v>45260.265972222223</v>
      </c>
      <c r="N859">
        <v>77</v>
      </c>
      <c r="O859" t="s">
        <v>55</v>
      </c>
      <c r="P859" t="s">
        <v>54</v>
      </c>
      <c r="Q859" t="s">
        <v>2635</v>
      </c>
      <c r="R859">
        <f t="shared" si="91"/>
        <v>18181846</v>
      </c>
      <c r="S859" t="str" cm="1">
        <f t="array" ref="S859">IF(C859="",IFERROR(INDEX($C$2:$C$1166,MATCH(MAX(COUNTIF($C$2:$C$1166,$C$2:$C$1166)),COUNTIF($C$2:$C$1166,$C$2:$C$1166),0)),"Unknown"),C859)</f>
        <v>Fatima Brown</v>
      </c>
      <c r="T859" s="4" t="str" cm="1">
        <f t="array" ref="T859">IF(D859="",IFERROR(INDEX($D$2:$D$1000,MATCH(MAX(COUNTIF($D$2:$D$1166,$D$2:$D$1166)),COUNTIF($D$2:$D$1166,$D$2:$D$1166),0)),"Unknown"),D859)</f>
        <v xml:space="preserve"> karen taylor   </v>
      </c>
      <c r="U859" t="str">
        <f t="shared" si="92"/>
        <v>AED</v>
      </c>
      <c r="V859" s="7" t="str">
        <f t="shared" si="92"/>
        <v>BRL</v>
      </c>
      <c r="W859" s="7" t="str">
        <f t="shared" si="93"/>
        <v>UK</v>
      </c>
      <c r="X859" s="7" t="str">
        <f t="shared" si="93"/>
        <v>India</v>
      </c>
      <c r="Y859" s="7" t="str" cm="1">
        <f t="array" ref="Y859">IF(H859="",IFERROR(INDEX($H$2:$H$1166,MATCH(MAX(COUNTIF($H$2:$H$1166,$H$2:$H$1166)),COUNTIF($H$2:$H$1166,$H$2:$H$1166),0)),"Unknown"),H859)</f>
        <v>Pending</v>
      </c>
      <c r="Z859" s="7" t="str">
        <f t="shared" si="94"/>
        <v>Internal</v>
      </c>
      <c r="AA859" s="7">
        <f>IF(J859="",AVERAGE($J:$J),J859)</f>
        <v>8580.34</v>
      </c>
      <c r="AB859" s="7">
        <f>IF(N859="",AVERAGE($N:$N),N859)</f>
        <v>77</v>
      </c>
      <c r="AC859" s="7">
        <f t="shared" si="95"/>
        <v>2023</v>
      </c>
      <c r="AD859" s="7">
        <f t="shared" si="96"/>
        <v>11</v>
      </c>
      <c r="AE859" s="7">
        <f>COUNTIF(A:A,A859)</f>
        <v>1</v>
      </c>
      <c r="AF859" s="7" t="str">
        <f t="shared" si="97"/>
        <v/>
      </c>
    </row>
    <row r="860" spans="1:32">
      <c r="A860" t="s">
        <v>2636</v>
      </c>
      <c r="B860">
        <v>94258614</v>
      </c>
      <c r="C860" t="s">
        <v>667</v>
      </c>
      <c r="D860" t="s">
        <v>2214</v>
      </c>
      <c r="F860" t="s">
        <v>121</v>
      </c>
      <c r="G860" t="s">
        <v>44</v>
      </c>
      <c r="I860" t="s">
        <v>3374</v>
      </c>
      <c r="J860">
        <v>9270.4599999999991</v>
      </c>
      <c r="K860" t="s">
        <v>39</v>
      </c>
      <c r="L860" t="s">
        <v>28</v>
      </c>
      <c r="M860" s="1">
        <v>44186.080555555556</v>
      </c>
      <c r="N860">
        <v>60</v>
      </c>
      <c r="O860" t="s">
        <v>37</v>
      </c>
      <c r="P860" t="s">
        <v>93</v>
      </c>
      <c r="Q860" t="s">
        <v>2637</v>
      </c>
      <c r="R860">
        <f t="shared" si="91"/>
        <v>94258614</v>
      </c>
      <c r="S860" t="str" cm="1">
        <f t="array" ref="S860">IF(C860="",IFERROR(INDEX($C$2:$C$1166,MATCH(MAX(COUNTIF($C$2:$C$1166,$C$2:$C$1166)),COUNTIF($C$2:$C$1166,$C$2:$C$1166),0)),"Unknown"),C860)</f>
        <v>Michael Khan</v>
      </c>
      <c r="T860" s="4" t="str" cm="1">
        <f t="array" ref="T860">IF(D860="",IFERROR(INDEX($D$2:$D$1000,MATCH(MAX(COUNTIF($D$2:$D$1166,$D$2:$D$1166)),COUNTIF($D$2:$D$1166,$D$2:$D$1166),0)),"Unknown"),D860)</f>
        <v>Elizabeth Jones</v>
      </c>
      <c r="U860" t="str">
        <f t="shared" si="92"/>
        <v>INR</v>
      </c>
      <c r="V860" s="7" t="str">
        <f t="shared" si="92"/>
        <v>SGD</v>
      </c>
      <c r="W860" s="7" t="str">
        <f t="shared" si="93"/>
        <v>South Africa</v>
      </c>
      <c r="X860" s="7" t="str">
        <f t="shared" si="93"/>
        <v>USA</v>
      </c>
      <c r="Y860" s="7" t="str" cm="1">
        <f t="array" ref="Y860">IF(H860="",IFERROR(INDEX($H$2:$H$1166,MATCH(MAX(COUNTIF($H$2:$H$1166,$H$2:$H$1166)),COUNTIF($H$2:$H$1166,$H$2:$H$1166),0)),"Unknown"),H860)</f>
        <v>Pending</v>
      </c>
      <c r="Z860" s="7" t="str">
        <f t="shared" si="94"/>
        <v>External</v>
      </c>
      <c r="AA860" s="7">
        <f>IF(J860="",AVERAGE($J:$J),J860)</f>
        <v>9270.4599999999991</v>
      </c>
      <c r="AB860" s="7">
        <f>IF(N860="",AVERAGE($N:$N),N860)</f>
        <v>60</v>
      </c>
      <c r="AC860" s="7">
        <f t="shared" si="95"/>
        <v>2020</v>
      </c>
      <c r="AD860" s="7">
        <f t="shared" si="96"/>
        <v>12</v>
      </c>
      <c r="AE860" s="7">
        <f>COUNTIF(A:A,A860)</f>
        <v>1</v>
      </c>
      <c r="AF860" s="7" t="str">
        <f t="shared" si="97"/>
        <v/>
      </c>
    </row>
    <row r="861" spans="1:32">
      <c r="A861" t="s">
        <v>2638</v>
      </c>
      <c r="B861">
        <v>44629948</v>
      </c>
      <c r="C861" t="s">
        <v>2639</v>
      </c>
      <c r="D861" t="s">
        <v>2640</v>
      </c>
      <c r="F861" t="s">
        <v>116</v>
      </c>
      <c r="G861" t="s">
        <v>116</v>
      </c>
      <c r="H861" t="s">
        <v>74</v>
      </c>
      <c r="I861" t="s">
        <v>3372</v>
      </c>
      <c r="J861">
        <v>1246.4000000000001</v>
      </c>
      <c r="K861" t="s">
        <v>86</v>
      </c>
      <c r="L861" t="s">
        <v>28</v>
      </c>
      <c r="M861" s="1">
        <v>43969.949305555558</v>
      </c>
      <c r="N861">
        <v>85</v>
      </c>
      <c r="O861" t="s">
        <v>127</v>
      </c>
      <c r="P861" t="s">
        <v>24</v>
      </c>
      <c r="Q861" t="s">
        <v>2641</v>
      </c>
      <c r="R861">
        <f t="shared" si="91"/>
        <v>44629948</v>
      </c>
      <c r="S861" t="str" cm="1">
        <f t="array" ref="S861">IF(C861="",IFERROR(INDEX($C$2:$C$1166,MATCH(MAX(COUNTIF($C$2:$C$1166,$C$2:$C$1166)),COUNTIF($C$2:$C$1166,$C$2:$C$1166),0)),"Unknown"),C861)</f>
        <v>Joseph Davis</v>
      </c>
      <c r="T861" s="4" t="str" cm="1">
        <f t="array" ref="T861">IF(D861="",IFERROR(INDEX($D$2:$D$1000,MATCH(MAX(COUNTIF($D$2:$D$1166,$D$2:$D$1166)),COUNTIF($D$2:$D$1166,$D$2:$D$1166),0)),"Unknown"),D861)</f>
        <v>Mary Johnson</v>
      </c>
      <c r="U861" t="str">
        <f t="shared" si="92"/>
        <v>CHF</v>
      </c>
      <c r="V861" s="7" t="str">
        <f t="shared" si="92"/>
        <v>CHF</v>
      </c>
      <c r="W861" s="7" t="str">
        <f t="shared" si="93"/>
        <v>Canada</v>
      </c>
      <c r="X861" s="7" t="str">
        <f t="shared" si="93"/>
        <v>Brazil</v>
      </c>
      <c r="Y861" s="7" t="str" cm="1">
        <f t="array" ref="Y861">IF(H861="",IFERROR(INDEX($H$2:$H$1166,MATCH(MAX(COUNTIF($H$2:$H$1166,$H$2:$H$1166)),COUNTIF($H$2:$H$1166,$H$2:$H$1166),0)),"Unknown"),H861)</f>
        <v>Non-KYC</v>
      </c>
      <c r="Z861" s="7" t="str">
        <f t="shared" si="94"/>
        <v>Outer-Transaction</v>
      </c>
      <c r="AA861" s="7">
        <f>IF(J861="",AVERAGE($J:$J),J861)</f>
        <v>1246.4000000000001</v>
      </c>
      <c r="AB861" s="7">
        <f>IF(N861="",AVERAGE($N:$N),N861)</f>
        <v>85</v>
      </c>
      <c r="AC861" s="7">
        <f t="shared" si="95"/>
        <v>2020</v>
      </c>
      <c r="AD861" s="7">
        <f t="shared" si="96"/>
        <v>5</v>
      </c>
      <c r="AE861" s="7">
        <f>COUNTIF(A:A,A861)</f>
        <v>1</v>
      </c>
      <c r="AF861" s="7" t="str">
        <f t="shared" si="97"/>
        <v/>
      </c>
    </row>
    <row r="862" spans="1:32">
      <c r="A862" t="s">
        <v>2642</v>
      </c>
      <c r="B862">
        <v>51479441</v>
      </c>
      <c r="C862" t="s">
        <v>2643</v>
      </c>
      <c r="D862" t="s">
        <v>1322</v>
      </c>
      <c r="F862" t="s">
        <v>180</v>
      </c>
      <c r="G862" t="s">
        <v>80</v>
      </c>
      <c r="H862" t="s">
        <v>56</v>
      </c>
      <c r="I862" t="s">
        <v>3378</v>
      </c>
      <c r="J862">
        <v>5632.18</v>
      </c>
      <c r="K862" t="s">
        <v>27</v>
      </c>
      <c r="L862" t="s">
        <v>75</v>
      </c>
      <c r="M862" s="1">
        <v>45357.527083333334</v>
      </c>
      <c r="N862">
        <v>22</v>
      </c>
      <c r="O862" t="s">
        <v>68</v>
      </c>
      <c r="P862" t="s">
        <v>23</v>
      </c>
      <c r="Q862" t="s">
        <v>2644</v>
      </c>
      <c r="R862">
        <f t="shared" si="91"/>
        <v>51479441</v>
      </c>
      <c r="S862" t="str" cm="1">
        <f t="array" ref="S862">IF(C862="",IFERROR(INDEX($C$2:$C$1166,MATCH(MAX(COUNTIF($C$2:$C$1166,$C$2:$C$1166)),COUNTIF($C$2:$C$1166,$C$2:$C$1166),0)),"Unknown"),C862)</f>
        <v>Michael Smith</v>
      </c>
      <c r="T862" s="4" t="str" cm="1">
        <f t="array" ref="T862">IF(D862="",IFERROR(INDEX($D$2:$D$1000,MATCH(MAX(COUNTIF($D$2:$D$1166,$D$2:$D$1166)),COUNTIF($D$2:$D$1166,$D$2:$D$1166),0)),"Unknown"),D862)</f>
        <v>William Nair</v>
      </c>
      <c r="U862" t="str">
        <f t="shared" si="92"/>
        <v>zar</v>
      </c>
      <c r="V862" s="7" t="str">
        <f t="shared" si="92"/>
        <v>USD</v>
      </c>
      <c r="W862" s="7" t="str">
        <f t="shared" si="93"/>
        <v>UAE</v>
      </c>
      <c r="X862" s="7" t="str">
        <f t="shared" si="93"/>
        <v>France</v>
      </c>
      <c r="Y862" s="7" t="str" cm="1">
        <f t="array" ref="Y862">IF(H862="",IFERROR(INDEX($H$2:$H$1166,MATCH(MAX(COUNTIF($H$2:$H$1166,$H$2:$H$1166)),COUNTIF($H$2:$H$1166,$H$2:$H$1166),0)),"Unknown"),H862)</f>
        <v>Unverified</v>
      </c>
      <c r="Z862" s="7" t="str">
        <f t="shared" si="94"/>
        <v>Inter-Transaction</v>
      </c>
      <c r="AA862" s="7">
        <f>IF(J862="",AVERAGE($J:$J),J862)</f>
        <v>5632.18</v>
      </c>
      <c r="AB862" s="7">
        <f>IF(N862="",AVERAGE($N:$N),N862)</f>
        <v>22</v>
      </c>
      <c r="AC862" s="7">
        <f t="shared" si="95"/>
        <v>2024</v>
      </c>
      <c r="AD862" s="7">
        <f t="shared" si="96"/>
        <v>3</v>
      </c>
      <c r="AE862" s="7">
        <f>COUNTIF(A:A,A862)</f>
        <v>1</v>
      </c>
      <c r="AF862" s="7" t="str">
        <f t="shared" si="97"/>
        <v/>
      </c>
    </row>
    <row r="863" spans="1:32">
      <c r="A863" t="s">
        <v>2645</v>
      </c>
      <c r="C863" t="s">
        <v>1710</v>
      </c>
      <c r="D863" t="s">
        <v>1652</v>
      </c>
      <c r="F863" t="s">
        <v>21</v>
      </c>
      <c r="G863" t="s">
        <v>22</v>
      </c>
      <c r="H863" t="s">
        <v>74</v>
      </c>
      <c r="I863" t="s">
        <v>3376</v>
      </c>
      <c r="J863">
        <v>6706.61</v>
      </c>
      <c r="K863" t="s">
        <v>57</v>
      </c>
      <c r="L863" t="s">
        <v>28</v>
      </c>
      <c r="M863" s="1">
        <v>45028.234027777777</v>
      </c>
      <c r="N863">
        <v>54</v>
      </c>
      <c r="O863" t="s">
        <v>24</v>
      </c>
      <c r="P863" t="s">
        <v>127</v>
      </c>
      <c r="Q863" t="s">
        <v>2646</v>
      </c>
      <c r="R863">
        <f t="shared" si="91"/>
        <v>0</v>
      </c>
      <c r="S863" t="str" cm="1">
        <f t="array" ref="S863">IF(C863="",IFERROR(INDEX($C$2:$C$1166,MATCH(MAX(COUNTIF($C$2:$C$1166,$C$2:$C$1166)),COUNTIF($C$2:$C$1166,$C$2:$C$1166),0)),"Unknown"),C863)</f>
        <v>David Volkov</v>
      </c>
      <c r="T863" s="4" t="str" cm="1">
        <f t="array" ref="T863">IF(D863="",IFERROR(INDEX($D$2:$D$1000,MATCH(MAX(COUNTIF($D$2:$D$1166,$D$2:$D$1166)),COUNTIF($D$2:$D$1166,$D$2:$D$1166),0)),"Unknown"),D863)</f>
        <v>Sanjay Al-Sayed</v>
      </c>
      <c r="U863" t="str">
        <f t="shared" si="92"/>
        <v>GBP</v>
      </c>
      <c r="V863" s="7" t="str">
        <f t="shared" si="92"/>
        <v>BRL</v>
      </c>
      <c r="W863" s="7" t="str">
        <f t="shared" si="93"/>
        <v>Brazil</v>
      </c>
      <c r="X863" s="7" t="str">
        <f t="shared" si="93"/>
        <v>Canada</v>
      </c>
      <c r="Y863" s="7" t="str" cm="1">
        <f t="array" ref="Y863">IF(H863="",IFERROR(INDEX($H$2:$H$1166,MATCH(MAX(COUNTIF($H$2:$H$1166,$H$2:$H$1166)),COUNTIF($H$2:$H$1166,$H$2:$H$1166),0)),"Unknown"),H863)</f>
        <v>Non-KYC</v>
      </c>
      <c r="Z863" s="7" t="str">
        <f t="shared" si="94"/>
        <v>Internal</v>
      </c>
      <c r="AA863" s="7">
        <f>IF(J863="",AVERAGE($J:$J),J863)</f>
        <v>6706.61</v>
      </c>
      <c r="AB863" s="7">
        <f>IF(N863="",AVERAGE($N:$N),N863)</f>
        <v>54</v>
      </c>
      <c r="AC863" s="7">
        <f t="shared" si="95"/>
        <v>2023</v>
      </c>
      <c r="AD863" s="7">
        <f t="shared" si="96"/>
        <v>4</v>
      </c>
      <c r="AE863" s="7">
        <f>COUNTIF(A:A,A863)</f>
        <v>1</v>
      </c>
      <c r="AF863" s="7" t="str">
        <f t="shared" si="97"/>
        <v/>
      </c>
    </row>
    <row r="864" spans="1:32">
      <c r="A864" t="s">
        <v>2647</v>
      </c>
      <c r="B864">
        <v>72756047</v>
      </c>
      <c r="C864" t="s">
        <v>1062</v>
      </c>
      <c r="D864" t="s">
        <v>2648</v>
      </c>
      <c r="F864" t="s">
        <v>121</v>
      </c>
      <c r="G864" t="s">
        <v>92</v>
      </c>
      <c r="H864" t="s">
        <v>103</v>
      </c>
      <c r="I864" t="s">
        <v>3377</v>
      </c>
      <c r="J864">
        <v>2400.46</v>
      </c>
      <c r="K864" t="s">
        <v>86</v>
      </c>
      <c r="L864" t="s">
        <v>48</v>
      </c>
      <c r="M864" s="1">
        <v>43859.357638888891</v>
      </c>
      <c r="N864">
        <v>48</v>
      </c>
      <c r="O864" t="s">
        <v>54</v>
      </c>
      <c r="P864" t="s">
        <v>68</v>
      </c>
      <c r="Q864" t="s">
        <v>2649</v>
      </c>
      <c r="R864">
        <f t="shared" si="91"/>
        <v>72756047</v>
      </c>
      <c r="S864" t="str" cm="1">
        <f t="array" ref="S864">IF(C864="",IFERROR(INDEX($C$2:$C$1166,MATCH(MAX(COUNTIF($C$2:$C$1166,$C$2:$C$1166)),COUNTIF($C$2:$C$1166,$C$2:$C$1166),0)),"Unknown"),C864)</f>
        <v>Elizabeth Silva</v>
      </c>
      <c r="T864" s="4" t="str" cm="1">
        <f t="array" ref="T864">IF(D864="",IFERROR(INDEX($D$2:$D$1000,MATCH(MAX(COUNTIF($D$2:$D$1166,$D$2:$D$1166)),COUNTIF($D$2:$D$1166,$D$2:$D$1166),0)),"Unknown"),D864)</f>
        <v xml:space="preserve"> priya lopez   </v>
      </c>
      <c r="U864" t="str">
        <f t="shared" si="92"/>
        <v>INR</v>
      </c>
      <c r="V864" s="7" t="str">
        <f t="shared" si="92"/>
        <v>AUD</v>
      </c>
      <c r="W864" s="7" t="str">
        <f t="shared" si="93"/>
        <v>India</v>
      </c>
      <c r="X864" s="7" t="str">
        <f t="shared" si="93"/>
        <v>UAE</v>
      </c>
      <c r="Y864" s="7" t="str" cm="1">
        <f t="array" ref="Y864">IF(H864="",IFERROR(INDEX($H$2:$H$1166,MATCH(MAX(COUNTIF($H$2:$H$1166,$H$2:$H$1166)),COUNTIF($H$2:$H$1166,$H$2:$H$1166),0)),"Unknown"),H864)</f>
        <v>Verified</v>
      </c>
      <c r="Z864" s="7" t="str">
        <f t="shared" si="94"/>
        <v>Inter-Transaction</v>
      </c>
      <c r="AA864" s="7">
        <f>IF(J864="",AVERAGE($J:$J),J864)</f>
        <v>2400.46</v>
      </c>
      <c r="AB864" s="7">
        <f>IF(N864="",AVERAGE($N:$N),N864)</f>
        <v>48</v>
      </c>
      <c r="AC864" s="7">
        <f t="shared" si="95"/>
        <v>2020</v>
      </c>
      <c r="AD864" s="7">
        <f t="shared" si="96"/>
        <v>1</v>
      </c>
      <c r="AE864" s="7">
        <f>COUNTIF(A:A,A864)</f>
        <v>1</v>
      </c>
      <c r="AF864" s="7" t="str">
        <f t="shared" si="97"/>
        <v/>
      </c>
    </row>
    <row r="865" spans="1:32">
      <c r="A865" t="s">
        <v>2650</v>
      </c>
      <c r="B865">
        <v>85760648</v>
      </c>
      <c r="C865" t="s">
        <v>2421</v>
      </c>
      <c r="D865" t="s">
        <v>886</v>
      </c>
      <c r="F865" t="s">
        <v>99</v>
      </c>
      <c r="G865" t="s">
        <v>80</v>
      </c>
      <c r="H865" t="s">
        <v>25</v>
      </c>
      <c r="I865" t="s">
        <v>3377</v>
      </c>
      <c r="J865">
        <v>1925.52</v>
      </c>
      <c r="K865" t="s">
        <v>47</v>
      </c>
      <c r="L865" t="s">
        <v>48</v>
      </c>
      <c r="M865" s="1">
        <v>44761.419444444444</v>
      </c>
      <c r="N865">
        <v>26</v>
      </c>
      <c r="O865" t="s">
        <v>23</v>
      </c>
      <c r="P865" t="s">
        <v>127</v>
      </c>
      <c r="Q865" t="s">
        <v>2651</v>
      </c>
      <c r="R865">
        <f t="shared" si="91"/>
        <v>85760648</v>
      </c>
      <c r="S865" t="str" cm="1">
        <f t="array" ref="S865">IF(C865="",IFERROR(INDEX($C$2:$C$1166,MATCH(MAX(COUNTIF($C$2:$C$1166,$C$2:$C$1166)),COUNTIF($C$2:$C$1166,$C$2:$C$1166),0)),"Unknown"),C865)</f>
        <v>John Martinez</v>
      </c>
      <c r="T865" s="4" t="str" cm="1">
        <f t="array" ref="T865">IF(D865="",IFERROR(INDEX($D$2:$D$1000,MATCH(MAX(COUNTIF($D$2:$D$1166,$D$2:$D$1166)),COUNTIF($D$2:$D$1166,$D$2:$D$1166),0)),"Unknown"),D865)</f>
        <v>Marta Malik</v>
      </c>
      <c r="U865" t="str">
        <f t="shared" si="92"/>
        <v>eur</v>
      </c>
      <c r="V865" s="7" t="str">
        <f t="shared" si="92"/>
        <v>USD</v>
      </c>
      <c r="W865" s="7" t="str">
        <f t="shared" si="93"/>
        <v>France</v>
      </c>
      <c r="X865" s="7" t="str">
        <f t="shared" si="93"/>
        <v>Canada</v>
      </c>
      <c r="Y865" s="7" t="str" cm="1">
        <f t="array" ref="Y865">IF(H865="",IFERROR(INDEX($H$2:$H$1166,MATCH(MAX(COUNTIF($H$2:$H$1166,$H$2:$H$1166)),COUNTIF($H$2:$H$1166,$H$2:$H$1166),0)),"Unknown"),H865)</f>
        <v>KYC</v>
      </c>
      <c r="Z865" s="7" t="str">
        <f t="shared" si="94"/>
        <v>Inter-Transaction</v>
      </c>
      <c r="AA865" s="7">
        <f>IF(J865="",AVERAGE($J:$J),J865)</f>
        <v>1925.52</v>
      </c>
      <c r="AB865" s="7">
        <f>IF(N865="",AVERAGE($N:$N),N865)</f>
        <v>26</v>
      </c>
      <c r="AC865" s="7">
        <f t="shared" si="95"/>
        <v>2022</v>
      </c>
      <c r="AD865" s="7">
        <f t="shared" si="96"/>
        <v>7</v>
      </c>
      <c r="AE865" s="7">
        <f>COUNTIF(A:A,A865)</f>
        <v>1</v>
      </c>
      <c r="AF865" s="7" t="str">
        <f t="shared" si="97"/>
        <v/>
      </c>
    </row>
    <row r="866" spans="1:32">
      <c r="A866" t="s">
        <v>2652</v>
      </c>
      <c r="B866">
        <v>94174205</v>
      </c>
      <c r="C866" t="s">
        <v>1200</v>
      </c>
      <c r="D866" t="s">
        <v>2653</v>
      </c>
      <c r="F866" t="s">
        <v>45</v>
      </c>
      <c r="G866" t="s">
        <v>176</v>
      </c>
      <c r="H866" t="s">
        <v>103</v>
      </c>
      <c r="I866" t="s">
        <v>3371</v>
      </c>
      <c r="J866">
        <v>14336.25</v>
      </c>
      <c r="K866" t="s">
        <v>57</v>
      </c>
      <c r="L866" t="s">
        <v>75</v>
      </c>
      <c r="M866" s="1">
        <v>46374.70208333333</v>
      </c>
      <c r="N866">
        <v>68</v>
      </c>
      <c r="O866" t="s">
        <v>36</v>
      </c>
      <c r="P866" t="s">
        <v>54</v>
      </c>
      <c r="Q866" t="s">
        <v>2654</v>
      </c>
      <c r="R866">
        <f t="shared" si="91"/>
        <v>94174205</v>
      </c>
      <c r="S866" t="str" cm="1">
        <f t="array" ref="S866">IF(C866="",IFERROR(INDEX($C$2:$C$1166,MATCH(MAX(COUNTIF($C$2:$C$1166,$C$2:$C$1166)),COUNTIF($C$2:$C$1166,$C$2:$C$1166),0)),"Unknown"),C866)</f>
        <v>Jessica Williams</v>
      </c>
      <c r="T866" s="4" t="str" cm="1">
        <f t="array" ref="T866">IF(D866="",IFERROR(INDEX($D$2:$D$1000,MATCH(MAX(COUNTIF($D$2:$D$1166,$D$2:$D$1166)),COUNTIF($D$2:$D$1166,$D$2:$D$1166),0)),"Unknown"),D866)</f>
        <v>Susan Williams</v>
      </c>
      <c r="U866" t="str">
        <f t="shared" si="92"/>
        <v>ZAR</v>
      </c>
      <c r="V866" s="7" t="str">
        <f t="shared" si="92"/>
        <v>aed</v>
      </c>
      <c r="W866" s="7" t="str">
        <f t="shared" si="93"/>
        <v>Germany</v>
      </c>
      <c r="X866" s="7" t="str">
        <f t="shared" si="93"/>
        <v>India</v>
      </c>
      <c r="Y866" s="7" t="str" cm="1">
        <f t="array" ref="Y866">IF(H866="",IFERROR(INDEX($H$2:$H$1166,MATCH(MAX(COUNTIF($H$2:$H$1166,$H$2:$H$1166)),COUNTIF($H$2:$H$1166,$H$2:$H$1166),0)),"Unknown"),H866)</f>
        <v>Verified</v>
      </c>
      <c r="Z866" s="7" t="str">
        <f t="shared" si="94"/>
        <v>Outer-Transaction</v>
      </c>
      <c r="AA866" s="7">
        <f>IF(J866="",AVERAGE($J:$J),J866)</f>
        <v>14336.25</v>
      </c>
      <c r="AB866" s="7">
        <f>IF(N866="",AVERAGE($N:$N),N866)</f>
        <v>68</v>
      </c>
      <c r="AC866" s="7">
        <f t="shared" si="95"/>
        <v>2026</v>
      </c>
      <c r="AD866" s="7">
        <f t="shared" si="96"/>
        <v>12</v>
      </c>
      <c r="AE866" s="7">
        <f>COUNTIF(A:A,A866)</f>
        <v>1</v>
      </c>
      <c r="AF866" s="7" t="str">
        <f t="shared" si="97"/>
        <v/>
      </c>
    </row>
    <row r="867" spans="1:32">
      <c r="A867" t="s">
        <v>2655</v>
      </c>
      <c r="B867">
        <v>95095796</v>
      </c>
      <c r="C867" t="s">
        <v>334</v>
      </c>
      <c r="D867" t="s">
        <v>783</v>
      </c>
      <c r="F867" t="s">
        <v>35</v>
      </c>
      <c r="G867" t="s">
        <v>34</v>
      </c>
      <c r="I867" t="s">
        <v>3378</v>
      </c>
      <c r="J867">
        <v>7382.35</v>
      </c>
      <c r="K867" t="s">
        <v>47</v>
      </c>
      <c r="L867" t="s">
        <v>75</v>
      </c>
      <c r="M867" s="1">
        <v>44844.268055555556</v>
      </c>
      <c r="N867">
        <v>46</v>
      </c>
      <c r="O867" t="s">
        <v>23</v>
      </c>
      <c r="P867" t="s">
        <v>93</v>
      </c>
      <c r="Q867" t="s">
        <v>2656</v>
      </c>
      <c r="R867">
        <f t="shared" si="91"/>
        <v>95095796</v>
      </c>
      <c r="S867" t="str" cm="1">
        <f t="array" ref="S867">IF(C867="",IFERROR(INDEX($C$2:$C$1166,MATCH(MAX(COUNTIF($C$2:$C$1166,$C$2:$C$1166)),COUNTIF($C$2:$C$1166,$C$2:$C$1166),0)),"Unknown"),C867)</f>
        <v>Barbara Gonzalez</v>
      </c>
      <c r="T867" s="4" t="str" cm="1">
        <f t="array" ref="T867">IF(D867="",IFERROR(INDEX($D$2:$D$1000,MATCH(MAX(COUNTIF($D$2:$D$1166,$D$2:$D$1166)),COUNTIF($D$2:$D$1166,$D$2:$D$1166),0)),"Unknown"),D867)</f>
        <v>Amir Smith</v>
      </c>
      <c r="U867" t="str">
        <f t="shared" si="92"/>
        <v>EUR</v>
      </c>
      <c r="V867" s="7" t="str">
        <f t="shared" si="92"/>
        <v>CAD</v>
      </c>
      <c r="W867" s="7" t="str">
        <f t="shared" si="93"/>
        <v>France</v>
      </c>
      <c r="X867" s="7" t="str">
        <f t="shared" si="93"/>
        <v>USA</v>
      </c>
      <c r="Y867" s="7" t="str" cm="1">
        <f t="array" ref="Y867">IF(H867="",IFERROR(INDEX($H$2:$H$1166,MATCH(MAX(COUNTIF($H$2:$H$1166,$H$2:$H$1166)),COUNTIF($H$2:$H$1166,$H$2:$H$1166),0)),"Unknown"),H867)</f>
        <v>Pending</v>
      </c>
      <c r="Z867" s="7" t="str">
        <f t="shared" si="94"/>
        <v>Inter-Transaction</v>
      </c>
      <c r="AA867" s="7">
        <f>IF(J867="",AVERAGE($J:$J),J867)</f>
        <v>7382.35</v>
      </c>
      <c r="AB867" s="7">
        <f>IF(N867="",AVERAGE($N:$N),N867)</f>
        <v>46</v>
      </c>
      <c r="AC867" s="7">
        <f t="shared" si="95"/>
        <v>2022</v>
      </c>
      <c r="AD867" s="7">
        <f t="shared" si="96"/>
        <v>10</v>
      </c>
      <c r="AE867" s="7">
        <f>COUNTIF(A:A,A867)</f>
        <v>1</v>
      </c>
      <c r="AF867" s="7" t="str">
        <f t="shared" si="97"/>
        <v/>
      </c>
    </row>
    <row r="868" spans="1:32">
      <c r="A868" t="s">
        <v>2657</v>
      </c>
      <c r="B868">
        <v>23630720</v>
      </c>
      <c r="C868" t="s">
        <v>232</v>
      </c>
      <c r="D868" t="s">
        <v>667</v>
      </c>
      <c r="F868" t="s">
        <v>21</v>
      </c>
      <c r="G868" t="s">
        <v>92</v>
      </c>
      <c r="H868" t="s">
        <v>103</v>
      </c>
      <c r="I868" t="s">
        <v>3374</v>
      </c>
      <c r="J868">
        <v>11749.74</v>
      </c>
      <c r="K868" t="s">
        <v>47</v>
      </c>
      <c r="L868" t="s">
        <v>48</v>
      </c>
      <c r="M868" s="1">
        <v>44658.62222222222</v>
      </c>
      <c r="N868">
        <v>57</v>
      </c>
      <c r="O868" t="s">
        <v>93</v>
      </c>
      <c r="P868" t="s">
        <v>54</v>
      </c>
      <c r="Q868" t="s">
        <v>2658</v>
      </c>
      <c r="R868">
        <f t="shared" si="91"/>
        <v>23630720</v>
      </c>
      <c r="S868" t="str" cm="1">
        <f t="array" ref="S868">IF(C868="",IFERROR(INDEX($C$2:$C$1166,MATCH(MAX(COUNTIF($C$2:$C$1166,$C$2:$C$1166)),COUNTIF($C$2:$C$1166,$C$2:$C$1166),0)),"Unknown"),C868)</f>
        <v>Fatima Velez</v>
      </c>
      <c r="T868" s="4" t="str" cm="1">
        <f t="array" ref="T868">IF(D868="",IFERROR(INDEX($D$2:$D$1000,MATCH(MAX(COUNTIF($D$2:$D$1166,$D$2:$D$1166)),COUNTIF($D$2:$D$1166,$D$2:$D$1166),0)),"Unknown"),D868)</f>
        <v>Michael Khan</v>
      </c>
      <c r="U868" t="str">
        <f t="shared" si="92"/>
        <v>GBP</v>
      </c>
      <c r="V868" s="7" t="str">
        <f t="shared" si="92"/>
        <v>AUD</v>
      </c>
      <c r="W868" s="7" t="str">
        <f t="shared" si="93"/>
        <v>USA</v>
      </c>
      <c r="X868" s="7" t="str">
        <f t="shared" si="93"/>
        <v>India</v>
      </c>
      <c r="Y868" s="7" t="str" cm="1">
        <f t="array" ref="Y868">IF(H868="",IFERROR(INDEX($H$2:$H$1166,MATCH(MAX(COUNTIF($H$2:$H$1166,$H$2:$H$1166)),COUNTIF($H$2:$H$1166,$H$2:$H$1166),0)),"Unknown"),H868)</f>
        <v>Verified</v>
      </c>
      <c r="Z868" s="7" t="str">
        <f t="shared" si="94"/>
        <v>External</v>
      </c>
      <c r="AA868" s="7">
        <f>IF(J868="",AVERAGE($J:$J),J868)</f>
        <v>11749.74</v>
      </c>
      <c r="AB868" s="7">
        <f>IF(N868="",AVERAGE($N:$N),N868)</f>
        <v>57</v>
      </c>
      <c r="AC868" s="7">
        <f t="shared" si="95"/>
        <v>2022</v>
      </c>
      <c r="AD868" s="7">
        <f t="shared" si="96"/>
        <v>4</v>
      </c>
      <c r="AE868" s="7">
        <f>COUNTIF(A:A,A868)</f>
        <v>1</v>
      </c>
      <c r="AF868" s="7" t="str">
        <f t="shared" si="97"/>
        <v/>
      </c>
    </row>
    <row r="869" spans="1:32">
      <c r="A869" t="s">
        <v>2659</v>
      </c>
      <c r="B869">
        <v>46180065</v>
      </c>
      <c r="C869" t="s">
        <v>2660</v>
      </c>
      <c r="D869" t="s">
        <v>2661</v>
      </c>
      <c r="F869" t="s">
        <v>35</v>
      </c>
      <c r="G869" t="s">
        <v>45</v>
      </c>
      <c r="H869" t="s">
        <v>25</v>
      </c>
      <c r="I869" t="s">
        <v>3376</v>
      </c>
      <c r="J869">
        <v>4556.59</v>
      </c>
      <c r="K869" t="s">
        <v>27</v>
      </c>
      <c r="L869" t="s">
        <v>81</v>
      </c>
      <c r="M869" s="1">
        <v>44181.614583333336</v>
      </c>
      <c r="N869">
        <v>58</v>
      </c>
      <c r="O869" t="s">
        <v>68</v>
      </c>
      <c r="P869" t="s">
        <v>24</v>
      </c>
      <c r="Q869" t="s">
        <v>2662</v>
      </c>
      <c r="R869">
        <f t="shared" si="91"/>
        <v>46180065</v>
      </c>
      <c r="S869" t="str" cm="1">
        <f t="array" ref="S869">IF(C869="",IFERROR(INDEX($C$2:$C$1166,MATCH(MAX(COUNTIF($C$2:$C$1166,$C$2:$C$1166)),COUNTIF($C$2:$C$1166,$C$2:$C$1166),0)),"Unknown"),C869)</f>
        <v xml:space="preserve">  LUCAS MARTIN </v>
      </c>
      <c r="T869" s="4" t="str" cm="1">
        <f t="array" ref="T869">IF(D869="",IFERROR(INDEX($D$2:$D$1000,MATCH(MAX(COUNTIF($D$2:$D$1166,$D$2:$D$1166)),COUNTIF($D$2:$D$1166,$D$2:$D$1166),0)),"Unknown"),D869)</f>
        <v>Barbara Thomas</v>
      </c>
      <c r="U869" t="str">
        <f t="shared" si="92"/>
        <v>EUR</v>
      </c>
      <c r="V869" s="7" t="str">
        <f t="shared" si="92"/>
        <v>ZAR</v>
      </c>
      <c r="W869" s="7" t="str">
        <f t="shared" si="93"/>
        <v>UAE</v>
      </c>
      <c r="X869" s="7" t="str">
        <f t="shared" si="93"/>
        <v>Brazil</v>
      </c>
      <c r="Y869" s="7" t="str" cm="1">
        <f t="array" ref="Y869">IF(H869="",IFERROR(INDEX($H$2:$H$1166,MATCH(MAX(COUNTIF($H$2:$H$1166,$H$2:$H$1166)),COUNTIF($H$2:$H$1166,$H$2:$H$1166),0)),"Unknown"),H869)</f>
        <v>KYC</v>
      </c>
      <c r="Z869" s="7" t="str">
        <f t="shared" si="94"/>
        <v>Internal</v>
      </c>
      <c r="AA869" s="7">
        <f>IF(J869="",AVERAGE($J:$J),J869)</f>
        <v>4556.59</v>
      </c>
      <c r="AB869" s="7">
        <f>IF(N869="",AVERAGE($N:$N),N869)</f>
        <v>58</v>
      </c>
      <c r="AC869" s="7">
        <f t="shared" si="95"/>
        <v>2020</v>
      </c>
      <c r="AD869" s="7">
        <f t="shared" si="96"/>
        <v>12</v>
      </c>
      <c r="AE869" s="7">
        <f>COUNTIF(A:A,A869)</f>
        <v>1</v>
      </c>
      <c r="AF869" s="7" t="str">
        <f t="shared" si="97"/>
        <v/>
      </c>
    </row>
    <row r="870" spans="1:32">
      <c r="A870" t="s">
        <v>2663</v>
      </c>
      <c r="B870">
        <v>60788484</v>
      </c>
      <c r="C870" t="s">
        <v>2664</v>
      </c>
      <c r="D870" t="s">
        <v>2665</v>
      </c>
      <c r="F870" t="s">
        <v>45</v>
      </c>
      <c r="G870" t="s">
        <v>92</v>
      </c>
      <c r="H870" t="s">
        <v>74</v>
      </c>
      <c r="I870" t="s">
        <v>3377</v>
      </c>
      <c r="J870">
        <v>14548.75</v>
      </c>
      <c r="K870" t="s">
        <v>57</v>
      </c>
      <c r="L870" t="s">
        <v>75</v>
      </c>
      <c r="M870" s="1">
        <v>45855.506944444445</v>
      </c>
      <c r="N870">
        <v>28</v>
      </c>
      <c r="O870" t="s">
        <v>93</v>
      </c>
      <c r="P870" t="s">
        <v>37</v>
      </c>
      <c r="Q870" t="s">
        <v>2666</v>
      </c>
      <c r="R870">
        <f t="shared" si="91"/>
        <v>60788484</v>
      </c>
      <c r="S870" t="str" cm="1">
        <f t="array" ref="S870">IF(C870="",IFERROR(INDEX($C$2:$C$1166,MATCH(MAX(COUNTIF($C$2:$C$1166,$C$2:$C$1166)),COUNTIF($C$2:$C$1166,$C$2:$C$1166),0)),"Unknown"),C870)</f>
        <v>Karen Jones</v>
      </c>
      <c r="T870" s="4" t="str" cm="1">
        <f t="array" ref="T870">IF(D870="",IFERROR(INDEX($D$2:$D$1000,MATCH(MAX(COUNTIF($D$2:$D$1166,$D$2:$D$1166)),COUNTIF($D$2:$D$1166,$D$2:$D$1166),0)),"Unknown"),D870)</f>
        <v>Patricia Jones</v>
      </c>
      <c r="U870" t="str">
        <f t="shared" si="92"/>
        <v>ZAR</v>
      </c>
      <c r="V870" s="7" t="str">
        <f t="shared" si="92"/>
        <v>AUD</v>
      </c>
      <c r="W870" s="7" t="str">
        <f t="shared" si="93"/>
        <v>USA</v>
      </c>
      <c r="X870" s="7" t="str">
        <f t="shared" si="93"/>
        <v>South Africa</v>
      </c>
      <c r="Y870" s="7" t="str" cm="1">
        <f t="array" ref="Y870">IF(H870="",IFERROR(INDEX($H$2:$H$1166,MATCH(MAX(COUNTIF($H$2:$H$1166,$H$2:$H$1166)),COUNTIF($H$2:$H$1166,$H$2:$H$1166),0)),"Unknown"),H870)</f>
        <v>Non-KYC</v>
      </c>
      <c r="Z870" s="7" t="str">
        <f t="shared" si="94"/>
        <v>Inter-Transaction</v>
      </c>
      <c r="AA870" s="7">
        <f>IF(J870="",AVERAGE($J:$J),J870)</f>
        <v>14548.75</v>
      </c>
      <c r="AB870" s="7">
        <f>IF(N870="",AVERAGE($N:$N),N870)</f>
        <v>28</v>
      </c>
      <c r="AC870" s="7">
        <f t="shared" si="95"/>
        <v>2025</v>
      </c>
      <c r="AD870" s="7">
        <f t="shared" si="96"/>
        <v>7</v>
      </c>
      <c r="AE870" s="7">
        <f>COUNTIF(A:A,A870)</f>
        <v>1</v>
      </c>
      <c r="AF870" s="7" t="str">
        <f t="shared" si="97"/>
        <v/>
      </c>
    </row>
    <row r="871" spans="1:32">
      <c r="A871" t="s">
        <v>2667</v>
      </c>
      <c r="B871">
        <v>43430634</v>
      </c>
      <c r="C871" t="s">
        <v>637</v>
      </c>
      <c r="D871" t="s">
        <v>1327</v>
      </c>
      <c r="F871" t="s">
        <v>121</v>
      </c>
      <c r="G871" t="s">
        <v>34</v>
      </c>
      <c r="I871" t="s">
        <v>3377</v>
      </c>
      <c r="J871">
        <v>7928.24</v>
      </c>
      <c r="K871" t="s">
        <v>57</v>
      </c>
      <c r="L871" t="s">
        <v>81</v>
      </c>
      <c r="M871" s="1">
        <v>44129.517361111109</v>
      </c>
      <c r="N871">
        <v>40</v>
      </c>
      <c r="O871" t="s">
        <v>37</v>
      </c>
      <c r="P871" t="s">
        <v>68</v>
      </c>
      <c r="Q871" t="s">
        <v>2668</v>
      </c>
      <c r="R871">
        <f t="shared" si="91"/>
        <v>43430634</v>
      </c>
      <c r="S871" t="str" cm="1">
        <f t="array" ref="S871">IF(C871="",IFERROR(INDEX($C$2:$C$1166,MATCH(MAX(COUNTIF($C$2:$C$1166,$C$2:$C$1166)),COUNTIF($C$2:$C$1166,$C$2:$C$1166),0)),"Unknown"),C871)</f>
        <v>John Malik</v>
      </c>
      <c r="T871" s="4" t="str" cm="1">
        <f t="array" ref="T871">IF(D871="",IFERROR(INDEX($D$2:$D$1000,MATCH(MAX(COUNTIF($D$2:$D$1166,$D$2:$D$1166)),COUNTIF($D$2:$D$1166,$D$2:$D$1166),0)),"Unknown"),D871)</f>
        <v>Marta Wilson</v>
      </c>
      <c r="U871" t="str">
        <f t="shared" si="92"/>
        <v>INR</v>
      </c>
      <c r="V871" s="7" t="str">
        <f t="shared" si="92"/>
        <v>CAD</v>
      </c>
      <c r="W871" s="7" t="str">
        <f t="shared" si="93"/>
        <v>South Africa</v>
      </c>
      <c r="X871" s="7" t="str">
        <f t="shared" si="93"/>
        <v>UAE</v>
      </c>
      <c r="Y871" s="7" t="str" cm="1">
        <f t="array" ref="Y871">IF(H871="",IFERROR(INDEX($H$2:$H$1166,MATCH(MAX(COUNTIF($H$2:$H$1166,$H$2:$H$1166)),COUNTIF($H$2:$H$1166,$H$2:$H$1166),0)),"Unknown"),H871)</f>
        <v>Pending</v>
      </c>
      <c r="Z871" s="7" t="str">
        <f t="shared" si="94"/>
        <v>Inter-Transaction</v>
      </c>
      <c r="AA871" s="7">
        <f>IF(J871="",AVERAGE($J:$J),J871)</f>
        <v>7928.24</v>
      </c>
      <c r="AB871" s="7">
        <f>IF(N871="",AVERAGE($N:$N),N871)</f>
        <v>40</v>
      </c>
      <c r="AC871" s="7">
        <f t="shared" si="95"/>
        <v>2020</v>
      </c>
      <c r="AD871" s="7">
        <f t="shared" si="96"/>
        <v>10</v>
      </c>
      <c r="AE871" s="7">
        <f>COUNTIF(A:A,A871)</f>
        <v>1</v>
      </c>
      <c r="AF871" s="7" t="str">
        <f t="shared" si="97"/>
        <v/>
      </c>
    </row>
    <row r="872" spans="1:32">
      <c r="A872" t="s">
        <v>2669</v>
      </c>
      <c r="B872">
        <v>22228312</v>
      </c>
      <c r="C872" t="s">
        <v>1247</v>
      </c>
      <c r="D872" t="s">
        <v>1851</v>
      </c>
      <c r="F872" t="s">
        <v>45</v>
      </c>
      <c r="G872" t="s">
        <v>22</v>
      </c>
      <c r="H872" t="s">
        <v>56</v>
      </c>
      <c r="I872" t="s">
        <v>3377</v>
      </c>
      <c r="J872">
        <v>4671.22</v>
      </c>
      <c r="K872" t="s">
        <v>27</v>
      </c>
      <c r="L872" t="s">
        <v>81</v>
      </c>
      <c r="M872" s="1">
        <v>45574.893750000003</v>
      </c>
      <c r="N872">
        <v>18</v>
      </c>
      <c r="O872" t="s">
        <v>68</v>
      </c>
      <c r="P872" t="s">
        <v>24</v>
      </c>
      <c r="Q872" t="s">
        <v>2670</v>
      </c>
      <c r="R872">
        <f t="shared" si="91"/>
        <v>22228312</v>
      </c>
      <c r="S872" t="str" cm="1">
        <f t="array" ref="S872">IF(C872="",IFERROR(INDEX($C$2:$C$1166,MATCH(MAX(COUNTIF($C$2:$C$1166,$C$2:$C$1166)),COUNTIF($C$2:$C$1166,$C$2:$C$1166),0)),"Unknown"),C872)</f>
        <v>Linda Khan</v>
      </c>
      <c r="T872" s="4" t="str" cm="1">
        <f t="array" ref="T872">IF(D872="",IFERROR(INDEX($D$2:$D$1000,MATCH(MAX(COUNTIF($D$2:$D$1166,$D$2:$D$1166)),COUNTIF($D$2:$D$1166,$D$2:$D$1166),0)),"Unknown"),D872)</f>
        <v>Carlos Lopez</v>
      </c>
      <c r="U872" t="str">
        <f t="shared" si="92"/>
        <v>ZAR</v>
      </c>
      <c r="V872" s="7" t="str">
        <f t="shared" si="92"/>
        <v>BRL</v>
      </c>
      <c r="W872" s="7" t="str">
        <f t="shared" si="93"/>
        <v>UAE</v>
      </c>
      <c r="X872" s="7" t="str">
        <f t="shared" si="93"/>
        <v>Brazil</v>
      </c>
      <c r="Y872" s="7" t="str" cm="1">
        <f t="array" ref="Y872">IF(H872="",IFERROR(INDEX($H$2:$H$1166,MATCH(MAX(COUNTIF($H$2:$H$1166,$H$2:$H$1166)),COUNTIF($H$2:$H$1166,$H$2:$H$1166),0)),"Unknown"),H872)</f>
        <v>Unverified</v>
      </c>
      <c r="Z872" s="7" t="str">
        <f t="shared" si="94"/>
        <v>Inter-Transaction</v>
      </c>
      <c r="AA872" s="7">
        <f>IF(J872="",AVERAGE($J:$J),J872)</f>
        <v>4671.22</v>
      </c>
      <c r="AB872" s="7">
        <f>IF(N872="",AVERAGE($N:$N),N872)</f>
        <v>18</v>
      </c>
      <c r="AC872" s="7">
        <f t="shared" si="95"/>
        <v>2024</v>
      </c>
      <c r="AD872" s="7">
        <f t="shared" si="96"/>
        <v>10</v>
      </c>
      <c r="AE872" s="7">
        <f>COUNTIF(A:A,A872)</f>
        <v>1</v>
      </c>
      <c r="AF872" s="7" t="str">
        <f t="shared" si="97"/>
        <v/>
      </c>
    </row>
    <row r="873" spans="1:32">
      <c r="A873" t="s">
        <v>2671</v>
      </c>
      <c r="B873">
        <v>31898382</v>
      </c>
      <c r="C873" t="s">
        <v>668</v>
      </c>
      <c r="D873" t="s">
        <v>787</v>
      </c>
      <c r="F873" t="s">
        <v>98</v>
      </c>
      <c r="G873" t="s">
        <v>1084</v>
      </c>
      <c r="H873" t="s">
        <v>25</v>
      </c>
      <c r="I873" t="s">
        <v>3371</v>
      </c>
      <c r="J873">
        <v>4474.2299999999996</v>
      </c>
      <c r="K873" t="s">
        <v>39</v>
      </c>
      <c r="L873" t="s">
        <v>28</v>
      </c>
      <c r="M873" s="1">
        <v>45696.977777777778</v>
      </c>
      <c r="N873">
        <v>63</v>
      </c>
      <c r="O873" t="s">
        <v>68</v>
      </c>
      <c r="P873" t="s">
        <v>23</v>
      </c>
      <c r="Q873" t="s">
        <v>2672</v>
      </c>
      <c r="R873">
        <f t="shared" si="91"/>
        <v>31898382</v>
      </c>
      <c r="S873" t="str" cm="1">
        <f t="array" ref="S873">IF(C873="",IFERROR(INDEX($C$2:$C$1166,MATCH(MAX(COUNTIF($C$2:$C$1166,$C$2:$C$1166)),COUNTIF($C$2:$C$1166,$C$2:$C$1166),0)),"Unknown"),C873)</f>
        <v>Mary Rostova</v>
      </c>
      <c r="T873" s="4" t="str" cm="1">
        <f t="array" ref="T873">IF(D873="",IFERROR(INDEX($D$2:$D$1000,MATCH(MAX(COUNTIF($D$2:$D$1166,$D$2:$D$1166)),COUNTIF($D$2:$D$1166,$D$2:$D$1166),0)),"Unknown"),D873)</f>
        <v>William Brown</v>
      </c>
      <c r="U873" t="str">
        <f t="shared" si="92"/>
        <v>JPY</v>
      </c>
      <c r="V873" s="7" t="str">
        <f t="shared" si="92"/>
        <v>chf</v>
      </c>
      <c r="W873" s="7" t="str">
        <f t="shared" si="93"/>
        <v>UAE</v>
      </c>
      <c r="X873" s="7" t="str">
        <f t="shared" si="93"/>
        <v>France</v>
      </c>
      <c r="Y873" s="7" t="str" cm="1">
        <f t="array" ref="Y873">IF(H873="",IFERROR(INDEX($H$2:$H$1166,MATCH(MAX(COUNTIF($H$2:$H$1166,$H$2:$H$1166)),COUNTIF($H$2:$H$1166,$H$2:$H$1166),0)),"Unknown"),H873)</f>
        <v>KYC</v>
      </c>
      <c r="Z873" s="7" t="str">
        <f t="shared" si="94"/>
        <v>Outer-Transaction</v>
      </c>
      <c r="AA873" s="7">
        <f>IF(J873="",AVERAGE($J:$J),J873)</f>
        <v>4474.2299999999996</v>
      </c>
      <c r="AB873" s="7">
        <f>IF(N873="",AVERAGE($N:$N),N873)</f>
        <v>63</v>
      </c>
      <c r="AC873" s="7">
        <f t="shared" si="95"/>
        <v>2025</v>
      </c>
      <c r="AD873" s="7">
        <f t="shared" si="96"/>
        <v>2</v>
      </c>
      <c r="AE873" s="7">
        <f>COUNTIF(A:A,A873)</f>
        <v>1</v>
      </c>
      <c r="AF873" s="7" t="str">
        <f t="shared" si="97"/>
        <v/>
      </c>
    </row>
    <row r="874" spans="1:32">
      <c r="A874" t="s">
        <v>2673</v>
      </c>
      <c r="B874">
        <v>24087799</v>
      </c>
      <c r="C874" t="s">
        <v>2674</v>
      </c>
      <c r="D874" t="s">
        <v>2675</v>
      </c>
      <c r="F874" t="s">
        <v>21</v>
      </c>
      <c r="G874" t="s">
        <v>34</v>
      </c>
      <c r="H874" t="s">
        <v>25</v>
      </c>
      <c r="I874" t="s">
        <v>3376</v>
      </c>
      <c r="J874">
        <v>9723.73</v>
      </c>
      <c r="K874" t="s">
        <v>39</v>
      </c>
      <c r="L874" t="s">
        <v>75</v>
      </c>
      <c r="M874" s="1">
        <v>45046.361805555556</v>
      </c>
      <c r="N874">
        <v>38</v>
      </c>
      <c r="O874" t="s">
        <v>93</v>
      </c>
      <c r="P874" t="s">
        <v>23</v>
      </c>
      <c r="Q874" t="s">
        <v>2676</v>
      </c>
      <c r="R874">
        <f t="shared" si="91"/>
        <v>24087799</v>
      </c>
      <c r="S874" t="str" cm="1">
        <f t="array" ref="S874">IF(C874="",IFERROR(INDEX($C$2:$C$1166,MATCH(MAX(COUNTIF($C$2:$C$1166,$C$2:$C$1166)),COUNTIF($C$2:$C$1166,$C$2:$C$1166),0)),"Unknown"),C874)</f>
        <v xml:space="preserve">  CARLOS NAIR </v>
      </c>
      <c r="T874" s="4" t="str" cm="1">
        <f t="array" ref="T874">IF(D874="",IFERROR(INDEX($D$2:$D$1000,MATCH(MAX(COUNTIF($D$2:$D$1166,$D$2:$D$1166)),COUNTIF($D$2:$D$1166,$D$2:$D$1166),0)),"Unknown"),D874)</f>
        <v>Jean-Pierre Gonzalez</v>
      </c>
      <c r="U874" t="str">
        <f t="shared" si="92"/>
        <v>GBP</v>
      </c>
      <c r="V874" s="7" t="str">
        <f t="shared" si="92"/>
        <v>CAD</v>
      </c>
      <c r="W874" s="7" t="str">
        <f t="shared" si="93"/>
        <v>USA</v>
      </c>
      <c r="X874" s="7" t="str">
        <f t="shared" si="93"/>
        <v>France</v>
      </c>
      <c r="Y874" s="7" t="str" cm="1">
        <f t="array" ref="Y874">IF(H874="",IFERROR(INDEX($H$2:$H$1166,MATCH(MAX(COUNTIF($H$2:$H$1166,$H$2:$H$1166)),COUNTIF($H$2:$H$1166,$H$2:$H$1166),0)),"Unknown"),H874)</f>
        <v>KYC</v>
      </c>
      <c r="Z874" s="7" t="str">
        <f t="shared" si="94"/>
        <v>Internal</v>
      </c>
      <c r="AA874" s="7">
        <f>IF(J874="",AVERAGE($J:$J),J874)</f>
        <v>9723.73</v>
      </c>
      <c r="AB874" s="7">
        <f>IF(N874="",AVERAGE($N:$N),N874)</f>
        <v>38</v>
      </c>
      <c r="AC874" s="7">
        <f t="shared" si="95"/>
        <v>2023</v>
      </c>
      <c r="AD874" s="7">
        <f t="shared" si="96"/>
        <v>4</v>
      </c>
      <c r="AE874" s="7">
        <f>COUNTIF(A:A,A874)</f>
        <v>1</v>
      </c>
      <c r="AF874" s="7" t="str">
        <f t="shared" si="97"/>
        <v/>
      </c>
    </row>
    <row r="875" spans="1:32">
      <c r="A875" t="s">
        <v>2677</v>
      </c>
      <c r="B875">
        <v>13037859</v>
      </c>
      <c r="C875" t="s">
        <v>2678</v>
      </c>
      <c r="D875" t="s">
        <v>2679</v>
      </c>
      <c r="F875" t="s">
        <v>44</v>
      </c>
      <c r="G875" t="s">
        <v>98</v>
      </c>
      <c r="H875" t="s">
        <v>74</v>
      </c>
      <c r="I875" t="s">
        <v>3372</v>
      </c>
      <c r="J875">
        <v>1688.15</v>
      </c>
      <c r="K875" t="s">
        <v>39</v>
      </c>
      <c r="L875" t="s">
        <v>28</v>
      </c>
      <c r="M875" s="1">
        <v>45526.158333333333</v>
      </c>
      <c r="N875">
        <v>53</v>
      </c>
      <c r="O875" t="s">
        <v>55</v>
      </c>
      <c r="P875" t="s">
        <v>54</v>
      </c>
      <c r="Q875" t="s">
        <v>2680</v>
      </c>
      <c r="R875">
        <f t="shared" si="91"/>
        <v>13037859</v>
      </c>
      <c r="S875" t="str" cm="1">
        <f t="array" ref="S875">IF(C875="",IFERROR(INDEX($C$2:$C$1166,MATCH(MAX(COUNTIF($C$2:$C$1166,$C$2:$C$1166)),COUNTIF($C$2:$C$1166,$C$2:$C$1166),0)),"Unknown"),C875)</f>
        <v>Sarah Souza</v>
      </c>
      <c r="T875" s="4" t="str" cm="1">
        <f t="array" ref="T875">IF(D875="",IFERROR(INDEX($D$2:$D$1000,MATCH(MAX(COUNTIF($D$2:$D$1166,$D$2:$D$1166)),COUNTIF($D$2:$D$1166,$D$2:$D$1166),0)),"Unknown"),D875)</f>
        <v xml:space="preserve"> linda moore   </v>
      </c>
      <c r="U875" t="str">
        <f t="shared" si="92"/>
        <v>SGD</v>
      </c>
      <c r="V875" s="7" t="str">
        <f t="shared" si="92"/>
        <v>JPY</v>
      </c>
      <c r="W875" s="7" t="str">
        <f t="shared" si="93"/>
        <v>UK</v>
      </c>
      <c r="X875" s="7" t="str">
        <f t="shared" si="93"/>
        <v>India</v>
      </c>
      <c r="Y875" s="7" t="str" cm="1">
        <f t="array" ref="Y875">IF(H875="",IFERROR(INDEX($H$2:$H$1166,MATCH(MAX(COUNTIF($H$2:$H$1166,$H$2:$H$1166)),COUNTIF($H$2:$H$1166,$H$2:$H$1166),0)),"Unknown"),H875)</f>
        <v>Non-KYC</v>
      </c>
      <c r="Z875" s="7" t="str">
        <f t="shared" si="94"/>
        <v>Outer-Transaction</v>
      </c>
      <c r="AA875" s="7">
        <f>IF(J875="",AVERAGE($J:$J),J875)</f>
        <v>1688.15</v>
      </c>
      <c r="AB875" s="7">
        <f>IF(N875="",AVERAGE($N:$N),N875)</f>
        <v>53</v>
      </c>
      <c r="AC875" s="7">
        <f t="shared" si="95"/>
        <v>2024</v>
      </c>
      <c r="AD875" s="7">
        <f t="shared" si="96"/>
        <v>8</v>
      </c>
      <c r="AE875" s="7">
        <f>COUNTIF(A:A,A875)</f>
        <v>1</v>
      </c>
      <c r="AF875" s="7" t="str">
        <f t="shared" si="97"/>
        <v/>
      </c>
    </row>
    <row r="876" spans="1:32">
      <c r="A876" t="s">
        <v>2681</v>
      </c>
      <c r="C876" t="s">
        <v>1741</v>
      </c>
      <c r="D876" t="s">
        <v>1575</v>
      </c>
      <c r="F876" t="s">
        <v>53</v>
      </c>
      <c r="G876" t="s">
        <v>44</v>
      </c>
      <c r="H876" t="s">
        <v>56</v>
      </c>
      <c r="I876" t="s">
        <v>3372</v>
      </c>
      <c r="J876">
        <v>8399.2800000000007</v>
      </c>
      <c r="K876" t="s">
        <v>86</v>
      </c>
      <c r="L876" t="s">
        <v>28</v>
      </c>
      <c r="M876" s="1">
        <v>45942.579861111109</v>
      </c>
      <c r="N876">
        <v>71</v>
      </c>
      <c r="O876" t="s">
        <v>93</v>
      </c>
      <c r="P876" t="s">
        <v>93</v>
      </c>
      <c r="Q876" t="s">
        <v>2682</v>
      </c>
      <c r="R876">
        <f t="shared" si="91"/>
        <v>0</v>
      </c>
      <c r="S876" t="str" cm="1">
        <f t="array" ref="S876">IF(C876="",IFERROR(INDEX($C$2:$C$1166,MATCH(MAX(COUNTIF($C$2:$C$1166,$C$2:$C$1166)),COUNTIF($C$2:$C$1166,$C$2:$C$1166),0)),"Unknown"),C876)</f>
        <v>Carlos Dubois</v>
      </c>
      <c r="T876" s="4" t="str" cm="1">
        <f t="array" ref="T876">IF(D876="",IFERROR(INDEX($D$2:$D$1000,MATCH(MAX(COUNTIF($D$2:$D$1166,$D$2:$D$1166)),COUNTIF($D$2:$D$1166,$D$2:$D$1166),0)),"Unknown"),D876)</f>
        <v>Christopher Nair</v>
      </c>
      <c r="U876" t="str">
        <f t="shared" si="92"/>
        <v>AED</v>
      </c>
      <c r="V876" s="7" t="str">
        <f t="shared" si="92"/>
        <v>SGD</v>
      </c>
      <c r="W876" s="7" t="str">
        <f t="shared" si="93"/>
        <v>USA</v>
      </c>
      <c r="X876" s="7" t="str">
        <f t="shared" si="93"/>
        <v>USA</v>
      </c>
      <c r="Y876" s="7" t="str" cm="1">
        <f t="array" ref="Y876">IF(H876="",IFERROR(INDEX($H$2:$H$1166,MATCH(MAX(COUNTIF($H$2:$H$1166,$H$2:$H$1166)),COUNTIF($H$2:$H$1166,$H$2:$H$1166),0)),"Unknown"),H876)</f>
        <v>Unverified</v>
      </c>
      <c r="Z876" s="7" t="str">
        <f t="shared" si="94"/>
        <v>Outer-Transaction</v>
      </c>
      <c r="AA876" s="7">
        <f>IF(J876="",AVERAGE($J:$J),J876)</f>
        <v>8399.2800000000007</v>
      </c>
      <c r="AB876" s="7">
        <f>IF(N876="",AVERAGE($N:$N),N876)</f>
        <v>71</v>
      </c>
      <c r="AC876" s="7">
        <f t="shared" si="95"/>
        <v>2025</v>
      </c>
      <c r="AD876" s="7">
        <f t="shared" si="96"/>
        <v>10</v>
      </c>
      <c r="AE876" s="7">
        <f>COUNTIF(A:A,A876)</f>
        <v>1</v>
      </c>
      <c r="AF876" s="7" t="str">
        <f t="shared" si="97"/>
        <v/>
      </c>
    </row>
    <row r="877" spans="1:32">
      <c r="A877" t="s">
        <v>2683</v>
      </c>
      <c r="B877">
        <v>14224882</v>
      </c>
      <c r="C877" t="s">
        <v>758</v>
      </c>
      <c r="D877" t="s">
        <v>2684</v>
      </c>
      <c r="F877" t="s">
        <v>53</v>
      </c>
      <c r="G877" t="s">
        <v>121</v>
      </c>
      <c r="H877" t="s">
        <v>25</v>
      </c>
      <c r="I877" t="s">
        <v>3372</v>
      </c>
      <c r="J877">
        <v>8780.35</v>
      </c>
      <c r="K877" t="s">
        <v>39</v>
      </c>
      <c r="L877" t="s">
        <v>81</v>
      </c>
      <c r="M877" s="1">
        <v>44585.737500000003</v>
      </c>
      <c r="N877">
        <v>74</v>
      </c>
      <c r="O877" t="s">
        <v>23</v>
      </c>
      <c r="P877" t="s">
        <v>24</v>
      </c>
      <c r="Q877" t="s">
        <v>2685</v>
      </c>
      <c r="R877">
        <f t="shared" si="91"/>
        <v>14224882</v>
      </c>
      <c r="S877" t="str" cm="1">
        <f t="array" ref="S877">IF(C877="",IFERROR(INDEX($C$2:$C$1166,MATCH(MAX(COUNTIF($C$2:$C$1166,$C$2:$C$1166)),COUNTIF($C$2:$C$1166,$C$2:$C$1166),0)),"Unknown"),C877)</f>
        <v>John Garcia</v>
      </c>
      <c r="T877" s="4" t="str" cm="1">
        <f t="array" ref="T877">IF(D877="",IFERROR(INDEX($D$2:$D$1000,MATCH(MAX(COUNTIF($D$2:$D$1166,$D$2:$D$1166)),COUNTIF($D$2:$D$1166,$D$2:$D$1166),0)),"Unknown"),D877)</f>
        <v>Sanjay Rodriguez</v>
      </c>
      <c r="U877" t="str">
        <f t="shared" si="92"/>
        <v>AED</v>
      </c>
      <c r="V877" s="7" t="str">
        <f t="shared" si="92"/>
        <v>INR</v>
      </c>
      <c r="W877" s="7" t="str">
        <f t="shared" si="93"/>
        <v>France</v>
      </c>
      <c r="X877" s="7" t="str">
        <f t="shared" si="93"/>
        <v>Brazil</v>
      </c>
      <c r="Y877" s="7" t="str" cm="1">
        <f t="array" ref="Y877">IF(H877="",IFERROR(INDEX($H$2:$H$1166,MATCH(MAX(COUNTIF($H$2:$H$1166,$H$2:$H$1166)),COUNTIF($H$2:$H$1166,$H$2:$H$1166),0)),"Unknown"),H877)</f>
        <v>KYC</v>
      </c>
      <c r="Z877" s="7" t="str">
        <f t="shared" si="94"/>
        <v>Outer-Transaction</v>
      </c>
      <c r="AA877" s="7">
        <f>IF(J877="",AVERAGE($J:$J),J877)</f>
        <v>8780.35</v>
      </c>
      <c r="AB877" s="7">
        <f>IF(N877="",AVERAGE($N:$N),N877)</f>
        <v>74</v>
      </c>
      <c r="AC877" s="7">
        <f t="shared" si="95"/>
        <v>2022</v>
      </c>
      <c r="AD877" s="7">
        <f t="shared" si="96"/>
        <v>1</v>
      </c>
      <c r="AE877" s="7">
        <f>COUNTIF(A:A,A877)</f>
        <v>1</v>
      </c>
      <c r="AF877" s="7" t="str">
        <f t="shared" si="97"/>
        <v/>
      </c>
    </row>
    <row r="878" spans="1:32">
      <c r="A878" t="s">
        <v>2686</v>
      </c>
      <c r="C878" t="s">
        <v>652</v>
      </c>
      <c r="D878" t="s">
        <v>78</v>
      </c>
      <c r="F878" t="s">
        <v>34</v>
      </c>
      <c r="G878" t="s">
        <v>22</v>
      </c>
      <c r="H878" t="s">
        <v>56</v>
      </c>
      <c r="I878" t="s">
        <v>3378</v>
      </c>
      <c r="J878">
        <v>12353.54</v>
      </c>
      <c r="K878" t="s">
        <v>39</v>
      </c>
      <c r="L878" t="s">
        <v>28</v>
      </c>
      <c r="M878" s="1">
        <v>44600.647222222222</v>
      </c>
      <c r="N878">
        <v>18</v>
      </c>
      <c r="O878" t="s">
        <v>55</v>
      </c>
      <c r="P878" t="s">
        <v>62</v>
      </c>
      <c r="Q878" t="s">
        <v>2687</v>
      </c>
      <c r="R878">
        <f t="shared" si="91"/>
        <v>0</v>
      </c>
      <c r="S878" t="str" cm="1">
        <f t="array" ref="S878">IF(C878="",IFERROR(INDEX($C$2:$C$1166,MATCH(MAX(COUNTIF($C$2:$C$1166,$C$2:$C$1166)),COUNTIF($C$2:$C$1166,$C$2:$C$1166),0)),"Unknown"),C878)</f>
        <v>Elena Brown</v>
      </c>
      <c r="T878" s="4" t="str" cm="1">
        <f t="array" ref="T878">IF(D878="",IFERROR(INDEX($D$2:$D$1000,MATCH(MAX(COUNTIF($D$2:$D$1166,$D$2:$D$1166)),COUNTIF($D$2:$D$1166,$D$2:$D$1166),0)),"Unknown"),D878)</f>
        <v>Elizabeth Jackson</v>
      </c>
      <c r="U878" t="str">
        <f t="shared" si="92"/>
        <v>CAD</v>
      </c>
      <c r="V878" s="7" t="str">
        <f t="shared" si="92"/>
        <v>BRL</v>
      </c>
      <c r="W878" s="7" t="str">
        <f t="shared" si="93"/>
        <v>UK</v>
      </c>
      <c r="X878" s="7" t="str">
        <f t="shared" si="93"/>
        <v>Australia</v>
      </c>
      <c r="Y878" s="7" t="str" cm="1">
        <f t="array" ref="Y878">IF(H878="",IFERROR(INDEX($H$2:$H$1166,MATCH(MAX(COUNTIF($H$2:$H$1166,$H$2:$H$1166)),COUNTIF($H$2:$H$1166,$H$2:$H$1166),0)),"Unknown"),H878)</f>
        <v>Unverified</v>
      </c>
      <c r="Z878" s="7" t="str">
        <f t="shared" si="94"/>
        <v>Inter-Transaction</v>
      </c>
      <c r="AA878" s="7">
        <f>IF(J878="",AVERAGE($J:$J),J878)</f>
        <v>12353.54</v>
      </c>
      <c r="AB878" s="7">
        <f>IF(N878="",AVERAGE($N:$N),N878)</f>
        <v>18</v>
      </c>
      <c r="AC878" s="7">
        <f t="shared" si="95"/>
        <v>2022</v>
      </c>
      <c r="AD878" s="7">
        <f t="shared" si="96"/>
        <v>2</v>
      </c>
      <c r="AE878" s="7">
        <f>COUNTIF(A:A,A878)</f>
        <v>1</v>
      </c>
      <c r="AF878" s="7" t="str">
        <f t="shared" si="97"/>
        <v/>
      </c>
    </row>
    <row r="879" spans="1:32">
      <c r="A879" t="s">
        <v>2688</v>
      </c>
      <c r="B879">
        <v>44631884</v>
      </c>
      <c r="C879" t="s">
        <v>1479</v>
      </c>
      <c r="D879" t="s">
        <v>2689</v>
      </c>
      <c r="F879" t="s">
        <v>22</v>
      </c>
      <c r="G879" t="s">
        <v>22</v>
      </c>
      <c r="I879" t="s">
        <v>3376</v>
      </c>
      <c r="J879">
        <v>998.72</v>
      </c>
      <c r="K879" t="s">
        <v>86</v>
      </c>
      <c r="L879" t="s">
        <v>28</v>
      </c>
      <c r="M879" s="1">
        <v>45069.290972222225</v>
      </c>
      <c r="N879">
        <v>80</v>
      </c>
      <c r="O879" t="s">
        <v>23</v>
      </c>
      <c r="P879" t="s">
        <v>93</v>
      </c>
      <c r="Q879" t="s">
        <v>2690</v>
      </c>
      <c r="R879">
        <f t="shared" si="91"/>
        <v>44631884</v>
      </c>
      <c r="S879" t="str" cm="1">
        <f t="array" ref="S879">IF(C879="",IFERROR(INDEX($C$2:$C$1166,MATCH(MAX(COUNTIF($C$2:$C$1166,$C$2:$C$1166)),COUNTIF($C$2:$C$1166,$C$2:$C$1166),0)),"Unknown"),C879)</f>
        <v>Carlos Silva</v>
      </c>
      <c r="T879" s="4" t="str" cm="1">
        <f t="array" ref="T879">IF(D879="",IFERROR(INDEX($D$2:$D$1000,MATCH(MAX(COUNTIF($D$2:$D$1166,$D$2:$D$1166)),COUNTIF($D$2:$D$1166,$D$2:$D$1166),0)),"Unknown"),D879)</f>
        <v>Linda Martinez</v>
      </c>
      <c r="U879" t="str">
        <f t="shared" si="92"/>
        <v>BRL</v>
      </c>
      <c r="V879" s="7" t="str">
        <f t="shared" si="92"/>
        <v>BRL</v>
      </c>
      <c r="W879" s="7" t="str">
        <f t="shared" si="93"/>
        <v>France</v>
      </c>
      <c r="X879" s="7" t="str">
        <f t="shared" si="93"/>
        <v>USA</v>
      </c>
      <c r="Y879" s="7" t="str" cm="1">
        <f t="array" ref="Y879">IF(H879="",IFERROR(INDEX($H$2:$H$1166,MATCH(MAX(COUNTIF($H$2:$H$1166,$H$2:$H$1166)),COUNTIF($H$2:$H$1166,$H$2:$H$1166),0)),"Unknown"),H879)</f>
        <v>Pending</v>
      </c>
      <c r="Z879" s="7" t="str">
        <f t="shared" si="94"/>
        <v>Internal</v>
      </c>
      <c r="AA879" s="7">
        <f>IF(J879="",AVERAGE($J:$J),J879)</f>
        <v>998.72</v>
      </c>
      <c r="AB879" s="7">
        <f>IF(N879="",AVERAGE($N:$N),N879)</f>
        <v>80</v>
      </c>
      <c r="AC879" s="7">
        <f t="shared" si="95"/>
        <v>2023</v>
      </c>
      <c r="AD879" s="7">
        <f t="shared" si="96"/>
        <v>5</v>
      </c>
      <c r="AE879" s="7">
        <f>COUNTIF(A:A,A879)</f>
        <v>1</v>
      </c>
      <c r="AF879" s="7" t="str">
        <f t="shared" si="97"/>
        <v/>
      </c>
    </row>
    <row r="880" spans="1:32">
      <c r="A880" t="s">
        <v>2691</v>
      </c>
      <c r="B880">
        <v>23547132</v>
      </c>
      <c r="C880" t="s">
        <v>2692</v>
      </c>
      <c r="D880" t="s">
        <v>2693</v>
      </c>
      <c r="F880" t="s">
        <v>34</v>
      </c>
      <c r="G880" t="s">
        <v>22</v>
      </c>
      <c r="I880" t="s">
        <v>3376</v>
      </c>
      <c r="J880">
        <v>12938.9</v>
      </c>
      <c r="K880" t="s">
        <v>47</v>
      </c>
      <c r="L880" t="s">
        <v>75</v>
      </c>
      <c r="M880" s="1">
        <v>44664.380555555559</v>
      </c>
      <c r="N880">
        <v>71</v>
      </c>
      <c r="O880" t="s">
        <v>37</v>
      </c>
      <c r="P880" t="s">
        <v>37</v>
      </c>
      <c r="Q880" t="s">
        <v>2694</v>
      </c>
      <c r="R880">
        <f t="shared" si="91"/>
        <v>23547132</v>
      </c>
      <c r="S880" t="str" cm="1">
        <f t="array" ref="S880">IF(C880="",IFERROR(INDEX($C$2:$C$1166,MATCH(MAX(COUNTIF($C$2:$C$1166,$C$2:$C$1166)),COUNTIF($C$2:$C$1166,$C$2:$C$1166),0)),"Unknown"),C880)</f>
        <v>Susan Souza</v>
      </c>
      <c r="T880" s="4" t="str" cm="1">
        <f t="array" ref="T880">IF(D880="",IFERROR(INDEX($D$2:$D$1000,MATCH(MAX(COUNTIF($D$2:$D$1166,$D$2:$D$1166)),COUNTIF($D$2:$D$1166,$D$2:$D$1166),0)),"Unknown"),D880)</f>
        <v>Robert Gonzalez</v>
      </c>
      <c r="U880" t="str">
        <f t="shared" si="92"/>
        <v>CAD</v>
      </c>
      <c r="V880" s="7" t="str">
        <f t="shared" si="92"/>
        <v>BRL</v>
      </c>
      <c r="W880" s="7" t="str">
        <f t="shared" si="93"/>
        <v>South Africa</v>
      </c>
      <c r="X880" s="7" t="str">
        <f t="shared" si="93"/>
        <v>South Africa</v>
      </c>
      <c r="Y880" s="7" t="str" cm="1">
        <f t="array" ref="Y880">IF(H880="",IFERROR(INDEX($H$2:$H$1166,MATCH(MAX(COUNTIF($H$2:$H$1166,$H$2:$H$1166)),COUNTIF($H$2:$H$1166,$H$2:$H$1166),0)),"Unknown"),H880)</f>
        <v>Pending</v>
      </c>
      <c r="Z880" s="7" t="str">
        <f t="shared" si="94"/>
        <v>Internal</v>
      </c>
      <c r="AA880" s="7">
        <f>IF(J880="",AVERAGE($J:$J),J880)</f>
        <v>12938.9</v>
      </c>
      <c r="AB880" s="7">
        <f>IF(N880="",AVERAGE($N:$N),N880)</f>
        <v>71</v>
      </c>
      <c r="AC880" s="7">
        <f t="shared" si="95"/>
        <v>2022</v>
      </c>
      <c r="AD880" s="7">
        <f t="shared" si="96"/>
        <v>4</v>
      </c>
      <c r="AE880" s="7">
        <f>COUNTIF(A:A,A880)</f>
        <v>1</v>
      </c>
      <c r="AF880" s="7" t="str">
        <f t="shared" si="97"/>
        <v/>
      </c>
    </row>
    <row r="881" spans="1:32">
      <c r="A881" t="s">
        <v>2695</v>
      </c>
      <c r="B881">
        <v>30866574</v>
      </c>
      <c r="C881" t="s">
        <v>2696</v>
      </c>
      <c r="D881" t="s">
        <v>120</v>
      </c>
      <c r="F881" t="s">
        <v>92</v>
      </c>
      <c r="G881" t="s">
        <v>35</v>
      </c>
      <c r="H881" t="s">
        <v>25</v>
      </c>
      <c r="I881" t="s">
        <v>3371</v>
      </c>
      <c r="J881">
        <v>8194.67</v>
      </c>
      <c r="K881" t="s">
        <v>86</v>
      </c>
      <c r="L881" t="s">
        <v>81</v>
      </c>
      <c r="M881" s="1">
        <v>46044.120138888888</v>
      </c>
      <c r="N881">
        <v>72</v>
      </c>
      <c r="O881" t="s">
        <v>36</v>
      </c>
      <c r="P881" t="s">
        <v>23</v>
      </c>
      <c r="Q881" t="s">
        <v>2697</v>
      </c>
      <c r="R881">
        <f t="shared" si="91"/>
        <v>30866574</v>
      </c>
      <c r="S881" t="str" cm="1">
        <f t="array" ref="S881">IF(C881="",IFERROR(INDEX($C$2:$C$1166,MATCH(MAX(COUNTIF($C$2:$C$1166,$C$2:$C$1166)),COUNTIF($C$2:$C$1166,$C$2:$C$1166),0)),"Unknown"),C881)</f>
        <v>Sarah Taylor</v>
      </c>
      <c r="T881" s="4" t="str" cm="1">
        <f t="array" ref="T881">IF(D881="",IFERROR(INDEX($D$2:$D$1000,MATCH(MAX(COUNTIF($D$2:$D$1166,$D$2:$D$1166)),COUNTIF($D$2:$D$1166,$D$2:$D$1166),0)),"Unknown"),D881)</f>
        <v>Amir Silva</v>
      </c>
      <c r="U881" t="str">
        <f t="shared" si="92"/>
        <v>AUD</v>
      </c>
      <c r="V881" s="7" t="str">
        <f t="shared" si="92"/>
        <v>EUR</v>
      </c>
      <c r="W881" s="7" t="str">
        <f t="shared" si="93"/>
        <v>Germany</v>
      </c>
      <c r="X881" s="7" t="str">
        <f t="shared" si="93"/>
        <v>France</v>
      </c>
      <c r="Y881" s="7" t="str" cm="1">
        <f t="array" ref="Y881">IF(H881="",IFERROR(INDEX($H$2:$H$1166,MATCH(MAX(COUNTIF($H$2:$H$1166,$H$2:$H$1166)),COUNTIF($H$2:$H$1166,$H$2:$H$1166),0)),"Unknown"),H881)</f>
        <v>KYC</v>
      </c>
      <c r="Z881" s="7" t="str">
        <f t="shared" si="94"/>
        <v>Outer-Transaction</v>
      </c>
      <c r="AA881" s="7">
        <f>IF(J881="",AVERAGE($J:$J),J881)</f>
        <v>8194.67</v>
      </c>
      <c r="AB881" s="7">
        <f>IF(N881="",AVERAGE($N:$N),N881)</f>
        <v>72</v>
      </c>
      <c r="AC881" s="7">
        <f t="shared" si="95"/>
        <v>2026</v>
      </c>
      <c r="AD881" s="7">
        <f t="shared" si="96"/>
        <v>1</v>
      </c>
      <c r="AE881" s="7">
        <f>COUNTIF(A:A,A881)</f>
        <v>1</v>
      </c>
      <c r="AF881" s="7" t="str">
        <f t="shared" si="97"/>
        <v/>
      </c>
    </row>
    <row r="882" spans="1:32">
      <c r="A882" t="s">
        <v>2698</v>
      </c>
      <c r="B882">
        <v>44842564</v>
      </c>
      <c r="C882" t="s">
        <v>2699</v>
      </c>
      <c r="D882" t="s">
        <v>211</v>
      </c>
      <c r="F882" t="s">
        <v>45</v>
      </c>
      <c r="G882" t="s">
        <v>116</v>
      </c>
      <c r="I882" t="s">
        <v>3374</v>
      </c>
      <c r="J882">
        <v>12640.21</v>
      </c>
      <c r="K882" t="s">
        <v>57</v>
      </c>
      <c r="L882" t="s">
        <v>75</v>
      </c>
      <c r="M882" s="1">
        <v>45737.925694444442</v>
      </c>
      <c r="N882">
        <v>57</v>
      </c>
      <c r="O882" t="s">
        <v>62</v>
      </c>
      <c r="P882" t="s">
        <v>54</v>
      </c>
      <c r="Q882" t="s">
        <v>2700</v>
      </c>
      <c r="R882">
        <f t="shared" si="91"/>
        <v>44842564</v>
      </c>
      <c r="S882" t="str" cm="1">
        <f t="array" ref="S882">IF(C882="",IFERROR(INDEX($C$2:$C$1166,MATCH(MAX(COUNTIF($C$2:$C$1166,$C$2:$C$1166)),COUNTIF($C$2:$C$1166,$C$2:$C$1166),0)),"Unknown"),C882)</f>
        <v>Michael Gonzalez</v>
      </c>
      <c r="T882" s="4" t="str" cm="1">
        <f t="array" ref="T882">IF(D882="",IFERROR(INDEX($D$2:$D$1000,MATCH(MAX(COUNTIF($D$2:$D$1166,$D$2:$D$1166)),COUNTIF($D$2:$D$1166,$D$2:$D$1166),0)),"Unknown"),D882)</f>
        <v>Zayn Nair</v>
      </c>
      <c r="U882" t="str">
        <f t="shared" si="92"/>
        <v>ZAR</v>
      </c>
      <c r="V882" s="7" t="str">
        <f t="shared" si="92"/>
        <v>CHF</v>
      </c>
      <c r="W882" s="7" t="str">
        <f t="shared" si="93"/>
        <v>Australia</v>
      </c>
      <c r="X882" s="7" t="str">
        <f t="shared" si="93"/>
        <v>India</v>
      </c>
      <c r="Y882" s="7" t="str" cm="1">
        <f t="array" ref="Y882">IF(H882="",IFERROR(INDEX($H$2:$H$1166,MATCH(MAX(COUNTIF($H$2:$H$1166,$H$2:$H$1166)),COUNTIF($H$2:$H$1166,$H$2:$H$1166),0)),"Unknown"),H882)</f>
        <v>Pending</v>
      </c>
      <c r="Z882" s="7" t="str">
        <f t="shared" si="94"/>
        <v>External</v>
      </c>
      <c r="AA882" s="7">
        <f>IF(J882="",AVERAGE($J:$J),J882)</f>
        <v>12640.21</v>
      </c>
      <c r="AB882" s="7">
        <f>IF(N882="",AVERAGE($N:$N),N882)</f>
        <v>57</v>
      </c>
      <c r="AC882" s="7">
        <f t="shared" si="95"/>
        <v>2025</v>
      </c>
      <c r="AD882" s="7">
        <f t="shared" si="96"/>
        <v>3</v>
      </c>
      <c r="AE882" s="7">
        <f>COUNTIF(A:A,A882)</f>
        <v>1</v>
      </c>
      <c r="AF882" s="7" t="str">
        <f t="shared" si="97"/>
        <v/>
      </c>
    </row>
    <row r="883" spans="1:32">
      <c r="A883" t="s">
        <v>2701</v>
      </c>
      <c r="B883">
        <v>72256258</v>
      </c>
      <c r="C883" t="s">
        <v>1314</v>
      </c>
      <c r="D883" t="s">
        <v>2702</v>
      </c>
      <c r="F883" t="s">
        <v>45</v>
      </c>
      <c r="G883" t="s">
        <v>44</v>
      </c>
      <c r="H883" t="s">
        <v>25</v>
      </c>
      <c r="I883" t="s">
        <v>3372</v>
      </c>
      <c r="J883">
        <v>4777.57</v>
      </c>
      <c r="K883" t="s">
        <v>47</v>
      </c>
      <c r="L883" t="s">
        <v>28</v>
      </c>
      <c r="M883" s="1">
        <v>45395.584027777775</v>
      </c>
      <c r="N883">
        <v>32</v>
      </c>
      <c r="O883" t="s">
        <v>55</v>
      </c>
      <c r="P883" t="s">
        <v>36</v>
      </c>
      <c r="Q883" t="s">
        <v>2703</v>
      </c>
      <c r="R883">
        <f t="shared" si="91"/>
        <v>72256258</v>
      </c>
      <c r="S883" t="str" cm="1">
        <f t="array" ref="S883">IF(C883="",IFERROR(INDEX($C$2:$C$1166,MATCH(MAX(COUNTIF($C$2:$C$1166,$C$2:$C$1166)),COUNTIF($C$2:$C$1166,$C$2:$C$1166),0)),"Unknown"),C883)</f>
        <v>Patricia Lopez</v>
      </c>
      <c r="T883" s="4" t="str" cm="1">
        <f t="array" ref="T883">IF(D883="",IFERROR(INDEX($D$2:$D$1000,MATCH(MAX(COUNTIF($D$2:$D$1166,$D$2:$D$1166)),COUNTIF($D$2:$D$1166,$D$2:$D$1166),0)),"Unknown"),D883)</f>
        <v xml:space="preserve"> joseph silva   </v>
      </c>
      <c r="U883" t="str">
        <f t="shared" si="92"/>
        <v>ZAR</v>
      </c>
      <c r="V883" s="7" t="str">
        <f t="shared" si="92"/>
        <v>SGD</v>
      </c>
      <c r="W883" s="7" t="str">
        <f t="shared" si="93"/>
        <v>UK</v>
      </c>
      <c r="X883" s="7" t="str">
        <f t="shared" si="93"/>
        <v>Germany</v>
      </c>
      <c r="Y883" s="7" t="str" cm="1">
        <f t="array" ref="Y883">IF(H883="",IFERROR(INDEX($H$2:$H$1166,MATCH(MAX(COUNTIF($H$2:$H$1166,$H$2:$H$1166)),COUNTIF($H$2:$H$1166,$H$2:$H$1166),0)),"Unknown"),H883)</f>
        <v>KYC</v>
      </c>
      <c r="Z883" s="7" t="str">
        <f t="shared" si="94"/>
        <v>Outer-Transaction</v>
      </c>
      <c r="AA883" s="7">
        <f>IF(J883="",AVERAGE($J:$J),J883)</f>
        <v>4777.57</v>
      </c>
      <c r="AB883" s="7">
        <f>IF(N883="",AVERAGE($N:$N),N883)</f>
        <v>32</v>
      </c>
      <c r="AC883" s="7">
        <f t="shared" si="95"/>
        <v>2024</v>
      </c>
      <c r="AD883" s="7">
        <f t="shared" si="96"/>
        <v>4</v>
      </c>
      <c r="AE883" s="7">
        <f>COUNTIF(A:A,A883)</f>
        <v>1</v>
      </c>
      <c r="AF883" s="7" t="str">
        <f t="shared" si="97"/>
        <v/>
      </c>
    </row>
    <row r="884" spans="1:32">
      <c r="A884" t="s">
        <v>2704</v>
      </c>
      <c r="B884">
        <v>16685457</v>
      </c>
      <c r="C884" t="s">
        <v>1265</v>
      </c>
      <c r="D884" t="s">
        <v>2371</v>
      </c>
      <c r="F884" t="s">
        <v>92</v>
      </c>
      <c r="G884" t="s">
        <v>45</v>
      </c>
      <c r="H884" t="s">
        <v>103</v>
      </c>
      <c r="I884" t="s">
        <v>3377</v>
      </c>
      <c r="J884">
        <v>6735.94</v>
      </c>
      <c r="K884" t="s">
        <v>39</v>
      </c>
      <c r="L884" t="s">
        <v>75</v>
      </c>
      <c r="M884" s="1">
        <v>45049.967361111114</v>
      </c>
      <c r="N884">
        <v>38</v>
      </c>
      <c r="O884" t="s">
        <v>37</v>
      </c>
      <c r="P884" t="s">
        <v>23</v>
      </c>
      <c r="Q884" t="s">
        <v>2705</v>
      </c>
      <c r="R884">
        <f t="shared" si="91"/>
        <v>16685457</v>
      </c>
      <c r="S884" t="str" cm="1">
        <f t="array" ref="S884">IF(C884="",IFERROR(INDEX($C$2:$C$1166,MATCH(MAX(COUNTIF($C$2:$C$1166,$C$2:$C$1166)),COUNTIF($C$2:$C$1166,$C$2:$C$1166),0)),"Unknown"),C884)</f>
        <v>Linda Jackson</v>
      </c>
      <c r="T884" s="4" t="str" cm="1">
        <f t="array" ref="T884">IF(D884="",IFERROR(INDEX($D$2:$D$1000,MATCH(MAX(COUNTIF($D$2:$D$1166,$D$2:$D$1166)),COUNTIF($D$2:$D$1166,$D$2:$D$1166),0)),"Unknown"),D884)</f>
        <v>Linda Hernandez</v>
      </c>
      <c r="U884" t="str">
        <f t="shared" si="92"/>
        <v>AUD</v>
      </c>
      <c r="V884" s="7" t="str">
        <f t="shared" si="92"/>
        <v>ZAR</v>
      </c>
      <c r="W884" s="7" t="str">
        <f t="shared" si="93"/>
        <v>South Africa</v>
      </c>
      <c r="X884" s="7" t="str">
        <f t="shared" si="93"/>
        <v>France</v>
      </c>
      <c r="Y884" s="7" t="str" cm="1">
        <f t="array" ref="Y884">IF(H884="",IFERROR(INDEX($H$2:$H$1166,MATCH(MAX(COUNTIF($H$2:$H$1166,$H$2:$H$1166)),COUNTIF($H$2:$H$1166,$H$2:$H$1166),0)),"Unknown"),H884)</f>
        <v>Verified</v>
      </c>
      <c r="Z884" s="7" t="str">
        <f t="shared" si="94"/>
        <v>Inter-Transaction</v>
      </c>
      <c r="AA884" s="7">
        <f>IF(J884="",AVERAGE($J:$J),J884)</f>
        <v>6735.94</v>
      </c>
      <c r="AB884" s="7">
        <f>IF(N884="",AVERAGE($N:$N),N884)</f>
        <v>38</v>
      </c>
      <c r="AC884" s="7">
        <f t="shared" si="95"/>
        <v>2023</v>
      </c>
      <c r="AD884" s="7">
        <f t="shared" si="96"/>
        <v>5</v>
      </c>
      <c r="AE884" s="7">
        <f>COUNTIF(A:A,A884)</f>
        <v>1</v>
      </c>
      <c r="AF884" s="7" t="str">
        <f t="shared" si="97"/>
        <v/>
      </c>
    </row>
    <row r="885" spans="1:32">
      <c r="A885" t="s">
        <v>2706</v>
      </c>
      <c r="C885" t="s">
        <v>1183</v>
      </c>
      <c r="D885" t="s">
        <v>2707</v>
      </c>
      <c r="F885" t="s">
        <v>92</v>
      </c>
      <c r="G885" t="s">
        <v>44</v>
      </c>
      <c r="I885" t="s">
        <v>3376</v>
      </c>
      <c r="J885">
        <v>12540.07</v>
      </c>
      <c r="K885" t="s">
        <v>27</v>
      </c>
      <c r="L885" t="s">
        <v>28</v>
      </c>
      <c r="M885" s="1">
        <v>44336.629166666666</v>
      </c>
      <c r="N885">
        <v>64</v>
      </c>
      <c r="O885" t="s">
        <v>54</v>
      </c>
      <c r="P885" t="s">
        <v>68</v>
      </c>
      <c r="Q885" t="s">
        <v>2708</v>
      </c>
      <c r="R885">
        <f t="shared" si="91"/>
        <v>0</v>
      </c>
      <c r="S885" t="str" cm="1">
        <f t="array" ref="S885">IF(C885="",IFERROR(INDEX($C$2:$C$1166,MATCH(MAX(COUNTIF($C$2:$C$1166,$C$2:$C$1166)),COUNTIF($C$2:$C$1166,$C$2:$C$1166),0)),"Unknown"),C885)</f>
        <v>Richard Miller</v>
      </c>
      <c r="T885" s="4" t="str" cm="1">
        <f t="array" ref="T885">IF(D885="",IFERROR(INDEX($D$2:$D$1000,MATCH(MAX(COUNTIF($D$2:$D$1166,$D$2:$D$1166)),COUNTIF($D$2:$D$1166,$D$2:$D$1166),0)),"Unknown"),D885)</f>
        <v>Fatima Moore</v>
      </c>
      <c r="U885" t="str">
        <f t="shared" si="92"/>
        <v>AUD</v>
      </c>
      <c r="V885" s="7" t="str">
        <f t="shared" si="92"/>
        <v>SGD</v>
      </c>
      <c r="W885" s="7" t="str">
        <f t="shared" si="93"/>
        <v>India</v>
      </c>
      <c r="X885" s="7" t="str">
        <f t="shared" si="93"/>
        <v>UAE</v>
      </c>
      <c r="Y885" s="7" t="str" cm="1">
        <f t="array" ref="Y885">IF(H885="",IFERROR(INDEX($H$2:$H$1166,MATCH(MAX(COUNTIF($H$2:$H$1166,$H$2:$H$1166)),COUNTIF($H$2:$H$1166,$H$2:$H$1166),0)),"Unknown"),H885)</f>
        <v>Pending</v>
      </c>
      <c r="Z885" s="7" t="str">
        <f t="shared" si="94"/>
        <v>Internal</v>
      </c>
      <c r="AA885" s="7">
        <f>IF(J885="",AVERAGE($J:$J),J885)</f>
        <v>12540.07</v>
      </c>
      <c r="AB885" s="7">
        <f>IF(N885="",AVERAGE($N:$N),N885)</f>
        <v>64</v>
      </c>
      <c r="AC885" s="7">
        <f t="shared" si="95"/>
        <v>2021</v>
      </c>
      <c r="AD885" s="7">
        <f t="shared" si="96"/>
        <v>5</v>
      </c>
      <c r="AE885" s="7">
        <f>COUNTIF(A:A,A885)</f>
        <v>1</v>
      </c>
      <c r="AF885" s="7" t="str">
        <f t="shared" si="97"/>
        <v/>
      </c>
    </row>
    <row r="886" spans="1:32">
      <c r="A886" t="s">
        <v>2709</v>
      </c>
      <c r="B886">
        <v>33671297</v>
      </c>
      <c r="C886" t="s">
        <v>668</v>
      </c>
      <c r="D886" t="s">
        <v>243</v>
      </c>
      <c r="F886" t="s">
        <v>126</v>
      </c>
      <c r="G886" t="s">
        <v>53</v>
      </c>
      <c r="H886" t="s">
        <v>74</v>
      </c>
      <c r="I886" t="s">
        <v>3372</v>
      </c>
      <c r="J886">
        <v>3008.22</v>
      </c>
      <c r="K886" t="s">
        <v>39</v>
      </c>
      <c r="L886" t="s">
        <v>28</v>
      </c>
      <c r="M886" s="1">
        <v>45188.15902777778</v>
      </c>
      <c r="N886">
        <v>70</v>
      </c>
      <c r="O886" t="s">
        <v>37</v>
      </c>
      <c r="P886" t="s">
        <v>55</v>
      </c>
      <c r="Q886" t="s">
        <v>2710</v>
      </c>
      <c r="R886">
        <f t="shared" si="91"/>
        <v>33671297</v>
      </c>
      <c r="S886" t="str" cm="1">
        <f t="array" ref="S886">IF(C886="",IFERROR(INDEX($C$2:$C$1166,MATCH(MAX(COUNTIF($C$2:$C$1166,$C$2:$C$1166)),COUNTIF($C$2:$C$1166,$C$2:$C$1166),0)),"Unknown"),C886)</f>
        <v>Mary Rostova</v>
      </c>
      <c r="T886" s="4" t="str" cm="1">
        <f t="array" ref="T886">IF(D886="",IFERROR(INDEX($D$2:$D$1000,MATCH(MAX(COUNTIF($D$2:$D$1166,$D$2:$D$1166)),COUNTIF($D$2:$D$1166,$D$2:$D$1166),0)),"Unknown"),D886)</f>
        <v>Richard Dubois</v>
      </c>
      <c r="U886" t="str">
        <f t="shared" si="92"/>
        <v>inr</v>
      </c>
      <c r="V886" s="7" t="str">
        <f t="shared" si="92"/>
        <v>AED</v>
      </c>
      <c r="W886" s="7" t="str">
        <f t="shared" si="93"/>
        <v>South Africa</v>
      </c>
      <c r="X886" s="7" t="str">
        <f t="shared" si="93"/>
        <v>UK</v>
      </c>
      <c r="Y886" s="7" t="str" cm="1">
        <f t="array" ref="Y886">IF(H886="",IFERROR(INDEX($H$2:$H$1166,MATCH(MAX(COUNTIF($H$2:$H$1166,$H$2:$H$1166)),COUNTIF($H$2:$H$1166,$H$2:$H$1166),0)),"Unknown"),H886)</f>
        <v>Non-KYC</v>
      </c>
      <c r="Z886" s="7" t="str">
        <f t="shared" si="94"/>
        <v>Outer-Transaction</v>
      </c>
      <c r="AA886" s="7">
        <f>IF(J886="",AVERAGE($J:$J),J886)</f>
        <v>3008.22</v>
      </c>
      <c r="AB886" s="7">
        <f>IF(N886="",AVERAGE($N:$N),N886)</f>
        <v>70</v>
      </c>
      <c r="AC886" s="7">
        <f t="shared" si="95"/>
        <v>2023</v>
      </c>
      <c r="AD886" s="7">
        <f t="shared" si="96"/>
        <v>9</v>
      </c>
      <c r="AE886" s="7">
        <f>COUNTIF(A:A,A886)</f>
        <v>1</v>
      </c>
      <c r="AF886" s="7" t="str">
        <f t="shared" si="97"/>
        <v/>
      </c>
    </row>
    <row r="887" spans="1:32">
      <c r="A887" t="s">
        <v>2711</v>
      </c>
      <c r="B887">
        <v>65229774</v>
      </c>
      <c r="C887" t="s">
        <v>281</v>
      </c>
      <c r="D887" t="s">
        <v>1461</v>
      </c>
      <c r="F887" t="s">
        <v>44</v>
      </c>
      <c r="G887" t="s">
        <v>44</v>
      </c>
      <c r="H887" t="s">
        <v>25</v>
      </c>
      <c r="I887" t="s">
        <v>3371</v>
      </c>
      <c r="J887">
        <v>12469.29</v>
      </c>
      <c r="K887" t="s">
        <v>27</v>
      </c>
      <c r="L887" t="s">
        <v>75</v>
      </c>
      <c r="M887" s="1">
        <v>45291.976388888892</v>
      </c>
      <c r="N887">
        <v>26</v>
      </c>
      <c r="O887" t="s">
        <v>93</v>
      </c>
      <c r="P887" t="s">
        <v>36</v>
      </c>
      <c r="Q887" t="s">
        <v>2712</v>
      </c>
      <c r="R887">
        <f t="shared" si="91"/>
        <v>65229774</v>
      </c>
      <c r="S887" t="str" cm="1">
        <f t="array" ref="S887">IF(C887="",IFERROR(INDEX($C$2:$C$1166,MATCH(MAX(COUNTIF($C$2:$C$1166,$C$2:$C$1166)),COUNTIF($C$2:$C$1166,$C$2:$C$1166),0)),"Unknown"),C887)</f>
        <v>Thomas Johnson</v>
      </c>
      <c r="T887" s="4" t="str" cm="1">
        <f t="array" ref="T887">IF(D887="",IFERROR(INDEX($D$2:$D$1000,MATCH(MAX(COUNTIF($D$2:$D$1166,$D$2:$D$1166)),COUNTIF($D$2:$D$1166,$D$2:$D$1166),0)),"Unknown"),D887)</f>
        <v>Fatima Thomas</v>
      </c>
      <c r="U887" t="str">
        <f t="shared" si="92"/>
        <v>SGD</v>
      </c>
      <c r="V887" s="7" t="str">
        <f t="shared" si="92"/>
        <v>SGD</v>
      </c>
      <c r="W887" s="7" t="str">
        <f t="shared" si="93"/>
        <v>USA</v>
      </c>
      <c r="X887" s="7" t="str">
        <f t="shared" si="93"/>
        <v>Germany</v>
      </c>
      <c r="Y887" s="7" t="str" cm="1">
        <f t="array" ref="Y887">IF(H887="",IFERROR(INDEX($H$2:$H$1166,MATCH(MAX(COUNTIF($H$2:$H$1166,$H$2:$H$1166)),COUNTIF($H$2:$H$1166,$H$2:$H$1166),0)),"Unknown"),H887)</f>
        <v>KYC</v>
      </c>
      <c r="Z887" s="7" t="str">
        <f t="shared" si="94"/>
        <v>Outer-Transaction</v>
      </c>
      <c r="AA887" s="7">
        <f>IF(J887="",AVERAGE($J:$J),J887)</f>
        <v>12469.29</v>
      </c>
      <c r="AB887" s="7">
        <f>IF(N887="",AVERAGE($N:$N),N887)</f>
        <v>26</v>
      </c>
      <c r="AC887" s="7">
        <f t="shared" si="95"/>
        <v>2023</v>
      </c>
      <c r="AD887" s="7">
        <f t="shared" si="96"/>
        <v>12</v>
      </c>
      <c r="AE887" s="7">
        <f>COUNTIF(A:A,A887)</f>
        <v>1</v>
      </c>
      <c r="AF887" s="7" t="str">
        <f t="shared" si="97"/>
        <v/>
      </c>
    </row>
    <row r="888" spans="1:32">
      <c r="A888" t="s">
        <v>2713</v>
      </c>
      <c r="B888">
        <v>33630872</v>
      </c>
      <c r="C888" t="s">
        <v>2024</v>
      </c>
      <c r="D888" t="s">
        <v>656</v>
      </c>
      <c r="F888" t="s">
        <v>35</v>
      </c>
      <c r="G888" t="s">
        <v>44</v>
      </c>
      <c r="H888" t="s">
        <v>25</v>
      </c>
      <c r="I888" t="s">
        <v>3372</v>
      </c>
      <c r="J888">
        <v>2474.08</v>
      </c>
      <c r="K888" t="s">
        <v>57</v>
      </c>
      <c r="L888" t="s">
        <v>48</v>
      </c>
      <c r="M888" s="1">
        <v>45247.192361111112</v>
      </c>
      <c r="N888">
        <v>69</v>
      </c>
      <c r="O888" t="s">
        <v>93</v>
      </c>
      <c r="P888" t="s">
        <v>54</v>
      </c>
      <c r="Q888" t="s">
        <v>2714</v>
      </c>
      <c r="R888">
        <f t="shared" si="91"/>
        <v>33630872</v>
      </c>
      <c r="S888" t="str" cm="1">
        <f t="array" ref="S888">IF(C888="",IFERROR(INDEX($C$2:$C$1166,MATCH(MAX(COUNTIF($C$2:$C$1166,$C$2:$C$1166)),COUNTIF($C$2:$C$1166,$C$2:$C$1166),0)),"Unknown"),C888)</f>
        <v>Linda Nair</v>
      </c>
      <c r="T888" s="4" t="str" cm="1">
        <f t="array" ref="T888">IF(D888="",IFERROR(INDEX($D$2:$D$1000,MATCH(MAX(COUNTIF($D$2:$D$1166,$D$2:$D$1166)),COUNTIF($D$2:$D$1166,$D$2:$D$1166),0)),"Unknown"),D888)</f>
        <v>Michael Thomas</v>
      </c>
      <c r="U888" t="str">
        <f t="shared" si="92"/>
        <v>EUR</v>
      </c>
      <c r="V888" s="7" t="str">
        <f t="shared" si="92"/>
        <v>SGD</v>
      </c>
      <c r="W888" s="7" t="str">
        <f t="shared" si="93"/>
        <v>USA</v>
      </c>
      <c r="X888" s="7" t="str">
        <f t="shared" si="93"/>
        <v>India</v>
      </c>
      <c r="Y888" s="7" t="str" cm="1">
        <f t="array" ref="Y888">IF(H888="",IFERROR(INDEX($H$2:$H$1166,MATCH(MAX(COUNTIF($H$2:$H$1166,$H$2:$H$1166)),COUNTIF($H$2:$H$1166,$H$2:$H$1166),0)),"Unknown"),H888)</f>
        <v>KYC</v>
      </c>
      <c r="Z888" s="7" t="str">
        <f t="shared" si="94"/>
        <v>Outer-Transaction</v>
      </c>
      <c r="AA888" s="7">
        <f>IF(J888="",AVERAGE($J:$J),J888)</f>
        <v>2474.08</v>
      </c>
      <c r="AB888" s="7">
        <f>IF(N888="",AVERAGE($N:$N),N888)</f>
        <v>69</v>
      </c>
      <c r="AC888" s="7">
        <f t="shared" si="95"/>
        <v>2023</v>
      </c>
      <c r="AD888" s="7">
        <f t="shared" si="96"/>
        <v>11</v>
      </c>
      <c r="AE888" s="7">
        <f>COUNTIF(A:A,A888)</f>
        <v>1</v>
      </c>
      <c r="AF888" s="7" t="str">
        <f t="shared" si="97"/>
        <v/>
      </c>
    </row>
    <row r="889" spans="1:32">
      <c r="A889" t="s">
        <v>2715</v>
      </c>
      <c r="B889">
        <v>67019882</v>
      </c>
      <c r="C889" t="s">
        <v>1549</v>
      </c>
      <c r="D889" t="s">
        <v>1179</v>
      </c>
      <c r="F889" t="s">
        <v>91</v>
      </c>
      <c r="G889" t="s">
        <v>21</v>
      </c>
      <c r="H889" t="s">
        <v>38</v>
      </c>
      <c r="I889" t="s">
        <v>3377</v>
      </c>
      <c r="J889">
        <v>1443.87</v>
      </c>
      <c r="K889" t="s">
        <v>57</v>
      </c>
      <c r="L889" t="s">
        <v>48</v>
      </c>
      <c r="M889" s="1">
        <v>45003.259722222225</v>
      </c>
      <c r="N889">
        <v>74</v>
      </c>
      <c r="O889" t="s">
        <v>62</v>
      </c>
      <c r="P889" t="s">
        <v>62</v>
      </c>
      <c r="Q889" t="s">
        <v>2716</v>
      </c>
      <c r="R889">
        <f t="shared" si="91"/>
        <v>67019882</v>
      </c>
      <c r="S889" t="str" cm="1">
        <f t="array" ref="S889">IF(C889="",IFERROR(INDEX($C$2:$C$1166,MATCH(MAX(COUNTIF($C$2:$C$1166,$C$2:$C$1166)),COUNTIF($C$2:$C$1166,$C$2:$C$1166),0)),"Unknown"),C889)</f>
        <v>Christopher Smith</v>
      </c>
      <c r="T889" s="4" t="str" cm="1">
        <f t="array" ref="T889">IF(D889="",IFERROR(INDEX($D$2:$D$1000,MATCH(MAX(COUNTIF($D$2:$D$1166,$D$2:$D$1166)),COUNTIF($D$2:$D$1166,$D$2:$D$1166),0)),"Unknown"),D889)</f>
        <v>William Jackson</v>
      </c>
      <c r="U889" t="str">
        <f t="shared" si="92"/>
        <v>gbp</v>
      </c>
      <c r="V889" s="7" t="str">
        <f t="shared" si="92"/>
        <v>GBP</v>
      </c>
      <c r="W889" s="7" t="str">
        <f t="shared" si="93"/>
        <v>Australia</v>
      </c>
      <c r="X889" s="7" t="str">
        <f t="shared" si="93"/>
        <v>Australia</v>
      </c>
      <c r="Y889" s="7" t="str" cm="1">
        <f t="array" ref="Y889">IF(H889="",IFERROR(INDEX($H$2:$H$1166,MATCH(MAX(COUNTIF($H$2:$H$1166,$H$2:$H$1166)),COUNTIF($H$2:$H$1166,$H$2:$H$1166),0)),"Unknown"),H889)</f>
        <v>Pending</v>
      </c>
      <c r="Z889" s="7" t="str">
        <f t="shared" si="94"/>
        <v>Inter-Transaction</v>
      </c>
      <c r="AA889" s="7">
        <f>IF(J889="",AVERAGE($J:$J),J889)</f>
        <v>1443.87</v>
      </c>
      <c r="AB889" s="7">
        <f>IF(N889="",AVERAGE($N:$N),N889)</f>
        <v>74</v>
      </c>
      <c r="AC889" s="7">
        <f t="shared" si="95"/>
        <v>2023</v>
      </c>
      <c r="AD889" s="7">
        <f t="shared" si="96"/>
        <v>3</v>
      </c>
      <c r="AE889" s="7">
        <f>COUNTIF(A:A,A889)</f>
        <v>1</v>
      </c>
      <c r="AF889" s="7" t="str">
        <f t="shared" si="97"/>
        <v/>
      </c>
    </row>
    <row r="890" spans="1:32">
      <c r="A890" t="s">
        <v>2717</v>
      </c>
      <c r="B890">
        <v>12593999</v>
      </c>
      <c r="C890" t="s">
        <v>2718</v>
      </c>
      <c r="D890" t="s">
        <v>2719</v>
      </c>
      <c r="F890" t="s">
        <v>121</v>
      </c>
      <c r="G890" t="s">
        <v>44</v>
      </c>
      <c r="H890" t="s">
        <v>38</v>
      </c>
      <c r="I890" t="s">
        <v>3371</v>
      </c>
      <c r="J890">
        <v>3138.09</v>
      </c>
      <c r="K890" t="s">
        <v>39</v>
      </c>
      <c r="L890" t="s">
        <v>81</v>
      </c>
      <c r="M890" s="1">
        <v>44591.038194444445</v>
      </c>
      <c r="N890">
        <v>43</v>
      </c>
      <c r="O890" t="s">
        <v>37</v>
      </c>
      <c r="P890" t="s">
        <v>36</v>
      </c>
      <c r="Q890" t="s">
        <v>2720</v>
      </c>
      <c r="R890">
        <f t="shared" si="91"/>
        <v>12593999</v>
      </c>
      <c r="S890" t="str" cm="1">
        <f t="array" ref="S890">IF(C890="",IFERROR(INDEX($C$2:$C$1166,MATCH(MAX(COUNTIF($C$2:$C$1166,$C$2:$C$1166)),COUNTIF($C$2:$C$1166,$C$2:$C$1166),0)),"Unknown"),C890)</f>
        <v xml:space="preserve">  PRIYA MILLER </v>
      </c>
      <c r="T890" s="4" t="str" cm="1">
        <f t="array" ref="T890">IF(D890="",IFERROR(INDEX($D$2:$D$1000,MATCH(MAX(COUNTIF($D$2:$D$1166,$D$2:$D$1166)),COUNTIF($D$2:$D$1166,$D$2:$D$1166),0)),"Unknown"),D890)</f>
        <v xml:space="preserve"> lucas williams   </v>
      </c>
      <c r="U890" t="str">
        <f t="shared" si="92"/>
        <v>INR</v>
      </c>
      <c r="V890" s="7" t="str">
        <f t="shared" si="92"/>
        <v>SGD</v>
      </c>
      <c r="W890" s="7" t="str">
        <f t="shared" si="93"/>
        <v>South Africa</v>
      </c>
      <c r="X890" s="7" t="str">
        <f t="shared" si="93"/>
        <v>Germany</v>
      </c>
      <c r="Y890" s="7" t="str" cm="1">
        <f t="array" ref="Y890">IF(H890="",IFERROR(INDEX($H$2:$H$1166,MATCH(MAX(COUNTIF($H$2:$H$1166,$H$2:$H$1166)),COUNTIF($H$2:$H$1166,$H$2:$H$1166),0)),"Unknown"),H890)</f>
        <v>Pending</v>
      </c>
      <c r="Z890" s="7" t="str">
        <f t="shared" si="94"/>
        <v>Outer-Transaction</v>
      </c>
      <c r="AA890" s="7">
        <f>IF(J890="",AVERAGE($J:$J),J890)</f>
        <v>3138.09</v>
      </c>
      <c r="AB890" s="7">
        <f>IF(N890="",AVERAGE($N:$N),N890)</f>
        <v>43</v>
      </c>
      <c r="AC890" s="7">
        <f t="shared" si="95"/>
        <v>2022</v>
      </c>
      <c r="AD890" s="7">
        <f t="shared" si="96"/>
        <v>1</v>
      </c>
      <c r="AE890" s="7">
        <f>COUNTIF(A:A,A890)</f>
        <v>1</v>
      </c>
      <c r="AF890" s="7" t="str">
        <f t="shared" si="97"/>
        <v/>
      </c>
    </row>
    <row r="891" spans="1:32">
      <c r="A891" t="s">
        <v>2721</v>
      </c>
      <c r="B891">
        <v>69539153</v>
      </c>
      <c r="C891" t="s">
        <v>521</v>
      </c>
      <c r="D891" t="s">
        <v>1300</v>
      </c>
      <c r="F891" t="s">
        <v>126</v>
      </c>
      <c r="G891" t="s">
        <v>116</v>
      </c>
      <c r="H891" t="s">
        <v>103</v>
      </c>
      <c r="I891" t="s">
        <v>3376</v>
      </c>
      <c r="J891">
        <v>10930.63</v>
      </c>
      <c r="K891" t="s">
        <v>27</v>
      </c>
      <c r="L891" t="s">
        <v>75</v>
      </c>
      <c r="M891" s="1">
        <v>44663.144444444442</v>
      </c>
      <c r="N891">
        <v>58</v>
      </c>
      <c r="O891" t="s">
        <v>127</v>
      </c>
      <c r="P891" t="s">
        <v>68</v>
      </c>
      <c r="Q891" t="s">
        <v>2722</v>
      </c>
      <c r="R891">
        <f t="shared" si="91"/>
        <v>69539153</v>
      </c>
      <c r="S891" t="str" cm="1">
        <f t="array" ref="S891">IF(C891="",IFERROR(INDEX($C$2:$C$1166,MATCH(MAX(COUNTIF($C$2:$C$1166,$C$2:$C$1166)),COUNTIF($C$2:$C$1166,$C$2:$C$1166),0)),"Unknown"),C891)</f>
        <v>Jessica Davis</v>
      </c>
      <c r="T891" s="4" t="str" cm="1">
        <f t="array" ref="T891">IF(D891="",IFERROR(INDEX($D$2:$D$1000,MATCH(MAX(COUNTIF($D$2:$D$1166,$D$2:$D$1166)),COUNTIF($D$2:$D$1166,$D$2:$D$1166),0)),"Unknown"),D891)</f>
        <v>Priya Moore</v>
      </c>
      <c r="U891" t="str">
        <f t="shared" si="92"/>
        <v>inr</v>
      </c>
      <c r="V891" s="7" t="str">
        <f t="shared" si="92"/>
        <v>CHF</v>
      </c>
      <c r="W891" s="7" t="str">
        <f t="shared" si="93"/>
        <v>Canada</v>
      </c>
      <c r="X891" s="7" t="str">
        <f t="shared" si="93"/>
        <v>UAE</v>
      </c>
      <c r="Y891" s="7" t="str" cm="1">
        <f t="array" ref="Y891">IF(H891="",IFERROR(INDEX($H$2:$H$1166,MATCH(MAX(COUNTIF($H$2:$H$1166,$H$2:$H$1166)),COUNTIF($H$2:$H$1166,$H$2:$H$1166),0)),"Unknown"),H891)</f>
        <v>Verified</v>
      </c>
      <c r="Z891" s="7" t="str">
        <f t="shared" si="94"/>
        <v>Internal</v>
      </c>
      <c r="AA891" s="7">
        <f>IF(J891="",AVERAGE($J:$J),J891)</f>
        <v>10930.63</v>
      </c>
      <c r="AB891" s="7">
        <f>IF(N891="",AVERAGE($N:$N),N891)</f>
        <v>58</v>
      </c>
      <c r="AC891" s="7">
        <f t="shared" si="95"/>
        <v>2022</v>
      </c>
      <c r="AD891" s="7">
        <f t="shared" si="96"/>
        <v>4</v>
      </c>
      <c r="AE891" s="7">
        <f>COUNTIF(A:A,A891)</f>
        <v>1</v>
      </c>
      <c r="AF891" s="7" t="str">
        <f t="shared" si="97"/>
        <v/>
      </c>
    </row>
    <row r="892" spans="1:32">
      <c r="A892" t="s">
        <v>2723</v>
      </c>
      <c r="B892">
        <v>82600803</v>
      </c>
      <c r="C892" t="s">
        <v>1875</v>
      </c>
      <c r="D892" t="s">
        <v>2224</v>
      </c>
      <c r="F892" t="s">
        <v>92</v>
      </c>
      <c r="G892" t="s">
        <v>121</v>
      </c>
      <c r="H892" t="s">
        <v>74</v>
      </c>
      <c r="I892" t="s">
        <v>3372</v>
      </c>
      <c r="J892">
        <v>10780.71</v>
      </c>
      <c r="K892" t="s">
        <v>39</v>
      </c>
      <c r="L892" t="s">
        <v>81</v>
      </c>
      <c r="M892" s="1">
        <v>45259.029166666667</v>
      </c>
      <c r="N892">
        <v>52</v>
      </c>
      <c r="O892" t="s">
        <v>36</v>
      </c>
      <c r="P892" t="s">
        <v>93</v>
      </c>
      <c r="Q892" t="s">
        <v>2724</v>
      </c>
      <c r="R892">
        <f t="shared" si="91"/>
        <v>82600803</v>
      </c>
      <c r="S892" t="str" cm="1">
        <f t="array" ref="S892">IF(C892="",IFERROR(INDEX($C$2:$C$1166,MATCH(MAX(COUNTIF($C$2:$C$1166,$C$2:$C$1166)),COUNTIF($C$2:$C$1166,$C$2:$C$1166),0)),"Unknown"),C892)</f>
        <v>Zayn Williams</v>
      </c>
      <c r="T892" s="4" t="str" cm="1">
        <f t="array" ref="T892">IF(D892="",IFERROR(INDEX($D$2:$D$1000,MATCH(MAX(COUNTIF($D$2:$D$1166,$D$2:$D$1166)),COUNTIF($D$2:$D$1166,$D$2:$D$1166),0)),"Unknown"),D892)</f>
        <v>Linda Volkov</v>
      </c>
      <c r="U892" t="str">
        <f t="shared" si="92"/>
        <v>AUD</v>
      </c>
      <c r="V892" s="7" t="str">
        <f t="shared" si="92"/>
        <v>INR</v>
      </c>
      <c r="W892" s="7" t="str">
        <f t="shared" si="93"/>
        <v>Germany</v>
      </c>
      <c r="X892" s="7" t="str">
        <f t="shared" si="93"/>
        <v>USA</v>
      </c>
      <c r="Y892" s="7" t="str" cm="1">
        <f t="array" ref="Y892">IF(H892="",IFERROR(INDEX($H$2:$H$1166,MATCH(MAX(COUNTIF($H$2:$H$1166,$H$2:$H$1166)),COUNTIF($H$2:$H$1166,$H$2:$H$1166),0)),"Unknown"),H892)</f>
        <v>Non-KYC</v>
      </c>
      <c r="Z892" s="7" t="str">
        <f t="shared" si="94"/>
        <v>Outer-Transaction</v>
      </c>
      <c r="AA892" s="7">
        <f>IF(J892="",AVERAGE($J:$J),J892)</f>
        <v>10780.71</v>
      </c>
      <c r="AB892" s="7">
        <f>IF(N892="",AVERAGE($N:$N),N892)</f>
        <v>52</v>
      </c>
      <c r="AC892" s="7">
        <f t="shared" si="95"/>
        <v>2023</v>
      </c>
      <c r="AD892" s="7">
        <f t="shared" si="96"/>
        <v>11</v>
      </c>
      <c r="AE892" s="7">
        <f>COUNTIF(A:A,A892)</f>
        <v>1</v>
      </c>
      <c r="AF892" s="7" t="str">
        <f t="shared" si="97"/>
        <v/>
      </c>
    </row>
    <row r="893" spans="1:32">
      <c r="A893" t="s">
        <v>2725</v>
      </c>
      <c r="B893">
        <v>94101071</v>
      </c>
      <c r="C893" t="s">
        <v>701</v>
      </c>
      <c r="D893" t="s">
        <v>1917</v>
      </c>
      <c r="F893" t="s">
        <v>98</v>
      </c>
      <c r="G893" t="s">
        <v>98</v>
      </c>
      <c r="H893" t="s">
        <v>56</v>
      </c>
      <c r="I893" t="s">
        <v>3377</v>
      </c>
      <c r="J893">
        <v>2553</v>
      </c>
      <c r="K893" t="s">
        <v>27</v>
      </c>
      <c r="L893" t="s">
        <v>28</v>
      </c>
      <c r="M893" s="1">
        <v>44113.739583333336</v>
      </c>
      <c r="N893">
        <v>80</v>
      </c>
      <c r="O893" t="s">
        <v>93</v>
      </c>
      <c r="P893" t="s">
        <v>62</v>
      </c>
      <c r="Q893" t="s">
        <v>2726</v>
      </c>
      <c r="R893">
        <f t="shared" si="91"/>
        <v>94101071</v>
      </c>
      <c r="S893" t="str" cm="1">
        <f t="array" ref="S893">IF(C893="",IFERROR(INDEX($C$2:$C$1166,MATCH(MAX(COUNTIF($C$2:$C$1166,$C$2:$C$1166)),COUNTIF($C$2:$C$1166,$C$2:$C$1166),0)),"Unknown"),C893)</f>
        <v>Christopher Lopez</v>
      </c>
      <c r="T893" s="4" t="str" cm="1">
        <f t="array" ref="T893">IF(D893="",IFERROR(INDEX($D$2:$D$1000,MATCH(MAX(COUNTIF($D$2:$D$1166,$D$2:$D$1166)),COUNTIF($D$2:$D$1166,$D$2:$D$1166),0)),"Unknown"),D893)</f>
        <v>John Anderson</v>
      </c>
      <c r="U893" t="str">
        <f t="shared" si="92"/>
        <v>JPY</v>
      </c>
      <c r="V893" s="7" t="str">
        <f t="shared" si="92"/>
        <v>JPY</v>
      </c>
      <c r="W893" s="7" t="str">
        <f t="shared" si="93"/>
        <v>USA</v>
      </c>
      <c r="X893" s="7" t="str">
        <f t="shared" si="93"/>
        <v>Australia</v>
      </c>
      <c r="Y893" s="7" t="str" cm="1">
        <f t="array" ref="Y893">IF(H893="",IFERROR(INDEX($H$2:$H$1166,MATCH(MAX(COUNTIF($H$2:$H$1166,$H$2:$H$1166)),COUNTIF($H$2:$H$1166,$H$2:$H$1166),0)),"Unknown"),H893)</f>
        <v>Unverified</v>
      </c>
      <c r="Z893" s="7" t="str">
        <f t="shared" si="94"/>
        <v>Inter-Transaction</v>
      </c>
      <c r="AA893" s="7">
        <f>IF(J893="",AVERAGE($J:$J),J893)</f>
        <v>2553</v>
      </c>
      <c r="AB893" s="7">
        <f>IF(N893="",AVERAGE($N:$N),N893)</f>
        <v>80</v>
      </c>
      <c r="AC893" s="7">
        <f t="shared" si="95"/>
        <v>2020</v>
      </c>
      <c r="AD893" s="7">
        <f t="shared" si="96"/>
        <v>10</v>
      </c>
      <c r="AE893" s="7">
        <f>COUNTIF(A:A,A893)</f>
        <v>1</v>
      </c>
      <c r="AF893" s="7" t="str">
        <f t="shared" si="97"/>
        <v/>
      </c>
    </row>
    <row r="894" spans="1:32">
      <c r="A894" t="s">
        <v>2727</v>
      </c>
      <c r="B894">
        <v>50170436</v>
      </c>
      <c r="C894" t="s">
        <v>2728</v>
      </c>
      <c r="D894" t="s">
        <v>741</v>
      </c>
      <c r="F894" t="s">
        <v>53</v>
      </c>
      <c r="G894" t="s">
        <v>98</v>
      </c>
      <c r="H894" t="s">
        <v>74</v>
      </c>
      <c r="I894" t="s">
        <v>3371</v>
      </c>
      <c r="J894">
        <v>3102.29</v>
      </c>
      <c r="K894" t="s">
        <v>86</v>
      </c>
      <c r="L894" t="s">
        <v>48</v>
      </c>
      <c r="M894" s="1">
        <v>44209.881944444445</v>
      </c>
      <c r="N894">
        <v>42</v>
      </c>
      <c r="O894" t="s">
        <v>62</v>
      </c>
      <c r="P894" t="s">
        <v>23</v>
      </c>
      <c r="Q894" t="s">
        <v>2729</v>
      </c>
      <c r="R894">
        <f t="shared" si="91"/>
        <v>50170436</v>
      </c>
      <c r="S894" t="str" cm="1">
        <f t="array" ref="S894">IF(C894="",IFERROR(INDEX($C$2:$C$1166,MATCH(MAX(COUNTIF($C$2:$C$1166,$C$2:$C$1166)),COUNTIF($C$2:$C$1166,$C$2:$C$1166),0)),"Unknown"),C894)</f>
        <v>Carlos Khan</v>
      </c>
      <c r="T894" s="4" t="str" cm="1">
        <f t="array" ref="T894">IF(D894="",IFERROR(INDEX($D$2:$D$1000,MATCH(MAX(COUNTIF($D$2:$D$1166,$D$2:$D$1166)),COUNTIF($D$2:$D$1166,$D$2:$D$1166),0)),"Unknown"),D894)</f>
        <v>Elizabeth Martin</v>
      </c>
      <c r="U894" t="str">
        <f t="shared" si="92"/>
        <v>AED</v>
      </c>
      <c r="V894" s="7" t="str">
        <f t="shared" si="92"/>
        <v>JPY</v>
      </c>
      <c r="W894" s="7" t="str">
        <f t="shared" si="93"/>
        <v>Australia</v>
      </c>
      <c r="X894" s="7" t="str">
        <f t="shared" si="93"/>
        <v>France</v>
      </c>
      <c r="Y894" s="7" t="str" cm="1">
        <f t="array" ref="Y894">IF(H894="",IFERROR(INDEX($H$2:$H$1166,MATCH(MAX(COUNTIF($H$2:$H$1166,$H$2:$H$1166)),COUNTIF($H$2:$H$1166,$H$2:$H$1166),0)),"Unknown"),H894)</f>
        <v>Non-KYC</v>
      </c>
      <c r="Z894" s="7" t="str">
        <f t="shared" si="94"/>
        <v>Outer-Transaction</v>
      </c>
      <c r="AA894" s="7">
        <f>IF(J894="",AVERAGE($J:$J),J894)</f>
        <v>3102.29</v>
      </c>
      <c r="AB894" s="7">
        <f>IF(N894="",AVERAGE($N:$N),N894)</f>
        <v>42</v>
      </c>
      <c r="AC894" s="7">
        <f t="shared" si="95"/>
        <v>2021</v>
      </c>
      <c r="AD894" s="7">
        <f t="shared" si="96"/>
        <v>1</v>
      </c>
      <c r="AE894" s="7">
        <f>COUNTIF(A:A,A894)</f>
        <v>1</v>
      </c>
      <c r="AF894" s="7" t="str">
        <f t="shared" si="97"/>
        <v/>
      </c>
    </row>
    <row r="895" spans="1:32">
      <c r="A895" t="s">
        <v>2730</v>
      </c>
      <c r="B895">
        <v>25236678</v>
      </c>
      <c r="C895" t="s">
        <v>1469</v>
      </c>
      <c r="D895" t="s">
        <v>802</v>
      </c>
      <c r="F895" t="s">
        <v>53</v>
      </c>
      <c r="H895" t="s">
        <v>38</v>
      </c>
      <c r="I895" t="s">
        <v>3376</v>
      </c>
      <c r="J895">
        <v>4279.71</v>
      </c>
      <c r="K895" t="s">
        <v>47</v>
      </c>
      <c r="L895" t="s">
        <v>48</v>
      </c>
      <c r="M895" s="1">
        <v>44028.415277777778</v>
      </c>
      <c r="N895">
        <v>55</v>
      </c>
      <c r="O895" t="s">
        <v>36</v>
      </c>
      <c r="P895" t="s">
        <v>62</v>
      </c>
      <c r="Q895" t="s">
        <v>2731</v>
      </c>
      <c r="R895">
        <f t="shared" si="91"/>
        <v>25236678</v>
      </c>
      <c r="S895" t="str" cm="1">
        <f t="array" ref="S895">IF(C895="",IFERROR(INDEX($C$2:$C$1166,MATCH(MAX(COUNTIF($C$2:$C$1166,$C$2:$C$1166)),COUNTIF($C$2:$C$1166,$C$2:$C$1166),0)),"Unknown"),C895)</f>
        <v>Nancy Volkov</v>
      </c>
      <c r="T895" s="4" t="str" cm="1">
        <f t="array" ref="T895">IF(D895="",IFERROR(INDEX($D$2:$D$1000,MATCH(MAX(COUNTIF($D$2:$D$1166,$D$2:$D$1166)),COUNTIF($D$2:$D$1166,$D$2:$D$1166),0)),"Unknown"),D895)</f>
        <v>Fatima Davis</v>
      </c>
      <c r="U895" t="str">
        <f t="shared" si="92"/>
        <v>AED</v>
      </c>
      <c r="V895" s="7" t="str">
        <f t="shared" si="92"/>
        <v/>
      </c>
      <c r="W895" s="7" t="str">
        <f t="shared" si="93"/>
        <v>Germany</v>
      </c>
      <c r="X895" s="7" t="str">
        <f t="shared" si="93"/>
        <v>Australia</v>
      </c>
      <c r="Y895" s="7" t="str" cm="1">
        <f t="array" ref="Y895">IF(H895="",IFERROR(INDEX($H$2:$H$1166,MATCH(MAX(COUNTIF($H$2:$H$1166,$H$2:$H$1166)),COUNTIF($H$2:$H$1166,$H$2:$H$1166),0)),"Unknown"),H895)</f>
        <v>Pending</v>
      </c>
      <c r="Z895" s="7" t="str">
        <f t="shared" si="94"/>
        <v>Internal</v>
      </c>
      <c r="AA895" s="7">
        <f>IF(J895="",AVERAGE($J:$J),J895)</f>
        <v>4279.71</v>
      </c>
      <c r="AB895" s="7">
        <f>IF(N895="",AVERAGE($N:$N),N895)</f>
        <v>55</v>
      </c>
      <c r="AC895" s="7">
        <f t="shared" si="95"/>
        <v>2020</v>
      </c>
      <c r="AD895" s="7">
        <f t="shared" si="96"/>
        <v>7</v>
      </c>
      <c r="AE895" s="7">
        <f>COUNTIF(A:A,A895)</f>
        <v>1</v>
      </c>
      <c r="AF895" s="7" t="str">
        <f t="shared" si="97"/>
        <v/>
      </c>
    </row>
    <row r="896" spans="1:32">
      <c r="A896" t="s">
        <v>2732</v>
      </c>
      <c r="B896">
        <v>82129095</v>
      </c>
      <c r="C896" t="s">
        <v>1350</v>
      </c>
      <c r="D896" t="s">
        <v>868</v>
      </c>
      <c r="F896" t="s">
        <v>45</v>
      </c>
      <c r="G896" t="s">
        <v>121</v>
      </c>
      <c r="H896" t="s">
        <v>38</v>
      </c>
      <c r="I896" t="s">
        <v>3377</v>
      </c>
      <c r="J896">
        <v>6670.52</v>
      </c>
      <c r="K896" t="s">
        <v>57</v>
      </c>
      <c r="L896" t="s">
        <v>81</v>
      </c>
      <c r="M896" s="1">
        <v>44386.690972222219</v>
      </c>
      <c r="N896">
        <v>19</v>
      </c>
      <c r="O896" t="s">
        <v>37</v>
      </c>
      <c r="P896" t="s">
        <v>24</v>
      </c>
      <c r="Q896" t="s">
        <v>2733</v>
      </c>
      <c r="R896">
        <f t="shared" si="91"/>
        <v>82129095</v>
      </c>
      <c r="S896" t="str" cm="1">
        <f t="array" ref="S896">IF(C896="",IFERROR(INDEX($C$2:$C$1166,MATCH(MAX(COUNTIF($C$2:$C$1166,$C$2:$C$1166)),COUNTIF($C$2:$C$1166,$C$2:$C$1166),0)),"Unknown"),C896)</f>
        <v>John Lopez</v>
      </c>
      <c r="T896" s="4" t="str" cm="1">
        <f t="array" ref="T896">IF(D896="",IFERROR(INDEX($D$2:$D$1000,MATCH(MAX(COUNTIF($D$2:$D$1166,$D$2:$D$1166)),COUNTIF($D$2:$D$1166,$D$2:$D$1166),0)),"Unknown"),D896)</f>
        <v>Christopher Al-Sayed</v>
      </c>
      <c r="U896" t="str">
        <f t="shared" si="92"/>
        <v>ZAR</v>
      </c>
      <c r="V896" s="7" t="str">
        <f t="shared" si="92"/>
        <v>INR</v>
      </c>
      <c r="W896" s="7" t="str">
        <f t="shared" si="93"/>
        <v>South Africa</v>
      </c>
      <c r="X896" s="7" t="str">
        <f t="shared" si="93"/>
        <v>Brazil</v>
      </c>
      <c r="Y896" s="7" t="str" cm="1">
        <f t="array" ref="Y896">IF(H896="",IFERROR(INDEX($H$2:$H$1166,MATCH(MAX(COUNTIF($H$2:$H$1166,$H$2:$H$1166)),COUNTIF($H$2:$H$1166,$H$2:$H$1166),0)),"Unknown"),H896)</f>
        <v>Pending</v>
      </c>
      <c r="Z896" s="7" t="str">
        <f t="shared" si="94"/>
        <v>Inter-Transaction</v>
      </c>
      <c r="AA896" s="7">
        <f>IF(J896="",AVERAGE($J:$J),J896)</f>
        <v>6670.52</v>
      </c>
      <c r="AB896" s="7">
        <f>IF(N896="",AVERAGE($N:$N),N896)</f>
        <v>19</v>
      </c>
      <c r="AC896" s="7">
        <f t="shared" si="95"/>
        <v>2021</v>
      </c>
      <c r="AD896" s="7">
        <f t="shared" si="96"/>
        <v>7</v>
      </c>
      <c r="AE896" s="7">
        <f>COUNTIF(A:A,A896)</f>
        <v>1</v>
      </c>
      <c r="AF896" s="7" t="str">
        <f t="shared" si="97"/>
        <v/>
      </c>
    </row>
    <row r="897" spans="1:32">
      <c r="A897" t="s">
        <v>2734</v>
      </c>
      <c r="B897">
        <v>74575117</v>
      </c>
      <c r="C897" t="s">
        <v>2488</v>
      </c>
      <c r="D897" t="s">
        <v>701</v>
      </c>
      <c r="F897" t="s">
        <v>35</v>
      </c>
      <c r="G897" t="s">
        <v>80</v>
      </c>
      <c r="H897" t="s">
        <v>56</v>
      </c>
      <c r="I897" t="s">
        <v>3378</v>
      </c>
      <c r="J897">
        <v>9335.7900000000009</v>
      </c>
      <c r="K897" t="s">
        <v>86</v>
      </c>
      <c r="L897" t="s">
        <v>48</v>
      </c>
      <c r="M897" s="1">
        <v>44186.990277777775</v>
      </c>
      <c r="N897">
        <v>24</v>
      </c>
      <c r="O897" t="s">
        <v>37</v>
      </c>
      <c r="P897" t="s">
        <v>68</v>
      </c>
      <c r="Q897" t="s">
        <v>2735</v>
      </c>
      <c r="R897">
        <f t="shared" si="91"/>
        <v>74575117</v>
      </c>
      <c r="S897" t="str" cm="1">
        <f t="array" ref="S897">IF(C897="",IFERROR(INDEX($C$2:$C$1166,MATCH(MAX(COUNTIF($C$2:$C$1166,$C$2:$C$1166)),COUNTIF($C$2:$C$1166,$C$2:$C$1166),0)),"Unknown"),C897)</f>
        <v>Thomas Martinez</v>
      </c>
      <c r="T897" s="4" t="str" cm="1">
        <f t="array" ref="T897">IF(D897="",IFERROR(INDEX($D$2:$D$1000,MATCH(MAX(COUNTIF($D$2:$D$1166,$D$2:$D$1166)),COUNTIF($D$2:$D$1166,$D$2:$D$1166),0)),"Unknown"),D897)</f>
        <v>Christopher Lopez</v>
      </c>
      <c r="U897" t="str">
        <f t="shared" si="92"/>
        <v>EUR</v>
      </c>
      <c r="V897" s="7" t="str">
        <f t="shared" si="92"/>
        <v>USD</v>
      </c>
      <c r="W897" s="7" t="str">
        <f t="shared" si="93"/>
        <v>South Africa</v>
      </c>
      <c r="X897" s="7" t="str">
        <f t="shared" si="93"/>
        <v>UAE</v>
      </c>
      <c r="Y897" s="7" t="str" cm="1">
        <f t="array" ref="Y897">IF(H897="",IFERROR(INDEX($H$2:$H$1166,MATCH(MAX(COUNTIF($H$2:$H$1166,$H$2:$H$1166)),COUNTIF($H$2:$H$1166,$H$2:$H$1166),0)),"Unknown"),H897)</f>
        <v>Unverified</v>
      </c>
      <c r="Z897" s="7" t="str">
        <f t="shared" si="94"/>
        <v>Inter-Transaction</v>
      </c>
      <c r="AA897" s="7">
        <f>IF(J897="",AVERAGE($J:$J),J897)</f>
        <v>9335.7900000000009</v>
      </c>
      <c r="AB897" s="7">
        <f>IF(N897="",AVERAGE($N:$N),N897)</f>
        <v>24</v>
      </c>
      <c r="AC897" s="7">
        <f t="shared" si="95"/>
        <v>2020</v>
      </c>
      <c r="AD897" s="7">
        <f t="shared" si="96"/>
        <v>12</v>
      </c>
      <c r="AE897" s="7">
        <f>COUNTIF(A:A,A897)</f>
        <v>1</v>
      </c>
      <c r="AF897" s="7" t="str">
        <f t="shared" si="97"/>
        <v/>
      </c>
    </row>
    <row r="898" spans="1:32">
      <c r="A898" t="s">
        <v>2736</v>
      </c>
      <c r="B898">
        <v>46784982</v>
      </c>
      <c r="C898" t="s">
        <v>1001</v>
      </c>
      <c r="D898" t="s">
        <v>256</v>
      </c>
      <c r="F898" t="s">
        <v>45</v>
      </c>
      <c r="G898" t="s">
        <v>92</v>
      </c>
      <c r="H898" t="s">
        <v>56</v>
      </c>
      <c r="I898" t="s">
        <v>3377</v>
      </c>
      <c r="J898">
        <v>6734.05</v>
      </c>
      <c r="K898" t="s">
        <v>47</v>
      </c>
      <c r="L898" t="s">
        <v>28</v>
      </c>
      <c r="M898" s="1">
        <v>45394.638888888891</v>
      </c>
      <c r="N898">
        <v>51</v>
      </c>
      <c r="O898" t="s">
        <v>68</v>
      </c>
      <c r="P898" t="s">
        <v>36</v>
      </c>
      <c r="Q898" t="s">
        <v>2737</v>
      </c>
      <c r="R898">
        <f t="shared" ref="R898:R961" si="98">IF(B898="",0,B898)</f>
        <v>46784982</v>
      </c>
      <c r="S898" t="str" cm="1">
        <f t="array" ref="S898">IF(C898="",IFERROR(INDEX($C$2:$C$1166,MATCH(MAX(COUNTIF($C$2:$C$1166,$C$2:$C$1166)),COUNTIF($C$2:$C$1166,$C$2:$C$1166),0)),"Unknown"),C898)</f>
        <v>Sarah Hernandez</v>
      </c>
      <c r="T898" s="4" t="str" cm="1">
        <f t="array" ref="T898">IF(D898="",IFERROR(INDEX($D$2:$D$1000,MATCH(MAX(COUNTIF($D$2:$D$1166,$D$2:$D$1166)),COUNTIF($D$2:$D$1166,$D$2:$D$1166),0)),"Unknown"),D898)</f>
        <v>Michael Velez</v>
      </c>
      <c r="U898" t="str">
        <f t="shared" ref="U898:V961" si="99">TRIM(F898)</f>
        <v>ZAR</v>
      </c>
      <c r="V898" s="7" t="str">
        <f t="shared" si="99"/>
        <v>AUD</v>
      </c>
      <c r="W898" s="7" t="str">
        <f t="shared" ref="W898:X961" si="100">TRIM(O898)</f>
        <v>UAE</v>
      </c>
      <c r="X898" s="7" t="str">
        <f t="shared" si="100"/>
        <v>Germany</v>
      </c>
      <c r="Y898" s="7" t="str" cm="1">
        <f t="array" ref="Y898">IF(H898="",IFERROR(INDEX($H$2:$H$1166,MATCH(MAX(COUNTIF($H$2:$H$1166,$H$2:$H$1166)),COUNTIF($H$2:$H$1166,$H$2:$H$1166),0)),"Unknown"),H898)</f>
        <v>Unverified</v>
      </c>
      <c r="Z898" s="7" t="str">
        <f t="shared" ref="Z898:Z961" si="101">PROPER(I898)</f>
        <v>Inter-Transaction</v>
      </c>
      <c r="AA898" s="7">
        <f>IF(J898="",AVERAGE($J:$J),J898)</f>
        <v>6734.05</v>
      </c>
      <c r="AB898" s="7">
        <f>IF(N898="",AVERAGE($N:$N),N898)</f>
        <v>51</v>
      </c>
      <c r="AC898" s="7">
        <f t="shared" ref="AC898:AC961" si="102">YEAR(M898)</f>
        <v>2024</v>
      </c>
      <c r="AD898" s="7">
        <f t="shared" ref="AD898:AD961" si="103">MONTH(M898)</f>
        <v>4</v>
      </c>
      <c r="AE898" s="7">
        <f>COUNTIF(A:A,A898)</f>
        <v>1</v>
      </c>
      <c r="AF898" s="7" t="str">
        <f t="shared" ref="AF898:AF961" si="104">IF(E898="","",IF(OR(E898="Yes",E898="Y",E898="TRUE",E898=1),"Yes","No"))</f>
        <v/>
      </c>
    </row>
    <row r="899" spans="1:32">
      <c r="A899" t="s">
        <v>2738</v>
      </c>
      <c r="B899">
        <v>35642547</v>
      </c>
      <c r="C899" t="s">
        <v>1021</v>
      </c>
      <c r="D899" t="s">
        <v>569</v>
      </c>
      <c r="F899" t="s">
        <v>121</v>
      </c>
      <c r="G899" t="s">
        <v>34</v>
      </c>
      <c r="H899" t="s">
        <v>38</v>
      </c>
      <c r="I899" t="s">
        <v>3374</v>
      </c>
      <c r="J899">
        <v>1584.96</v>
      </c>
      <c r="K899" t="s">
        <v>47</v>
      </c>
      <c r="L899" t="s">
        <v>28</v>
      </c>
      <c r="M899" s="1">
        <v>44871.505555555559</v>
      </c>
      <c r="N899">
        <v>34</v>
      </c>
      <c r="O899" t="s">
        <v>62</v>
      </c>
      <c r="P899" t="s">
        <v>24</v>
      </c>
      <c r="Q899" t="s">
        <v>2739</v>
      </c>
      <c r="R899">
        <f t="shared" si="98"/>
        <v>35642547</v>
      </c>
      <c r="S899" t="str" cm="1">
        <f t="array" ref="S899">IF(C899="",IFERROR(INDEX($C$2:$C$1166,MATCH(MAX(COUNTIF($C$2:$C$1166,$C$2:$C$1166)),COUNTIF($C$2:$C$1166,$C$2:$C$1166),0)),"Unknown"),C899)</f>
        <v>Linda Rostova</v>
      </c>
      <c r="T899" s="4" t="str" cm="1">
        <f t="array" ref="T899">IF(D899="",IFERROR(INDEX($D$2:$D$1000,MATCH(MAX(COUNTIF($D$2:$D$1166,$D$2:$D$1166)),COUNTIF($D$2:$D$1166,$D$2:$D$1166),0)),"Unknown"),D899)</f>
        <v>Patricia Williams</v>
      </c>
      <c r="U899" t="str">
        <f t="shared" si="99"/>
        <v>INR</v>
      </c>
      <c r="V899" s="7" t="str">
        <f t="shared" si="99"/>
        <v>CAD</v>
      </c>
      <c r="W899" s="7" t="str">
        <f t="shared" si="100"/>
        <v>Australia</v>
      </c>
      <c r="X899" s="7" t="str">
        <f t="shared" si="100"/>
        <v>Brazil</v>
      </c>
      <c r="Y899" s="7" t="str" cm="1">
        <f t="array" ref="Y899">IF(H899="",IFERROR(INDEX($H$2:$H$1166,MATCH(MAX(COUNTIF($H$2:$H$1166,$H$2:$H$1166)),COUNTIF($H$2:$H$1166,$H$2:$H$1166),0)),"Unknown"),H899)</f>
        <v>Pending</v>
      </c>
      <c r="Z899" s="7" t="str">
        <f t="shared" si="101"/>
        <v>External</v>
      </c>
      <c r="AA899" s="7">
        <f>IF(J899="",AVERAGE($J:$J),J899)</f>
        <v>1584.96</v>
      </c>
      <c r="AB899" s="7">
        <f>IF(N899="",AVERAGE($N:$N),N899)</f>
        <v>34</v>
      </c>
      <c r="AC899" s="7">
        <f t="shared" si="102"/>
        <v>2022</v>
      </c>
      <c r="AD899" s="7">
        <f t="shared" si="103"/>
        <v>11</v>
      </c>
      <c r="AE899" s="7">
        <f>COUNTIF(A:A,A899)</f>
        <v>1</v>
      </c>
      <c r="AF899" s="7" t="str">
        <f t="shared" si="104"/>
        <v/>
      </c>
    </row>
    <row r="900" spans="1:32">
      <c r="A900" t="s">
        <v>2740</v>
      </c>
      <c r="B900">
        <v>43732173</v>
      </c>
      <c r="C900" t="s">
        <v>1230</v>
      </c>
      <c r="D900" t="s">
        <v>212</v>
      </c>
      <c r="F900" t="s">
        <v>121</v>
      </c>
      <c r="G900" t="s">
        <v>22</v>
      </c>
      <c r="H900" t="s">
        <v>25</v>
      </c>
      <c r="I900" t="s">
        <v>3376</v>
      </c>
      <c r="J900">
        <v>2713.19</v>
      </c>
      <c r="K900" t="s">
        <v>86</v>
      </c>
      <c r="L900" t="s">
        <v>75</v>
      </c>
      <c r="M900" s="1">
        <v>44209.423611111109</v>
      </c>
      <c r="N900">
        <v>60</v>
      </c>
      <c r="O900" t="s">
        <v>93</v>
      </c>
      <c r="P900" t="s">
        <v>62</v>
      </c>
      <c r="Q900" t="s">
        <v>2741</v>
      </c>
      <c r="R900">
        <f t="shared" si="98"/>
        <v>43732173</v>
      </c>
      <c r="S900" t="str" cm="1">
        <f t="array" ref="S900">IF(C900="",IFERROR(INDEX($C$2:$C$1166,MATCH(MAX(COUNTIF($C$2:$C$1166,$C$2:$C$1166)),COUNTIF($C$2:$C$1166,$C$2:$C$1166),0)),"Unknown"),C900)</f>
        <v>Zayn Jones</v>
      </c>
      <c r="T900" s="4" t="str" cm="1">
        <f t="array" ref="T900">IF(D900="",IFERROR(INDEX($D$2:$D$1000,MATCH(MAX(COUNTIF($D$2:$D$1166,$D$2:$D$1166)),COUNTIF($D$2:$D$1166,$D$2:$D$1166),0)),"Unknown"),D900)</f>
        <v>Michael Williams</v>
      </c>
      <c r="U900" t="str">
        <f t="shared" si="99"/>
        <v>INR</v>
      </c>
      <c r="V900" s="7" t="str">
        <f t="shared" si="99"/>
        <v>BRL</v>
      </c>
      <c r="W900" s="7" t="str">
        <f t="shared" si="100"/>
        <v>USA</v>
      </c>
      <c r="X900" s="7" t="str">
        <f t="shared" si="100"/>
        <v>Australia</v>
      </c>
      <c r="Y900" s="7" t="str" cm="1">
        <f t="array" ref="Y900">IF(H900="",IFERROR(INDEX($H$2:$H$1166,MATCH(MAX(COUNTIF($H$2:$H$1166,$H$2:$H$1166)),COUNTIF($H$2:$H$1166,$H$2:$H$1166),0)),"Unknown"),H900)</f>
        <v>KYC</v>
      </c>
      <c r="Z900" s="7" t="str">
        <f t="shared" si="101"/>
        <v>Internal</v>
      </c>
      <c r="AA900" s="7">
        <f>IF(J900="",AVERAGE($J:$J),J900)</f>
        <v>2713.19</v>
      </c>
      <c r="AB900" s="7">
        <f>IF(N900="",AVERAGE($N:$N),N900)</f>
        <v>60</v>
      </c>
      <c r="AC900" s="7">
        <f t="shared" si="102"/>
        <v>2021</v>
      </c>
      <c r="AD900" s="7">
        <f t="shared" si="103"/>
        <v>1</v>
      </c>
      <c r="AE900" s="7">
        <f>COUNTIF(A:A,A900)</f>
        <v>1</v>
      </c>
      <c r="AF900" s="7" t="str">
        <f t="shared" si="104"/>
        <v/>
      </c>
    </row>
    <row r="901" spans="1:32">
      <c r="A901" t="s">
        <v>2742</v>
      </c>
      <c r="B901">
        <v>32837888</v>
      </c>
      <c r="C901" t="s">
        <v>1587</v>
      </c>
      <c r="D901" t="s">
        <v>2137</v>
      </c>
      <c r="F901" t="s">
        <v>34</v>
      </c>
      <c r="G901" t="s">
        <v>116</v>
      </c>
      <c r="H901" t="s">
        <v>56</v>
      </c>
      <c r="I901" t="s">
        <v>3378</v>
      </c>
      <c r="J901">
        <v>869.38</v>
      </c>
      <c r="K901" t="s">
        <v>27</v>
      </c>
      <c r="L901" t="s">
        <v>75</v>
      </c>
      <c r="M901" s="1">
        <v>44510.208333333336</v>
      </c>
      <c r="N901">
        <v>76</v>
      </c>
      <c r="O901" t="s">
        <v>127</v>
      </c>
      <c r="P901" t="s">
        <v>24</v>
      </c>
      <c r="Q901" t="s">
        <v>2743</v>
      </c>
      <c r="R901">
        <f t="shared" si="98"/>
        <v>32837888</v>
      </c>
      <c r="S901" t="str" cm="1">
        <f t="array" ref="S901">IF(C901="",IFERROR(INDEX($C$2:$C$1166,MATCH(MAX(COUNTIF($C$2:$C$1166,$C$2:$C$1166)),COUNTIF($C$2:$C$1166,$C$2:$C$1166),0)),"Unknown"),C901)</f>
        <v>Christopher Jackson</v>
      </c>
      <c r="T901" s="4" t="str" cm="1">
        <f t="array" ref="T901">IF(D901="",IFERROR(INDEX($D$2:$D$1000,MATCH(MAX(COUNTIF($D$2:$D$1166,$D$2:$D$1166)),COUNTIF($D$2:$D$1166,$D$2:$D$1166),0)),"Unknown"),D901)</f>
        <v>Karen Wilson</v>
      </c>
      <c r="U901" t="str">
        <f t="shared" si="99"/>
        <v>CAD</v>
      </c>
      <c r="V901" s="7" t="str">
        <f t="shared" si="99"/>
        <v>CHF</v>
      </c>
      <c r="W901" s="7" t="str">
        <f t="shared" si="100"/>
        <v>Canada</v>
      </c>
      <c r="X901" s="7" t="str">
        <f t="shared" si="100"/>
        <v>Brazil</v>
      </c>
      <c r="Y901" s="7" t="str" cm="1">
        <f t="array" ref="Y901">IF(H901="",IFERROR(INDEX($H$2:$H$1166,MATCH(MAX(COUNTIF($H$2:$H$1166,$H$2:$H$1166)),COUNTIF($H$2:$H$1166,$H$2:$H$1166),0)),"Unknown"),H901)</f>
        <v>Unverified</v>
      </c>
      <c r="Z901" s="7" t="str">
        <f t="shared" si="101"/>
        <v>Inter-Transaction</v>
      </c>
      <c r="AA901" s="7">
        <f>IF(J901="",AVERAGE($J:$J),J901)</f>
        <v>869.38</v>
      </c>
      <c r="AB901" s="7">
        <f>IF(N901="",AVERAGE($N:$N),N901)</f>
        <v>76</v>
      </c>
      <c r="AC901" s="7">
        <f t="shared" si="102"/>
        <v>2021</v>
      </c>
      <c r="AD901" s="7">
        <f t="shared" si="103"/>
        <v>11</v>
      </c>
      <c r="AE901" s="7">
        <f>COUNTIF(A:A,A901)</f>
        <v>1</v>
      </c>
      <c r="AF901" s="7" t="str">
        <f t="shared" si="104"/>
        <v/>
      </c>
    </row>
    <row r="902" spans="1:32">
      <c r="A902" t="s">
        <v>2744</v>
      </c>
      <c r="B902">
        <v>74132712</v>
      </c>
      <c r="C902" t="s">
        <v>2699</v>
      </c>
      <c r="D902" t="s">
        <v>2032</v>
      </c>
      <c r="F902" t="s">
        <v>98</v>
      </c>
      <c r="G902" t="s">
        <v>53</v>
      </c>
      <c r="H902" t="s">
        <v>74</v>
      </c>
      <c r="I902" t="s">
        <v>3374</v>
      </c>
      <c r="J902">
        <v>13124.69</v>
      </c>
      <c r="K902" t="s">
        <v>57</v>
      </c>
      <c r="L902" t="s">
        <v>28</v>
      </c>
      <c r="M902" s="1">
        <v>46384.878472222219</v>
      </c>
      <c r="N902">
        <v>68</v>
      </c>
      <c r="O902" t="s">
        <v>37</v>
      </c>
      <c r="P902" t="s">
        <v>127</v>
      </c>
      <c r="Q902" t="s">
        <v>2745</v>
      </c>
      <c r="R902">
        <f t="shared" si="98"/>
        <v>74132712</v>
      </c>
      <c r="S902" t="str" cm="1">
        <f t="array" ref="S902">IF(C902="",IFERROR(INDEX($C$2:$C$1166,MATCH(MAX(COUNTIF($C$2:$C$1166,$C$2:$C$1166)),COUNTIF($C$2:$C$1166,$C$2:$C$1166),0)),"Unknown"),C902)</f>
        <v>Michael Gonzalez</v>
      </c>
      <c r="T902" s="4" t="str" cm="1">
        <f t="array" ref="T902">IF(D902="",IFERROR(INDEX($D$2:$D$1000,MATCH(MAX(COUNTIF($D$2:$D$1166,$D$2:$D$1166)),COUNTIF($D$2:$D$1166,$D$2:$D$1166),0)),"Unknown"),D902)</f>
        <v>Lucas Garcia</v>
      </c>
      <c r="U902" t="str">
        <f t="shared" si="99"/>
        <v>JPY</v>
      </c>
      <c r="V902" s="7" t="str">
        <f t="shared" si="99"/>
        <v>AED</v>
      </c>
      <c r="W902" s="7" t="str">
        <f t="shared" si="100"/>
        <v>South Africa</v>
      </c>
      <c r="X902" s="7" t="str">
        <f t="shared" si="100"/>
        <v>Canada</v>
      </c>
      <c r="Y902" s="7" t="str" cm="1">
        <f t="array" ref="Y902">IF(H902="",IFERROR(INDEX($H$2:$H$1166,MATCH(MAX(COUNTIF($H$2:$H$1166,$H$2:$H$1166)),COUNTIF($H$2:$H$1166,$H$2:$H$1166),0)),"Unknown"),H902)</f>
        <v>Non-KYC</v>
      </c>
      <c r="Z902" s="7" t="str">
        <f t="shared" si="101"/>
        <v>External</v>
      </c>
      <c r="AA902" s="7">
        <f>IF(J902="",AVERAGE($J:$J),J902)</f>
        <v>13124.69</v>
      </c>
      <c r="AB902" s="7">
        <f>IF(N902="",AVERAGE($N:$N),N902)</f>
        <v>68</v>
      </c>
      <c r="AC902" s="7">
        <f t="shared" si="102"/>
        <v>2026</v>
      </c>
      <c r="AD902" s="7">
        <f t="shared" si="103"/>
        <v>12</v>
      </c>
      <c r="AE902" s="7">
        <f>COUNTIF(A:A,A902)</f>
        <v>1</v>
      </c>
      <c r="AF902" s="7" t="str">
        <f t="shared" si="104"/>
        <v/>
      </c>
    </row>
    <row r="903" spans="1:32">
      <c r="A903" t="s">
        <v>2746</v>
      </c>
      <c r="B903">
        <v>99078726</v>
      </c>
      <c r="C903" t="s">
        <v>477</v>
      </c>
      <c r="D903" t="s">
        <v>1409</v>
      </c>
      <c r="F903" t="s">
        <v>53</v>
      </c>
      <c r="G903" t="s">
        <v>44</v>
      </c>
      <c r="H903" t="s">
        <v>25</v>
      </c>
      <c r="I903" t="s">
        <v>3377</v>
      </c>
      <c r="J903">
        <v>12767.71</v>
      </c>
      <c r="K903" t="s">
        <v>47</v>
      </c>
      <c r="L903" t="s">
        <v>48</v>
      </c>
      <c r="M903" s="1">
        <v>45610.51458333333</v>
      </c>
      <c r="N903">
        <v>71</v>
      </c>
      <c r="O903" t="s">
        <v>127</v>
      </c>
      <c r="P903" t="s">
        <v>68</v>
      </c>
      <c r="Q903" t="s">
        <v>2747</v>
      </c>
      <c r="R903">
        <f t="shared" si="98"/>
        <v>99078726</v>
      </c>
      <c r="S903" t="str" cm="1">
        <f t="array" ref="S903">IF(C903="",IFERROR(INDEX($C$2:$C$1166,MATCH(MAX(COUNTIF($C$2:$C$1166,$C$2:$C$1166)),COUNTIF($C$2:$C$1166,$C$2:$C$1166),0)),"Unknown"),C903)</f>
        <v>Priya Nair</v>
      </c>
      <c r="T903" s="4" t="str" cm="1">
        <f t="array" ref="T903">IF(D903="",IFERROR(INDEX($D$2:$D$1000,MATCH(MAX(COUNTIF($D$2:$D$1166,$D$2:$D$1166)),COUNTIF($D$2:$D$1166,$D$2:$D$1166),0)),"Unknown"),D903)</f>
        <v>Joseph Garcia</v>
      </c>
      <c r="U903" t="str">
        <f t="shared" si="99"/>
        <v>AED</v>
      </c>
      <c r="V903" s="7" t="str">
        <f t="shared" si="99"/>
        <v>SGD</v>
      </c>
      <c r="W903" s="7" t="str">
        <f t="shared" si="100"/>
        <v>Canada</v>
      </c>
      <c r="X903" s="7" t="str">
        <f t="shared" si="100"/>
        <v>UAE</v>
      </c>
      <c r="Y903" s="7" t="str" cm="1">
        <f t="array" ref="Y903">IF(H903="",IFERROR(INDEX($H$2:$H$1166,MATCH(MAX(COUNTIF($H$2:$H$1166,$H$2:$H$1166)),COUNTIF($H$2:$H$1166,$H$2:$H$1166),0)),"Unknown"),H903)</f>
        <v>KYC</v>
      </c>
      <c r="Z903" s="7" t="str">
        <f t="shared" si="101"/>
        <v>Inter-Transaction</v>
      </c>
      <c r="AA903" s="7">
        <f>IF(J903="",AVERAGE($J:$J),J903)</f>
        <v>12767.71</v>
      </c>
      <c r="AB903" s="7">
        <f>IF(N903="",AVERAGE($N:$N),N903)</f>
        <v>71</v>
      </c>
      <c r="AC903" s="7">
        <f t="shared" si="102"/>
        <v>2024</v>
      </c>
      <c r="AD903" s="7">
        <f t="shared" si="103"/>
        <v>11</v>
      </c>
      <c r="AE903" s="7">
        <f>COUNTIF(A:A,A903)</f>
        <v>1</v>
      </c>
      <c r="AF903" s="7" t="str">
        <f t="shared" si="104"/>
        <v/>
      </c>
    </row>
    <row r="904" spans="1:32">
      <c r="A904" t="s">
        <v>2748</v>
      </c>
      <c r="C904" t="s">
        <v>1247</v>
      </c>
      <c r="D904" t="s">
        <v>2749</v>
      </c>
      <c r="F904" t="s">
        <v>160</v>
      </c>
      <c r="G904" t="s">
        <v>92</v>
      </c>
      <c r="H904" t="s">
        <v>38</v>
      </c>
      <c r="I904" t="s">
        <v>3378</v>
      </c>
      <c r="J904">
        <v>6460.33</v>
      </c>
      <c r="K904" t="s">
        <v>47</v>
      </c>
      <c r="L904" t="s">
        <v>28</v>
      </c>
      <c r="M904" s="1">
        <v>44729.979166666664</v>
      </c>
      <c r="N904">
        <v>41</v>
      </c>
      <c r="O904" t="s">
        <v>37</v>
      </c>
      <c r="P904" t="s">
        <v>37</v>
      </c>
      <c r="Q904" t="s">
        <v>2750</v>
      </c>
      <c r="R904">
        <f t="shared" si="98"/>
        <v>0</v>
      </c>
      <c r="S904" t="str" cm="1">
        <f t="array" ref="S904">IF(C904="",IFERROR(INDEX($C$2:$C$1166,MATCH(MAX(COUNTIF($C$2:$C$1166,$C$2:$C$1166)),COUNTIF($C$2:$C$1166,$C$2:$C$1166),0)),"Unknown"),C904)</f>
        <v>Linda Khan</v>
      </c>
      <c r="T904" s="4" t="str" cm="1">
        <f t="array" ref="T904">IF(D904="",IFERROR(INDEX($D$2:$D$1000,MATCH(MAX(COUNTIF($D$2:$D$1166,$D$2:$D$1166)),COUNTIF($D$2:$D$1166,$D$2:$D$1166),0)),"Unknown"),D904)</f>
        <v xml:space="preserve"> elena anderson   </v>
      </c>
      <c r="U904" t="str">
        <f t="shared" si="99"/>
        <v>aud</v>
      </c>
      <c r="V904" s="7" t="str">
        <f t="shared" si="99"/>
        <v>AUD</v>
      </c>
      <c r="W904" s="7" t="str">
        <f t="shared" si="100"/>
        <v>South Africa</v>
      </c>
      <c r="X904" s="7" t="str">
        <f t="shared" si="100"/>
        <v>South Africa</v>
      </c>
      <c r="Y904" s="7" t="str" cm="1">
        <f t="array" ref="Y904">IF(H904="",IFERROR(INDEX($H$2:$H$1166,MATCH(MAX(COUNTIF($H$2:$H$1166,$H$2:$H$1166)),COUNTIF($H$2:$H$1166,$H$2:$H$1166),0)),"Unknown"),H904)</f>
        <v>Pending</v>
      </c>
      <c r="Z904" s="7" t="str">
        <f t="shared" si="101"/>
        <v>Inter-Transaction</v>
      </c>
      <c r="AA904" s="7">
        <f>IF(J904="",AVERAGE($J:$J),J904)</f>
        <v>6460.33</v>
      </c>
      <c r="AB904" s="7">
        <f>IF(N904="",AVERAGE($N:$N),N904)</f>
        <v>41</v>
      </c>
      <c r="AC904" s="7">
        <f t="shared" si="102"/>
        <v>2022</v>
      </c>
      <c r="AD904" s="7">
        <f t="shared" si="103"/>
        <v>6</v>
      </c>
      <c r="AE904" s="7">
        <f>COUNTIF(A:A,A904)</f>
        <v>1</v>
      </c>
      <c r="AF904" s="7" t="str">
        <f t="shared" si="104"/>
        <v/>
      </c>
    </row>
    <row r="905" spans="1:32">
      <c r="A905" t="s">
        <v>2751</v>
      </c>
      <c r="C905" t="s">
        <v>1659</v>
      </c>
      <c r="D905" t="s">
        <v>2752</v>
      </c>
      <c r="F905" t="s">
        <v>21</v>
      </c>
      <c r="G905" t="s">
        <v>21</v>
      </c>
      <c r="H905" t="s">
        <v>25</v>
      </c>
      <c r="I905" t="s">
        <v>3374</v>
      </c>
      <c r="J905">
        <v>711.19</v>
      </c>
      <c r="K905" t="s">
        <v>86</v>
      </c>
      <c r="L905" t="s">
        <v>48</v>
      </c>
      <c r="M905" s="1">
        <v>43906.9</v>
      </c>
      <c r="N905">
        <v>42</v>
      </c>
      <c r="O905" t="s">
        <v>93</v>
      </c>
      <c r="P905" t="s">
        <v>93</v>
      </c>
      <c r="Q905" t="s">
        <v>2753</v>
      </c>
      <c r="R905">
        <f t="shared" si="98"/>
        <v>0</v>
      </c>
      <c r="S905" t="str" cm="1">
        <f t="array" ref="S905">IF(C905="",IFERROR(INDEX($C$2:$C$1166,MATCH(MAX(COUNTIF($C$2:$C$1166,$C$2:$C$1166)),COUNTIF($C$2:$C$1166,$C$2:$C$1166),0)),"Unknown"),C905)</f>
        <v>Susan Dubois</v>
      </c>
      <c r="T905" s="4" t="str" cm="1">
        <f t="array" ref="T905">IF(D905="",IFERROR(INDEX($D$2:$D$1000,MATCH(MAX(COUNTIF($D$2:$D$1166,$D$2:$D$1166)),COUNTIF($D$2:$D$1166,$D$2:$D$1166),0)),"Unknown"),D905)</f>
        <v>William Moore</v>
      </c>
      <c r="U905" t="str">
        <f t="shared" si="99"/>
        <v>GBP</v>
      </c>
      <c r="V905" s="7" t="str">
        <f t="shared" si="99"/>
        <v>GBP</v>
      </c>
      <c r="W905" s="7" t="str">
        <f t="shared" si="100"/>
        <v>USA</v>
      </c>
      <c r="X905" s="7" t="str">
        <f t="shared" si="100"/>
        <v>USA</v>
      </c>
      <c r="Y905" s="7" t="str" cm="1">
        <f t="array" ref="Y905">IF(H905="",IFERROR(INDEX($H$2:$H$1166,MATCH(MAX(COUNTIF($H$2:$H$1166,$H$2:$H$1166)),COUNTIF($H$2:$H$1166,$H$2:$H$1166),0)),"Unknown"),H905)</f>
        <v>KYC</v>
      </c>
      <c r="Z905" s="7" t="str">
        <f t="shared" si="101"/>
        <v>External</v>
      </c>
      <c r="AA905" s="7">
        <f>IF(J905="",AVERAGE($J:$J),J905)</f>
        <v>711.19</v>
      </c>
      <c r="AB905" s="7">
        <f>IF(N905="",AVERAGE($N:$N),N905)</f>
        <v>42</v>
      </c>
      <c r="AC905" s="7">
        <f t="shared" si="102"/>
        <v>2020</v>
      </c>
      <c r="AD905" s="7">
        <f t="shared" si="103"/>
        <v>3</v>
      </c>
      <c r="AE905" s="7">
        <f>COUNTIF(A:A,A905)</f>
        <v>1</v>
      </c>
      <c r="AF905" s="7" t="str">
        <f t="shared" si="104"/>
        <v/>
      </c>
    </row>
    <row r="906" spans="1:32">
      <c r="A906" t="s">
        <v>2754</v>
      </c>
      <c r="B906">
        <v>17367600</v>
      </c>
      <c r="C906" t="s">
        <v>1815</v>
      </c>
      <c r="D906" t="s">
        <v>1230</v>
      </c>
      <c r="F906" t="s">
        <v>121</v>
      </c>
      <c r="G906" t="s">
        <v>392</v>
      </c>
      <c r="H906" t="s">
        <v>74</v>
      </c>
      <c r="I906" t="s">
        <v>3371</v>
      </c>
      <c r="J906">
        <v>4077.94</v>
      </c>
      <c r="K906" t="s">
        <v>86</v>
      </c>
      <c r="L906" t="s">
        <v>81</v>
      </c>
      <c r="M906" s="1">
        <v>44061.601388888892</v>
      </c>
      <c r="N906">
        <v>69</v>
      </c>
      <c r="O906" t="s">
        <v>36</v>
      </c>
      <c r="P906" t="s">
        <v>62</v>
      </c>
      <c r="Q906" t="s">
        <v>2755</v>
      </c>
      <c r="R906">
        <f t="shared" si="98"/>
        <v>17367600</v>
      </c>
      <c r="S906" t="str" cm="1">
        <f t="array" ref="S906">IF(C906="",IFERROR(INDEX($C$2:$C$1166,MATCH(MAX(COUNTIF($C$2:$C$1166,$C$2:$C$1166)),COUNTIF($C$2:$C$1166,$C$2:$C$1166),0)),"Unknown"),C906)</f>
        <v>Sarah Wilson</v>
      </c>
      <c r="T906" s="4" t="str" cm="1">
        <f t="array" ref="T906">IF(D906="",IFERROR(INDEX($D$2:$D$1000,MATCH(MAX(COUNTIF($D$2:$D$1166,$D$2:$D$1166)),COUNTIF($D$2:$D$1166,$D$2:$D$1166),0)),"Unknown"),D906)</f>
        <v>Zayn Jones</v>
      </c>
      <c r="U906" t="str">
        <f t="shared" si="99"/>
        <v>INR</v>
      </c>
      <c r="V906" s="7" t="str">
        <f t="shared" si="99"/>
        <v>brl</v>
      </c>
      <c r="W906" s="7" t="str">
        <f t="shared" si="100"/>
        <v>Germany</v>
      </c>
      <c r="X906" s="7" t="str">
        <f t="shared" si="100"/>
        <v>Australia</v>
      </c>
      <c r="Y906" s="7" t="str" cm="1">
        <f t="array" ref="Y906">IF(H906="",IFERROR(INDEX($H$2:$H$1166,MATCH(MAX(COUNTIF($H$2:$H$1166,$H$2:$H$1166)),COUNTIF($H$2:$H$1166,$H$2:$H$1166),0)),"Unknown"),H906)</f>
        <v>Non-KYC</v>
      </c>
      <c r="Z906" s="7" t="str">
        <f t="shared" si="101"/>
        <v>Outer-Transaction</v>
      </c>
      <c r="AA906" s="7">
        <f>IF(J906="",AVERAGE($J:$J),J906)</f>
        <v>4077.94</v>
      </c>
      <c r="AB906" s="7">
        <f>IF(N906="",AVERAGE($N:$N),N906)</f>
        <v>69</v>
      </c>
      <c r="AC906" s="7">
        <f t="shared" si="102"/>
        <v>2020</v>
      </c>
      <c r="AD906" s="7">
        <f t="shared" si="103"/>
        <v>8</v>
      </c>
      <c r="AE906" s="7">
        <f>COUNTIF(A:A,A906)</f>
        <v>1</v>
      </c>
      <c r="AF906" s="7" t="str">
        <f t="shared" si="104"/>
        <v/>
      </c>
    </row>
    <row r="907" spans="1:32">
      <c r="A907" t="s">
        <v>2756</v>
      </c>
      <c r="B907">
        <v>11668434</v>
      </c>
      <c r="C907" t="s">
        <v>2357</v>
      </c>
      <c r="D907" t="s">
        <v>1995</v>
      </c>
      <c r="F907" t="s">
        <v>22</v>
      </c>
      <c r="G907" t="s">
        <v>35</v>
      </c>
      <c r="H907" t="s">
        <v>103</v>
      </c>
      <c r="I907" t="s">
        <v>3378</v>
      </c>
      <c r="J907">
        <v>1753.4</v>
      </c>
      <c r="K907" t="s">
        <v>47</v>
      </c>
      <c r="L907" t="s">
        <v>81</v>
      </c>
      <c r="M907" s="1">
        <v>45570.743750000001</v>
      </c>
      <c r="N907">
        <v>50</v>
      </c>
      <c r="O907" t="s">
        <v>24</v>
      </c>
      <c r="P907" t="s">
        <v>68</v>
      </c>
      <c r="Q907" t="s">
        <v>2757</v>
      </c>
      <c r="R907">
        <f t="shared" si="98"/>
        <v>11668434</v>
      </c>
      <c r="S907" t="str" cm="1">
        <f t="array" ref="S907">IF(C907="",IFERROR(INDEX($C$2:$C$1166,MATCH(MAX(COUNTIF($C$2:$C$1166,$C$2:$C$1166)),COUNTIF($C$2:$C$1166,$C$2:$C$1166),0)),"Unknown"),C907)</f>
        <v>Sanjay Souza</v>
      </c>
      <c r="T907" s="4" t="str" cm="1">
        <f t="array" ref="T907">IF(D907="",IFERROR(INDEX($D$2:$D$1000,MATCH(MAX(COUNTIF($D$2:$D$1166,$D$2:$D$1166)),COUNTIF($D$2:$D$1166,$D$2:$D$1166),0)),"Unknown"),D907)</f>
        <v>Lucas Martin</v>
      </c>
      <c r="U907" t="str">
        <f t="shared" si="99"/>
        <v>BRL</v>
      </c>
      <c r="V907" s="7" t="str">
        <f t="shared" si="99"/>
        <v>EUR</v>
      </c>
      <c r="W907" s="7" t="str">
        <f t="shared" si="100"/>
        <v>Brazil</v>
      </c>
      <c r="X907" s="7" t="str">
        <f t="shared" si="100"/>
        <v>UAE</v>
      </c>
      <c r="Y907" s="7" t="str" cm="1">
        <f t="array" ref="Y907">IF(H907="",IFERROR(INDEX($H$2:$H$1166,MATCH(MAX(COUNTIF($H$2:$H$1166,$H$2:$H$1166)),COUNTIF($H$2:$H$1166,$H$2:$H$1166),0)),"Unknown"),H907)</f>
        <v>Verified</v>
      </c>
      <c r="Z907" s="7" t="str">
        <f t="shared" si="101"/>
        <v>Inter-Transaction</v>
      </c>
      <c r="AA907" s="7">
        <f>IF(J907="",AVERAGE($J:$J),J907)</f>
        <v>1753.4</v>
      </c>
      <c r="AB907" s="7">
        <f>IF(N907="",AVERAGE($N:$N),N907)</f>
        <v>50</v>
      </c>
      <c r="AC907" s="7">
        <f t="shared" si="102"/>
        <v>2024</v>
      </c>
      <c r="AD907" s="7">
        <f t="shared" si="103"/>
        <v>10</v>
      </c>
      <c r="AE907" s="7">
        <f>COUNTIF(A:A,A907)</f>
        <v>1</v>
      </c>
      <c r="AF907" s="7" t="str">
        <f t="shared" si="104"/>
        <v/>
      </c>
    </row>
    <row r="908" spans="1:32">
      <c r="A908" t="s">
        <v>2758</v>
      </c>
      <c r="B908">
        <v>66638517</v>
      </c>
      <c r="C908" t="s">
        <v>1290</v>
      </c>
      <c r="D908" t="s">
        <v>2759</v>
      </c>
      <c r="F908" t="s">
        <v>53</v>
      </c>
      <c r="G908" t="s">
        <v>21</v>
      </c>
      <c r="H908" t="s">
        <v>103</v>
      </c>
      <c r="I908" t="s">
        <v>3378</v>
      </c>
      <c r="J908">
        <v>1510.3</v>
      </c>
      <c r="K908" t="s">
        <v>27</v>
      </c>
      <c r="L908" t="s">
        <v>81</v>
      </c>
      <c r="M908" s="1">
        <v>44792.573611111111</v>
      </c>
      <c r="N908">
        <v>66</v>
      </c>
      <c r="O908" t="s">
        <v>36</v>
      </c>
      <c r="P908" t="s">
        <v>37</v>
      </c>
      <c r="Q908" t="s">
        <v>2760</v>
      </c>
      <c r="R908">
        <f t="shared" si="98"/>
        <v>66638517</v>
      </c>
      <c r="S908" t="str" cm="1">
        <f t="array" ref="S908">IF(C908="",IFERROR(INDEX($C$2:$C$1166,MATCH(MAX(COUNTIF($C$2:$C$1166,$C$2:$C$1166)),COUNTIF($C$2:$C$1166,$C$2:$C$1166),0)),"Unknown"),C908)</f>
        <v>Zayn Rostova</v>
      </c>
      <c r="T908" s="4" t="str" cm="1">
        <f t="array" ref="T908">IF(D908="",IFERROR(INDEX($D$2:$D$1000,MATCH(MAX(COUNTIF($D$2:$D$1166,$D$2:$D$1166)),COUNTIF($D$2:$D$1166,$D$2:$D$1166),0)),"Unknown"),D908)</f>
        <v xml:space="preserve"> william silva   </v>
      </c>
      <c r="U908" t="str">
        <f t="shared" si="99"/>
        <v>AED</v>
      </c>
      <c r="V908" s="7" t="str">
        <f t="shared" si="99"/>
        <v>GBP</v>
      </c>
      <c r="W908" s="7" t="str">
        <f t="shared" si="100"/>
        <v>Germany</v>
      </c>
      <c r="X908" s="7" t="str">
        <f t="shared" si="100"/>
        <v>South Africa</v>
      </c>
      <c r="Y908" s="7" t="str" cm="1">
        <f t="array" ref="Y908">IF(H908="",IFERROR(INDEX($H$2:$H$1166,MATCH(MAX(COUNTIF($H$2:$H$1166,$H$2:$H$1166)),COUNTIF($H$2:$H$1166,$H$2:$H$1166),0)),"Unknown"),H908)</f>
        <v>Verified</v>
      </c>
      <c r="Z908" s="7" t="str">
        <f t="shared" si="101"/>
        <v>Inter-Transaction</v>
      </c>
      <c r="AA908" s="7">
        <f>IF(J908="",AVERAGE($J:$J),J908)</f>
        <v>1510.3</v>
      </c>
      <c r="AB908" s="7">
        <f>IF(N908="",AVERAGE($N:$N),N908)</f>
        <v>66</v>
      </c>
      <c r="AC908" s="7">
        <f t="shared" si="102"/>
        <v>2022</v>
      </c>
      <c r="AD908" s="7">
        <f t="shared" si="103"/>
        <v>8</v>
      </c>
      <c r="AE908" s="7">
        <f>COUNTIF(A:A,A908)</f>
        <v>1</v>
      </c>
      <c r="AF908" s="7" t="str">
        <f t="shared" si="104"/>
        <v/>
      </c>
    </row>
    <row r="909" spans="1:32">
      <c r="A909" t="s">
        <v>2761</v>
      </c>
      <c r="B909">
        <v>32642542</v>
      </c>
      <c r="C909" t="s">
        <v>2762</v>
      </c>
      <c r="D909" t="s">
        <v>1619</v>
      </c>
      <c r="F909" t="s">
        <v>53</v>
      </c>
      <c r="G909" t="s">
        <v>35</v>
      </c>
      <c r="H909" t="s">
        <v>74</v>
      </c>
      <c r="I909" t="s">
        <v>3376</v>
      </c>
      <c r="J909">
        <v>12360.48</v>
      </c>
      <c r="K909" t="s">
        <v>27</v>
      </c>
      <c r="L909" t="s">
        <v>75</v>
      </c>
      <c r="M909" s="1">
        <v>46180.206250000003</v>
      </c>
      <c r="N909">
        <v>46</v>
      </c>
      <c r="O909" t="s">
        <v>37</v>
      </c>
      <c r="P909" t="s">
        <v>37</v>
      </c>
      <c r="Q909" t="s">
        <v>2763</v>
      </c>
      <c r="R909">
        <f t="shared" si="98"/>
        <v>32642542</v>
      </c>
      <c r="S909" t="str" cm="1">
        <f t="array" ref="S909">IF(C909="",IFERROR(INDEX($C$2:$C$1166,MATCH(MAX(COUNTIF($C$2:$C$1166,$C$2:$C$1166)),COUNTIF($C$2:$C$1166,$C$2:$C$1166),0)),"Unknown"),C909)</f>
        <v>Barbara Moore</v>
      </c>
      <c r="T909" s="4" t="str" cm="1">
        <f t="array" ref="T909">IF(D909="",IFERROR(INDEX($D$2:$D$1000,MATCH(MAX(COUNTIF($D$2:$D$1166,$D$2:$D$1166)),COUNTIF($D$2:$D$1166,$D$2:$D$1166),0)),"Unknown"),D909)</f>
        <v>Elizabeth Anderson</v>
      </c>
      <c r="U909" t="str">
        <f t="shared" si="99"/>
        <v>AED</v>
      </c>
      <c r="V909" s="7" t="str">
        <f t="shared" si="99"/>
        <v>EUR</v>
      </c>
      <c r="W909" s="7" t="str">
        <f t="shared" si="100"/>
        <v>South Africa</v>
      </c>
      <c r="X909" s="7" t="str">
        <f t="shared" si="100"/>
        <v>South Africa</v>
      </c>
      <c r="Y909" s="7" t="str" cm="1">
        <f t="array" ref="Y909">IF(H909="",IFERROR(INDEX($H$2:$H$1166,MATCH(MAX(COUNTIF($H$2:$H$1166,$H$2:$H$1166)),COUNTIF($H$2:$H$1166,$H$2:$H$1166),0)),"Unknown"),H909)</f>
        <v>Non-KYC</v>
      </c>
      <c r="Z909" s="7" t="str">
        <f t="shared" si="101"/>
        <v>Internal</v>
      </c>
      <c r="AA909" s="7">
        <f>IF(J909="",AVERAGE($J:$J),J909)</f>
        <v>12360.48</v>
      </c>
      <c r="AB909" s="7">
        <f>IF(N909="",AVERAGE($N:$N),N909)</f>
        <v>46</v>
      </c>
      <c r="AC909" s="7">
        <f t="shared" si="102"/>
        <v>2026</v>
      </c>
      <c r="AD909" s="7">
        <f t="shared" si="103"/>
        <v>6</v>
      </c>
      <c r="AE909" s="7">
        <f>COUNTIF(A:A,A909)</f>
        <v>1</v>
      </c>
      <c r="AF909" s="7" t="str">
        <f t="shared" si="104"/>
        <v/>
      </c>
    </row>
    <row r="910" spans="1:32">
      <c r="A910" t="s">
        <v>2764</v>
      </c>
      <c r="B910">
        <v>28363062</v>
      </c>
      <c r="C910" t="s">
        <v>2765</v>
      </c>
      <c r="D910" t="s">
        <v>2766</v>
      </c>
      <c r="F910" t="s">
        <v>44</v>
      </c>
      <c r="G910" t="s">
        <v>21</v>
      </c>
      <c r="H910" t="s">
        <v>25</v>
      </c>
      <c r="I910" t="s">
        <v>3376</v>
      </c>
      <c r="J910">
        <v>5090.16</v>
      </c>
      <c r="K910" t="s">
        <v>27</v>
      </c>
      <c r="L910" t="s">
        <v>75</v>
      </c>
      <c r="M910" s="1">
        <v>46093.146527777775</v>
      </c>
      <c r="N910">
        <v>80</v>
      </c>
      <c r="O910" t="s">
        <v>23</v>
      </c>
      <c r="P910" t="s">
        <v>54</v>
      </c>
      <c r="Q910" t="s">
        <v>2767</v>
      </c>
      <c r="R910">
        <f t="shared" si="98"/>
        <v>28363062</v>
      </c>
      <c r="S910" t="str" cm="1">
        <f t="array" ref="S910">IF(C910="",IFERROR(INDEX($C$2:$C$1166,MATCH(MAX(COUNTIF($C$2:$C$1166,$C$2:$C$1166)),COUNTIF($C$2:$C$1166,$C$2:$C$1166),0)),"Unknown"),C910)</f>
        <v xml:space="preserve">  JESSICA MOORE </v>
      </c>
      <c r="T910" s="4" t="str" cm="1">
        <f t="array" ref="T910">IF(D910="",IFERROR(INDEX($D$2:$D$1000,MATCH(MAX(COUNTIF($D$2:$D$1166,$D$2:$D$1166)),COUNTIF($D$2:$D$1166,$D$2:$D$1166),0)),"Unknown"),D910)</f>
        <v xml:space="preserve"> christopher johnson   </v>
      </c>
      <c r="U910" t="str">
        <f t="shared" si="99"/>
        <v>SGD</v>
      </c>
      <c r="V910" s="7" t="str">
        <f t="shared" si="99"/>
        <v>GBP</v>
      </c>
      <c r="W910" s="7" t="str">
        <f t="shared" si="100"/>
        <v>France</v>
      </c>
      <c r="X910" s="7" t="str">
        <f t="shared" si="100"/>
        <v>India</v>
      </c>
      <c r="Y910" s="7" t="str" cm="1">
        <f t="array" ref="Y910">IF(H910="",IFERROR(INDEX($H$2:$H$1166,MATCH(MAX(COUNTIF($H$2:$H$1166,$H$2:$H$1166)),COUNTIF($H$2:$H$1166,$H$2:$H$1166),0)),"Unknown"),H910)</f>
        <v>KYC</v>
      </c>
      <c r="Z910" s="7" t="str">
        <f t="shared" si="101"/>
        <v>Internal</v>
      </c>
      <c r="AA910" s="7">
        <f>IF(J910="",AVERAGE($J:$J),J910)</f>
        <v>5090.16</v>
      </c>
      <c r="AB910" s="7">
        <f>IF(N910="",AVERAGE($N:$N),N910)</f>
        <v>80</v>
      </c>
      <c r="AC910" s="7">
        <f t="shared" si="102"/>
        <v>2026</v>
      </c>
      <c r="AD910" s="7">
        <f t="shared" si="103"/>
        <v>3</v>
      </c>
      <c r="AE910" s="7">
        <f>COUNTIF(A:A,A910)</f>
        <v>1</v>
      </c>
      <c r="AF910" s="7" t="str">
        <f t="shared" si="104"/>
        <v/>
      </c>
    </row>
    <row r="911" spans="1:32">
      <c r="A911" t="s">
        <v>2768</v>
      </c>
      <c r="B911">
        <v>12147945</v>
      </c>
      <c r="C911" t="s">
        <v>120</v>
      </c>
      <c r="D911" t="s">
        <v>228</v>
      </c>
      <c r="F911" t="s">
        <v>686</v>
      </c>
      <c r="G911" t="s">
        <v>294</v>
      </c>
      <c r="H911" t="s">
        <v>56</v>
      </c>
      <c r="I911" t="s">
        <v>3374</v>
      </c>
      <c r="J911">
        <v>1417.01</v>
      </c>
      <c r="K911" t="s">
        <v>47</v>
      </c>
      <c r="L911" t="s">
        <v>81</v>
      </c>
      <c r="M911" s="1">
        <v>45947.04583333333</v>
      </c>
      <c r="N911">
        <v>39</v>
      </c>
      <c r="O911" t="s">
        <v>24</v>
      </c>
      <c r="P911" t="s">
        <v>24</v>
      </c>
      <c r="Q911" t="s">
        <v>2769</v>
      </c>
      <c r="R911">
        <f t="shared" si="98"/>
        <v>12147945</v>
      </c>
      <c r="S911" t="str" cm="1">
        <f t="array" ref="S911">IF(C911="",IFERROR(INDEX($C$2:$C$1166,MATCH(MAX(COUNTIF($C$2:$C$1166,$C$2:$C$1166)),COUNTIF($C$2:$C$1166,$C$2:$C$1166),0)),"Unknown"),C911)</f>
        <v>Amir Silva</v>
      </c>
      <c r="T911" s="4" t="str" cm="1">
        <f t="array" ref="T911">IF(D911="",IFERROR(INDEX($D$2:$D$1000,MATCH(MAX(COUNTIF($D$2:$D$1166,$D$2:$D$1166)),COUNTIF($D$2:$D$1166,$D$2:$D$1166),0)),"Unknown"),D911)</f>
        <v>Mary Jackson</v>
      </c>
      <c r="U911" t="str">
        <f t="shared" si="99"/>
        <v>sgd</v>
      </c>
      <c r="V911" s="7" t="str">
        <f t="shared" si="99"/>
        <v>jpy</v>
      </c>
      <c r="W911" s="7" t="str">
        <f t="shared" si="100"/>
        <v>Brazil</v>
      </c>
      <c r="X911" s="7" t="str">
        <f t="shared" si="100"/>
        <v>Brazil</v>
      </c>
      <c r="Y911" s="7" t="str" cm="1">
        <f t="array" ref="Y911">IF(H911="",IFERROR(INDEX($H$2:$H$1166,MATCH(MAX(COUNTIF($H$2:$H$1166,$H$2:$H$1166)),COUNTIF($H$2:$H$1166,$H$2:$H$1166),0)),"Unknown"),H911)</f>
        <v>Unverified</v>
      </c>
      <c r="Z911" s="7" t="str">
        <f t="shared" si="101"/>
        <v>External</v>
      </c>
      <c r="AA911" s="7">
        <f>IF(J911="",AVERAGE($J:$J),J911)</f>
        <v>1417.01</v>
      </c>
      <c r="AB911" s="7">
        <f>IF(N911="",AVERAGE($N:$N),N911)</f>
        <v>39</v>
      </c>
      <c r="AC911" s="7">
        <f t="shared" si="102"/>
        <v>2025</v>
      </c>
      <c r="AD911" s="7">
        <f t="shared" si="103"/>
        <v>10</v>
      </c>
      <c r="AE911" s="7">
        <f>COUNTIF(A:A,A911)</f>
        <v>1</v>
      </c>
      <c r="AF911" s="7" t="str">
        <f t="shared" si="104"/>
        <v/>
      </c>
    </row>
    <row r="912" spans="1:32">
      <c r="A912" t="s">
        <v>2770</v>
      </c>
      <c r="B912">
        <v>97486496</v>
      </c>
      <c r="C912" t="s">
        <v>240</v>
      </c>
      <c r="D912" t="s">
        <v>1579</v>
      </c>
      <c r="G912" t="s">
        <v>44</v>
      </c>
      <c r="H912" t="s">
        <v>25</v>
      </c>
      <c r="I912" t="s">
        <v>3378</v>
      </c>
      <c r="J912">
        <v>9890.23</v>
      </c>
      <c r="K912" t="s">
        <v>86</v>
      </c>
      <c r="L912" t="s">
        <v>75</v>
      </c>
      <c r="M912" s="1">
        <v>44223.407638888886</v>
      </c>
      <c r="N912">
        <v>43</v>
      </c>
      <c r="O912" t="s">
        <v>24</v>
      </c>
      <c r="P912" t="s">
        <v>37</v>
      </c>
      <c r="Q912" t="s">
        <v>2771</v>
      </c>
      <c r="R912">
        <f t="shared" si="98"/>
        <v>97486496</v>
      </c>
      <c r="S912" t="str" cm="1">
        <f t="array" ref="S912">IF(C912="",IFERROR(INDEX($C$2:$C$1166,MATCH(MAX(COUNTIF($C$2:$C$1166,$C$2:$C$1166)),COUNTIF($C$2:$C$1166,$C$2:$C$1166),0)),"Unknown"),C912)</f>
        <v>Zayn Lopez</v>
      </c>
      <c r="T912" s="4" t="str" cm="1">
        <f t="array" ref="T912">IF(D912="",IFERROR(INDEX($D$2:$D$1000,MATCH(MAX(COUNTIF($D$2:$D$1166,$D$2:$D$1166)),COUNTIF($D$2:$D$1166,$D$2:$D$1166),0)),"Unknown"),D912)</f>
        <v>Carlos Wilson</v>
      </c>
      <c r="U912" t="str">
        <f t="shared" si="99"/>
        <v/>
      </c>
      <c r="V912" s="7" t="str">
        <f t="shared" si="99"/>
        <v>SGD</v>
      </c>
      <c r="W912" s="7" t="str">
        <f t="shared" si="100"/>
        <v>Brazil</v>
      </c>
      <c r="X912" s="7" t="str">
        <f t="shared" si="100"/>
        <v>South Africa</v>
      </c>
      <c r="Y912" s="7" t="str" cm="1">
        <f t="array" ref="Y912">IF(H912="",IFERROR(INDEX($H$2:$H$1166,MATCH(MAX(COUNTIF($H$2:$H$1166,$H$2:$H$1166)),COUNTIF($H$2:$H$1166,$H$2:$H$1166),0)),"Unknown"),H912)</f>
        <v>KYC</v>
      </c>
      <c r="Z912" s="7" t="str">
        <f t="shared" si="101"/>
        <v>Inter-Transaction</v>
      </c>
      <c r="AA912" s="7">
        <f>IF(J912="",AVERAGE($J:$J),J912)</f>
        <v>9890.23</v>
      </c>
      <c r="AB912" s="7">
        <f>IF(N912="",AVERAGE($N:$N),N912)</f>
        <v>43</v>
      </c>
      <c r="AC912" s="7">
        <f t="shared" si="102"/>
        <v>2021</v>
      </c>
      <c r="AD912" s="7">
        <f t="shared" si="103"/>
        <v>1</v>
      </c>
      <c r="AE912" s="7">
        <f>COUNTIF(A:A,A912)</f>
        <v>1</v>
      </c>
      <c r="AF912" s="7" t="str">
        <f t="shared" si="104"/>
        <v/>
      </c>
    </row>
    <row r="913" spans="1:32">
      <c r="A913" t="s">
        <v>2772</v>
      </c>
      <c r="B913">
        <v>54898716</v>
      </c>
      <c r="C913" t="s">
        <v>668</v>
      </c>
      <c r="D913" t="s">
        <v>2186</v>
      </c>
      <c r="F913" t="s">
        <v>294</v>
      </c>
      <c r="G913" t="s">
        <v>92</v>
      </c>
      <c r="H913" t="s">
        <v>103</v>
      </c>
      <c r="I913" t="s">
        <v>3377</v>
      </c>
      <c r="J913">
        <v>3426.13</v>
      </c>
      <c r="K913" t="s">
        <v>47</v>
      </c>
      <c r="L913" t="s">
        <v>81</v>
      </c>
      <c r="M913" s="1">
        <v>44939.40902777778</v>
      </c>
      <c r="N913">
        <v>45</v>
      </c>
      <c r="O913" t="s">
        <v>127</v>
      </c>
      <c r="P913" t="s">
        <v>127</v>
      </c>
      <c r="Q913" t="s">
        <v>2773</v>
      </c>
      <c r="R913">
        <f t="shared" si="98"/>
        <v>54898716</v>
      </c>
      <c r="S913" t="str" cm="1">
        <f t="array" ref="S913">IF(C913="",IFERROR(INDEX($C$2:$C$1166,MATCH(MAX(COUNTIF($C$2:$C$1166,$C$2:$C$1166)),COUNTIF($C$2:$C$1166,$C$2:$C$1166),0)),"Unknown"),C913)</f>
        <v>Mary Rostova</v>
      </c>
      <c r="T913" s="4" t="str" cm="1">
        <f t="array" ref="T913">IF(D913="",IFERROR(INDEX($D$2:$D$1000,MATCH(MAX(COUNTIF($D$2:$D$1166,$D$2:$D$1166)),COUNTIF($D$2:$D$1166,$D$2:$D$1166),0)),"Unknown"),D913)</f>
        <v>Thomas Nair</v>
      </c>
      <c r="U913" t="str">
        <f t="shared" si="99"/>
        <v>jpy</v>
      </c>
      <c r="V913" s="7" t="str">
        <f t="shared" si="99"/>
        <v>AUD</v>
      </c>
      <c r="W913" s="7" t="str">
        <f t="shared" si="100"/>
        <v>Canada</v>
      </c>
      <c r="X913" s="7" t="str">
        <f t="shared" si="100"/>
        <v>Canada</v>
      </c>
      <c r="Y913" s="7" t="str" cm="1">
        <f t="array" ref="Y913">IF(H913="",IFERROR(INDEX($H$2:$H$1166,MATCH(MAX(COUNTIF($H$2:$H$1166,$H$2:$H$1166)),COUNTIF($H$2:$H$1166,$H$2:$H$1166),0)),"Unknown"),H913)</f>
        <v>Verified</v>
      </c>
      <c r="Z913" s="7" t="str">
        <f t="shared" si="101"/>
        <v>Inter-Transaction</v>
      </c>
      <c r="AA913" s="7">
        <f>IF(J913="",AVERAGE($J:$J),J913)</f>
        <v>3426.13</v>
      </c>
      <c r="AB913" s="7">
        <f>IF(N913="",AVERAGE($N:$N),N913)</f>
        <v>45</v>
      </c>
      <c r="AC913" s="7">
        <f t="shared" si="102"/>
        <v>2023</v>
      </c>
      <c r="AD913" s="7">
        <f t="shared" si="103"/>
        <v>1</v>
      </c>
      <c r="AE913" s="7">
        <f>COUNTIF(A:A,A913)</f>
        <v>1</v>
      </c>
      <c r="AF913" s="7" t="str">
        <f t="shared" si="104"/>
        <v/>
      </c>
    </row>
    <row r="914" spans="1:32">
      <c r="A914" t="s">
        <v>2774</v>
      </c>
      <c r="B914">
        <v>64297985</v>
      </c>
      <c r="C914" t="s">
        <v>1220</v>
      </c>
      <c r="D914" t="s">
        <v>1433</v>
      </c>
      <c r="F914" t="s">
        <v>98</v>
      </c>
      <c r="G914" t="s">
        <v>21</v>
      </c>
      <c r="I914" t="s">
        <v>3378</v>
      </c>
      <c r="J914">
        <v>11643.76</v>
      </c>
      <c r="K914" t="s">
        <v>27</v>
      </c>
      <c r="L914" t="s">
        <v>28</v>
      </c>
      <c r="M914" s="1">
        <v>44097.686805555553</v>
      </c>
      <c r="N914">
        <v>66</v>
      </c>
      <c r="O914" t="s">
        <v>62</v>
      </c>
      <c r="P914" t="s">
        <v>68</v>
      </c>
      <c r="Q914" t="s">
        <v>2775</v>
      </c>
      <c r="R914">
        <f t="shared" si="98"/>
        <v>64297985</v>
      </c>
      <c r="S914" t="str" cm="1">
        <f t="array" ref="S914">IF(C914="",IFERROR(INDEX($C$2:$C$1166,MATCH(MAX(COUNTIF($C$2:$C$1166,$C$2:$C$1166)),COUNTIF($C$2:$C$1166,$C$2:$C$1166),0)),"Unknown"),C914)</f>
        <v>Sarah Rostova</v>
      </c>
      <c r="T914" s="4" t="str" cm="1">
        <f t="array" ref="T914">IF(D914="",IFERROR(INDEX($D$2:$D$1000,MATCH(MAX(COUNTIF($D$2:$D$1166,$D$2:$D$1166)),COUNTIF($D$2:$D$1166,$D$2:$D$1166),0)),"Unknown"),D914)</f>
        <v>Lucas Volkov</v>
      </c>
      <c r="U914" t="str">
        <f t="shared" si="99"/>
        <v>JPY</v>
      </c>
      <c r="V914" s="7" t="str">
        <f t="shared" si="99"/>
        <v>GBP</v>
      </c>
      <c r="W914" s="7" t="str">
        <f t="shared" si="100"/>
        <v>Australia</v>
      </c>
      <c r="X914" s="7" t="str">
        <f t="shared" si="100"/>
        <v>UAE</v>
      </c>
      <c r="Y914" s="7" t="str" cm="1">
        <f t="array" ref="Y914">IF(H914="",IFERROR(INDEX($H$2:$H$1166,MATCH(MAX(COUNTIF($H$2:$H$1166,$H$2:$H$1166)),COUNTIF($H$2:$H$1166,$H$2:$H$1166),0)),"Unknown"),H914)</f>
        <v>Pending</v>
      </c>
      <c r="Z914" s="7" t="str">
        <f t="shared" si="101"/>
        <v>Inter-Transaction</v>
      </c>
      <c r="AA914" s="7">
        <f>IF(J914="",AVERAGE($J:$J),J914)</f>
        <v>11643.76</v>
      </c>
      <c r="AB914" s="7">
        <f>IF(N914="",AVERAGE($N:$N),N914)</f>
        <v>66</v>
      </c>
      <c r="AC914" s="7">
        <f t="shared" si="102"/>
        <v>2020</v>
      </c>
      <c r="AD914" s="7">
        <f t="shared" si="103"/>
        <v>9</v>
      </c>
      <c r="AE914" s="7">
        <f>COUNTIF(A:A,A914)</f>
        <v>1</v>
      </c>
      <c r="AF914" s="7" t="str">
        <f t="shared" si="104"/>
        <v/>
      </c>
    </row>
    <row r="915" spans="1:32">
      <c r="A915" t="s">
        <v>2776</v>
      </c>
      <c r="B915">
        <v>61970557</v>
      </c>
      <c r="C915" t="s">
        <v>2296</v>
      </c>
      <c r="D915" t="s">
        <v>1179</v>
      </c>
      <c r="F915" t="s">
        <v>53</v>
      </c>
      <c r="G915" t="s">
        <v>45</v>
      </c>
      <c r="H915" t="s">
        <v>56</v>
      </c>
      <c r="I915" t="s">
        <v>3372</v>
      </c>
      <c r="J915">
        <v>370.82</v>
      </c>
      <c r="K915" t="s">
        <v>57</v>
      </c>
      <c r="L915" t="s">
        <v>75</v>
      </c>
      <c r="M915" s="1">
        <v>44923.874305555553</v>
      </c>
      <c r="N915">
        <v>66</v>
      </c>
      <c r="O915" t="s">
        <v>127</v>
      </c>
      <c r="P915" t="s">
        <v>55</v>
      </c>
      <c r="Q915" t="s">
        <v>2777</v>
      </c>
      <c r="R915">
        <f t="shared" si="98"/>
        <v>61970557</v>
      </c>
      <c r="S915" t="str" cm="1">
        <f t="array" ref="S915">IF(C915="",IFERROR(INDEX($C$2:$C$1166,MATCH(MAX(COUNTIF($C$2:$C$1166,$C$2:$C$1166)),COUNTIF($C$2:$C$1166,$C$2:$C$1166),0)),"Unknown"),C915)</f>
        <v>Sarah Dubois</v>
      </c>
      <c r="T915" s="4" t="str" cm="1">
        <f t="array" ref="T915">IF(D915="",IFERROR(INDEX($D$2:$D$1000,MATCH(MAX(COUNTIF($D$2:$D$1166,$D$2:$D$1166)),COUNTIF($D$2:$D$1166,$D$2:$D$1166),0)),"Unknown"),D915)</f>
        <v>William Jackson</v>
      </c>
      <c r="U915" t="str">
        <f t="shared" si="99"/>
        <v>AED</v>
      </c>
      <c r="V915" s="7" t="str">
        <f t="shared" si="99"/>
        <v>ZAR</v>
      </c>
      <c r="W915" s="7" t="str">
        <f t="shared" si="100"/>
        <v>Canada</v>
      </c>
      <c r="X915" s="7" t="str">
        <f t="shared" si="100"/>
        <v>UK</v>
      </c>
      <c r="Y915" s="7" t="str" cm="1">
        <f t="array" ref="Y915">IF(H915="",IFERROR(INDEX($H$2:$H$1166,MATCH(MAX(COUNTIF($H$2:$H$1166,$H$2:$H$1166)),COUNTIF($H$2:$H$1166,$H$2:$H$1166),0)),"Unknown"),H915)</f>
        <v>Unverified</v>
      </c>
      <c r="Z915" s="7" t="str">
        <f t="shared" si="101"/>
        <v>Outer-Transaction</v>
      </c>
      <c r="AA915" s="7">
        <f>IF(J915="",AVERAGE($J:$J),J915)</f>
        <v>370.82</v>
      </c>
      <c r="AB915" s="7">
        <f>IF(N915="",AVERAGE($N:$N),N915)</f>
        <v>66</v>
      </c>
      <c r="AC915" s="7">
        <f t="shared" si="102"/>
        <v>2022</v>
      </c>
      <c r="AD915" s="7">
        <f t="shared" si="103"/>
        <v>12</v>
      </c>
      <c r="AE915" s="7">
        <f>COUNTIF(A:A,A915)</f>
        <v>1</v>
      </c>
      <c r="AF915" s="7" t="str">
        <f t="shared" si="104"/>
        <v/>
      </c>
    </row>
    <row r="916" spans="1:32">
      <c r="A916" t="s">
        <v>2778</v>
      </c>
      <c r="B916">
        <v>85300766</v>
      </c>
      <c r="C916" t="s">
        <v>1087</v>
      </c>
      <c r="D916" t="s">
        <v>1689</v>
      </c>
      <c r="F916" t="s">
        <v>92</v>
      </c>
      <c r="G916" t="s">
        <v>45</v>
      </c>
      <c r="H916" t="s">
        <v>25</v>
      </c>
      <c r="I916" t="s">
        <v>3372</v>
      </c>
      <c r="J916">
        <v>11447.46</v>
      </c>
      <c r="K916" t="s">
        <v>27</v>
      </c>
      <c r="L916" t="s">
        <v>28</v>
      </c>
      <c r="M916" s="1">
        <v>44441.5</v>
      </c>
      <c r="N916">
        <v>37</v>
      </c>
      <c r="O916" t="s">
        <v>127</v>
      </c>
      <c r="P916" t="s">
        <v>55</v>
      </c>
      <c r="Q916" t="s">
        <v>2779</v>
      </c>
      <c r="R916">
        <f t="shared" si="98"/>
        <v>85300766</v>
      </c>
      <c r="S916" t="str" cm="1">
        <f t="array" ref="S916">IF(C916="",IFERROR(INDEX($C$2:$C$1166,MATCH(MAX(COUNTIF($C$2:$C$1166,$C$2:$C$1166)),COUNTIF($C$2:$C$1166,$C$2:$C$1166),0)),"Unknown"),C916)</f>
        <v>Jessica Dubois</v>
      </c>
      <c r="T916" s="4" t="str" cm="1">
        <f t="array" ref="T916">IF(D916="",IFERROR(INDEX($D$2:$D$1000,MATCH(MAX(COUNTIF($D$2:$D$1166,$D$2:$D$1166)),COUNTIF($D$2:$D$1166,$D$2:$D$1166),0)),"Unknown"),D916)</f>
        <v xml:space="preserve"> elena dubois   </v>
      </c>
      <c r="U916" t="str">
        <f t="shared" si="99"/>
        <v>AUD</v>
      </c>
      <c r="V916" s="7" t="str">
        <f t="shared" si="99"/>
        <v>ZAR</v>
      </c>
      <c r="W916" s="7" t="str">
        <f t="shared" si="100"/>
        <v>Canada</v>
      </c>
      <c r="X916" s="7" t="str">
        <f t="shared" si="100"/>
        <v>UK</v>
      </c>
      <c r="Y916" s="7" t="str" cm="1">
        <f t="array" ref="Y916">IF(H916="",IFERROR(INDEX($H$2:$H$1166,MATCH(MAX(COUNTIF($H$2:$H$1166,$H$2:$H$1166)),COUNTIF($H$2:$H$1166,$H$2:$H$1166),0)),"Unknown"),H916)</f>
        <v>KYC</v>
      </c>
      <c r="Z916" s="7" t="str">
        <f t="shared" si="101"/>
        <v>Outer-Transaction</v>
      </c>
      <c r="AA916" s="7">
        <f>IF(J916="",AVERAGE($J:$J),J916)</f>
        <v>11447.46</v>
      </c>
      <c r="AB916" s="7">
        <f>IF(N916="",AVERAGE($N:$N),N916)</f>
        <v>37</v>
      </c>
      <c r="AC916" s="7">
        <f t="shared" si="102"/>
        <v>2021</v>
      </c>
      <c r="AD916" s="7">
        <f t="shared" si="103"/>
        <v>9</v>
      </c>
      <c r="AE916" s="7">
        <f>COUNTIF(A:A,A916)</f>
        <v>1</v>
      </c>
      <c r="AF916" s="7" t="str">
        <f t="shared" si="104"/>
        <v/>
      </c>
    </row>
    <row r="917" spans="1:32">
      <c r="A917" t="s">
        <v>2780</v>
      </c>
      <c r="B917">
        <v>82008855</v>
      </c>
      <c r="C917" t="s">
        <v>2166</v>
      </c>
      <c r="D917" t="s">
        <v>745</v>
      </c>
      <c r="F917" t="s">
        <v>92</v>
      </c>
      <c r="G917" t="s">
        <v>22</v>
      </c>
      <c r="H917" t="s">
        <v>56</v>
      </c>
      <c r="I917" t="s">
        <v>3374</v>
      </c>
      <c r="J917">
        <v>13717.16</v>
      </c>
      <c r="K917" t="s">
        <v>86</v>
      </c>
      <c r="L917" t="s">
        <v>81</v>
      </c>
      <c r="M917" s="1">
        <v>45201.031944444447</v>
      </c>
      <c r="N917">
        <v>80</v>
      </c>
      <c r="O917" t="s">
        <v>23</v>
      </c>
      <c r="P917" t="s">
        <v>62</v>
      </c>
      <c r="Q917" t="s">
        <v>2781</v>
      </c>
      <c r="R917">
        <f t="shared" si="98"/>
        <v>82008855</v>
      </c>
      <c r="S917" t="str" cm="1">
        <f t="array" ref="S917">IF(C917="",IFERROR(INDEX($C$2:$C$1166,MATCH(MAX(COUNTIF($C$2:$C$1166,$C$2:$C$1166)),COUNTIF($C$2:$C$1166,$C$2:$C$1166),0)),"Unknown"),C917)</f>
        <v>Priya Garcia</v>
      </c>
      <c r="T917" s="4" t="str" cm="1">
        <f t="array" ref="T917">IF(D917="",IFERROR(INDEX($D$2:$D$1000,MATCH(MAX(COUNTIF($D$2:$D$1166,$D$2:$D$1166)),COUNTIF($D$2:$D$1166,$D$2:$D$1166),0)),"Unknown"),D917)</f>
        <v>Sarah Brown</v>
      </c>
      <c r="U917" t="str">
        <f t="shared" si="99"/>
        <v>AUD</v>
      </c>
      <c r="V917" s="7" t="str">
        <f t="shared" si="99"/>
        <v>BRL</v>
      </c>
      <c r="W917" s="7" t="str">
        <f t="shared" si="100"/>
        <v>France</v>
      </c>
      <c r="X917" s="7" t="str">
        <f t="shared" si="100"/>
        <v>Australia</v>
      </c>
      <c r="Y917" s="7" t="str" cm="1">
        <f t="array" ref="Y917">IF(H917="",IFERROR(INDEX($H$2:$H$1166,MATCH(MAX(COUNTIF($H$2:$H$1166,$H$2:$H$1166)),COUNTIF($H$2:$H$1166,$H$2:$H$1166),0)),"Unknown"),H917)</f>
        <v>Unverified</v>
      </c>
      <c r="Z917" s="7" t="str">
        <f t="shared" si="101"/>
        <v>External</v>
      </c>
      <c r="AA917" s="7">
        <f>IF(J917="",AVERAGE($J:$J),J917)</f>
        <v>13717.16</v>
      </c>
      <c r="AB917" s="7">
        <f>IF(N917="",AVERAGE($N:$N),N917)</f>
        <v>80</v>
      </c>
      <c r="AC917" s="7">
        <f t="shared" si="102"/>
        <v>2023</v>
      </c>
      <c r="AD917" s="7">
        <f t="shared" si="103"/>
        <v>10</v>
      </c>
      <c r="AE917" s="7">
        <f>COUNTIF(A:A,A917)</f>
        <v>1</v>
      </c>
      <c r="AF917" s="7" t="str">
        <f t="shared" si="104"/>
        <v/>
      </c>
    </row>
    <row r="918" spans="1:32">
      <c r="A918" t="s">
        <v>2782</v>
      </c>
      <c r="B918">
        <v>99237139</v>
      </c>
      <c r="C918" t="s">
        <v>2783</v>
      </c>
      <c r="D918" t="s">
        <v>322</v>
      </c>
      <c r="F918" t="s">
        <v>34</v>
      </c>
      <c r="G918" t="s">
        <v>53</v>
      </c>
      <c r="H918" t="s">
        <v>38</v>
      </c>
      <c r="I918" t="s">
        <v>3376</v>
      </c>
      <c r="J918">
        <v>14676.14</v>
      </c>
      <c r="K918" t="s">
        <v>39</v>
      </c>
      <c r="L918" t="s">
        <v>28</v>
      </c>
      <c r="M918" s="1">
        <v>44839.025694444441</v>
      </c>
      <c r="N918">
        <v>78</v>
      </c>
      <c r="O918" t="s">
        <v>36</v>
      </c>
      <c r="P918" t="s">
        <v>23</v>
      </c>
      <c r="Q918" t="s">
        <v>2784</v>
      </c>
      <c r="R918">
        <f t="shared" si="98"/>
        <v>99237139</v>
      </c>
      <c r="S918" t="str" cm="1">
        <f t="array" ref="S918">IF(C918="",IFERROR(INDEX($C$2:$C$1166,MATCH(MAX(COUNTIF($C$2:$C$1166,$C$2:$C$1166)),COUNTIF($C$2:$C$1166,$C$2:$C$1166),0)),"Unknown"),C918)</f>
        <v>Elizabeth Volkov</v>
      </c>
      <c r="T918" s="4" t="str" cm="1">
        <f t="array" ref="T918">IF(D918="",IFERROR(INDEX($D$2:$D$1000,MATCH(MAX(COUNTIF($D$2:$D$1166,$D$2:$D$1166)),COUNTIF($D$2:$D$1166,$D$2:$D$1166),0)),"Unknown"),D918)</f>
        <v>Robert Velez</v>
      </c>
      <c r="U918" t="str">
        <f t="shared" si="99"/>
        <v>CAD</v>
      </c>
      <c r="V918" s="7" t="str">
        <f t="shared" si="99"/>
        <v>AED</v>
      </c>
      <c r="W918" s="7" t="str">
        <f t="shared" si="100"/>
        <v>Germany</v>
      </c>
      <c r="X918" s="7" t="str">
        <f t="shared" si="100"/>
        <v>France</v>
      </c>
      <c r="Y918" s="7" t="str" cm="1">
        <f t="array" ref="Y918">IF(H918="",IFERROR(INDEX($H$2:$H$1166,MATCH(MAX(COUNTIF($H$2:$H$1166,$H$2:$H$1166)),COUNTIF($H$2:$H$1166,$H$2:$H$1166),0)),"Unknown"),H918)</f>
        <v>Pending</v>
      </c>
      <c r="Z918" s="7" t="str">
        <f t="shared" si="101"/>
        <v>Internal</v>
      </c>
      <c r="AA918" s="7">
        <f>IF(J918="",AVERAGE($J:$J),J918)</f>
        <v>14676.14</v>
      </c>
      <c r="AB918" s="7">
        <f>IF(N918="",AVERAGE($N:$N),N918)</f>
        <v>78</v>
      </c>
      <c r="AC918" s="7">
        <f t="shared" si="102"/>
        <v>2022</v>
      </c>
      <c r="AD918" s="7">
        <f t="shared" si="103"/>
        <v>10</v>
      </c>
      <c r="AE918" s="7">
        <f>COUNTIF(A:A,A918)</f>
        <v>1</v>
      </c>
      <c r="AF918" s="7" t="str">
        <f t="shared" si="104"/>
        <v/>
      </c>
    </row>
    <row r="919" spans="1:32">
      <c r="A919" t="s">
        <v>2785</v>
      </c>
      <c r="B919">
        <v>81202765</v>
      </c>
      <c r="D919" t="s">
        <v>297</v>
      </c>
      <c r="F919" t="s">
        <v>22</v>
      </c>
      <c r="G919" t="s">
        <v>176</v>
      </c>
      <c r="I919" t="s">
        <v>3374</v>
      </c>
      <c r="J919">
        <v>1139.42</v>
      </c>
      <c r="K919" t="s">
        <v>27</v>
      </c>
      <c r="L919" t="s">
        <v>28</v>
      </c>
      <c r="M919" s="1">
        <v>44792.540277777778</v>
      </c>
      <c r="N919">
        <v>66</v>
      </c>
      <c r="O919" t="s">
        <v>36</v>
      </c>
      <c r="P919" t="s">
        <v>24</v>
      </c>
      <c r="Q919" t="s">
        <v>2786</v>
      </c>
      <c r="R919">
        <f t="shared" si="98"/>
        <v>81202765</v>
      </c>
      <c r="S919" t="str" cm="1">
        <f t="array" ref="S919">IF(C919="",IFERROR(INDEX($C$2:$C$1166,MATCH(MAX(COUNTIF($C$2:$C$1166,$C$2:$C$1166)),COUNTIF($C$2:$C$1166,$C$2:$C$1166),0)),"Unknown"),C919)</f>
        <v>Fatima Brown</v>
      </c>
      <c r="T919" s="4" t="str" cm="1">
        <f t="array" ref="T919">IF(D919="",IFERROR(INDEX($D$2:$D$1000,MATCH(MAX(COUNTIF($D$2:$D$1166,$D$2:$D$1166)),COUNTIF($D$2:$D$1166,$D$2:$D$1166),0)),"Unknown"),D919)</f>
        <v>Elizabeth Moore</v>
      </c>
      <c r="U919" t="str">
        <f t="shared" si="99"/>
        <v>BRL</v>
      </c>
      <c r="V919" s="7" t="str">
        <f t="shared" si="99"/>
        <v>aed</v>
      </c>
      <c r="W919" s="7" t="str">
        <f t="shared" si="100"/>
        <v>Germany</v>
      </c>
      <c r="X919" s="7" t="str">
        <f t="shared" si="100"/>
        <v>Brazil</v>
      </c>
      <c r="Y919" s="7" t="str" cm="1">
        <f t="array" ref="Y919">IF(H919="",IFERROR(INDEX($H$2:$H$1166,MATCH(MAX(COUNTIF($H$2:$H$1166,$H$2:$H$1166)),COUNTIF($H$2:$H$1166,$H$2:$H$1166),0)),"Unknown"),H919)</f>
        <v>Pending</v>
      </c>
      <c r="Z919" s="7" t="str">
        <f t="shared" si="101"/>
        <v>External</v>
      </c>
      <c r="AA919" s="7">
        <f>IF(J919="",AVERAGE($J:$J),J919)</f>
        <v>1139.42</v>
      </c>
      <c r="AB919" s="7">
        <f>IF(N919="",AVERAGE($N:$N),N919)</f>
        <v>66</v>
      </c>
      <c r="AC919" s="7">
        <f t="shared" si="102"/>
        <v>2022</v>
      </c>
      <c r="AD919" s="7">
        <f t="shared" si="103"/>
        <v>8</v>
      </c>
      <c r="AE919" s="7">
        <f>COUNTIF(A:A,A919)</f>
        <v>1</v>
      </c>
      <c r="AF919" s="7" t="str">
        <f t="shared" si="104"/>
        <v/>
      </c>
    </row>
    <row r="920" spans="1:32">
      <c r="A920" t="s">
        <v>2787</v>
      </c>
      <c r="B920">
        <v>25287101</v>
      </c>
      <c r="C920" t="s">
        <v>1728</v>
      </c>
      <c r="D920" t="s">
        <v>869</v>
      </c>
      <c r="F920" t="s">
        <v>80</v>
      </c>
      <c r="G920" t="s">
        <v>35</v>
      </c>
      <c r="H920" t="s">
        <v>74</v>
      </c>
      <c r="I920" t="s">
        <v>3374</v>
      </c>
      <c r="J920">
        <v>7669.92</v>
      </c>
      <c r="K920" t="s">
        <v>57</v>
      </c>
      <c r="L920" t="s">
        <v>28</v>
      </c>
      <c r="M920" s="1">
        <v>44503.025000000001</v>
      </c>
      <c r="N920">
        <v>18</v>
      </c>
      <c r="O920" t="s">
        <v>54</v>
      </c>
      <c r="P920" t="s">
        <v>23</v>
      </c>
      <c r="Q920" t="s">
        <v>2788</v>
      </c>
      <c r="R920">
        <f t="shared" si="98"/>
        <v>25287101</v>
      </c>
      <c r="S920" t="str" cm="1">
        <f t="array" ref="S920">IF(C920="",IFERROR(INDEX($C$2:$C$1166,MATCH(MAX(COUNTIF($C$2:$C$1166,$C$2:$C$1166)),COUNTIF($C$2:$C$1166,$C$2:$C$1166),0)),"Unknown"),C920)</f>
        <v>Richard Volkov</v>
      </c>
      <c r="T920" s="4" t="str" cm="1">
        <f t="array" ref="T920">IF(D920="",IFERROR(INDEX($D$2:$D$1000,MATCH(MAX(COUNTIF($D$2:$D$1166,$D$2:$D$1166)),COUNTIF($D$2:$D$1166,$D$2:$D$1166),0)),"Unknown"),D920)</f>
        <v>Sanjay Taylor</v>
      </c>
      <c r="U920" t="str">
        <f t="shared" si="99"/>
        <v>USD</v>
      </c>
      <c r="V920" s="7" t="str">
        <f t="shared" si="99"/>
        <v>EUR</v>
      </c>
      <c r="W920" s="7" t="str">
        <f t="shared" si="100"/>
        <v>India</v>
      </c>
      <c r="X920" s="7" t="str">
        <f t="shared" si="100"/>
        <v>France</v>
      </c>
      <c r="Y920" s="7" t="str" cm="1">
        <f t="array" ref="Y920">IF(H920="",IFERROR(INDEX($H$2:$H$1166,MATCH(MAX(COUNTIF($H$2:$H$1166,$H$2:$H$1166)),COUNTIF($H$2:$H$1166,$H$2:$H$1166),0)),"Unknown"),H920)</f>
        <v>Non-KYC</v>
      </c>
      <c r="Z920" s="7" t="str">
        <f t="shared" si="101"/>
        <v>External</v>
      </c>
      <c r="AA920" s="7">
        <f>IF(J920="",AVERAGE($J:$J),J920)</f>
        <v>7669.92</v>
      </c>
      <c r="AB920" s="7">
        <f>IF(N920="",AVERAGE($N:$N),N920)</f>
        <v>18</v>
      </c>
      <c r="AC920" s="7">
        <f t="shared" si="102"/>
        <v>2021</v>
      </c>
      <c r="AD920" s="7">
        <f t="shared" si="103"/>
        <v>11</v>
      </c>
      <c r="AE920" s="7">
        <f>COUNTIF(A:A,A920)</f>
        <v>1</v>
      </c>
      <c r="AF920" s="7" t="str">
        <f t="shared" si="104"/>
        <v/>
      </c>
    </row>
    <row r="921" spans="1:32">
      <c r="A921" t="s">
        <v>2789</v>
      </c>
      <c r="B921">
        <v>69896880</v>
      </c>
      <c r="C921" t="s">
        <v>2790</v>
      </c>
      <c r="D921" t="s">
        <v>728</v>
      </c>
      <c r="F921" t="s">
        <v>98</v>
      </c>
      <c r="G921" t="s">
        <v>80</v>
      </c>
      <c r="H921" t="s">
        <v>74</v>
      </c>
      <c r="I921" t="s">
        <v>3376</v>
      </c>
      <c r="J921">
        <v>2492.41</v>
      </c>
      <c r="K921" t="s">
        <v>39</v>
      </c>
      <c r="L921" t="s">
        <v>48</v>
      </c>
      <c r="M921" s="1">
        <v>46301.353472222225</v>
      </c>
      <c r="N921">
        <v>30</v>
      </c>
      <c r="O921" t="s">
        <v>37</v>
      </c>
      <c r="P921" t="s">
        <v>37</v>
      </c>
      <c r="Q921" t="s">
        <v>2791</v>
      </c>
      <c r="R921">
        <f t="shared" si="98"/>
        <v>69896880</v>
      </c>
      <c r="S921" t="str" cm="1">
        <f t="array" ref="S921">IF(C921="",IFERROR(INDEX($C$2:$C$1166,MATCH(MAX(COUNTIF($C$2:$C$1166,$C$2:$C$1166)),COUNTIF($C$2:$C$1166,$C$2:$C$1166),0)),"Unknown"),C921)</f>
        <v xml:space="preserve">  CARLOS JOHNSON </v>
      </c>
      <c r="T921" s="4" t="str" cm="1">
        <f t="array" ref="T921">IF(D921="",IFERROR(INDEX($D$2:$D$1000,MATCH(MAX(COUNTIF($D$2:$D$1166,$D$2:$D$1166)),COUNTIF($D$2:$D$1166,$D$2:$D$1166),0)),"Unknown"),D921)</f>
        <v>William Smith</v>
      </c>
      <c r="U921" t="str">
        <f t="shared" si="99"/>
        <v>JPY</v>
      </c>
      <c r="V921" s="7" t="str">
        <f t="shared" si="99"/>
        <v>USD</v>
      </c>
      <c r="W921" s="7" t="str">
        <f t="shared" si="100"/>
        <v>South Africa</v>
      </c>
      <c r="X921" s="7" t="str">
        <f t="shared" si="100"/>
        <v>South Africa</v>
      </c>
      <c r="Y921" s="7" t="str" cm="1">
        <f t="array" ref="Y921">IF(H921="",IFERROR(INDEX($H$2:$H$1166,MATCH(MAX(COUNTIF($H$2:$H$1166,$H$2:$H$1166)),COUNTIF($H$2:$H$1166,$H$2:$H$1166),0)),"Unknown"),H921)</f>
        <v>Non-KYC</v>
      </c>
      <c r="Z921" s="7" t="str">
        <f t="shared" si="101"/>
        <v>Internal</v>
      </c>
      <c r="AA921" s="7">
        <f>IF(J921="",AVERAGE($J:$J),J921)</f>
        <v>2492.41</v>
      </c>
      <c r="AB921" s="7">
        <f>IF(N921="",AVERAGE($N:$N),N921)</f>
        <v>30</v>
      </c>
      <c r="AC921" s="7">
        <f t="shared" si="102"/>
        <v>2026</v>
      </c>
      <c r="AD921" s="7">
        <f t="shared" si="103"/>
        <v>10</v>
      </c>
      <c r="AE921" s="7">
        <f>COUNTIF(A:A,A921)</f>
        <v>1</v>
      </c>
      <c r="AF921" s="7" t="str">
        <f t="shared" si="104"/>
        <v/>
      </c>
    </row>
    <row r="922" spans="1:32">
      <c r="A922" t="s">
        <v>2792</v>
      </c>
      <c r="B922">
        <v>98552975</v>
      </c>
      <c r="D922" t="s">
        <v>2793</v>
      </c>
      <c r="G922" t="s">
        <v>45</v>
      </c>
      <c r="H922" t="s">
        <v>25</v>
      </c>
      <c r="I922" t="s">
        <v>3374</v>
      </c>
      <c r="J922">
        <v>9001.61</v>
      </c>
      <c r="K922" t="s">
        <v>39</v>
      </c>
      <c r="L922" t="s">
        <v>28</v>
      </c>
      <c r="M922" s="1">
        <v>45531.699305555558</v>
      </c>
      <c r="N922">
        <v>68</v>
      </c>
      <c r="O922" t="s">
        <v>23</v>
      </c>
      <c r="P922" t="s">
        <v>68</v>
      </c>
      <c r="Q922" t="s">
        <v>2794</v>
      </c>
      <c r="R922">
        <f t="shared" si="98"/>
        <v>98552975</v>
      </c>
      <c r="S922" t="str" cm="1">
        <f t="array" ref="S922">IF(C922="",IFERROR(INDEX($C$2:$C$1166,MATCH(MAX(COUNTIF($C$2:$C$1166,$C$2:$C$1166)),COUNTIF($C$2:$C$1166,$C$2:$C$1166),0)),"Unknown"),C922)</f>
        <v>Fatima Brown</v>
      </c>
      <c r="T922" s="4" t="str" cm="1">
        <f t="array" ref="T922">IF(D922="",IFERROR(INDEX($D$2:$D$1000,MATCH(MAX(COUNTIF($D$2:$D$1166,$D$2:$D$1166)),COUNTIF($D$2:$D$1166,$D$2:$D$1166),0)),"Unknown"),D922)</f>
        <v>Christopher Garcia</v>
      </c>
      <c r="U922" t="str">
        <f t="shared" si="99"/>
        <v/>
      </c>
      <c r="V922" s="7" t="str">
        <f t="shared" si="99"/>
        <v>ZAR</v>
      </c>
      <c r="W922" s="7" t="str">
        <f t="shared" si="100"/>
        <v>France</v>
      </c>
      <c r="X922" s="7" t="str">
        <f t="shared" si="100"/>
        <v>UAE</v>
      </c>
      <c r="Y922" s="7" t="str" cm="1">
        <f t="array" ref="Y922">IF(H922="",IFERROR(INDEX($H$2:$H$1166,MATCH(MAX(COUNTIF($H$2:$H$1166,$H$2:$H$1166)),COUNTIF($H$2:$H$1166,$H$2:$H$1166),0)),"Unknown"),H922)</f>
        <v>KYC</v>
      </c>
      <c r="Z922" s="7" t="str">
        <f t="shared" si="101"/>
        <v>External</v>
      </c>
      <c r="AA922" s="7">
        <f>IF(J922="",AVERAGE($J:$J),J922)</f>
        <v>9001.61</v>
      </c>
      <c r="AB922" s="7">
        <f>IF(N922="",AVERAGE($N:$N),N922)</f>
        <v>68</v>
      </c>
      <c r="AC922" s="7">
        <f t="shared" si="102"/>
        <v>2024</v>
      </c>
      <c r="AD922" s="7">
        <f t="shared" si="103"/>
        <v>8</v>
      </c>
      <c r="AE922" s="7">
        <f>COUNTIF(A:A,A922)</f>
        <v>1</v>
      </c>
      <c r="AF922" s="7" t="str">
        <f t="shared" si="104"/>
        <v/>
      </c>
    </row>
    <row r="923" spans="1:32">
      <c r="A923" t="s">
        <v>2795</v>
      </c>
      <c r="B923">
        <v>71242137</v>
      </c>
      <c r="C923" t="s">
        <v>943</v>
      </c>
      <c r="D923" t="s">
        <v>1039</v>
      </c>
      <c r="F923" t="s">
        <v>92</v>
      </c>
      <c r="G923" t="s">
        <v>121</v>
      </c>
      <c r="H923" t="s">
        <v>56</v>
      </c>
      <c r="I923" t="s">
        <v>3374</v>
      </c>
      <c r="J923">
        <v>9767.9</v>
      </c>
      <c r="K923" t="s">
        <v>57</v>
      </c>
      <c r="L923" t="s">
        <v>75</v>
      </c>
      <c r="M923" s="1">
        <v>45993.324999999997</v>
      </c>
      <c r="N923">
        <v>73</v>
      </c>
      <c r="O923" t="s">
        <v>54</v>
      </c>
      <c r="P923" t="s">
        <v>62</v>
      </c>
      <c r="Q923" t="s">
        <v>2796</v>
      </c>
      <c r="R923">
        <f t="shared" si="98"/>
        <v>71242137</v>
      </c>
      <c r="S923" t="str" cm="1">
        <f t="array" ref="S923">IF(C923="",IFERROR(INDEX($C$2:$C$1166,MATCH(MAX(COUNTIF($C$2:$C$1166,$C$2:$C$1166)),COUNTIF($C$2:$C$1166,$C$2:$C$1166),0)),"Unknown"),C923)</f>
        <v>Mary Nair</v>
      </c>
      <c r="T923" s="4" t="str" cm="1">
        <f t="array" ref="T923">IF(D923="",IFERROR(INDEX($D$2:$D$1000,MATCH(MAX(COUNTIF($D$2:$D$1166,$D$2:$D$1166)),COUNTIF($D$2:$D$1166,$D$2:$D$1166),0)),"Unknown"),D923)</f>
        <v>Jean-Pierre Silva</v>
      </c>
      <c r="U923" t="str">
        <f t="shared" si="99"/>
        <v>AUD</v>
      </c>
      <c r="V923" s="7" t="str">
        <f t="shared" si="99"/>
        <v>INR</v>
      </c>
      <c r="W923" s="7" t="str">
        <f t="shared" si="100"/>
        <v>India</v>
      </c>
      <c r="X923" s="7" t="str">
        <f t="shared" si="100"/>
        <v>Australia</v>
      </c>
      <c r="Y923" s="7" t="str" cm="1">
        <f t="array" ref="Y923">IF(H923="",IFERROR(INDEX($H$2:$H$1166,MATCH(MAX(COUNTIF($H$2:$H$1166,$H$2:$H$1166)),COUNTIF($H$2:$H$1166,$H$2:$H$1166),0)),"Unknown"),H923)</f>
        <v>Unverified</v>
      </c>
      <c r="Z923" s="7" t="str">
        <f t="shared" si="101"/>
        <v>External</v>
      </c>
      <c r="AA923" s="7">
        <f>IF(J923="",AVERAGE($J:$J),J923)</f>
        <v>9767.9</v>
      </c>
      <c r="AB923" s="7">
        <f>IF(N923="",AVERAGE($N:$N),N923)</f>
        <v>73</v>
      </c>
      <c r="AC923" s="7">
        <f t="shared" si="102"/>
        <v>2025</v>
      </c>
      <c r="AD923" s="7">
        <f t="shared" si="103"/>
        <v>12</v>
      </c>
      <c r="AE923" s="7">
        <f>COUNTIF(A:A,A923)</f>
        <v>2</v>
      </c>
      <c r="AF923" s="7" t="str">
        <f t="shared" si="104"/>
        <v/>
      </c>
    </row>
    <row r="924" spans="1:32">
      <c r="A924" t="s">
        <v>2797</v>
      </c>
      <c r="B924">
        <v>98265529</v>
      </c>
      <c r="C924" t="s">
        <v>1851</v>
      </c>
      <c r="D924" t="s">
        <v>2798</v>
      </c>
      <c r="F924" t="s">
        <v>116</v>
      </c>
      <c r="G924" t="s">
        <v>35</v>
      </c>
      <c r="H924" t="s">
        <v>38</v>
      </c>
      <c r="I924" t="s">
        <v>3378</v>
      </c>
      <c r="J924">
        <v>8552.44</v>
      </c>
      <c r="K924" t="s">
        <v>39</v>
      </c>
      <c r="L924" t="s">
        <v>28</v>
      </c>
      <c r="M924" s="1">
        <v>46098.621527777781</v>
      </c>
      <c r="N924">
        <v>79</v>
      </c>
      <c r="O924" t="s">
        <v>93</v>
      </c>
      <c r="P924" t="s">
        <v>36</v>
      </c>
      <c r="Q924" t="s">
        <v>2799</v>
      </c>
      <c r="R924">
        <f t="shared" si="98"/>
        <v>98265529</v>
      </c>
      <c r="S924" t="str" cm="1">
        <f t="array" ref="S924">IF(C924="",IFERROR(INDEX($C$2:$C$1166,MATCH(MAX(COUNTIF($C$2:$C$1166,$C$2:$C$1166)),COUNTIF($C$2:$C$1166,$C$2:$C$1166),0)),"Unknown"),C924)</f>
        <v>Carlos Lopez</v>
      </c>
      <c r="T924" s="4" t="str" cm="1">
        <f t="array" ref="T924">IF(D924="",IFERROR(INDEX($D$2:$D$1000,MATCH(MAX(COUNTIF($D$2:$D$1166,$D$2:$D$1166)),COUNTIF($D$2:$D$1166,$D$2:$D$1166),0)),"Unknown"),D924)</f>
        <v xml:space="preserve"> william wilson   </v>
      </c>
      <c r="U924" t="str">
        <f t="shared" si="99"/>
        <v>CHF</v>
      </c>
      <c r="V924" s="7" t="str">
        <f t="shared" si="99"/>
        <v>EUR</v>
      </c>
      <c r="W924" s="7" t="str">
        <f t="shared" si="100"/>
        <v>USA</v>
      </c>
      <c r="X924" s="7" t="str">
        <f t="shared" si="100"/>
        <v>Germany</v>
      </c>
      <c r="Y924" s="7" t="str" cm="1">
        <f t="array" ref="Y924">IF(H924="",IFERROR(INDEX($H$2:$H$1166,MATCH(MAX(COUNTIF($H$2:$H$1166,$H$2:$H$1166)),COUNTIF($H$2:$H$1166,$H$2:$H$1166),0)),"Unknown"),H924)</f>
        <v>Pending</v>
      </c>
      <c r="Z924" s="7" t="str">
        <f t="shared" si="101"/>
        <v>Inter-Transaction</v>
      </c>
      <c r="AA924" s="7">
        <f>IF(J924="",AVERAGE($J:$J),J924)</f>
        <v>8552.44</v>
      </c>
      <c r="AB924" s="7">
        <f>IF(N924="",AVERAGE($N:$N),N924)</f>
        <v>79</v>
      </c>
      <c r="AC924" s="7">
        <f t="shared" si="102"/>
        <v>2026</v>
      </c>
      <c r="AD924" s="7">
        <f t="shared" si="103"/>
        <v>3</v>
      </c>
      <c r="AE924" s="7">
        <f>COUNTIF(A:A,A924)</f>
        <v>1</v>
      </c>
      <c r="AF924" s="7" t="str">
        <f t="shared" si="104"/>
        <v/>
      </c>
    </row>
    <row r="925" spans="1:32">
      <c r="A925" t="s">
        <v>2800</v>
      </c>
      <c r="B925">
        <v>51384518</v>
      </c>
      <c r="C925" t="s">
        <v>282</v>
      </c>
      <c r="D925" t="s">
        <v>311</v>
      </c>
      <c r="F925" t="s">
        <v>92</v>
      </c>
      <c r="G925" t="s">
        <v>53</v>
      </c>
      <c r="H925" t="s">
        <v>103</v>
      </c>
      <c r="I925" t="s">
        <v>3374</v>
      </c>
      <c r="J925">
        <v>253.86</v>
      </c>
      <c r="K925" t="s">
        <v>47</v>
      </c>
      <c r="L925" t="s">
        <v>81</v>
      </c>
      <c r="M925" s="1">
        <v>43861.007638888892</v>
      </c>
      <c r="N925">
        <v>49</v>
      </c>
      <c r="O925" t="s">
        <v>37</v>
      </c>
      <c r="P925" t="s">
        <v>37</v>
      </c>
      <c r="Q925" t="s">
        <v>2801</v>
      </c>
      <c r="R925">
        <f t="shared" si="98"/>
        <v>51384518</v>
      </c>
      <c r="S925" t="str" cm="1">
        <f t="array" ref="S925">IF(C925="",IFERROR(INDEX($C$2:$C$1166,MATCH(MAX(COUNTIF($C$2:$C$1166,$C$2:$C$1166)),COUNTIF($C$2:$C$1166,$C$2:$C$1166),0)),"Unknown"),C925)</f>
        <v>Mary Lopez</v>
      </c>
      <c r="T925" s="4" t="str" cm="1">
        <f t="array" ref="T925">IF(D925="",IFERROR(INDEX($D$2:$D$1000,MATCH(MAX(COUNTIF($D$2:$D$1166,$D$2:$D$1166)),COUNTIF($D$2:$D$1166,$D$2:$D$1166),0)),"Unknown"),D925)</f>
        <v>Susan Davis</v>
      </c>
      <c r="U925" t="str">
        <f t="shared" si="99"/>
        <v>AUD</v>
      </c>
      <c r="V925" s="7" t="str">
        <f t="shared" si="99"/>
        <v>AED</v>
      </c>
      <c r="W925" s="7" t="str">
        <f t="shared" si="100"/>
        <v>South Africa</v>
      </c>
      <c r="X925" s="7" t="str">
        <f t="shared" si="100"/>
        <v>South Africa</v>
      </c>
      <c r="Y925" s="7" t="str" cm="1">
        <f t="array" ref="Y925">IF(H925="",IFERROR(INDEX($H$2:$H$1166,MATCH(MAX(COUNTIF($H$2:$H$1166,$H$2:$H$1166)),COUNTIF($H$2:$H$1166,$H$2:$H$1166),0)),"Unknown"),H925)</f>
        <v>Verified</v>
      </c>
      <c r="Z925" s="7" t="str">
        <f t="shared" si="101"/>
        <v>External</v>
      </c>
      <c r="AA925" s="7">
        <f>IF(J925="",AVERAGE($J:$J),J925)</f>
        <v>253.86</v>
      </c>
      <c r="AB925" s="7">
        <f>IF(N925="",AVERAGE($N:$N),N925)</f>
        <v>49</v>
      </c>
      <c r="AC925" s="7">
        <f t="shared" si="102"/>
        <v>2020</v>
      </c>
      <c r="AD925" s="7">
        <f t="shared" si="103"/>
        <v>1</v>
      </c>
      <c r="AE925" s="7">
        <f>COUNTIF(A:A,A925)</f>
        <v>1</v>
      </c>
      <c r="AF925" s="7" t="str">
        <f t="shared" si="104"/>
        <v/>
      </c>
    </row>
    <row r="926" spans="1:32">
      <c r="A926" t="s">
        <v>2802</v>
      </c>
      <c r="B926">
        <v>47103850</v>
      </c>
      <c r="C926" t="s">
        <v>510</v>
      </c>
      <c r="D926" t="s">
        <v>1006</v>
      </c>
      <c r="F926" t="s">
        <v>21</v>
      </c>
      <c r="G926" t="s">
        <v>121</v>
      </c>
      <c r="H926" t="s">
        <v>38</v>
      </c>
      <c r="I926" t="s">
        <v>3372</v>
      </c>
      <c r="J926">
        <v>4262.72</v>
      </c>
      <c r="K926" t="s">
        <v>86</v>
      </c>
      <c r="L926" t="s">
        <v>48</v>
      </c>
      <c r="M926" s="1">
        <v>45197.182638888888</v>
      </c>
      <c r="N926">
        <v>47</v>
      </c>
      <c r="O926" t="s">
        <v>37</v>
      </c>
      <c r="P926" t="s">
        <v>24</v>
      </c>
      <c r="Q926" t="s">
        <v>2803</v>
      </c>
      <c r="R926">
        <f t="shared" si="98"/>
        <v>47103850</v>
      </c>
      <c r="S926" t="str" cm="1">
        <f t="array" ref="S926">IF(C926="",IFERROR(INDEX($C$2:$C$1166,MATCH(MAX(COUNTIF($C$2:$C$1166,$C$2:$C$1166)),COUNTIF($C$2:$C$1166,$C$2:$C$1166),0)),"Unknown"),C926)</f>
        <v>Elena Gonzalez</v>
      </c>
      <c r="T926" s="4" t="str" cm="1">
        <f t="array" ref="T926">IF(D926="",IFERROR(INDEX($D$2:$D$1000,MATCH(MAX(COUNTIF($D$2:$D$1166,$D$2:$D$1166)),COUNTIF($D$2:$D$1166,$D$2:$D$1166),0)),"Unknown"),D926)</f>
        <v>Jessica Jones</v>
      </c>
      <c r="U926" t="str">
        <f t="shared" si="99"/>
        <v>GBP</v>
      </c>
      <c r="V926" s="7" t="str">
        <f t="shared" si="99"/>
        <v>INR</v>
      </c>
      <c r="W926" s="7" t="str">
        <f t="shared" si="100"/>
        <v>South Africa</v>
      </c>
      <c r="X926" s="7" t="str">
        <f t="shared" si="100"/>
        <v>Brazil</v>
      </c>
      <c r="Y926" s="7" t="str" cm="1">
        <f t="array" ref="Y926">IF(H926="",IFERROR(INDEX($H$2:$H$1166,MATCH(MAX(COUNTIF($H$2:$H$1166,$H$2:$H$1166)),COUNTIF($H$2:$H$1166,$H$2:$H$1166),0)),"Unknown"),H926)</f>
        <v>Pending</v>
      </c>
      <c r="Z926" s="7" t="str">
        <f t="shared" si="101"/>
        <v>Outer-Transaction</v>
      </c>
      <c r="AA926" s="7">
        <f>IF(J926="",AVERAGE($J:$J),J926)</f>
        <v>4262.72</v>
      </c>
      <c r="AB926" s="7">
        <f>IF(N926="",AVERAGE($N:$N),N926)</f>
        <v>47</v>
      </c>
      <c r="AC926" s="7">
        <f t="shared" si="102"/>
        <v>2023</v>
      </c>
      <c r="AD926" s="7">
        <f t="shared" si="103"/>
        <v>9</v>
      </c>
      <c r="AE926" s="7">
        <f>COUNTIF(A:A,A926)</f>
        <v>1</v>
      </c>
      <c r="AF926" s="7" t="str">
        <f t="shared" si="104"/>
        <v/>
      </c>
    </row>
    <row r="927" spans="1:32">
      <c r="A927" t="s">
        <v>2804</v>
      </c>
      <c r="B927">
        <v>16777688</v>
      </c>
      <c r="C927" t="s">
        <v>2078</v>
      </c>
      <c r="D927" t="s">
        <v>204</v>
      </c>
      <c r="F927" t="s">
        <v>21</v>
      </c>
      <c r="G927" t="s">
        <v>92</v>
      </c>
      <c r="H927" t="s">
        <v>38</v>
      </c>
      <c r="I927" t="s">
        <v>3376</v>
      </c>
      <c r="J927">
        <v>6128.64</v>
      </c>
      <c r="K927" t="s">
        <v>47</v>
      </c>
      <c r="L927" t="s">
        <v>75</v>
      </c>
      <c r="M927" s="1">
        <v>45231.224999999999</v>
      </c>
      <c r="N927">
        <v>46</v>
      </c>
      <c r="O927" t="s">
        <v>68</v>
      </c>
      <c r="P927" t="s">
        <v>55</v>
      </c>
      <c r="Q927" t="s">
        <v>2805</v>
      </c>
      <c r="R927">
        <f t="shared" si="98"/>
        <v>16777688</v>
      </c>
      <c r="S927" t="str" cm="1">
        <f t="array" ref="S927">IF(C927="",IFERROR(INDEX($C$2:$C$1166,MATCH(MAX(COUNTIF($C$2:$C$1166,$C$2:$C$1166)),COUNTIF($C$2:$C$1166,$C$2:$C$1166),0)),"Unknown"),C927)</f>
        <v>David Garcia</v>
      </c>
      <c r="T927" s="4" t="str" cm="1">
        <f t="array" ref="T927">IF(D927="",IFERROR(INDEX($D$2:$D$1000,MATCH(MAX(COUNTIF($D$2:$D$1166,$D$2:$D$1166)),COUNTIF($D$2:$D$1166,$D$2:$D$1166),0)),"Unknown"),D927)</f>
        <v>Nancy Taylor</v>
      </c>
      <c r="U927" t="str">
        <f t="shared" si="99"/>
        <v>GBP</v>
      </c>
      <c r="V927" s="7" t="str">
        <f t="shared" si="99"/>
        <v>AUD</v>
      </c>
      <c r="W927" s="7" t="str">
        <f t="shared" si="100"/>
        <v>UAE</v>
      </c>
      <c r="X927" s="7" t="str">
        <f t="shared" si="100"/>
        <v>UK</v>
      </c>
      <c r="Y927" s="7" t="str" cm="1">
        <f t="array" ref="Y927">IF(H927="",IFERROR(INDEX($H$2:$H$1166,MATCH(MAX(COUNTIF($H$2:$H$1166,$H$2:$H$1166)),COUNTIF($H$2:$H$1166,$H$2:$H$1166),0)),"Unknown"),H927)</f>
        <v>Pending</v>
      </c>
      <c r="Z927" s="7" t="str">
        <f t="shared" si="101"/>
        <v>Internal</v>
      </c>
      <c r="AA927" s="7">
        <f>IF(J927="",AVERAGE($J:$J),J927)</f>
        <v>6128.64</v>
      </c>
      <c r="AB927" s="7">
        <f>IF(N927="",AVERAGE($N:$N),N927)</f>
        <v>46</v>
      </c>
      <c r="AC927" s="7">
        <f t="shared" si="102"/>
        <v>2023</v>
      </c>
      <c r="AD927" s="7">
        <f t="shared" si="103"/>
        <v>11</v>
      </c>
      <c r="AE927" s="7">
        <f>COUNTIF(A:A,A927)</f>
        <v>1</v>
      </c>
      <c r="AF927" s="7" t="str">
        <f t="shared" si="104"/>
        <v/>
      </c>
    </row>
    <row r="928" spans="1:32">
      <c r="A928" t="s">
        <v>2806</v>
      </c>
      <c r="B928">
        <v>83573004</v>
      </c>
      <c r="C928" t="s">
        <v>1534</v>
      </c>
      <c r="D928" t="s">
        <v>243</v>
      </c>
      <c r="F928" t="s">
        <v>44</v>
      </c>
      <c r="G928" t="s">
        <v>92</v>
      </c>
      <c r="H928" t="s">
        <v>56</v>
      </c>
      <c r="I928" t="s">
        <v>3377</v>
      </c>
      <c r="J928">
        <v>4523.6099999999997</v>
      </c>
      <c r="K928" t="s">
        <v>47</v>
      </c>
      <c r="L928" t="s">
        <v>75</v>
      </c>
      <c r="M928" s="1">
        <v>44984.01666666667</v>
      </c>
      <c r="N928">
        <v>66</v>
      </c>
      <c r="O928" t="s">
        <v>68</v>
      </c>
      <c r="P928" t="s">
        <v>54</v>
      </c>
      <c r="Q928" t="s">
        <v>2807</v>
      </c>
      <c r="R928">
        <f t="shared" si="98"/>
        <v>83573004</v>
      </c>
      <c r="S928" t="str" cm="1">
        <f t="array" ref="S928">IF(C928="",IFERROR(INDEX($C$2:$C$1166,MATCH(MAX(COUNTIF($C$2:$C$1166,$C$2:$C$1166)),COUNTIF($C$2:$C$1166,$C$2:$C$1166),0)),"Unknown"),C928)</f>
        <v>Elizabeth Miller</v>
      </c>
      <c r="T928" s="4" t="str" cm="1">
        <f t="array" ref="T928">IF(D928="",IFERROR(INDEX($D$2:$D$1000,MATCH(MAX(COUNTIF($D$2:$D$1166,$D$2:$D$1166)),COUNTIF($D$2:$D$1166,$D$2:$D$1166),0)),"Unknown"),D928)</f>
        <v>Richard Dubois</v>
      </c>
      <c r="U928" t="str">
        <f t="shared" si="99"/>
        <v>SGD</v>
      </c>
      <c r="V928" s="7" t="str">
        <f t="shared" si="99"/>
        <v>AUD</v>
      </c>
      <c r="W928" s="7" t="str">
        <f t="shared" si="100"/>
        <v>UAE</v>
      </c>
      <c r="X928" s="7" t="str">
        <f t="shared" si="100"/>
        <v>India</v>
      </c>
      <c r="Y928" s="7" t="str" cm="1">
        <f t="array" ref="Y928">IF(H928="",IFERROR(INDEX($H$2:$H$1166,MATCH(MAX(COUNTIF($H$2:$H$1166,$H$2:$H$1166)),COUNTIF($H$2:$H$1166,$H$2:$H$1166),0)),"Unknown"),H928)</f>
        <v>Unverified</v>
      </c>
      <c r="Z928" s="7" t="str">
        <f t="shared" si="101"/>
        <v>Inter-Transaction</v>
      </c>
      <c r="AA928" s="7">
        <f>IF(J928="",AVERAGE($J:$J),J928)</f>
        <v>4523.6099999999997</v>
      </c>
      <c r="AB928" s="7">
        <f>IF(N928="",AVERAGE($N:$N),N928)</f>
        <v>66</v>
      </c>
      <c r="AC928" s="7">
        <f t="shared" si="102"/>
        <v>2023</v>
      </c>
      <c r="AD928" s="7">
        <f t="shared" si="103"/>
        <v>2</v>
      </c>
      <c r="AE928" s="7">
        <f>COUNTIF(A:A,A928)</f>
        <v>1</v>
      </c>
      <c r="AF928" s="7" t="str">
        <f t="shared" si="104"/>
        <v/>
      </c>
    </row>
    <row r="929" spans="1:32">
      <c r="A929" t="s">
        <v>2808</v>
      </c>
      <c r="B929">
        <v>80850880</v>
      </c>
      <c r="C929" t="s">
        <v>1818</v>
      </c>
      <c r="D929" t="s">
        <v>1173</v>
      </c>
      <c r="F929" t="s">
        <v>91</v>
      </c>
      <c r="G929" t="s">
        <v>160</v>
      </c>
      <c r="I929" t="s">
        <v>3374</v>
      </c>
      <c r="J929">
        <v>7001.49</v>
      </c>
      <c r="K929" t="s">
        <v>39</v>
      </c>
      <c r="L929" t="s">
        <v>48</v>
      </c>
      <c r="M929" s="1">
        <v>44447.021527777775</v>
      </c>
      <c r="N929">
        <v>62</v>
      </c>
      <c r="O929" t="s">
        <v>55</v>
      </c>
      <c r="P929" t="s">
        <v>68</v>
      </c>
      <c r="Q929" t="s">
        <v>2809</v>
      </c>
      <c r="R929">
        <f t="shared" si="98"/>
        <v>80850880</v>
      </c>
      <c r="S929" t="str" cm="1">
        <f t="array" ref="S929">IF(C929="",IFERROR(INDEX($C$2:$C$1166,MATCH(MAX(COUNTIF($C$2:$C$1166,$C$2:$C$1166)),COUNTIF($C$2:$C$1166,$C$2:$C$1166),0)),"Unknown"),C929)</f>
        <v>Fatima Miller</v>
      </c>
      <c r="T929" s="4" t="str" cm="1">
        <f t="array" ref="T929">IF(D929="",IFERROR(INDEX($D$2:$D$1000,MATCH(MAX(COUNTIF($D$2:$D$1166,$D$2:$D$1166)),COUNTIF($D$2:$D$1166,$D$2:$D$1166),0)),"Unknown"),D929)</f>
        <v>Jean-Pierre Martin</v>
      </c>
      <c r="U929" t="str">
        <f t="shared" si="99"/>
        <v>gbp</v>
      </c>
      <c r="V929" s="7" t="str">
        <f t="shared" si="99"/>
        <v>aud</v>
      </c>
      <c r="W929" s="7" t="str">
        <f t="shared" si="100"/>
        <v>UK</v>
      </c>
      <c r="X929" s="7" t="str">
        <f t="shared" si="100"/>
        <v>UAE</v>
      </c>
      <c r="Y929" s="7" t="str" cm="1">
        <f t="array" ref="Y929">IF(H929="",IFERROR(INDEX($H$2:$H$1166,MATCH(MAX(COUNTIF($H$2:$H$1166,$H$2:$H$1166)),COUNTIF($H$2:$H$1166,$H$2:$H$1166),0)),"Unknown"),H929)</f>
        <v>Pending</v>
      </c>
      <c r="Z929" s="7" t="str">
        <f t="shared" si="101"/>
        <v>External</v>
      </c>
      <c r="AA929" s="7">
        <f>IF(J929="",AVERAGE($J:$J),J929)</f>
        <v>7001.49</v>
      </c>
      <c r="AB929" s="7">
        <f>IF(N929="",AVERAGE($N:$N),N929)</f>
        <v>62</v>
      </c>
      <c r="AC929" s="7">
        <f t="shared" si="102"/>
        <v>2021</v>
      </c>
      <c r="AD929" s="7">
        <f t="shared" si="103"/>
        <v>9</v>
      </c>
      <c r="AE929" s="7">
        <f>COUNTIF(A:A,A929)</f>
        <v>1</v>
      </c>
      <c r="AF929" s="7" t="str">
        <f t="shared" si="104"/>
        <v/>
      </c>
    </row>
    <row r="930" spans="1:32">
      <c r="A930" t="s">
        <v>2810</v>
      </c>
      <c r="B930">
        <v>50334977</v>
      </c>
      <c r="C930" t="s">
        <v>18</v>
      </c>
      <c r="D930" t="s">
        <v>796</v>
      </c>
      <c r="F930" t="s">
        <v>44</v>
      </c>
      <c r="G930" t="s">
        <v>34</v>
      </c>
      <c r="I930" t="s">
        <v>3372</v>
      </c>
      <c r="J930">
        <v>9669.9699999999993</v>
      </c>
      <c r="K930" t="s">
        <v>39</v>
      </c>
      <c r="L930" t="s">
        <v>75</v>
      </c>
      <c r="M930" s="1">
        <v>44369.40347222222</v>
      </c>
      <c r="N930">
        <v>47</v>
      </c>
      <c r="O930" t="s">
        <v>55</v>
      </c>
      <c r="P930" t="s">
        <v>93</v>
      </c>
      <c r="Q930" t="s">
        <v>2811</v>
      </c>
      <c r="R930">
        <f t="shared" si="98"/>
        <v>50334977</v>
      </c>
      <c r="S930" t="str" cm="1">
        <f t="array" ref="S930">IF(C930="",IFERROR(INDEX($C$2:$C$1166,MATCH(MAX(COUNTIF($C$2:$C$1166,$C$2:$C$1166)),COUNTIF($C$2:$C$1166,$C$2:$C$1166),0)),"Unknown"),C930)</f>
        <v>Patricia Smith</v>
      </c>
      <c r="T930" s="4" t="str" cm="1">
        <f t="array" ref="T930">IF(D930="",IFERROR(INDEX($D$2:$D$1000,MATCH(MAX(COUNTIF($D$2:$D$1166,$D$2:$D$1166)),COUNTIF($D$2:$D$1166,$D$2:$D$1166),0)),"Unknown"),D930)</f>
        <v>William Taylor</v>
      </c>
      <c r="U930" t="str">
        <f t="shared" si="99"/>
        <v>SGD</v>
      </c>
      <c r="V930" s="7" t="str">
        <f t="shared" si="99"/>
        <v>CAD</v>
      </c>
      <c r="W930" s="7" t="str">
        <f t="shared" si="100"/>
        <v>UK</v>
      </c>
      <c r="X930" s="7" t="str">
        <f t="shared" si="100"/>
        <v>USA</v>
      </c>
      <c r="Y930" s="7" t="str" cm="1">
        <f t="array" ref="Y930">IF(H930="",IFERROR(INDEX($H$2:$H$1166,MATCH(MAX(COUNTIF($H$2:$H$1166,$H$2:$H$1166)),COUNTIF($H$2:$H$1166,$H$2:$H$1166),0)),"Unknown"),H930)</f>
        <v>Pending</v>
      </c>
      <c r="Z930" s="7" t="str">
        <f t="shared" si="101"/>
        <v>Outer-Transaction</v>
      </c>
      <c r="AA930" s="7">
        <f>IF(J930="",AVERAGE($J:$J),J930)</f>
        <v>9669.9699999999993</v>
      </c>
      <c r="AB930" s="7">
        <f>IF(N930="",AVERAGE($N:$N),N930)</f>
        <v>47</v>
      </c>
      <c r="AC930" s="7">
        <f t="shared" si="102"/>
        <v>2021</v>
      </c>
      <c r="AD930" s="7">
        <f t="shared" si="103"/>
        <v>6</v>
      </c>
      <c r="AE930" s="7">
        <f>COUNTIF(A:A,A930)</f>
        <v>1</v>
      </c>
      <c r="AF930" s="7" t="str">
        <f t="shared" si="104"/>
        <v/>
      </c>
    </row>
    <row r="931" spans="1:32">
      <c r="A931" t="s">
        <v>2812</v>
      </c>
      <c r="B931">
        <v>30311392</v>
      </c>
      <c r="C931" t="s">
        <v>647</v>
      </c>
      <c r="D931" t="s">
        <v>2813</v>
      </c>
      <c r="F931" t="s">
        <v>121</v>
      </c>
      <c r="G931" t="s">
        <v>80</v>
      </c>
      <c r="I931" t="s">
        <v>3378</v>
      </c>
      <c r="J931">
        <v>8384.9</v>
      </c>
      <c r="K931" t="s">
        <v>27</v>
      </c>
      <c r="L931" t="s">
        <v>81</v>
      </c>
      <c r="M931" s="1">
        <v>44701.116666666669</v>
      </c>
      <c r="N931">
        <v>33</v>
      </c>
      <c r="O931" t="s">
        <v>127</v>
      </c>
      <c r="P931" t="s">
        <v>23</v>
      </c>
      <c r="Q931" t="s">
        <v>2814</v>
      </c>
      <c r="R931">
        <f t="shared" si="98"/>
        <v>30311392</v>
      </c>
      <c r="S931" t="str" cm="1">
        <f t="array" ref="S931">IF(C931="",IFERROR(INDEX($C$2:$C$1166,MATCH(MAX(COUNTIF($C$2:$C$1166,$C$2:$C$1166)),COUNTIF($C$2:$C$1166,$C$2:$C$1166),0)),"Unknown"),C931)</f>
        <v>Mary Taylor</v>
      </c>
      <c r="T931" s="4" t="str" cm="1">
        <f t="array" ref="T931">IF(D931="",IFERROR(INDEX($D$2:$D$1000,MATCH(MAX(COUNTIF($D$2:$D$1166,$D$2:$D$1166)),COUNTIF($D$2:$D$1166,$D$2:$D$1166),0)),"Unknown"),D931)</f>
        <v>Linda Davis</v>
      </c>
      <c r="U931" t="str">
        <f t="shared" si="99"/>
        <v>INR</v>
      </c>
      <c r="V931" s="7" t="str">
        <f t="shared" si="99"/>
        <v>USD</v>
      </c>
      <c r="W931" s="7" t="str">
        <f t="shared" si="100"/>
        <v>Canada</v>
      </c>
      <c r="X931" s="7" t="str">
        <f t="shared" si="100"/>
        <v>France</v>
      </c>
      <c r="Y931" s="7" t="str" cm="1">
        <f t="array" ref="Y931">IF(H931="",IFERROR(INDEX($H$2:$H$1166,MATCH(MAX(COUNTIF($H$2:$H$1166,$H$2:$H$1166)),COUNTIF($H$2:$H$1166,$H$2:$H$1166),0)),"Unknown"),H931)</f>
        <v>Pending</v>
      </c>
      <c r="Z931" s="7" t="str">
        <f t="shared" si="101"/>
        <v>Inter-Transaction</v>
      </c>
      <c r="AA931" s="7">
        <f>IF(J931="",AVERAGE($J:$J),J931)</f>
        <v>8384.9</v>
      </c>
      <c r="AB931" s="7">
        <f>IF(N931="",AVERAGE($N:$N),N931)</f>
        <v>33</v>
      </c>
      <c r="AC931" s="7">
        <f t="shared" si="102"/>
        <v>2022</v>
      </c>
      <c r="AD931" s="7">
        <f t="shared" si="103"/>
        <v>5</v>
      </c>
      <c r="AE931" s="7">
        <f>COUNTIF(A:A,A931)</f>
        <v>1</v>
      </c>
      <c r="AF931" s="7" t="str">
        <f t="shared" si="104"/>
        <v/>
      </c>
    </row>
    <row r="932" spans="1:32">
      <c r="A932" t="s">
        <v>2815</v>
      </c>
      <c r="B932">
        <v>81665302</v>
      </c>
      <c r="C932" t="s">
        <v>725</v>
      </c>
      <c r="D932" t="s">
        <v>2816</v>
      </c>
      <c r="F932" t="s">
        <v>34</v>
      </c>
      <c r="G932" t="s">
        <v>121</v>
      </c>
      <c r="H932" t="s">
        <v>56</v>
      </c>
      <c r="I932" t="s">
        <v>3376</v>
      </c>
      <c r="J932">
        <v>5004.75</v>
      </c>
      <c r="K932" t="s">
        <v>39</v>
      </c>
      <c r="L932" t="s">
        <v>48</v>
      </c>
      <c r="M932" s="1">
        <v>43931.790972222225</v>
      </c>
      <c r="N932">
        <v>57</v>
      </c>
      <c r="O932" t="s">
        <v>93</v>
      </c>
      <c r="P932" t="s">
        <v>62</v>
      </c>
      <c r="Q932" t="s">
        <v>2817</v>
      </c>
      <c r="R932">
        <f t="shared" si="98"/>
        <v>81665302</v>
      </c>
      <c r="S932" t="str" cm="1">
        <f t="array" ref="S932">IF(C932="",IFERROR(INDEX($C$2:$C$1166,MATCH(MAX(COUNTIF($C$2:$C$1166,$C$2:$C$1166)),COUNTIF($C$2:$C$1166,$C$2:$C$1166),0)),"Unknown"),C932)</f>
        <v>Michael Volkov</v>
      </c>
      <c r="T932" s="4" t="str" cm="1">
        <f t="array" ref="T932">IF(D932="",IFERROR(INDEX($D$2:$D$1000,MATCH(MAX(COUNTIF($D$2:$D$1166,$D$2:$D$1166)),COUNTIF($D$2:$D$1166,$D$2:$D$1166),0)),"Unknown"),D932)</f>
        <v>John Williams</v>
      </c>
      <c r="U932" t="str">
        <f t="shared" si="99"/>
        <v>CAD</v>
      </c>
      <c r="V932" s="7" t="str">
        <f t="shared" si="99"/>
        <v>INR</v>
      </c>
      <c r="W932" s="7" t="str">
        <f t="shared" si="100"/>
        <v>USA</v>
      </c>
      <c r="X932" s="7" t="str">
        <f t="shared" si="100"/>
        <v>Australia</v>
      </c>
      <c r="Y932" s="7" t="str" cm="1">
        <f t="array" ref="Y932">IF(H932="",IFERROR(INDEX($H$2:$H$1166,MATCH(MAX(COUNTIF($H$2:$H$1166,$H$2:$H$1166)),COUNTIF($H$2:$H$1166,$H$2:$H$1166),0)),"Unknown"),H932)</f>
        <v>Unverified</v>
      </c>
      <c r="Z932" s="7" t="str">
        <f t="shared" si="101"/>
        <v>Internal</v>
      </c>
      <c r="AA932" s="7">
        <f>IF(J932="",AVERAGE($J:$J),J932)</f>
        <v>5004.75</v>
      </c>
      <c r="AB932" s="7">
        <f>IF(N932="",AVERAGE($N:$N),N932)</f>
        <v>57</v>
      </c>
      <c r="AC932" s="7">
        <f t="shared" si="102"/>
        <v>2020</v>
      </c>
      <c r="AD932" s="7">
        <f t="shared" si="103"/>
        <v>4</v>
      </c>
      <c r="AE932" s="7">
        <f>COUNTIF(A:A,A932)</f>
        <v>1</v>
      </c>
      <c r="AF932" s="7" t="str">
        <f t="shared" si="104"/>
        <v/>
      </c>
    </row>
    <row r="933" spans="1:32">
      <c r="A933" t="s">
        <v>2818</v>
      </c>
      <c r="B933">
        <v>19736503</v>
      </c>
      <c r="C933" t="s">
        <v>1598</v>
      </c>
      <c r="D933" t="s">
        <v>2281</v>
      </c>
      <c r="F933" t="s">
        <v>160</v>
      </c>
      <c r="G933" t="s">
        <v>35</v>
      </c>
      <c r="H933" t="s">
        <v>103</v>
      </c>
      <c r="I933" t="s">
        <v>3377</v>
      </c>
      <c r="J933">
        <v>3394.08</v>
      </c>
      <c r="K933" t="s">
        <v>86</v>
      </c>
      <c r="L933" t="s">
        <v>48</v>
      </c>
      <c r="M933" s="1">
        <v>45243.436111111114</v>
      </c>
      <c r="N933">
        <v>36</v>
      </c>
      <c r="O933" t="s">
        <v>24</v>
      </c>
      <c r="P933" t="s">
        <v>23</v>
      </c>
      <c r="Q933" t="s">
        <v>2819</v>
      </c>
      <c r="R933">
        <f t="shared" si="98"/>
        <v>19736503</v>
      </c>
      <c r="S933" t="str" cm="1">
        <f t="array" ref="S933">IF(C933="",IFERROR(INDEX($C$2:$C$1166,MATCH(MAX(COUNTIF($C$2:$C$1166,$C$2:$C$1166)),COUNTIF($C$2:$C$1166,$C$2:$C$1166),0)),"Unknown"),C933)</f>
        <v>Marta Miller</v>
      </c>
      <c r="T933" s="4" t="str" cm="1">
        <f t="array" ref="T933">IF(D933="",IFERROR(INDEX($D$2:$D$1000,MATCH(MAX(COUNTIF($D$2:$D$1166,$D$2:$D$1166)),COUNTIF($D$2:$D$1166,$D$2:$D$1166),0)),"Unknown"),D933)</f>
        <v>Sarah Velez</v>
      </c>
      <c r="U933" t="str">
        <f t="shared" si="99"/>
        <v>aud</v>
      </c>
      <c r="V933" s="7" t="str">
        <f t="shared" si="99"/>
        <v>EUR</v>
      </c>
      <c r="W933" s="7" t="str">
        <f t="shared" si="100"/>
        <v>Brazil</v>
      </c>
      <c r="X933" s="7" t="str">
        <f t="shared" si="100"/>
        <v>France</v>
      </c>
      <c r="Y933" s="7" t="str" cm="1">
        <f t="array" ref="Y933">IF(H933="",IFERROR(INDEX($H$2:$H$1166,MATCH(MAX(COUNTIF($H$2:$H$1166,$H$2:$H$1166)),COUNTIF($H$2:$H$1166,$H$2:$H$1166),0)),"Unknown"),H933)</f>
        <v>Verified</v>
      </c>
      <c r="Z933" s="7" t="str">
        <f t="shared" si="101"/>
        <v>Inter-Transaction</v>
      </c>
      <c r="AA933" s="7">
        <f>IF(J933="",AVERAGE($J:$J),J933)</f>
        <v>3394.08</v>
      </c>
      <c r="AB933" s="7">
        <f>IF(N933="",AVERAGE($N:$N),N933)</f>
        <v>36</v>
      </c>
      <c r="AC933" s="7">
        <f t="shared" si="102"/>
        <v>2023</v>
      </c>
      <c r="AD933" s="7">
        <f t="shared" si="103"/>
        <v>11</v>
      </c>
      <c r="AE933" s="7">
        <f>COUNTIF(A:A,A933)</f>
        <v>1</v>
      </c>
      <c r="AF933" s="7" t="str">
        <f t="shared" si="104"/>
        <v/>
      </c>
    </row>
    <row r="934" spans="1:32">
      <c r="A934" t="s">
        <v>2820</v>
      </c>
      <c r="B934">
        <v>74998860</v>
      </c>
      <c r="C934" t="s">
        <v>2035</v>
      </c>
      <c r="D934" t="s">
        <v>281</v>
      </c>
      <c r="F934" t="s">
        <v>22</v>
      </c>
      <c r="G934" t="s">
        <v>21</v>
      </c>
      <c r="H934" t="s">
        <v>38</v>
      </c>
      <c r="I934" t="s">
        <v>3377</v>
      </c>
      <c r="J934">
        <v>11698.16</v>
      </c>
      <c r="K934" t="s">
        <v>39</v>
      </c>
      <c r="L934" t="s">
        <v>81</v>
      </c>
      <c r="M934" s="1">
        <v>44771.709027777775</v>
      </c>
      <c r="N934">
        <v>35</v>
      </c>
      <c r="O934" t="s">
        <v>24</v>
      </c>
      <c r="P934" t="s">
        <v>68</v>
      </c>
      <c r="Q934" t="s">
        <v>2821</v>
      </c>
      <c r="R934">
        <f t="shared" si="98"/>
        <v>74998860</v>
      </c>
      <c r="S934" t="str" cm="1">
        <f t="array" ref="S934">IF(C934="",IFERROR(INDEX($C$2:$C$1166,MATCH(MAX(COUNTIF($C$2:$C$1166,$C$2:$C$1166)),COUNTIF($C$2:$C$1166,$C$2:$C$1166),0)),"Unknown"),C934)</f>
        <v>William Miller</v>
      </c>
      <c r="T934" s="4" t="str" cm="1">
        <f t="array" ref="T934">IF(D934="",IFERROR(INDEX($D$2:$D$1000,MATCH(MAX(COUNTIF($D$2:$D$1166,$D$2:$D$1166)),COUNTIF($D$2:$D$1166,$D$2:$D$1166),0)),"Unknown"),D934)</f>
        <v>Thomas Johnson</v>
      </c>
      <c r="U934" t="str">
        <f t="shared" si="99"/>
        <v>BRL</v>
      </c>
      <c r="V934" s="7" t="str">
        <f t="shared" si="99"/>
        <v>GBP</v>
      </c>
      <c r="W934" s="7" t="str">
        <f t="shared" si="100"/>
        <v>Brazil</v>
      </c>
      <c r="X934" s="7" t="str">
        <f t="shared" si="100"/>
        <v>UAE</v>
      </c>
      <c r="Y934" s="7" t="str" cm="1">
        <f t="array" ref="Y934">IF(H934="",IFERROR(INDEX($H$2:$H$1166,MATCH(MAX(COUNTIF($H$2:$H$1166,$H$2:$H$1166)),COUNTIF($H$2:$H$1166,$H$2:$H$1166),0)),"Unknown"),H934)</f>
        <v>Pending</v>
      </c>
      <c r="Z934" s="7" t="str">
        <f t="shared" si="101"/>
        <v>Inter-Transaction</v>
      </c>
      <c r="AA934" s="7">
        <f>IF(J934="",AVERAGE($J:$J),J934)</f>
        <v>11698.16</v>
      </c>
      <c r="AB934" s="7">
        <f>IF(N934="",AVERAGE($N:$N),N934)</f>
        <v>35</v>
      </c>
      <c r="AC934" s="7">
        <f t="shared" si="102"/>
        <v>2022</v>
      </c>
      <c r="AD934" s="7">
        <f t="shared" si="103"/>
        <v>7</v>
      </c>
      <c r="AE934" s="7">
        <f>COUNTIF(A:A,A934)</f>
        <v>1</v>
      </c>
      <c r="AF934" s="7" t="str">
        <f t="shared" si="104"/>
        <v/>
      </c>
    </row>
    <row r="935" spans="1:32">
      <c r="A935" t="s">
        <v>2822</v>
      </c>
      <c r="B935">
        <v>10689646</v>
      </c>
      <c r="C935" t="s">
        <v>1389</v>
      </c>
      <c r="D935" t="s">
        <v>1815</v>
      </c>
      <c r="F935" t="s">
        <v>116</v>
      </c>
      <c r="G935" t="s">
        <v>35</v>
      </c>
      <c r="H935" t="s">
        <v>103</v>
      </c>
      <c r="I935" t="s">
        <v>3377</v>
      </c>
      <c r="J935">
        <v>7254.99</v>
      </c>
      <c r="K935" t="s">
        <v>47</v>
      </c>
      <c r="L935" t="s">
        <v>48</v>
      </c>
      <c r="M935" s="1">
        <v>44171.371527777781</v>
      </c>
      <c r="N935">
        <v>18</v>
      </c>
      <c r="O935" t="s">
        <v>68</v>
      </c>
      <c r="P935" t="s">
        <v>23</v>
      </c>
      <c r="Q935" t="s">
        <v>2823</v>
      </c>
      <c r="R935">
        <f t="shared" si="98"/>
        <v>10689646</v>
      </c>
      <c r="S935" t="str" cm="1">
        <f t="array" ref="S935">IF(C935="",IFERROR(INDEX($C$2:$C$1166,MATCH(MAX(COUNTIF($C$2:$C$1166,$C$2:$C$1166)),COUNTIF($C$2:$C$1166,$C$2:$C$1166),0)),"Unknown"),C935)</f>
        <v>Elena Khan</v>
      </c>
      <c r="T935" s="4" t="str" cm="1">
        <f t="array" ref="T935">IF(D935="",IFERROR(INDEX($D$2:$D$1000,MATCH(MAX(COUNTIF($D$2:$D$1166,$D$2:$D$1166)),COUNTIF($D$2:$D$1166,$D$2:$D$1166),0)),"Unknown"),D935)</f>
        <v>Sarah Wilson</v>
      </c>
      <c r="U935" t="str">
        <f t="shared" si="99"/>
        <v>CHF</v>
      </c>
      <c r="V935" s="7" t="str">
        <f t="shared" si="99"/>
        <v>EUR</v>
      </c>
      <c r="W935" s="7" t="str">
        <f t="shared" si="100"/>
        <v>UAE</v>
      </c>
      <c r="X935" s="7" t="str">
        <f t="shared" si="100"/>
        <v>France</v>
      </c>
      <c r="Y935" s="7" t="str" cm="1">
        <f t="array" ref="Y935">IF(H935="",IFERROR(INDEX($H$2:$H$1166,MATCH(MAX(COUNTIF($H$2:$H$1166,$H$2:$H$1166)),COUNTIF($H$2:$H$1166,$H$2:$H$1166),0)),"Unknown"),H935)</f>
        <v>Verified</v>
      </c>
      <c r="Z935" s="7" t="str">
        <f t="shared" si="101"/>
        <v>Inter-Transaction</v>
      </c>
      <c r="AA935" s="7">
        <f>IF(J935="",AVERAGE($J:$J),J935)</f>
        <v>7254.99</v>
      </c>
      <c r="AB935" s="7">
        <f>IF(N935="",AVERAGE($N:$N),N935)</f>
        <v>18</v>
      </c>
      <c r="AC935" s="7">
        <f t="shared" si="102"/>
        <v>2020</v>
      </c>
      <c r="AD935" s="7">
        <f t="shared" si="103"/>
        <v>12</v>
      </c>
      <c r="AE935" s="7">
        <f>COUNTIF(A:A,A935)</f>
        <v>1</v>
      </c>
      <c r="AF935" s="7" t="str">
        <f t="shared" si="104"/>
        <v/>
      </c>
    </row>
    <row r="936" spans="1:32">
      <c r="A936" t="s">
        <v>2824</v>
      </c>
      <c r="B936">
        <v>78301185</v>
      </c>
      <c r="C936" t="s">
        <v>1350</v>
      </c>
      <c r="D936" t="s">
        <v>353</v>
      </c>
      <c r="F936" t="s">
        <v>22</v>
      </c>
      <c r="G936" t="s">
        <v>22</v>
      </c>
      <c r="I936" t="s">
        <v>3372</v>
      </c>
      <c r="J936">
        <v>10039.459999999999</v>
      </c>
      <c r="K936" t="s">
        <v>47</v>
      </c>
      <c r="L936" t="s">
        <v>28</v>
      </c>
      <c r="M936" s="1">
        <v>44874.707638888889</v>
      </c>
      <c r="N936">
        <v>64</v>
      </c>
      <c r="O936" t="s">
        <v>68</v>
      </c>
      <c r="P936" t="s">
        <v>68</v>
      </c>
      <c r="Q936" t="s">
        <v>2825</v>
      </c>
      <c r="R936">
        <f t="shared" si="98"/>
        <v>78301185</v>
      </c>
      <c r="S936" t="str" cm="1">
        <f t="array" ref="S936">IF(C936="",IFERROR(INDEX($C$2:$C$1166,MATCH(MAX(COUNTIF($C$2:$C$1166,$C$2:$C$1166)),COUNTIF($C$2:$C$1166,$C$2:$C$1166),0)),"Unknown"),C936)</f>
        <v>John Lopez</v>
      </c>
      <c r="T936" s="4" t="str" cm="1">
        <f t="array" ref="T936">IF(D936="",IFERROR(INDEX($D$2:$D$1000,MATCH(MAX(COUNTIF($D$2:$D$1166,$D$2:$D$1166)),COUNTIF($D$2:$D$1166,$D$2:$D$1166),0)),"Unknown"),D936)</f>
        <v>Susan Moore</v>
      </c>
      <c r="U936" t="str">
        <f t="shared" si="99"/>
        <v>BRL</v>
      </c>
      <c r="V936" s="7" t="str">
        <f t="shared" si="99"/>
        <v>BRL</v>
      </c>
      <c r="W936" s="7" t="str">
        <f t="shared" si="100"/>
        <v>UAE</v>
      </c>
      <c r="X936" s="7" t="str">
        <f t="shared" si="100"/>
        <v>UAE</v>
      </c>
      <c r="Y936" s="7" t="str" cm="1">
        <f t="array" ref="Y936">IF(H936="",IFERROR(INDEX($H$2:$H$1166,MATCH(MAX(COUNTIF($H$2:$H$1166,$H$2:$H$1166)),COUNTIF($H$2:$H$1166,$H$2:$H$1166),0)),"Unknown"),H936)</f>
        <v>Pending</v>
      </c>
      <c r="Z936" s="7" t="str">
        <f t="shared" si="101"/>
        <v>Outer-Transaction</v>
      </c>
      <c r="AA936" s="7">
        <f>IF(J936="",AVERAGE($J:$J),J936)</f>
        <v>10039.459999999999</v>
      </c>
      <c r="AB936" s="7">
        <f>IF(N936="",AVERAGE($N:$N),N936)</f>
        <v>64</v>
      </c>
      <c r="AC936" s="7">
        <f t="shared" si="102"/>
        <v>2022</v>
      </c>
      <c r="AD936" s="7">
        <f t="shared" si="103"/>
        <v>11</v>
      </c>
      <c r="AE936" s="7">
        <f>COUNTIF(A:A,A936)</f>
        <v>1</v>
      </c>
      <c r="AF936" s="7" t="str">
        <f t="shared" si="104"/>
        <v/>
      </c>
    </row>
    <row r="937" spans="1:32">
      <c r="A937" t="s">
        <v>2826</v>
      </c>
      <c r="B937">
        <v>11691339</v>
      </c>
      <c r="C937" t="s">
        <v>216</v>
      </c>
      <c r="D937" t="s">
        <v>1728</v>
      </c>
      <c r="F937" t="s">
        <v>98</v>
      </c>
      <c r="G937" t="s">
        <v>53</v>
      </c>
      <c r="H937" t="s">
        <v>74</v>
      </c>
      <c r="I937" t="s">
        <v>3371</v>
      </c>
      <c r="J937">
        <v>1230.71</v>
      </c>
      <c r="K937" t="s">
        <v>27</v>
      </c>
      <c r="L937" t="s">
        <v>28</v>
      </c>
      <c r="M937" s="1">
        <v>43868.565972222219</v>
      </c>
      <c r="N937">
        <v>83</v>
      </c>
      <c r="O937" t="s">
        <v>68</v>
      </c>
      <c r="P937" t="s">
        <v>23</v>
      </c>
      <c r="Q937" t="s">
        <v>2827</v>
      </c>
      <c r="R937">
        <f t="shared" si="98"/>
        <v>11691339</v>
      </c>
      <c r="S937" t="str" cm="1">
        <f t="array" ref="S937">IF(C937="",IFERROR(INDEX($C$2:$C$1166,MATCH(MAX(COUNTIF($C$2:$C$1166,$C$2:$C$1166)),COUNTIF($C$2:$C$1166,$C$2:$C$1166),0)),"Unknown"),C937)</f>
        <v>Elena Martinez</v>
      </c>
      <c r="T937" s="4" t="str" cm="1">
        <f t="array" ref="T937">IF(D937="",IFERROR(INDEX($D$2:$D$1000,MATCH(MAX(COUNTIF($D$2:$D$1166,$D$2:$D$1166)),COUNTIF($D$2:$D$1166,$D$2:$D$1166),0)),"Unknown"),D937)</f>
        <v>Richard Volkov</v>
      </c>
      <c r="U937" t="str">
        <f t="shared" si="99"/>
        <v>JPY</v>
      </c>
      <c r="V937" s="7" t="str">
        <f t="shared" si="99"/>
        <v>AED</v>
      </c>
      <c r="W937" s="7" t="str">
        <f t="shared" si="100"/>
        <v>UAE</v>
      </c>
      <c r="X937" s="7" t="str">
        <f t="shared" si="100"/>
        <v>France</v>
      </c>
      <c r="Y937" s="7" t="str" cm="1">
        <f t="array" ref="Y937">IF(H937="",IFERROR(INDEX($H$2:$H$1166,MATCH(MAX(COUNTIF($H$2:$H$1166,$H$2:$H$1166)),COUNTIF($H$2:$H$1166,$H$2:$H$1166),0)),"Unknown"),H937)</f>
        <v>Non-KYC</v>
      </c>
      <c r="Z937" s="7" t="str">
        <f t="shared" si="101"/>
        <v>Outer-Transaction</v>
      </c>
      <c r="AA937" s="7">
        <f>IF(J937="",AVERAGE($J:$J),J937)</f>
        <v>1230.71</v>
      </c>
      <c r="AB937" s="7">
        <f>IF(N937="",AVERAGE($N:$N),N937)</f>
        <v>83</v>
      </c>
      <c r="AC937" s="7">
        <f t="shared" si="102"/>
        <v>2020</v>
      </c>
      <c r="AD937" s="7">
        <f t="shared" si="103"/>
        <v>2</v>
      </c>
      <c r="AE937" s="7">
        <f>COUNTIF(A:A,A937)</f>
        <v>1</v>
      </c>
      <c r="AF937" s="7" t="str">
        <f t="shared" si="104"/>
        <v/>
      </c>
    </row>
    <row r="938" spans="1:32">
      <c r="A938" t="s">
        <v>2828</v>
      </c>
      <c r="B938">
        <v>83012855</v>
      </c>
      <c r="C938" t="s">
        <v>678</v>
      </c>
      <c r="D938" t="s">
        <v>1445</v>
      </c>
      <c r="F938" t="s">
        <v>392</v>
      </c>
      <c r="G938" t="s">
        <v>22</v>
      </c>
      <c r="H938" t="s">
        <v>38</v>
      </c>
      <c r="I938" t="s">
        <v>3374</v>
      </c>
      <c r="J938">
        <v>5075.8100000000004</v>
      </c>
      <c r="K938" t="s">
        <v>39</v>
      </c>
      <c r="L938" t="s">
        <v>75</v>
      </c>
      <c r="M938" s="1">
        <v>44490.7</v>
      </c>
      <c r="N938">
        <v>55</v>
      </c>
      <c r="O938" t="s">
        <v>23</v>
      </c>
      <c r="P938" t="s">
        <v>127</v>
      </c>
      <c r="Q938" t="s">
        <v>2829</v>
      </c>
      <c r="R938">
        <f t="shared" si="98"/>
        <v>83012855</v>
      </c>
      <c r="S938" t="str" cm="1">
        <f t="array" ref="S938">IF(C938="",IFERROR(INDEX($C$2:$C$1166,MATCH(MAX(COUNTIF($C$2:$C$1166,$C$2:$C$1166)),COUNTIF($C$2:$C$1166,$C$2:$C$1166),0)),"Unknown"),C938)</f>
        <v>Karen Gonzalez</v>
      </c>
      <c r="T938" s="4" t="str" cm="1">
        <f t="array" ref="T938">IF(D938="",IFERROR(INDEX($D$2:$D$1000,MATCH(MAX(COUNTIF($D$2:$D$1166,$D$2:$D$1166)),COUNTIF($D$2:$D$1166,$D$2:$D$1166),0)),"Unknown"),D938)</f>
        <v>Marta Rodriguez</v>
      </c>
      <c r="U938" t="str">
        <f t="shared" si="99"/>
        <v>brl</v>
      </c>
      <c r="V938" s="7" t="str">
        <f t="shared" si="99"/>
        <v>BRL</v>
      </c>
      <c r="W938" s="7" t="str">
        <f t="shared" si="100"/>
        <v>France</v>
      </c>
      <c r="X938" s="7" t="str">
        <f t="shared" si="100"/>
        <v>Canada</v>
      </c>
      <c r="Y938" s="7" t="str" cm="1">
        <f t="array" ref="Y938">IF(H938="",IFERROR(INDEX($H$2:$H$1166,MATCH(MAX(COUNTIF($H$2:$H$1166,$H$2:$H$1166)),COUNTIF($H$2:$H$1166,$H$2:$H$1166),0)),"Unknown"),H938)</f>
        <v>Pending</v>
      </c>
      <c r="Z938" s="7" t="str">
        <f t="shared" si="101"/>
        <v>External</v>
      </c>
      <c r="AA938" s="7">
        <f>IF(J938="",AVERAGE($J:$J),J938)</f>
        <v>5075.8100000000004</v>
      </c>
      <c r="AB938" s="7">
        <f>IF(N938="",AVERAGE($N:$N),N938)</f>
        <v>55</v>
      </c>
      <c r="AC938" s="7">
        <f t="shared" si="102"/>
        <v>2021</v>
      </c>
      <c r="AD938" s="7">
        <f t="shared" si="103"/>
        <v>10</v>
      </c>
      <c r="AE938" s="7">
        <f>COUNTIF(A:A,A938)</f>
        <v>1</v>
      </c>
      <c r="AF938" s="7" t="str">
        <f t="shared" si="104"/>
        <v/>
      </c>
    </row>
    <row r="939" spans="1:32">
      <c r="A939" t="s">
        <v>2830</v>
      </c>
      <c r="B939">
        <v>35484385</v>
      </c>
      <c r="C939" t="s">
        <v>1091</v>
      </c>
      <c r="D939" t="s">
        <v>592</v>
      </c>
      <c r="F939" t="s">
        <v>98</v>
      </c>
      <c r="G939" t="s">
        <v>98</v>
      </c>
      <c r="H939" t="s">
        <v>38</v>
      </c>
      <c r="I939" t="s">
        <v>3376</v>
      </c>
      <c r="J939">
        <v>7249.69</v>
      </c>
      <c r="K939" t="s">
        <v>86</v>
      </c>
      <c r="L939" t="s">
        <v>48</v>
      </c>
      <c r="M939" s="1">
        <v>45864.499305555553</v>
      </c>
      <c r="N939">
        <v>68</v>
      </c>
      <c r="O939" t="s">
        <v>62</v>
      </c>
      <c r="P939" t="s">
        <v>36</v>
      </c>
      <c r="Q939" t="s">
        <v>2831</v>
      </c>
      <c r="R939">
        <f t="shared" si="98"/>
        <v>35484385</v>
      </c>
      <c r="S939" t="str" cm="1">
        <f t="array" ref="S939">IF(C939="",IFERROR(INDEX($C$2:$C$1166,MATCH(MAX(COUNTIF($C$2:$C$1166,$C$2:$C$1166)),COUNTIF($C$2:$C$1166,$C$2:$C$1166),0)),"Unknown"),C939)</f>
        <v>Nancy Anderson</v>
      </c>
      <c r="T939" s="4" t="str" cm="1">
        <f t="array" ref="T939">IF(D939="",IFERROR(INDEX($D$2:$D$1000,MATCH(MAX(COUNTIF($D$2:$D$1166,$D$2:$D$1166)),COUNTIF($D$2:$D$1166,$D$2:$D$1166),0)),"Unknown"),D939)</f>
        <v>Barbara Rodriguez</v>
      </c>
      <c r="U939" t="str">
        <f t="shared" si="99"/>
        <v>JPY</v>
      </c>
      <c r="V939" s="7" t="str">
        <f t="shared" si="99"/>
        <v>JPY</v>
      </c>
      <c r="W939" s="7" t="str">
        <f t="shared" si="100"/>
        <v>Australia</v>
      </c>
      <c r="X939" s="7" t="str">
        <f t="shared" si="100"/>
        <v>Germany</v>
      </c>
      <c r="Y939" s="7" t="str" cm="1">
        <f t="array" ref="Y939">IF(H939="",IFERROR(INDEX($H$2:$H$1166,MATCH(MAX(COUNTIF($H$2:$H$1166,$H$2:$H$1166)),COUNTIF($H$2:$H$1166,$H$2:$H$1166),0)),"Unknown"),H939)</f>
        <v>Pending</v>
      </c>
      <c r="Z939" s="7" t="str">
        <f t="shared" si="101"/>
        <v>Internal</v>
      </c>
      <c r="AA939" s="7">
        <f>IF(J939="",AVERAGE($J:$J),J939)</f>
        <v>7249.69</v>
      </c>
      <c r="AB939" s="7">
        <f>IF(N939="",AVERAGE($N:$N),N939)</f>
        <v>68</v>
      </c>
      <c r="AC939" s="7">
        <f t="shared" si="102"/>
        <v>2025</v>
      </c>
      <c r="AD939" s="7">
        <f t="shared" si="103"/>
        <v>7</v>
      </c>
      <c r="AE939" s="7">
        <f>COUNTIF(A:A,A939)</f>
        <v>1</v>
      </c>
      <c r="AF939" s="7" t="str">
        <f t="shared" si="104"/>
        <v/>
      </c>
    </row>
    <row r="940" spans="1:32">
      <c r="A940" t="s">
        <v>2832</v>
      </c>
      <c r="B940">
        <v>47869196</v>
      </c>
      <c r="C940" t="s">
        <v>42</v>
      </c>
      <c r="D940" t="s">
        <v>1143</v>
      </c>
      <c r="F940" t="s">
        <v>21</v>
      </c>
      <c r="G940" t="s">
        <v>92</v>
      </c>
      <c r="H940" t="s">
        <v>103</v>
      </c>
      <c r="I940" t="s">
        <v>3371</v>
      </c>
      <c r="J940">
        <v>12007.13</v>
      </c>
      <c r="K940" t="s">
        <v>47</v>
      </c>
      <c r="L940" t="s">
        <v>48</v>
      </c>
      <c r="M940" s="1">
        <v>45391.825694444444</v>
      </c>
      <c r="N940">
        <v>80</v>
      </c>
      <c r="O940" t="s">
        <v>55</v>
      </c>
      <c r="P940" t="s">
        <v>37</v>
      </c>
      <c r="Q940" t="s">
        <v>2833</v>
      </c>
      <c r="R940">
        <f t="shared" si="98"/>
        <v>47869196</v>
      </c>
      <c r="S940" t="str" cm="1">
        <f t="array" ref="S940">IF(C940="",IFERROR(INDEX($C$2:$C$1166,MATCH(MAX(COUNTIF($C$2:$C$1166,$C$2:$C$1166)),COUNTIF($C$2:$C$1166,$C$2:$C$1166),0)),"Unknown"),C940)</f>
        <v>Zayn Davis</v>
      </c>
      <c r="T940" s="4" t="str" cm="1">
        <f t="array" ref="T940">IF(D940="",IFERROR(INDEX($D$2:$D$1000,MATCH(MAX(COUNTIF($D$2:$D$1166,$D$2:$D$1166)),COUNTIF($D$2:$D$1166,$D$2:$D$1166),0)),"Unknown"),D940)</f>
        <v>Robert Williams</v>
      </c>
      <c r="U940" t="str">
        <f t="shared" si="99"/>
        <v>GBP</v>
      </c>
      <c r="V940" s="7" t="str">
        <f t="shared" si="99"/>
        <v>AUD</v>
      </c>
      <c r="W940" s="7" t="str">
        <f t="shared" si="100"/>
        <v>UK</v>
      </c>
      <c r="X940" s="7" t="str">
        <f t="shared" si="100"/>
        <v>South Africa</v>
      </c>
      <c r="Y940" s="7" t="str" cm="1">
        <f t="array" ref="Y940">IF(H940="",IFERROR(INDEX($H$2:$H$1166,MATCH(MAX(COUNTIF($H$2:$H$1166,$H$2:$H$1166)),COUNTIF($H$2:$H$1166,$H$2:$H$1166),0)),"Unknown"),H940)</f>
        <v>Verified</v>
      </c>
      <c r="Z940" s="7" t="str">
        <f t="shared" si="101"/>
        <v>Outer-Transaction</v>
      </c>
      <c r="AA940" s="7">
        <f>IF(J940="",AVERAGE($J:$J),J940)</f>
        <v>12007.13</v>
      </c>
      <c r="AB940" s="7">
        <f>IF(N940="",AVERAGE($N:$N),N940)</f>
        <v>80</v>
      </c>
      <c r="AC940" s="7">
        <f t="shared" si="102"/>
        <v>2024</v>
      </c>
      <c r="AD940" s="7">
        <f t="shared" si="103"/>
        <v>4</v>
      </c>
      <c r="AE940" s="7">
        <f>COUNTIF(A:A,A940)</f>
        <v>1</v>
      </c>
      <c r="AF940" s="7" t="str">
        <f t="shared" si="104"/>
        <v/>
      </c>
    </row>
    <row r="941" spans="1:32">
      <c r="A941" t="s">
        <v>2834</v>
      </c>
      <c r="B941">
        <v>12427926</v>
      </c>
      <c r="C941" t="s">
        <v>522</v>
      </c>
      <c r="D941" t="s">
        <v>1469</v>
      </c>
      <c r="F941" t="s">
        <v>80</v>
      </c>
      <c r="G941" t="s">
        <v>44</v>
      </c>
      <c r="H941" t="s">
        <v>25</v>
      </c>
      <c r="I941" t="s">
        <v>3376</v>
      </c>
      <c r="J941">
        <v>10186.65</v>
      </c>
      <c r="K941" t="s">
        <v>47</v>
      </c>
      <c r="L941" t="s">
        <v>48</v>
      </c>
      <c r="M941" s="1">
        <v>45487.112500000003</v>
      </c>
      <c r="N941">
        <v>21</v>
      </c>
      <c r="O941" t="s">
        <v>23</v>
      </c>
      <c r="P941" t="s">
        <v>37</v>
      </c>
      <c r="Q941" t="s">
        <v>2835</v>
      </c>
      <c r="R941">
        <f t="shared" si="98"/>
        <v>12427926</v>
      </c>
      <c r="S941" t="str" cm="1">
        <f t="array" ref="S941">IF(C941="",IFERROR(INDEX($C$2:$C$1166,MATCH(MAX(COUNTIF($C$2:$C$1166,$C$2:$C$1166)),COUNTIF($C$2:$C$1166,$C$2:$C$1166),0)),"Unknown"),C941)</f>
        <v>Richard Davis</v>
      </c>
      <c r="T941" s="4" t="str" cm="1">
        <f t="array" ref="T941">IF(D941="",IFERROR(INDEX($D$2:$D$1000,MATCH(MAX(COUNTIF($D$2:$D$1166,$D$2:$D$1166)),COUNTIF($D$2:$D$1166,$D$2:$D$1166),0)),"Unknown"),D941)</f>
        <v>Nancy Volkov</v>
      </c>
      <c r="U941" t="str">
        <f t="shared" si="99"/>
        <v>USD</v>
      </c>
      <c r="V941" s="7" t="str">
        <f t="shared" si="99"/>
        <v>SGD</v>
      </c>
      <c r="W941" s="7" t="str">
        <f t="shared" si="100"/>
        <v>France</v>
      </c>
      <c r="X941" s="7" t="str">
        <f t="shared" si="100"/>
        <v>South Africa</v>
      </c>
      <c r="Y941" s="7" t="str" cm="1">
        <f t="array" ref="Y941">IF(H941="",IFERROR(INDEX($H$2:$H$1166,MATCH(MAX(COUNTIF($H$2:$H$1166,$H$2:$H$1166)),COUNTIF($H$2:$H$1166,$H$2:$H$1166),0)),"Unknown"),H941)</f>
        <v>KYC</v>
      </c>
      <c r="Z941" s="7" t="str">
        <f t="shared" si="101"/>
        <v>Internal</v>
      </c>
      <c r="AA941" s="7">
        <f>IF(J941="",AVERAGE($J:$J),J941)</f>
        <v>10186.65</v>
      </c>
      <c r="AB941" s="7">
        <f>IF(N941="",AVERAGE($N:$N),N941)</f>
        <v>21</v>
      </c>
      <c r="AC941" s="7">
        <f t="shared" si="102"/>
        <v>2024</v>
      </c>
      <c r="AD941" s="7">
        <f t="shared" si="103"/>
        <v>7</v>
      </c>
      <c r="AE941" s="7">
        <f>COUNTIF(A:A,A941)</f>
        <v>1</v>
      </c>
      <c r="AF941" s="7" t="str">
        <f t="shared" si="104"/>
        <v/>
      </c>
    </row>
    <row r="942" spans="1:32">
      <c r="A942" t="s">
        <v>2836</v>
      </c>
      <c r="B942">
        <v>46547395</v>
      </c>
      <c r="D942" t="s">
        <v>2837</v>
      </c>
      <c r="F942" t="s">
        <v>92</v>
      </c>
      <c r="H942" t="s">
        <v>25</v>
      </c>
      <c r="I942" t="s">
        <v>3378</v>
      </c>
      <c r="J942">
        <v>3489.02</v>
      </c>
      <c r="K942" t="s">
        <v>86</v>
      </c>
      <c r="L942" t="s">
        <v>48</v>
      </c>
      <c r="M942" s="1">
        <v>44880.710416666669</v>
      </c>
      <c r="N942">
        <v>18</v>
      </c>
      <c r="O942" t="s">
        <v>36</v>
      </c>
      <c r="P942" t="s">
        <v>24</v>
      </c>
      <c r="Q942" t="s">
        <v>2838</v>
      </c>
      <c r="R942">
        <f t="shared" si="98"/>
        <v>46547395</v>
      </c>
      <c r="S942" t="str" cm="1">
        <f t="array" ref="S942">IF(C942="",IFERROR(INDEX($C$2:$C$1166,MATCH(MAX(COUNTIF($C$2:$C$1166,$C$2:$C$1166)),COUNTIF($C$2:$C$1166,$C$2:$C$1166),0)),"Unknown"),C942)</f>
        <v>Fatima Brown</v>
      </c>
      <c r="T942" s="4" t="str" cm="1">
        <f t="array" ref="T942">IF(D942="",IFERROR(INDEX($D$2:$D$1000,MATCH(MAX(COUNTIF($D$2:$D$1166,$D$2:$D$1166)),COUNTIF($D$2:$D$1166,$D$2:$D$1166),0)),"Unknown"),D942)</f>
        <v>Lucas Thomas</v>
      </c>
      <c r="U942" t="str">
        <f t="shared" si="99"/>
        <v>AUD</v>
      </c>
      <c r="V942" s="7" t="str">
        <f t="shared" si="99"/>
        <v/>
      </c>
      <c r="W942" s="7" t="str">
        <f t="shared" si="100"/>
        <v>Germany</v>
      </c>
      <c r="X942" s="7" t="str">
        <f t="shared" si="100"/>
        <v>Brazil</v>
      </c>
      <c r="Y942" s="7" t="str" cm="1">
        <f t="array" ref="Y942">IF(H942="",IFERROR(INDEX($H$2:$H$1166,MATCH(MAX(COUNTIF($H$2:$H$1166,$H$2:$H$1166)),COUNTIF($H$2:$H$1166,$H$2:$H$1166),0)),"Unknown"),H942)</f>
        <v>KYC</v>
      </c>
      <c r="Z942" s="7" t="str">
        <f t="shared" si="101"/>
        <v>Inter-Transaction</v>
      </c>
      <c r="AA942" s="7">
        <f>IF(J942="",AVERAGE($J:$J),J942)</f>
        <v>3489.02</v>
      </c>
      <c r="AB942" s="7">
        <f>IF(N942="",AVERAGE($N:$N),N942)</f>
        <v>18</v>
      </c>
      <c r="AC942" s="7">
        <f t="shared" si="102"/>
        <v>2022</v>
      </c>
      <c r="AD942" s="7">
        <f t="shared" si="103"/>
        <v>11</v>
      </c>
      <c r="AE942" s="7">
        <f>COUNTIF(A:A,A942)</f>
        <v>1</v>
      </c>
      <c r="AF942" s="7" t="str">
        <f t="shared" si="104"/>
        <v/>
      </c>
    </row>
    <row r="943" spans="1:32">
      <c r="A943" t="s">
        <v>2839</v>
      </c>
      <c r="B943">
        <v>62111591</v>
      </c>
      <c r="C943" t="s">
        <v>315</v>
      </c>
      <c r="D943" t="s">
        <v>2840</v>
      </c>
      <c r="F943" t="s">
        <v>80</v>
      </c>
      <c r="G943" t="s">
        <v>92</v>
      </c>
      <c r="H943" t="s">
        <v>74</v>
      </c>
      <c r="I943" t="s">
        <v>3374</v>
      </c>
      <c r="J943">
        <v>7968.22</v>
      </c>
      <c r="K943" t="s">
        <v>86</v>
      </c>
      <c r="L943" t="s">
        <v>81</v>
      </c>
      <c r="M943" s="1">
        <v>44284.700694444444</v>
      </c>
      <c r="N943">
        <v>25</v>
      </c>
      <c r="O943" t="s">
        <v>24</v>
      </c>
      <c r="P943" t="s">
        <v>93</v>
      </c>
      <c r="Q943" t="s">
        <v>2841</v>
      </c>
      <c r="R943">
        <f t="shared" si="98"/>
        <v>62111591</v>
      </c>
      <c r="S943" t="str" cm="1">
        <f t="array" ref="S943">IF(C943="",IFERROR(INDEX($C$2:$C$1166,MATCH(MAX(COUNTIF($C$2:$C$1166,$C$2:$C$1166)),COUNTIF($C$2:$C$1166,$C$2:$C$1166),0)),"Unknown"),C943)</f>
        <v>Charles Gonzalez</v>
      </c>
      <c r="T943" s="4" t="str" cm="1">
        <f t="array" ref="T943">IF(D943="",IFERROR(INDEX($D$2:$D$1000,MATCH(MAX(COUNTIF($D$2:$D$1166,$D$2:$D$1166)),COUNTIF($D$2:$D$1166,$D$2:$D$1166),0)),"Unknown"),D943)</f>
        <v>Mary Hernandez</v>
      </c>
      <c r="U943" t="str">
        <f t="shared" si="99"/>
        <v>USD</v>
      </c>
      <c r="V943" s="7" t="str">
        <f t="shared" si="99"/>
        <v>AUD</v>
      </c>
      <c r="W943" s="7" t="str">
        <f t="shared" si="100"/>
        <v>Brazil</v>
      </c>
      <c r="X943" s="7" t="str">
        <f t="shared" si="100"/>
        <v>USA</v>
      </c>
      <c r="Y943" s="7" t="str" cm="1">
        <f t="array" ref="Y943">IF(H943="",IFERROR(INDEX($H$2:$H$1166,MATCH(MAX(COUNTIF($H$2:$H$1166,$H$2:$H$1166)),COUNTIF($H$2:$H$1166,$H$2:$H$1166),0)),"Unknown"),H943)</f>
        <v>Non-KYC</v>
      </c>
      <c r="Z943" s="7" t="str">
        <f t="shared" si="101"/>
        <v>External</v>
      </c>
      <c r="AA943" s="7">
        <f>IF(J943="",AVERAGE($J:$J),J943)</f>
        <v>7968.22</v>
      </c>
      <c r="AB943" s="7">
        <f>IF(N943="",AVERAGE($N:$N),N943)</f>
        <v>25</v>
      </c>
      <c r="AC943" s="7">
        <f t="shared" si="102"/>
        <v>2021</v>
      </c>
      <c r="AD943" s="7">
        <f t="shared" si="103"/>
        <v>3</v>
      </c>
      <c r="AE943" s="7">
        <f>COUNTIF(A:A,A943)</f>
        <v>1</v>
      </c>
      <c r="AF943" s="7" t="str">
        <f t="shared" si="104"/>
        <v/>
      </c>
    </row>
    <row r="944" spans="1:32">
      <c r="A944" t="s">
        <v>2842</v>
      </c>
      <c r="B944">
        <v>17878883</v>
      </c>
      <c r="C944" t="s">
        <v>2366</v>
      </c>
      <c r="D944" t="s">
        <v>155</v>
      </c>
      <c r="F944" t="s">
        <v>393</v>
      </c>
      <c r="G944" t="s">
        <v>21</v>
      </c>
      <c r="H944" t="s">
        <v>103</v>
      </c>
      <c r="I944" t="s">
        <v>3376</v>
      </c>
      <c r="J944">
        <v>7017.69</v>
      </c>
      <c r="K944" t="s">
        <v>27</v>
      </c>
      <c r="L944" t="s">
        <v>75</v>
      </c>
      <c r="M944" s="1">
        <v>45535.197916666664</v>
      </c>
      <c r="N944">
        <v>46</v>
      </c>
      <c r="O944" t="s">
        <v>37</v>
      </c>
      <c r="P944" t="s">
        <v>93</v>
      </c>
      <c r="Q944" t="s">
        <v>2843</v>
      </c>
      <c r="R944">
        <f t="shared" si="98"/>
        <v>17878883</v>
      </c>
      <c r="S944" t="str" cm="1">
        <f t="array" ref="S944">IF(C944="",IFERROR(INDEX($C$2:$C$1166,MATCH(MAX(COUNTIF($C$2:$C$1166,$C$2:$C$1166)),COUNTIF($C$2:$C$1166,$C$2:$C$1166),0)),"Unknown"),C944)</f>
        <v>Lucas Al-Sayed</v>
      </c>
      <c r="T944" s="4" t="str" cm="1">
        <f t="array" ref="T944">IF(D944="",IFERROR(INDEX($D$2:$D$1000,MATCH(MAX(COUNTIF($D$2:$D$1166,$D$2:$D$1166)),COUNTIF($D$2:$D$1166,$D$2:$D$1166),0)),"Unknown"),D944)</f>
        <v>Elizabeth Nair</v>
      </c>
      <c r="U944" t="str">
        <f t="shared" si="99"/>
        <v>cad</v>
      </c>
      <c r="V944" s="7" t="str">
        <f t="shared" si="99"/>
        <v>GBP</v>
      </c>
      <c r="W944" s="7" t="str">
        <f t="shared" si="100"/>
        <v>South Africa</v>
      </c>
      <c r="X944" s="7" t="str">
        <f t="shared" si="100"/>
        <v>USA</v>
      </c>
      <c r="Y944" s="7" t="str" cm="1">
        <f t="array" ref="Y944">IF(H944="",IFERROR(INDEX($H$2:$H$1166,MATCH(MAX(COUNTIF($H$2:$H$1166,$H$2:$H$1166)),COUNTIF($H$2:$H$1166,$H$2:$H$1166),0)),"Unknown"),H944)</f>
        <v>Verified</v>
      </c>
      <c r="Z944" s="7" t="str">
        <f t="shared" si="101"/>
        <v>Internal</v>
      </c>
      <c r="AA944" s="7">
        <f>IF(J944="",AVERAGE($J:$J),J944)</f>
        <v>7017.69</v>
      </c>
      <c r="AB944" s="7">
        <f>IF(N944="",AVERAGE($N:$N),N944)</f>
        <v>46</v>
      </c>
      <c r="AC944" s="7">
        <f t="shared" si="102"/>
        <v>2024</v>
      </c>
      <c r="AD944" s="7">
        <f t="shared" si="103"/>
        <v>8</v>
      </c>
      <c r="AE944" s="7">
        <f>COUNTIF(A:A,A944)</f>
        <v>1</v>
      </c>
      <c r="AF944" s="7" t="str">
        <f t="shared" si="104"/>
        <v/>
      </c>
    </row>
    <row r="945" spans="1:32">
      <c r="A945" t="s">
        <v>2844</v>
      </c>
      <c r="B945">
        <v>27857392</v>
      </c>
      <c r="C945" t="s">
        <v>910</v>
      </c>
      <c r="F945" t="s">
        <v>44</v>
      </c>
      <c r="G945" t="s">
        <v>53</v>
      </c>
      <c r="H945" t="s">
        <v>25</v>
      </c>
      <c r="I945" t="s">
        <v>3378</v>
      </c>
      <c r="J945">
        <v>4294.59</v>
      </c>
      <c r="K945" t="s">
        <v>27</v>
      </c>
      <c r="L945" t="s">
        <v>75</v>
      </c>
      <c r="M945" s="1">
        <v>45177.384722222225</v>
      </c>
      <c r="N945">
        <v>72</v>
      </c>
      <c r="O945" t="s">
        <v>55</v>
      </c>
      <c r="P945" t="s">
        <v>24</v>
      </c>
      <c r="Q945" t="s">
        <v>2845</v>
      </c>
      <c r="R945">
        <f t="shared" si="98"/>
        <v>27857392</v>
      </c>
      <c r="S945" t="str" cm="1">
        <f t="array" ref="S945">IF(C945="",IFERROR(INDEX($C$2:$C$1166,MATCH(MAX(COUNTIF($C$2:$C$1166,$C$2:$C$1166)),COUNTIF($C$2:$C$1166,$C$2:$C$1166),0)),"Unknown"),C945)</f>
        <v>Zayn Anderson</v>
      </c>
      <c r="T945" s="4" t="str" cm="1">
        <f t="array" ref="T945">IF(D945="",IFERROR(INDEX($D$2:$D$1000,MATCH(MAX(COUNTIF($D$2:$D$1166,$D$2:$D$1166)),COUNTIF($D$2:$D$1166,$D$2:$D$1166),0)),"Unknown"),D945)</f>
        <v>Patricia Smith</v>
      </c>
      <c r="U945" t="str">
        <f t="shared" si="99"/>
        <v>SGD</v>
      </c>
      <c r="V945" s="7" t="str">
        <f t="shared" si="99"/>
        <v>AED</v>
      </c>
      <c r="W945" s="7" t="str">
        <f t="shared" si="100"/>
        <v>UK</v>
      </c>
      <c r="X945" s="7" t="str">
        <f t="shared" si="100"/>
        <v>Brazil</v>
      </c>
      <c r="Y945" s="7" t="str" cm="1">
        <f t="array" ref="Y945">IF(H945="",IFERROR(INDEX($H$2:$H$1166,MATCH(MAX(COUNTIF($H$2:$H$1166,$H$2:$H$1166)),COUNTIF($H$2:$H$1166,$H$2:$H$1166),0)),"Unknown"),H945)</f>
        <v>KYC</v>
      </c>
      <c r="Z945" s="7" t="str">
        <f t="shared" si="101"/>
        <v>Inter-Transaction</v>
      </c>
      <c r="AA945" s="7">
        <f>IF(J945="",AVERAGE($J:$J),J945)</f>
        <v>4294.59</v>
      </c>
      <c r="AB945" s="7">
        <f>IF(N945="",AVERAGE($N:$N),N945)</f>
        <v>72</v>
      </c>
      <c r="AC945" s="7">
        <f t="shared" si="102"/>
        <v>2023</v>
      </c>
      <c r="AD945" s="7">
        <f t="shared" si="103"/>
        <v>9</v>
      </c>
      <c r="AE945" s="7">
        <f>COUNTIF(A:A,A945)</f>
        <v>1</v>
      </c>
      <c r="AF945" s="7" t="str">
        <f t="shared" si="104"/>
        <v/>
      </c>
    </row>
    <row r="946" spans="1:32">
      <c r="A946" t="s">
        <v>2846</v>
      </c>
      <c r="B946">
        <v>56689082</v>
      </c>
      <c r="C946" t="s">
        <v>2847</v>
      </c>
      <c r="D946" t="s">
        <v>1029</v>
      </c>
      <c r="F946" t="s">
        <v>53</v>
      </c>
      <c r="G946" t="s">
        <v>34</v>
      </c>
      <c r="H946" t="s">
        <v>74</v>
      </c>
      <c r="I946" t="s">
        <v>3377</v>
      </c>
      <c r="J946">
        <v>7404.92</v>
      </c>
      <c r="K946" t="s">
        <v>39</v>
      </c>
      <c r="L946" t="s">
        <v>28</v>
      </c>
      <c r="M946" s="1">
        <v>44649.010416666664</v>
      </c>
      <c r="N946">
        <v>20</v>
      </c>
      <c r="O946" t="s">
        <v>54</v>
      </c>
      <c r="P946" t="s">
        <v>54</v>
      </c>
      <c r="Q946" t="s">
        <v>2848</v>
      </c>
      <c r="R946">
        <f t="shared" si="98"/>
        <v>56689082</v>
      </c>
      <c r="S946" t="str" cm="1">
        <f t="array" ref="S946">IF(C946="",IFERROR(INDEX($C$2:$C$1166,MATCH(MAX(COUNTIF($C$2:$C$1166,$C$2:$C$1166)),COUNTIF($C$2:$C$1166,$C$2:$C$1166),0)),"Unknown"),C946)</f>
        <v>Sanjay Lopez</v>
      </c>
      <c r="T946" s="4" t="str" cm="1">
        <f t="array" ref="T946">IF(D946="",IFERROR(INDEX($D$2:$D$1000,MATCH(MAX(COUNTIF($D$2:$D$1166,$D$2:$D$1166)),COUNTIF($D$2:$D$1166,$D$2:$D$1166),0)),"Unknown"),D946)</f>
        <v>Charles Miller</v>
      </c>
      <c r="U946" t="str">
        <f t="shared" si="99"/>
        <v>AED</v>
      </c>
      <c r="V946" s="7" t="str">
        <f t="shared" si="99"/>
        <v>CAD</v>
      </c>
      <c r="W946" s="7" t="str">
        <f t="shared" si="100"/>
        <v>India</v>
      </c>
      <c r="X946" s="7" t="str">
        <f t="shared" si="100"/>
        <v>India</v>
      </c>
      <c r="Y946" s="7" t="str" cm="1">
        <f t="array" ref="Y946">IF(H946="",IFERROR(INDEX($H$2:$H$1166,MATCH(MAX(COUNTIF($H$2:$H$1166,$H$2:$H$1166)),COUNTIF($H$2:$H$1166,$H$2:$H$1166),0)),"Unknown"),H946)</f>
        <v>Non-KYC</v>
      </c>
      <c r="Z946" s="7" t="str">
        <f t="shared" si="101"/>
        <v>Inter-Transaction</v>
      </c>
      <c r="AA946" s="7">
        <f>IF(J946="",AVERAGE($J:$J),J946)</f>
        <v>7404.92</v>
      </c>
      <c r="AB946" s="7">
        <f>IF(N946="",AVERAGE($N:$N),N946)</f>
        <v>20</v>
      </c>
      <c r="AC946" s="7">
        <f t="shared" si="102"/>
        <v>2022</v>
      </c>
      <c r="AD946" s="7">
        <f t="shared" si="103"/>
        <v>3</v>
      </c>
      <c r="AE946" s="7">
        <f>COUNTIF(A:A,A946)</f>
        <v>1</v>
      </c>
      <c r="AF946" s="7" t="str">
        <f t="shared" si="104"/>
        <v/>
      </c>
    </row>
    <row r="947" spans="1:32">
      <c r="A947" t="s">
        <v>2849</v>
      </c>
      <c r="C947" t="s">
        <v>432</v>
      </c>
      <c r="D947" t="s">
        <v>2108</v>
      </c>
      <c r="F947" t="s">
        <v>45</v>
      </c>
      <c r="G947" t="s">
        <v>21</v>
      </c>
      <c r="H947" t="s">
        <v>25</v>
      </c>
      <c r="I947" t="s">
        <v>3378</v>
      </c>
      <c r="J947">
        <v>7564.48</v>
      </c>
      <c r="K947" t="s">
        <v>86</v>
      </c>
      <c r="L947" t="s">
        <v>28</v>
      </c>
      <c r="M947" s="1">
        <v>44603.45416666667</v>
      </c>
      <c r="N947">
        <v>49</v>
      </c>
      <c r="O947" t="s">
        <v>36</v>
      </c>
      <c r="P947" t="s">
        <v>37</v>
      </c>
      <c r="Q947" t="s">
        <v>2850</v>
      </c>
      <c r="R947">
        <f t="shared" si="98"/>
        <v>0</v>
      </c>
      <c r="S947" t="str" cm="1">
        <f t="array" ref="S947">IF(C947="",IFERROR(INDEX($C$2:$C$1166,MATCH(MAX(COUNTIF($C$2:$C$1166,$C$2:$C$1166)),COUNTIF($C$2:$C$1166,$C$2:$C$1166),0)),"Unknown"),C947)</f>
        <v>Jessica Smith</v>
      </c>
      <c r="T947" s="4" t="str" cm="1">
        <f t="array" ref="T947">IF(D947="",IFERROR(INDEX($D$2:$D$1000,MATCH(MAX(COUNTIF($D$2:$D$1166,$D$2:$D$1166)),COUNTIF($D$2:$D$1166,$D$2:$D$1166),0)),"Unknown"),D947)</f>
        <v>Thomas Smith</v>
      </c>
      <c r="U947" t="str">
        <f t="shared" si="99"/>
        <v>ZAR</v>
      </c>
      <c r="V947" s="7" t="str">
        <f t="shared" si="99"/>
        <v>GBP</v>
      </c>
      <c r="W947" s="7" t="str">
        <f t="shared" si="100"/>
        <v>Germany</v>
      </c>
      <c r="X947" s="7" t="str">
        <f t="shared" si="100"/>
        <v>South Africa</v>
      </c>
      <c r="Y947" s="7" t="str" cm="1">
        <f t="array" ref="Y947">IF(H947="",IFERROR(INDEX($H$2:$H$1166,MATCH(MAX(COUNTIF($H$2:$H$1166,$H$2:$H$1166)),COUNTIF($H$2:$H$1166,$H$2:$H$1166),0)),"Unknown"),H947)</f>
        <v>KYC</v>
      </c>
      <c r="Z947" s="7" t="str">
        <f t="shared" si="101"/>
        <v>Inter-Transaction</v>
      </c>
      <c r="AA947" s="7">
        <f>IF(J947="",AVERAGE($J:$J),J947)</f>
        <v>7564.48</v>
      </c>
      <c r="AB947" s="7">
        <f>IF(N947="",AVERAGE($N:$N),N947)</f>
        <v>49</v>
      </c>
      <c r="AC947" s="7">
        <f t="shared" si="102"/>
        <v>2022</v>
      </c>
      <c r="AD947" s="7">
        <f t="shared" si="103"/>
        <v>2</v>
      </c>
      <c r="AE947" s="7">
        <f>COUNTIF(A:A,A947)</f>
        <v>1</v>
      </c>
      <c r="AF947" s="7" t="str">
        <f t="shared" si="104"/>
        <v/>
      </c>
    </row>
    <row r="948" spans="1:32">
      <c r="A948" t="s">
        <v>2851</v>
      </c>
      <c r="B948">
        <v>22601623</v>
      </c>
      <c r="C948" t="s">
        <v>617</v>
      </c>
      <c r="D948" t="s">
        <v>282</v>
      </c>
      <c r="F948" t="s">
        <v>116</v>
      </c>
      <c r="G948" t="s">
        <v>80</v>
      </c>
      <c r="H948" t="s">
        <v>103</v>
      </c>
      <c r="I948" t="s">
        <v>3372</v>
      </c>
      <c r="J948">
        <v>8511.84</v>
      </c>
      <c r="K948" t="s">
        <v>86</v>
      </c>
      <c r="L948" t="s">
        <v>81</v>
      </c>
      <c r="M948" s="1">
        <v>43843.817361111112</v>
      </c>
      <c r="N948">
        <v>27</v>
      </c>
      <c r="O948" t="s">
        <v>55</v>
      </c>
      <c r="P948" t="s">
        <v>54</v>
      </c>
      <c r="Q948" t="s">
        <v>2852</v>
      </c>
      <c r="R948">
        <f t="shared" si="98"/>
        <v>22601623</v>
      </c>
      <c r="S948" t="str" cm="1">
        <f t="array" ref="S948">IF(C948="",IFERROR(INDEX($C$2:$C$1166,MATCH(MAX(COUNTIF($C$2:$C$1166,$C$2:$C$1166)),COUNTIF($C$2:$C$1166,$C$2:$C$1166),0)),"Unknown"),C948)</f>
        <v>Richard Wilson</v>
      </c>
      <c r="T948" s="4" t="str" cm="1">
        <f t="array" ref="T948">IF(D948="",IFERROR(INDEX($D$2:$D$1000,MATCH(MAX(COUNTIF($D$2:$D$1166,$D$2:$D$1166)),COUNTIF($D$2:$D$1166,$D$2:$D$1166),0)),"Unknown"),D948)</f>
        <v>Mary Lopez</v>
      </c>
      <c r="U948" t="str">
        <f t="shared" si="99"/>
        <v>CHF</v>
      </c>
      <c r="V948" s="7" t="str">
        <f t="shared" si="99"/>
        <v>USD</v>
      </c>
      <c r="W948" s="7" t="str">
        <f t="shared" si="100"/>
        <v>UK</v>
      </c>
      <c r="X948" s="7" t="str">
        <f t="shared" si="100"/>
        <v>India</v>
      </c>
      <c r="Y948" s="7" t="str" cm="1">
        <f t="array" ref="Y948">IF(H948="",IFERROR(INDEX($H$2:$H$1166,MATCH(MAX(COUNTIF($H$2:$H$1166,$H$2:$H$1166)),COUNTIF($H$2:$H$1166,$H$2:$H$1166),0)),"Unknown"),H948)</f>
        <v>Verified</v>
      </c>
      <c r="Z948" s="7" t="str">
        <f t="shared" si="101"/>
        <v>Outer-Transaction</v>
      </c>
      <c r="AA948" s="7">
        <f>IF(J948="",AVERAGE($J:$J),J948)</f>
        <v>8511.84</v>
      </c>
      <c r="AB948" s="7">
        <f>IF(N948="",AVERAGE($N:$N),N948)</f>
        <v>27</v>
      </c>
      <c r="AC948" s="7">
        <f t="shared" si="102"/>
        <v>2020</v>
      </c>
      <c r="AD948" s="7">
        <f t="shared" si="103"/>
        <v>1</v>
      </c>
      <c r="AE948" s="7">
        <f>COUNTIF(A:A,A948)</f>
        <v>1</v>
      </c>
      <c r="AF948" s="7" t="str">
        <f t="shared" si="104"/>
        <v/>
      </c>
    </row>
    <row r="949" spans="1:32">
      <c r="A949" t="s">
        <v>2853</v>
      </c>
      <c r="B949">
        <v>17303355</v>
      </c>
      <c r="C949" t="s">
        <v>2854</v>
      </c>
      <c r="D949" t="s">
        <v>1032</v>
      </c>
      <c r="F949" t="s">
        <v>22</v>
      </c>
      <c r="G949" t="s">
        <v>35</v>
      </c>
      <c r="I949" t="s">
        <v>3378</v>
      </c>
      <c r="J949">
        <v>12715.71</v>
      </c>
      <c r="K949" t="s">
        <v>39</v>
      </c>
      <c r="L949" t="s">
        <v>48</v>
      </c>
      <c r="M949" s="1">
        <v>44751.995138888888</v>
      </c>
      <c r="N949">
        <v>51</v>
      </c>
      <c r="O949" t="s">
        <v>23</v>
      </c>
      <c r="P949" t="s">
        <v>68</v>
      </c>
      <c r="Q949" t="s">
        <v>2855</v>
      </c>
      <c r="R949">
        <f t="shared" si="98"/>
        <v>17303355</v>
      </c>
      <c r="S949" t="str" cm="1">
        <f t="array" ref="S949">IF(C949="",IFERROR(INDEX($C$2:$C$1166,MATCH(MAX(COUNTIF($C$2:$C$1166,$C$2:$C$1166)),COUNTIF($C$2:$C$1166,$C$2:$C$1166),0)),"Unknown"),C949)</f>
        <v>Richard Al-Sayed</v>
      </c>
      <c r="T949" s="4" t="str" cm="1">
        <f t="array" ref="T949">IF(D949="",IFERROR(INDEX($D$2:$D$1000,MATCH(MAX(COUNTIF($D$2:$D$1166,$D$2:$D$1166)),COUNTIF($D$2:$D$1166,$D$2:$D$1166),0)),"Unknown"),D949)</f>
        <v>Thomas Brown</v>
      </c>
      <c r="U949" t="str">
        <f t="shared" si="99"/>
        <v>BRL</v>
      </c>
      <c r="V949" s="7" t="str">
        <f t="shared" si="99"/>
        <v>EUR</v>
      </c>
      <c r="W949" s="7" t="str">
        <f t="shared" si="100"/>
        <v>France</v>
      </c>
      <c r="X949" s="7" t="str">
        <f t="shared" si="100"/>
        <v>UAE</v>
      </c>
      <c r="Y949" s="7" t="str" cm="1">
        <f t="array" ref="Y949">IF(H949="",IFERROR(INDEX($H$2:$H$1166,MATCH(MAX(COUNTIF($H$2:$H$1166,$H$2:$H$1166)),COUNTIF($H$2:$H$1166,$H$2:$H$1166),0)),"Unknown"),H949)</f>
        <v>Pending</v>
      </c>
      <c r="Z949" s="7" t="str">
        <f t="shared" si="101"/>
        <v>Inter-Transaction</v>
      </c>
      <c r="AA949" s="7">
        <f>IF(J949="",AVERAGE($J:$J),J949)</f>
        <v>12715.71</v>
      </c>
      <c r="AB949" s="7">
        <f>IF(N949="",AVERAGE($N:$N),N949)</f>
        <v>51</v>
      </c>
      <c r="AC949" s="7">
        <f t="shared" si="102"/>
        <v>2022</v>
      </c>
      <c r="AD949" s="7">
        <f t="shared" si="103"/>
        <v>7</v>
      </c>
      <c r="AE949" s="7">
        <f>COUNTIF(A:A,A949)</f>
        <v>1</v>
      </c>
      <c r="AF949" s="7" t="str">
        <f t="shared" si="104"/>
        <v/>
      </c>
    </row>
    <row r="950" spans="1:32">
      <c r="A950" t="s">
        <v>2856</v>
      </c>
      <c r="B950">
        <v>85103699</v>
      </c>
      <c r="C950" t="s">
        <v>2004</v>
      </c>
      <c r="D950" t="s">
        <v>2857</v>
      </c>
      <c r="F950" t="s">
        <v>44</v>
      </c>
      <c r="G950" t="s">
        <v>80</v>
      </c>
      <c r="I950" t="s">
        <v>3377</v>
      </c>
      <c r="J950">
        <v>8135.49</v>
      </c>
      <c r="K950" t="s">
        <v>47</v>
      </c>
      <c r="L950" t="s">
        <v>28</v>
      </c>
      <c r="M950" s="1">
        <v>44655.645138888889</v>
      </c>
      <c r="N950">
        <v>72</v>
      </c>
      <c r="O950" t="s">
        <v>93</v>
      </c>
      <c r="P950" t="s">
        <v>68</v>
      </c>
      <c r="Q950" t="s">
        <v>2858</v>
      </c>
      <c r="R950">
        <f t="shared" si="98"/>
        <v>85103699</v>
      </c>
      <c r="S950" t="str" cm="1">
        <f t="array" ref="S950">IF(C950="",IFERROR(INDEX($C$2:$C$1166,MATCH(MAX(COUNTIF($C$2:$C$1166,$C$2:$C$1166)),COUNTIF($C$2:$C$1166,$C$2:$C$1166),0)),"Unknown"),C950)</f>
        <v>Thomas Gonzalez</v>
      </c>
      <c r="T950" s="4" t="str" cm="1">
        <f t="array" ref="T950">IF(D950="",IFERROR(INDEX($D$2:$D$1000,MATCH(MAX(COUNTIF($D$2:$D$1166,$D$2:$D$1166)),COUNTIF($D$2:$D$1166,$D$2:$D$1166),0)),"Unknown"),D950)</f>
        <v>Karen Smith</v>
      </c>
      <c r="U950" t="str">
        <f t="shared" si="99"/>
        <v>SGD</v>
      </c>
      <c r="V950" s="7" t="str">
        <f t="shared" si="99"/>
        <v>USD</v>
      </c>
      <c r="W950" s="7" t="str">
        <f t="shared" si="100"/>
        <v>USA</v>
      </c>
      <c r="X950" s="7" t="str">
        <f t="shared" si="100"/>
        <v>UAE</v>
      </c>
      <c r="Y950" s="7" t="str" cm="1">
        <f t="array" ref="Y950">IF(H950="",IFERROR(INDEX($H$2:$H$1166,MATCH(MAX(COUNTIF($H$2:$H$1166,$H$2:$H$1166)),COUNTIF($H$2:$H$1166,$H$2:$H$1166),0)),"Unknown"),H950)</f>
        <v>Pending</v>
      </c>
      <c r="Z950" s="7" t="str">
        <f t="shared" si="101"/>
        <v>Inter-Transaction</v>
      </c>
      <c r="AA950" s="7">
        <f>IF(J950="",AVERAGE($J:$J),J950)</f>
        <v>8135.49</v>
      </c>
      <c r="AB950" s="7">
        <f>IF(N950="",AVERAGE($N:$N),N950)</f>
        <v>72</v>
      </c>
      <c r="AC950" s="7">
        <f t="shared" si="102"/>
        <v>2022</v>
      </c>
      <c r="AD950" s="7">
        <f t="shared" si="103"/>
        <v>4</v>
      </c>
      <c r="AE950" s="7">
        <f>COUNTIF(A:A,A950)</f>
        <v>1</v>
      </c>
      <c r="AF950" s="7" t="str">
        <f t="shared" si="104"/>
        <v/>
      </c>
    </row>
    <row r="951" spans="1:32">
      <c r="A951" t="s">
        <v>2859</v>
      </c>
      <c r="B951">
        <v>91027831</v>
      </c>
      <c r="C951" t="s">
        <v>200</v>
      </c>
      <c r="D951" t="s">
        <v>2860</v>
      </c>
      <c r="F951" t="s">
        <v>121</v>
      </c>
      <c r="G951" t="s">
        <v>116</v>
      </c>
      <c r="H951" t="s">
        <v>74</v>
      </c>
      <c r="I951" t="s">
        <v>3378</v>
      </c>
      <c r="J951">
        <v>3608.7</v>
      </c>
      <c r="K951" t="s">
        <v>47</v>
      </c>
      <c r="L951" t="s">
        <v>81</v>
      </c>
      <c r="M951" s="1">
        <v>46249.041666666664</v>
      </c>
      <c r="N951">
        <v>49</v>
      </c>
      <c r="O951" t="s">
        <v>37</v>
      </c>
      <c r="P951" t="s">
        <v>55</v>
      </c>
      <c r="Q951" t="s">
        <v>2861</v>
      </c>
      <c r="R951">
        <f t="shared" si="98"/>
        <v>91027831</v>
      </c>
      <c r="S951" t="str" cm="1">
        <f t="array" ref="S951">IF(C951="",IFERROR(INDEX($C$2:$C$1166,MATCH(MAX(COUNTIF($C$2:$C$1166,$C$2:$C$1166)),COUNTIF($C$2:$C$1166,$C$2:$C$1166),0)),"Unknown"),C951)</f>
        <v>Elena Thomas</v>
      </c>
      <c r="T951" s="4" t="str" cm="1">
        <f t="array" ref="T951">IF(D951="",IFERROR(INDEX($D$2:$D$1000,MATCH(MAX(COUNTIF($D$2:$D$1166,$D$2:$D$1166)),COUNTIF($D$2:$D$1166,$D$2:$D$1166),0)),"Unknown"),D951)</f>
        <v>William Silva</v>
      </c>
      <c r="U951" t="str">
        <f t="shared" si="99"/>
        <v>INR</v>
      </c>
      <c r="V951" s="7" t="str">
        <f t="shared" si="99"/>
        <v>CHF</v>
      </c>
      <c r="W951" s="7" t="str">
        <f t="shared" si="100"/>
        <v>South Africa</v>
      </c>
      <c r="X951" s="7" t="str">
        <f t="shared" si="100"/>
        <v>UK</v>
      </c>
      <c r="Y951" s="7" t="str" cm="1">
        <f t="array" ref="Y951">IF(H951="",IFERROR(INDEX($H$2:$H$1166,MATCH(MAX(COUNTIF($H$2:$H$1166,$H$2:$H$1166)),COUNTIF($H$2:$H$1166,$H$2:$H$1166),0)),"Unknown"),H951)</f>
        <v>Non-KYC</v>
      </c>
      <c r="Z951" s="7" t="str">
        <f t="shared" si="101"/>
        <v>Inter-Transaction</v>
      </c>
      <c r="AA951" s="7">
        <f>IF(J951="",AVERAGE($J:$J),J951)</f>
        <v>3608.7</v>
      </c>
      <c r="AB951" s="7">
        <f>IF(N951="",AVERAGE($N:$N),N951)</f>
        <v>49</v>
      </c>
      <c r="AC951" s="7">
        <f t="shared" si="102"/>
        <v>2026</v>
      </c>
      <c r="AD951" s="7">
        <f t="shared" si="103"/>
        <v>8</v>
      </c>
      <c r="AE951" s="7">
        <f>COUNTIF(A:A,A951)</f>
        <v>1</v>
      </c>
      <c r="AF951" s="7" t="str">
        <f t="shared" si="104"/>
        <v/>
      </c>
    </row>
    <row r="952" spans="1:32">
      <c r="A952" t="s">
        <v>2862</v>
      </c>
      <c r="B952">
        <v>31401507</v>
      </c>
      <c r="C952" t="s">
        <v>2863</v>
      </c>
      <c r="D952" t="s">
        <v>694</v>
      </c>
      <c r="F952" t="s">
        <v>21</v>
      </c>
      <c r="G952" t="s">
        <v>112</v>
      </c>
      <c r="H952" t="s">
        <v>25</v>
      </c>
      <c r="I952" t="s">
        <v>3377</v>
      </c>
      <c r="J952">
        <v>6354.96</v>
      </c>
      <c r="K952" t="s">
        <v>47</v>
      </c>
      <c r="L952" t="s">
        <v>48</v>
      </c>
      <c r="M952" s="1">
        <v>45145.974305555559</v>
      </c>
      <c r="N952">
        <v>67</v>
      </c>
      <c r="O952" t="s">
        <v>55</v>
      </c>
      <c r="P952" t="s">
        <v>23</v>
      </c>
      <c r="Q952" t="s">
        <v>2864</v>
      </c>
      <c r="R952">
        <f t="shared" si="98"/>
        <v>31401507</v>
      </c>
      <c r="S952" t="str" cm="1">
        <f t="array" ref="S952">IF(C952="",IFERROR(INDEX($C$2:$C$1166,MATCH(MAX(COUNTIF($C$2:$C$1166,$C$2:$C$1166)),COUNTIF($C$2:$C$1166,$C$2:$C$1166),0)),"Unknown"),C952)</f>
        <v>Elizabeth Al-Sayed</v>
      </c>
      <c r="T952" s="4" t="str" cm="1">
        <f t="array" ref="T952">IF(D952="",IFERROR(INDEX($D$2:$D$1000,MATCH(MAX(COUNTIF($D$2:$D$1166,$D$2:$D$1166)),COUNTIF($D$2:$D$1166,$D$2:$D$1166),0)),"Unknown"),D952)</f>
        <v>Karen Malik</v>
      </c>
      <c r="U952" t="str">
        <f t="shared" si="99"/>
        <v>GBP</v>
      </c>
      <c r="V952" s="7" t="str">
        <f t="shared" si="99"/>
        <v>usd</v>
      </c>
      <c r="W952" s="7" t="str">
        <f t="shared" si="100"/>
        <v>UK</v>
      </c>
      <c r="X952" s="7" t="str">
        <f t="shared" si="100"/>
        <v>France</v>
      </c>
      <c r="Y952" s="7" t="str" cm="1">
        <f t="array" ref="Y952">IF(H952="",IFERROR(INDEX($H$2:$H$1166,MATCH(MAX(COUNTIF($H$2:$H$1166,$H$2:$H$1166)),COUNTIF($H$2:$H$1166,$H$2:$H$1166),0)),"Unknown"),H952)</f>
        <v>KYC</v>
      </c>
      <c r="Z952" s="7" t="str">
        <f t="shared" si="101"/>
        <v>Inter-Transaction</v>
      </c>
      <c r="AA952" s="7">
        <f>IF(J952="",AVERAGE($J:$J),J952)</f>
        <v>6354.96</v>
      </c>
      <c r="AB952" s="7">
        <f>IF(N952="",AVERAGE($N:$N),N952)</f>
        <v>67</v>
      </c>
      <c r="AC952" s="7">
        <f t="shared" si="102"/>
        <v>2023</v>
      </c>
      <c r="AD952" s="7">
        <f t="shared" si="103"/>
        <v>8</v>
      </c>
      <c r="AE952" s="7">
        <f>COUNTIF(A:A,A952)</f>
        <v>1</v>
      </c>
      <c r="AF952" s="7" t="str">
        <f t="shared" si="104"/>
        <v/>
      </c>
    </row>
    <row r="953" spans="1:32">
      <c r="A953" t="s">
        <v>2865</v>
      </c>
      <c r="B953">
        <v>91618861</v>
      </c>
      <c r="D953" t="s">
        <v>2866</v>
      </c>
      <c r="F953" t="s">
        <v>34</v>
      </c>
      <c r="G953" t="s">
        <v>35</v>
      </c>
      <c r="H953" t="s">
        <v>56</v>
      </c>
      <c r="I953" t="s">
        <v>3378</v>
      </c>
      <c r="J953">
        <v>6551.9</v>
      </c>
      <c r="K953" t="s">
        <v>27</v>
      </c>
      <c r="L953" t="s">
        <v>28</v>
      </c>
      <c r="M953" s="1">
        <v>46210.347916666666</v>
      </c>
      <c r="N953">
        <v>24</v>
      </c>
      <c r="O953" t="s">
        <v>62</v>
      </c>
      <c r="P953" t="s">
        <v>93</v>
      </c>
      <c r="Q953" t="s">
        <v>2867</v>
      </c>
      <c r="R953">
        <f t="shared" si="98"/>
        <v>91618861</v>
      </c>
      <c r="S953" t="str" cm="1">
        <f t="array" ref="S953">IF(C953="",IFERROR(INDEX($C$2:$C$1166,MATCH(MAX(COUNTIF($C$2:$C$1166,$C$2:$C$1166)),COUNTIF($C$2:$C$1166,$C$2:$C$1166),0)),"Unknown"),C953)</f>
        <v>Fatima Brown</v>
      </c>
      <c r="T953" s="4" t="str" cm="1">
        <f t="array" ref="T953">IF(D953="",IFERROR(INDEX($D$2:$D$1000,MATCH(MAX(COUNTIF($D$2:$D$1166,$D$2:$D$1166)),COUNTIF($D$2:$D$1166,$D$2:$D$1166),0)),"Unknown"),D953)</f>
        <v xml:space="preserve"> marta thomas   </v>
      </c>
      <c r="U953" t="str">
        <f t="shared" si="99"/>
        <v>CAD</v>
      </c>
      <c r="V953" s="7" t="str">
        <f t="shared" si="99"/>
        <v>EUR</v>
      </c>
      <c r="W953" s="7" t="str">
        <f t="shared" si="100"/>
        <v>Australia</v>
      </c>
      <c r="X953" s="7" t="str">
        <f t="shared" si="100"/>
        <v>USA</v>
      </c>
      <c r="Y953" s="7" t="str" cm="1">
        <f t="array" ref="Y953">IF(H953="",IFERROR(INDEX($H$2:$H$1166,MATCH(MAX(COUNTIF($H$2:$H$1166,$H$2:$H$1166)),COUNTIF($H$2:$H$1166,$H$2:$H$1166),0)),"Unknown"),H953)</f>
        <v>Unverified</v>
      </c>
      <c r="Z953" s="7" t="str">
        <f t="shared" si="101"/>
        <v>Inter-Transaction</v>
      </c>
      <c r="AA953" s="7">
        <f>IF(J953="",AVERAGE($J:$J),J953)</f>
        <v>6551.9</v>
      </c>
      <c r="AB953" s="7">
        <f>IF(N953="",AVERAGE($N:$N),N953)</f>
        <v>24</v>
      </c>
      <c r="AC953" s="7">
        <f t="shared" si="102"/>
        <v>2026</v>
      </c>
      <c r="AD953" s="7">
        <f t="shared" si="103"/>
        <v>7</v>
      </c>
      <c r="AE953" s="7">
        <f>COUNTIF(A:A,A953)</f>
        <v>1</v>
      </c>
      <c r="AF953" s="7" t="str">
        <f t="shared" si="104"/>
        <v/>
      </c>
    </row>
    <row r="954" spans="1:32">
      <c r="A954" t="s">
        <v>2868</v>
      </c>
      <c r="B954">
        <v>30766900</v>
      </c>
      <c r="C954" t="s">
        <v>857</v>
      </c>
      <c r="D954" t="s">
        <v>2174</v>
      </c>
      <c r="F954" t="s">
        <v>22</v>
      </c>
      <c r="G954" t="s">
        <v>21</v>
      </c>
      <c r="H954" t="s">
        <v>56</v>
      </c>
      <c r="I954" t="s">
        <v>3374</v>
      </c>
      <c r="J954">
        <v>7598.42</v>
      </c>
      <c r="K954" t="s">
        <v>86</v>
      </c>
      <c r="L954" t="s">
        <v>81</v>
      </c>
      <c r="M954" s="1">
        <v>46139.469444444447</v>
      </c>
      <c r="N954">
        <v>25</v>
      </c>
      <c r="O954" t="s">
        <v>68</v>
      </c>
      <c r="P954" t="s">
        <v>55</v>
      </c>
      <c r="Q954" t="s">
        <v>2869</v>
      </c>
      <c r="R954">
        <f t="shared" si="98"/>
        <v>30766900</v>
      </c>
      <c r="S954" t="str" cm="1">
        <f t="array" ref="S954">IF(C954="",IFERROR(INDEX($C$2:$C$1166,MATCH(MAX(COUNTIF($C$2:$C$1166,$C$2:$C$1166)),COUNTIF($C$2:$C$1166,$C$2:$C$1166),0)),"Unknown"),C954)</f>
        <v>Linda Dubois</v>
      </c>
      <c r="T954" s="4" t="str" cm="1">
        <f t="array" ref="T954">IF(D954="",IFERROR(INDEX($D$2:$D$1000,MATCH(MAX(COUNTIF($D$2:$D$1166,$D$2:$D$1166)),COUNTIF($D$2:$D$1166,$D$2:$D$1166),0)),"Unknown"),D954)</f>
        <v>Jean-Pierre Wilson</v>
      </c>
      <c r="U954" t="str">
        <f t="shared" si="99"/>
        <v>BRL</v>
      </c>
      <c r="V954" s="7" t="str">
        <f t="shared" si="99"/>
        <v>GBP</v>
      </c>
      <c r="W954" s="7" t="str">
        <f t="shared" si="100"/>
        <v>UAE</v>
      </c>
      <c r="X954" s="7" t="str">
        <f t="shared" si="100"/>
        <v>UK</v>
      </c>
      <c r="Y954" s="7" t="str" cm="1">
        <f t="array" ref="Y954">IF(H954="",IFERROR(INDEX($H$2:$H$1166,MATCH(MAX(COUNTIF($H$2:$H$1166,$H$2:$H$1166)),COUNTIF($H$2:$H$1166,$H$2:$H$1166),0)),"Unknown"),H954)</f>
        <v>Unverified</v>
      </c>
      <c r="Z954" s="7" t="str">
        <f t="shared" si="101"/>
        <v>External</v>
      </c>
      <c r="AA954" s="7">
        <f>IF(J954="",AVERAGE($J:$J),J954)</f>
        <v>7598.42</v>
      </c>
      <c r="AB954" s="7">
        <f>IF(N954="",AVERAGE($N:$N),N954)</f>
        <v>25</v>
      </c>
      <c r="AC954" s="7">
        <f t="shared" si="102"/>
        <v>2026</v>
      </c>
      <c r="AD954" s="7">
        <f t="shared" si="103"/>
        <v>4</v>
      </c>
      <c r="AE954" s="7">
        <f>COUNTIF(A:A,A954)</f>
        <v>1</v>
      </c>
      <c r="AF954" s="7" t="str">
        <f t="shared" si="104"/>
        <v/>
      </c>
    </row>
    <row r="955" spans="1:32">
      <c r="A955" t="s">
        <v>2870</v>
      </c>
      <c r="B955">
        <v>14637652</v>
      </c>
      <c r="C955" t="s">
        <v>2871</v>
      </c>
      <c r="D955" t="s">
        <v>570</v>
      </c>
      <c r="F955" t="s">
        <v>53</v>
      </c>
      <c r="G955" t="s">
        <v>21</v>
      </c>
      <c r="H955" t="s">
        <v>103</v>
      </c>
      <c r="I955" t="s">
        <v>3374</v>
      </c>
      <c r="J955">
        <v>814.15</v>
      </c>
      <c r="K955" t="s">
        <v>39</v>
      </c>
      <c r="L955" t="s">
        <v>75</v>
      </c>
      <c r="M955" s="1">
        <v>45848.603472222225</v>
      </c>
      <c r="N955">
        <v>82</v>
      </c>
      <c r="O955" t="s">
        <v>68</v>
      </c>
      <c r="P955" t="s">
        <v>36</v>
      </c>
      <c r="Q955" t="s">
        <v>2872</v>
      </c>
      <c r="R955">
        <f t="shared" si="98"/>
        <v>14637652</v>
      </c>
      <c r="S955" t="str" cm="1">
        <f t="array" ref="S955">IF(C955="",IFERROR(INDEX($C$2:$C$1166,MATCH(MAX(COUNTIF($C$2:$C$1166,$C$2:$C$1166)),COUNTIF($C$2:$C$1166,$C$2:$C$1166),0)),"Unknown"),C955)</f>
        <v>Richard Martin</v>
      </c>
      <c r="T955" s="4" t="str" cm="1">
        <f t="array" ref="T955">IF(D955="",IFERROR(INDEX($D$2:$D$1000,MATCH(MAX(COUNTIF($D$2:$D$1166,$D$2:$D$1166)),COUNTIF($D$2:$D$1166,$D$2:$D$1166),0)),"Unknown"),D955)</f>
        <v>Richard Garcia</v>
      </c>
      <c r="U955" t="str">
        <f t="shared" si="99"/>
        <v>AED</v>
      </c>
      <c r="V955" s="7" t="str">
        <f t="shared" si="99"/>
        <v>GBP</v>
      </c>
      <c r="W955" s="7" t="str">
        <f t="shared" si="100"/>
        <v>UAE</v>
      </c>
      <c r="X955" s="7" t="str">
        <f t="shared" si="100"/>
        <v>Germany</v>
      </c>
      <c r="Y955" s="7" t="str" cm="1">
        <f t="array" ref="Y955">IF(H955="",IFERROR(INDEX($H$2:$H$1166,MATCH(MAX(COUNTIF($H$2:$H$1166,$H$2:$H$1166)),COUNTIF($H$2:$H$1166,$H$2:$H$1166),0)),"Unknown"),H955)</f>
        <v>Verified</v>
      </c>
      <c r="Z955" s="7" t="str">
        <f t="shared" si="101"/>
        <v>External</v>
      </c>
      <c r="AA955" s="7">
        <f>IF(J955="",AVERAGE($J:$J),J955)</f>
        <v>814.15</v>
      </c>
      <c r="AB955" s="7">
        <f>IF(N955="",AVERAGE($N:$N),N955)</f>
        <v>82</v>
      </c>
      <c r="AC955" s="7">
        <f t="shared" si="102"/>
        <v>2025</v>
      </c>
      <c r="AD955" s="7">
        <f t="shared" si="103"/>
        <v>7</v>
      </c>
      <c r="AE955" s="7">
        <f>COUNTIF(A:A,A955)</f>
        <v>1</v>
      </c>
      <c r="AF955" s="7" t="str">
        <f t="shared" si="104"/>
        <v/>
      </c>
    </row>
    <row r="956" spans="1:32">
      <c r="A956" t="s">
        <v>2873</v>
      </c>
      <c r="B956">
        <v>59828367</v>
      </c>
      <c r="C956" t="s">
        <v>2874</v>
      </c>
      <c r="D956" t="s">
        <v>1213</v>
      </c>
      <c r="F956" t="s">
        <v>21</v>
      </c>
      <c r="G956" t="s">
        <v>80</v>
      </c>
      <c r="H956" t="s">
        <v>103</v>
      </c>
      <c r="I956" t="s">
        <v>3374</v>
      </c>
      <c r="J956">
        <v>12705.77</v>
      </c>
      <c r="K956" t="s">
        <v>39</v>
      </c>
      <c r="L956" t="s">
        <v>75</v>
      </c>
      <c r="M956" s="1">
        <v>45059.768055555556</v>
      </c>
      <c r="N956">
        <v>74</v>
      </c>
      <c r="O956" t="s">
        <v>37</v>
      </c>
      <c r="P956" t="s">
        <v>24</v>
      </c>
      <c r="Q956" t="s">
        <v>2875</v>
      </c>
      <c r="R956">
        <f t="shared" si="98"/>
        <v>59828367</v>
      </c>
      <c r="S956" t="str" cm="1">
        <f t="array" ref="S956">IF(C956="",IFERROR(INDEX($C$2:$C$1166,MATCH(MAX(COUNTIF($C$2:$C$1166,$C$2:$C$1166)),COUNTIF($C$2:$C$1166,$C$2:$C$1166),0)),"Unknown"),C956)</f>
        <v>Christopher Souza</v>
      </c>
      <c r="T956" s="4" t="str" cm="1">
        <f t="array" ref="T956">IF(D956="",IFERROR(INDEX($D$2:$D$1000,MATCH(MAX(COUNTIF($D$2:$D$1166,$D$2:$D$1166)),COUNTIF($D$2:$D$1166,$D$2:$D$1166),0)),"Unknown"),D956)</f>
        <v>John Khan</v>
      </c>
      <c r="U956" t="str">
        <f t="shared" si="99"/>
        <v>GBP</v>
      </c>
      <c r="V956" s="7" t="str">
        <f t="shared" si="99"/>
        <v>USD</v>
      </c>
      <c r="W956" s="7" t="str">
        <f t="shared" si="100"/>
        <v>South Africa</v>
      </c>
      <c r="X956" s="7" t="str">
        <f t="shared" si="100"/>
        <v>Brazil</v>
      </c>
      <c r="Y956" s="7" t="str" cm="1">
        <f t="array" ref="Y956">IF(H956="",IFERROR(INDEX($H$2:$H$1166,MATCH(MAX(COUNTIF($H$2:$H$1166,$H$2:$H$1166)),COUNTIF($H$2:$H$1166,$H$2:$H$1166),0)),"Unknown"),H956)</f>
        <v>Verified</v>
      </c>
      <c r="Z956" s="7" t="str">
        <f t="shared" si="101"/>
        <v>External</v>
      </c>
      <c r="AA956" s="7">
        <f>IF(J956="",AVERAGE($J:$J),J956)</f>
        <v>12705.77</v>
      </c>
      <c r="AB956" s="7">
        <f>IF(N956="",AVERAGE($N:$N),N956)</f>
        <v>74</v>
      </c>
      <c r="AC956" s="7">
        <f t="shared" si="102"/>
        <v>2023</v>
      </c>
      <c r="AD956" s="7">
        <f t="shared" si="103"/>
        <v>5</v>
      </c>
      <c r="AE956" s="7">
        <f>COUNTIF(A:A,A956)</f>
        <v>1</v>
      </c>
      <c r="AF956" s="7" t="str">
        <f t="shared" si="104"/>
        <v/>
      </c>
    </row>
    <row r="957" spans="1:32">
      <c r="A957" t="s">
        <v>2876</v>
      </c>
      <c r="B957">
        <v>39204346</v>
      </c>
      <c r="C957" t="s">
        <v>610</v>
      </c>
      <c r="D957" t="s">
        <v>563</v>
      </c>
      <c r="F957" t="s">
        <v>22</v>
      </c>
      <c r="G957" t="s">
        <v>116</v>
      </c>
      <c r="H957" t="s">
        <v>38</v>
      </c>
      <c r="I957" t="s">
        <v>3374</v>
      </c>
      <c r="J957">
        <v>7596.23</v>
      </c>
      <c r="K957" t="s">
        <v>86</v>
      </c>
      <c r="L957" t="s">
        <v>75</v>
      </c>
      <c r="M957" s="1">
        <v>44527.881249999999</v>
      </c>
      <c r="N957">
        <v>84</v>
      </c>
      <c r="O957" t="s">
        <v>23</v>
      </c>
      <c r="P957" t="s">
        <v>24</v>
      </c>
      <c r="Q957" t="s">
        <v>2877</v>
      </c>
      <c r="R957">
        <f t="shared" si="98"/>
        <v>39204346</v>
      </c>
      <c r="S957" t="str" cm="1">
        <f t="array" ref="S957">IF(C957="",IFERROR(INDEX($C$2:$C$1166,MATCH(MAX(COUNTIF($C$2:$C$1166,$C$2:$C$1166)),COUNTIF($C$2:$C$1166,$C$2:$C$1166),0)),"Unknown"),C957)</f>
        <v>Christopher Rostova</v>
      </c>
      <c r="T957" s="4" t="str" cm="1">
        <f t="array" ref="T957">IF(D957="",IFERROR(INDEX($D$2:$D$1000,MATCH(MAX(COUNTIF($D$2:$D$1166,$D$2:$D$1166)),COUNTIF($D$2:$D$1166,$D$2:$D$1166),0)),"Unknown"),D957)</f>
        <v>Jean-Pierre Jackson</v>
      </c>
      <c r="U957" t="str">
        <f t="shared" si="99"/>
        <v>BRL</v>
      </c>
      <c r="V957" s="7" t="str">
        <f t="shared" si="99"/>
        <v>CHF</v>
      </c>
      <c r="W957" s="7" t="str">
        <f t="shared" si="100"/>
        <v>France</v>
      </c>
      <c r="X957" s="7" t="str">
        <f t="shared" si="100"/>
        <v>Brazil</v>
      </c>
      <c r="Y957" s="7" t="str" cm="1">
        <f t="array" ref="Y957">IF(H957="",IFERROR(INDEX($H$2:$H$1166,MATCH(MAX(COUNTIF($H$2:$H$1166,$H$2:$H$1166)),COUNTIF($H$2:$H$1166,$H$2:$H$1166),0)),"Unknown"),H957)</f>
        <v>Pending</v>
      </c>
      <c r="Z957" s="7" t="str">
        <f t="shared" si="101"/>
        <v>External</v>
      </c>
      <c r="AA957" s="7">
        <f>IF(J957="",AVERAGE($J:$J),J957)</f>
        <v>7596.23</v>
      </c>
      <c r="AB957" s="7">
        <f>IF(N957="",AVERAGE($N:$N),N957)</f>
        <v>84</v>
      </c>
      <c r="AC957" s="7">
        <f t="shared" si="102"/>
        <v>2021</v>
      </c>
      <c r="AD957" s="7">
        <f t="shared" si="103"/>
        <v>11</v>
      </c>
      <c r="AE957" s="7">
        <f>COUNTIF(A:A,A957)</f>
        <v>1</v>
      </c>
      <c r="AF957" s="7" t="str">
        <f t="shared" si="104"/>
        <v/>
      </c>
    </row>
    <row r="958" spans="1:32">
      <c r="A958" t="s">
        <v>2878</v>
      </c>
      <c r="B958">
        <v>49808824</v>
      </c>
      <c r="C958" t="s">
        <v>2879</v>
      </c>
      <c r="F958" t="s">
        <v>116</v>
      </c>
      <c r="G958" t="s">
        <v>53</v>
      </c>
      <c r="H958" t="s">
        <v>38</v>
      </c>
      <c r="I958" t="s">
        <v>3374</v>
      </c>
      <c r="J958">
        <v>1128.7</v>
      </c>
      <c r="K958" t="s">
        <v>86</v>
      </c>
      <c r="L958" t="s">
        <v>75</v>
      </c>
      <c r="M958" s="1">
        <v>44780.489583333336</v>
      </c>
      <c r="N958">
        <v>76</v>
      </c>
      <c r="O958" t="s">
        <v>68</v>
      </c>
      <c r="P958" t="s">
        <v>68</v>
      </c>
      <c r="Q958" t="s">
        <v>2880</v>
      </c>
      <c r="R958">
        <f t="shared" si="98"/>
        <v>49808824</v>
      </c>
      <c r="S958" t="str" cm="1">
        <f t="array" ref="S958">IF(C958="",IFERROR(INDEX($C$2:$C$1166,MATCH(MAX(COUNTIF($C$2:$C$1166,$C$2:$C$1166)),COUNTIF($C$2:$C$1166,$C$2:$C$1166),0)),"Unknown"),C958)</f>
        <v>William Jones</v>
      </c>
      <c r="T958" s="4" t="str" cm="1">
        <f t="array" ref="T958">IF(D958="",IFERROR(INDEX($D$2:$D$1000,MATCH(MAX(COUNTIF($D$2:$D$1166,$D$2:$D$1166)),COUNTIF($D$2:$D$1166,$D$2:$D$1166),0)),"Unknown"),D958)</f>
        <v>Patricia Smith</v>
      </c>
      <c r="U958" t="str">
        <f t="shared" si="99"/>
        <v>CHF</v>
      </c>
      <c r="V958" s="7" t="str">
        <f t="shared" si="99"/>
        <v>AED</v>
      </c>
      <c r="W958" s="7" t="str">
        <f t="shared" si="100"/>
        <v>UAE</v>
      </c>
      <c r="X958" s="7" t="str">
        <f t="shared" si="100"/>
        <v>UAE</v>
      </c>
      <c r="Y958" s="7" t="str" cm="1">
        <f t="array" ref="Y958">IF(H958="",IFERROR(INDEX($H$2:$H$1166,MATCH(MAX(COUNTIF($H$2:$H$1166,$H$2:$H$1166)),COUNTIF($H$2:$H$1166,$H$2:$H$1166),0)),"Unknown"),H958)</f>
        <v>Pending</v>
      </c>
      <c r="Z958" s="7" t="str">
        <f t="shared" si="101"/>
        <v>External</v>
      </c>
      <c r="AA958" s="7">
        <f>IF(J958="",AVERAGE($J:$J),J958)</f>
        <v>1128.7</v>
      </c>
      <c r="AB958" s="7">
        <f>IF(N958="",AVERAGE($N:$N),N958)</f>
        <v>76</v>
      </c>
      <c r="AC958" s="7">
        <f t="shared" si="102"/>
        <v>2022</v>
      </c>
      <c r="AD958" s="7">
        <f t="shared" si="103"/>
        <v>8</v>
      </c>
      <c r="AE958" s="7">
        <f>COUNTIF(A:A,A958)</f>
        <v>1</v>
      </c>
      <c r="AF958" s="7" t="str">
        <f t="shared" si="104"/>
        <v/>
      </c>
    </row>
    <row r="959" spans="1:32">
      <c r="A959" t="s">
        <v>2881</v>
      </c>
      <c r="B959">
        <v>31924339</v>
      </c>
      <c r="C959" t="s">
        <v>1865</v>
      </c>
      <c r="D959" t="s">
        <v>585</v>
      </c>
      <c r="F959" t="s">
        <v>98</v>
      </c>
      <c r="G959" t="s">
        <v>22</v>
      </c>
      <c r="H959" t="s">
        <v>74</v>
      </c>
      <c r="I959" t="s">
        <v>3378</v>
      </c>
      <c r="J959">
        <v>5971.4</v>
      </c>
      <c r="K959" t="s">
        <v>39</v>
      </c>
      <c r="L959" t="s">
        <v>81</v>
      </c>
      <c r="M959" s="1">
        <v>46265.373611111114</v>
      </c>
      <c r="N959">
        <v>71</v>
      </c>
      <c r="O959" t="s">
        <v>55</v>
      </c>
      <c r="P959" t="s">
        <v>37</v>
      </c>
      <c r="Q959" t="s">
        <v>2882</v>
      </c>
      <c r="R959">
        <f t="shared" si="98"/>
        <v>31924339</v>
      </c>
      <c r="S959" t="str" cm="1">
        <f t="array" ref="S959">IF(C959="",IFERROR(INDEX($C$2:$C$1166,MATCH(MAX(COUNTIF($C$2:$C$1166,$C$2:$C$1166)),COUNTIF($C$2:$C$1166,$C$2:$C$1166),0)),"Unknown"),C959)</f>
        <v>Michael Souza</v>
      </c>
      <c r="T959" s="4" t="str" cm="1">
        <f t="array" ref="T959">IF(D959="",IFERROR(INDEX($D$2:$D$1000,MATCH(MAX(COUNTIF($D$2:$D$1166,$D$2:$D$1166)),COUNTIF($D$2:$D$1166,$D$2:$D$1166),0)),"Unknown"),D959)</f>
        <v>William Khan</v>
      </c>
      <c r="U959" t="str">
        <f t="shared" si="99"/>
        <v>JPY</v>
      </c>
      <c r="V959" s="7" t="str">
        <f t="shared" si="99"/>
        <v>BRL</v>
      </c>
      <c r="W959" s="7" t="str">
        <f t="shared" si="100"/>
        <v>UK</v>
      </c>
      <c r="X959" s="7" t="str">
        <f t="shared" si="100"/>
        <v>South Africa</v>
      </c>
      <c r="Y959" s="7" t="str" cm="1">
        <f t="array" ref="Y959">IF(H959="",IFERROR(INDEX($H$2:$H$1166,MATCH(MAX(COUNTIF($H$2:$H$1166,$H$2:$H$1166)),COUNTIF($H$2:$H$1166,$H$2:$H$1166),0)),"Unknown"),H959)</f>
        <v>Non-KYC</v>
      </c>
      <c r="Z959" s="7" t="str">
        <f t="shared" si="101"/>
        <v>Inter-Transaction</v>
      </c>
      <c r="AA959" s="7">
        <f>IF(J959="",AVERAGE($J:$J),J959)</f>
        <v>5971.4</v>
      </c>
      <c r="AB959" s="7">
        <f>IF(N959="",AVERAGE($N:$N),N959)</f>
        <v>71</v>
      </c>
      <c r="AC959" s="7">
        <f t="shared" si="102"/>
        <v>2026</v>
      </c>
      <c r="AD959" s="7">
        <f t="shared" si="103"/>
        <v>8</v>
      </c>
      <c r="AE959" s="7">
        <f>COUNTIF(A:A,A959)</f>
        <v>1</v>
      </c>
      <c r="AF959" s="7" t="str">
        <f t="shared" si="104"/>
        <v/>
      </c>
    </row>
    <row r="960" spans="1:32">
      <c r="A960" t="s">
        <v>2883</v>
      </c>
      <c r="B960">
        <v>74837748</v>
      </c>
      <c r="C960" t="s">
        <v>2840</v>
      </c>
      <c r="D960" t="s">
        <v>1297</v>
      </c>
      <c r="F960" t="s">
        <v>53</v>
      </c>
      <c r="G960" t="s">
        <v>35</v>
      </c>
      <c r="I960" t="s">
        <v>3378</v>
      </c>
      <c r="J960">
        <v>8637.26</v>
      </c>
      <c r="K960" t="s">
        <v>57</v>
      </c>
      <c r="L960" t="s">
        <v>81</v>
      </c>
      <c r="M960" s="1">
        <v>46346.523611111108</v>
      </c>
      <c r="N960">
        <v>84</v>
      </c>
      <c r="O960" t="s">
        <v>54</v>
      </c>
      <c r="P960" t="s">
        <v>54</v>
      </c>
      <c r="Q960" t="s">
        <v>2884</v>
      </c>
      <c r="R960">
        <f t="shared" si="98"/>
        <v>74837748</v>
      </c>
      <c r="S960" t="str" cm="1">
        <f t="array" ref="S960">IF(C960="",IFERROR(INDEX($C$2:$C$1166,MATCH(MAX(COUNTIF($C$2:$C$1166,$C$2:$C$1166)),COUNTIF($C$2:$C$1166,$C$2:$C$1166),0)),"Unknown"),C960)</f>
        <v>Mary Hernandez</v>
      </c>
      <c r="T960" s="4" t="str" cm="1">
        <f t="array" ref="T960">IF(D960="",IFERROR(INDEX($D$2:$D$1000,MATCH(MAX(COUNTIF($D$2:$D$1166,$D$2:$D$1166)),COUNTIF($D$2:$D$1166,$D$2:$D$1166),0)),"Unknown"),D960)</f>
        <v>Marta Moore</v>
      </c>
      <c r="U960" t="str">
        <f t="shared" si="99"/>
        <v>AED</v>
      </c>
      <c r="V960" s="7" t="str">
        <f t="shared" si="99"/>
        <v>EUR</v>
      </c>
      <c r="W960" s="7" t="str">
        <f t="shared" si="100"/>
        <v>India</v>
      </c>
      <c r="X960" s="7" t="str">
        <f t="shared" si="100"/>
        <v>India</v>
      </c>
      <c r="Y960" s="7" t="str" cm="1">
        <f t="array" ref="Y960">IF(H960="",IFERROR(INDEX($H$2:$H$1166,MATCH(MAX(COUNTIF($H$2:$H$1166,$H$2:$H$1166)),COUNTIF($H$2:$H$1166,$H$2:$H$1166),0)),"Unknown"),H960)</f>
        <v>Pending</v>
      </c>
      <c r="Z960" s="7" t="str">
        <f t="shared" si="101"/>
        <v>Inter-Transaction</v>
      </c>
      <c r="AA960" s="7">
        <f>IF(J960="",AVERAGE($J:$J),J960)</f>
        <v>8637.26</v>
      </c>
      <c r="AB960" s="7">
        <f>IF(N960="",AVERAGE($N:$N),N960)</f>
        <v>84</v>
      </c>
      <c r="AC960" s="7">
        <f t="shared" si="102"/>
        <v>2026</v>
      </c>
      <c r="AD960" s="7">
        <f t="shared" si="103"/>
        <v>11</v>
      </c>
      <c r="AE960" s="7">
        <f>COUNTIF(A:A,A960)</f>
        <v>1</v>
      </c>
      <c r="AF960" s="7" t="str">
        <f t="shared" si="104"/>
        <v/>
      </c>
    </row>
    <row r="961" spans="1:32">
      <c r="A961" t="s">
        <v>2885</v>
      </c>
      <c r="B961">
        <v>53562684</v>
      </c>
      <c r="C961" t="s">
        <v>2886</v>
      </c>
      <c r="D961" t="s">
        <v>1293</v>
      </c>
      <c r="F961" t="s">
        <v>116</v>
      </c>
      <c r="G961" t="s">
        <v>92</v>
      </c>
      <c r="I961" t="s">
        <v>3371</v>
      </c>
      <c r="J961">
        <v>3027.95</v>
      </c>
      <c r="K961" t="s">
        <v>86</v>
      </c>
      <c r="L961" t="s">
        <v>28</v>
      </c>
      <c r="M961" s="1">
        <v>45269.864583333336</v>
      </c>
      <c r="N961">
        <v>68</v>
      </c>
      <c r="O961" t="s">
        <v>24</v>
      </c>
      <c r="P961" t="s">
        <v>93</v>
      </c>
      <c r="Q961" t="s">
        <v>2887</v>
      </c>
      <c r="R961">
        <f t="shared" si="98"/>
        <v>53562684</v>
      </c>
      <c r="S961" t="str" cm="1">
        <f t="array" ref="S961">IF(C961="",IFERROR(INDEX($C$2:$C$1166,MATCH(MAX(COUNTIF($C$2:$C$1166,$C$2:$C$1166)),COUNTIF($C$2:$C$1166,$C$2:$C$1166),0)),"Unknown"),C961)</f>
        <v xml:space="preserve">  CHARLES WILSON </v>
      </c>
      <c r="T961" s="4" t="str" cm="1">
        <f t="array" ref="T961">IF(D961="",IFERROR(INDEX($D$2:$D$1000,MATCH(MAX(COUNTIF($D$2:$D$1166,$D$2:$D$1166)),COUNTIF($D$2:$D$1166,$D$2:$D$1166),0)),"Unknown"),D961)</f>
        <v>Marta Anderson</v>
      </c>
      <c r="U961" t="str">
        <f t="shared" si="99"/>
        <v>CHF</v>
      </c>
      <c r="V961" s="7" t="str">
        <f t="shared" si="99"/>
        <v>AUD</v>
      </c>
      <c r="W961" s="7" t="str">
        <f t="shared" si="100"/>
        <v>Brazil</v>
      </c>
      <c r="X961" s="7" t="str">
        <f t="shared" si="100"/>
        <v>USA</v>
      </c>
      <c r="Y961" s="7" t="str" cm="1">
        <f t="array" ref="Y961">IF(H961="",IFERROR(INDEX($H$2:$H$1166,MATCH(MAX(COUNTIF($H$2:$H$1166,$H$2:$H$1166)),COUNTIF($H$2:$H$1166,$H$2:$H$1166),0)),"Unknown"),H961)</f>
        <v>Pending</v>
      </c>
      <c r="Z961" s="7" t="str">
        <f t="shared" si="101"/>
        <v>Outer-Transaction</v>
      </c>
      <c r="AA961" s="7">
        <f>IF(J961="",AVERAGE($J:$J),J961)</f>
        <v>3027.95</v>
      </c>
      <c r="AB961" s="7">
        <f>IF(N961="",AVERAGE($N:$N),N961)</f>
        <v>68</v>
      </c>
      <c r="AC961" s="7">
        <f t="shared" si="102"/>
        <v>2023</v>
      </c>
      <c r="AD961" s="7">
        <f t="shared" si="103"/>
        <v>12</v>
      </c>
      <c r="AE961" s="7">
        <f>COUNTIF(A:A,A961)</f>
        <v>1</v>
      </c>
      <c r="AF961" s="7" t="str">
        <f t="shared" si="104"/>
        <v/>
      </c>
    </row>
    <row r="962" spans="1:32">
      <c r="A962" t="s">
        <v>2888</v>
      </c>
      <c r="C962" t="s">
        <v>110</v>
      </c>
      <c r="D962" t="s">
        <v>2889</v>
      </c>
      <c r="F962" t="s">
        <v>53</v>
      </c>
      <c r="G962" t="s">
        <v>34</v>
      </c>
      <c r="H962" t="s">
        <v>103</v>
      </c>
      <c r="I962" t="s">
        <v>3372</v>
      </c>
      <c r="J962">
        <v>5287.46</v>
      </c>
      <c r="K962" t="s">
        <v>47</v>
      </c>
      <c r="L962" t="s">
        <v>75</v>
      </c>
      <c r="M962" s="1">
        <v>43899.839583333334</v>
      </c>
      <c r="N962">
        <v>25</v>
      </c>
      <c r="O962" t="s">
        <v>24</v>
      </c>
      <c r="P962" t="s">
        <v>55</v>
      </c>
      <c r="Q962" t="s">
        <v>2890</v>
      </c>
      <c r="R962">
        <f t="shared" ref="R962:R1025" si="105">IF(B962="",0,B962)</f>
        <v>0</v>
      </c>
      <c r="S962" t="str" cm="1">
        <f t="array" ref="S962">IF(C962="",IFERROR(INDEX($C$2:$C$1166,MATCH(MAX(COUNTIF($C$2:$C$1166,$C$2:$C$1166)),COUNTIF($C$2:$C$1166,$C$2:$C$1166),0)),"Unknown"),C962)</f>
        <v>Fatima Anderson</v>
      </c>
      <c r="T962" s="4" t="str" cm="1">
        <f t="array" ref="T962">IF(D962="",IFERROR(INDEX($D$2:$D$1000,MATCH(MAX(COUNTIF($D$2:$D$1166,$D$2:$D$1166)),COUNTIF($D$2:$D$1166,$D$2:$D$1166),0)),"Unknown"),D962)</f>
        <v>Marta Taylor</v>
      </c>
      <c r="U962" t="str">
        <f t="shared" ref="U962:V1025" si="106">TRIM(F962)</f>
        <v>AED</v>
      </c>
      <c r="V962" s="7" t="str">
        <f t="shared" si="106"/>
        <v>CAD</v>
      </c>
      <c r="W962" s="7" t="str">
        <f t="shared" ref="W962:X1025" si="107">TRIM(O962)</f>
        <v>Brazil</v>
      </c>
      <c r="X962" s="7" t="str">
        <f t="shared" si="107"/>
        <v>UK</v>
      </c>
      <c r="Y962" s="7" t="str" cm="1">
        <f t="array" ref="Y962">IF(H962="",IFERROR(INDEX($H$2:$H$1166,MATCH(MAX(COUNTIF($H$2:$H$1166,$H$2:$H$1166)),COUNTIF($H$2:$H$1166,$H$2:$H$1166),0)),"Unknown"),H962)</f>
        <v>Verified</v>
      </c>
      <c r="Z962" s="7" t="str">
        <f t="shared" ref="Z962:Z1025" si="108">PROPER(I962)</f>
        <v>Outer-Transaction</v>
      </c>
      <c r="AA962" s="7">
        <f>IF(J962="",AVERAGE($J:$J),J962)</f>
        <v>5287.46</v>
      </c>
      <c r="AB962" s="7">
        <f>IF(N962="",AVERAGE($N:$N),N962)</f>
        <v>25</v>
      </c>
      <c r="AC962" s="7">
        <f t="shared" ref="AC962:AC1025" si="109">YEAR(M962)</f>
        <v>2020</v>
      </c>
      <c r="AD962" s="7">
        <f t="shared" ref="AD962:AD1025" si="110">MONTH(M962)</f>
        <v>3</v>
      </c>
      <c r="AE962" s="7">
        <f>COUNTIF(A:A,A962)</f>
        <v>1</v>
      </c>
      <c r="AF962" s="7" t="str">
        <f t="shared" ref="AF962:AF1025" si="111">IF(E962="","",IF(OR(E962="Yes",E962="Y",E962="TRUE",E962=1),"Yes","No"))</f>
        <v/>
      </c>
    </row>
    <row r="963" spans="1:32">
      <c r="A963" t="s">
        <v>2891</v>
      </c>
      <c r="B963">
        <v>81263504</v>
      </c>
      <c r="C963" t="s">
        <v>1230</v>
      </c>
      <c r="D963" t="s">
        <v>1026</v>
      </c>
      <c r="F963" t="s">
        <v>35</v>
      </c>
      <c r="G963" t="s">
        <v>92</v>
      </c>
      <c r="H963" t="s">
        <v>103</v>
      </c>
      <c r="I963" t="s">
        <v>3378</v>
      </c>
      <c r="J963">
        <v>1039.98</v>
      </c>
      <c r="K963" t="s">
        <v>27</v>
      </c>
      <c r="L963" t="s">
        <v>81</v>
      </c>
      <c r="M963" s="1">
        <v>45612.629166666666</v>
      </c>
      <c r="N963">
        <v>51</v>
      </c>
      <c r="O963" t="s">
        <v>36</v>
      </c>
      <c r="P963" t="s">
        <v>54</v>
      </c>
      <c r="Q963" t="s">
        <v>2892</v>
      </c>
      <c r="R963">
        <f t="shared" si="105"/>
        <v>81263504</v>
      </c>
      <c r="S963" t="str" cm="1">
        <f t="array" ref="S963">IF(C963="",IFERROR(INDEX($C$2:$C$1166,MATCH(MAX(COUNTIF($C$2:$C$1166,$C$2:$C$1166)),COUNTIF($C$2:$C$1166,$C$2:$C$1166),0)),"Unknown"),C963)</f>
        <v>Zayn Jones</v>
      </c>
      <c r="T963" s="4" t="str" cm="1">
        <f t="array" ref="T963">IF(D963="",IFERROR(INDEX($D$2:$D$1000,MATCH(MAX(COUNTIF($D$2:$D$1166,$D$2:$D$1166)),COUNTIF($D$2:$D$1166,$D$2:$D$1166),0)),"Unknown"),D963)</f>
        <v>Barbara Velez</v>
      </c>
      <c r="U963" t="str">
        <f t="shared" si="106"/>
        <v>EUR</v>
      </c>
      <c r="V963" s="7" t="str">
        <f t="shared" si="106"/>
        <v>AUD</v>
      </c>
      <c r="W963" s="7" t="str">
        <f t="shared" si="107"/>
        <v>Germany</v>
      </c>
      <c r="X963" s="7" t="str">
        <f t="shared" si="107"/>
        <v>India</v>
      </c>
      <c r="Y963" s="7" t="str" cm="1">
        <f t="array" ref="Y963">IF(H963="",IFERROR(INDEX($H$2:$H$1166,MATCH(MAX(COUNTIF($H$2:$H$1166,$H$2:$H$1166)),COUNTIF($H$2:$H$1166,$H$2:$H$1166),0)),"Unknown"),H963)</f>
        <v>Verified</v>
      </c>
      <c r="Z963" s="7" t="str">
        <f t="shared" si="108"/>
        <v>Inter-Transaction</v>
      </c>
      <c r="AA963" s="7">
        <f>IF(J963="",AVERAGE($J:$J),J963)</f>
        <v>1039.98</v>
      </c>
      <c r="AB963" s="7">
        <f>IF(N963="",AVERAGE($N:$N),N963)</f>
        <v>51</v>
      </c>
      <c r="AC963" s="7">
        <f t="shared" si="109"/>
        <v>2024</v>
      </c>
      <c r="AD963" s="7">
        <f t="shared" si="110"/>
        <v>11</v>
      </c>
      <c r="AE963" s="7">
        <f>COUNTIF(A:A,A963)</f>
        <v>1</v>
      </c>
      <c r="AF963" s="7" t="str">
        <f t="shared" si="111"/>
        <v/>
      </c>
    </row>
    <row r="964" spans="1:32">
      <c r="A964" t="s">
        <v>2893</v>
      </c>
      <c r="B964">
        <v>78794462</v>
      </c>
      <c r="C964" t="s">
        <v>143</v>
      </c>
      <c r="D964" t="s">
        <v>2894</v>
      </c>
      <c r="F964" t="s">
        <v>556</v>
      </c>
      <c r="G964" t="s">
        <v>22</v>
      </c>
      <c r="H964" t="s">
        <v>103</v>
      </c>
      <c r="I964" t="s">
        <v>3378</v>
      </c>
      <c r="J964">
        <v>2316.6999999999998</v>
      </c>
      <c r="K964" t="s">
        <v>47</v>
      </c>
      <c r="L964" t="s">
        <v>81</v>
      </c>
      <c r="M964" s="1">
        <v>46078.143055555556</v>
      </c>
      <c r="N964">
        <v>52</v>
      </c>
      <c r="O964" t="s">
        <v>127</v>
      </c>
      <c r="P964" t="s">
        <v>55</v>
      </c>
      <c r="Q964" t="s">
        <v>2895</v>
      </c>
      <c r="R964">
        <f t="shared" si="105"/>
        <v>78794462</v>
      </c>
      <c r="S964" t="str" cm="1">
        <f t="array" ref="S964">IF(C964="",IFERROR(INDEX($C$2:$C$1166,MATCH(MAX(COUNTIF($C$2:$C$1166,$C$2:$C$1166)),COUNTIF($C$2:$C$1166,$C$2:$C$1166),0)),"Unknown"),C964)</f>
        <v>Jean-Pierre Davis</v>
      </c>
      <c r="T964" s="4" t="str" cm="1">
        <f t="array" ref="T964">IF(D964="",IFERROR(INDEX($D$2:$D$1000,MATCH(MAX(COUNTIF($D$2:$D$1166,$D$2:$D$1166)),COUNTIF($D$2:$D$1166,$D$2:$D$1166),0)),"Unknown"),D964)</f>
        <v>Amir Hernandez</v>
      </c>
      <c r="U964" t="str">
        <f t="shared" si="106"/>
        <v>$</v>
      </c>
      <c r="V964" s="7" t="str">
        <f t="shared" si="106"/>
        <v>BRL</v>
      </c>
      <c r="W964" s="7" t="str">
        <f t="shared" si="107"/>
        <v>Canada</v>
      </c>
      <c r="X964" s="7" t="str">
        <f t="shared" si="107"/>
        <v>UK</v>
      </c>
      <c r="Y964" s="7" t="str" cm="1">
        <f t="array" ref="Y964">IF(H964="",IFERROR(INDEX($H$2:$H$1166,MATCH(MAX(COUNTIF($H$2:$H$1166,$H$2:$H$1166)),COUNTIF($H$2:$H$1166,$H$2:$H$1166),0)),"Unknown"),H964)</f>
        <v>Verified</v>
      </c>
      <c r="Z964" s="7" t="str">
        <f t="shared" si="108"/>
        <v>Inter-Transaction</v>
      </c>
      <c r="AA964" s="7">
        <f>IF(J964="",AVERAGE($J:$J),J964)</f>
        <v>2316.6999999999998</v>
      </c>
      <c r="AB964" s="7">
        <f>IF(N964="",AVERAGE($N:$N),N964)</f>
        <v>52</v>
      </c>
      <c r="AC964" s="7">
        <f t="shared" si="109"/>
        <v>2026</v>
      </c>
      <c r="AD964" s="7">
        <f t="shared" si="110"/>
        <v>2</v>
      </c>
      <c r="AE964" s="7">
        <f>COUNTIF(A:A,A964)</f>
        <v>1</v>
      </c>
      <c r="AF964" s="7" t="str">
        <f t="shared" si="111"/>
        <v/>
      </c>
    </row>
    <row r="965" spans="1:32">
      <c r="A965" t="s">
        <v>2896</v>
      </c>
      <c r="B965">
        <v>91700119</v>
      </c>
      <c r="C965" t="s">
        <v>2897</v>
      </c>
      <c r="D965" t="s">
        <v>1096</v>
      </c>
      <c r="F965" t="s">
        <v>53</v>
      </c>
      <c r="G965" t="s">
        <v>45</v>
      </c>
      <c r="H965" t="s">
        <v>38</v>
      </c>
      <c r="I965" t="s">
        <v>3372</v>
      </c>
      <c r="J965">
        <v>13021.42</v>
      </c>
      <c r="K965" t="s">
        <v>27</v>
      </c>
      <c r="L965" t="s">
        <v>81</v>
      </c>
      <c r="M965" s="1">
        <v>46094.82916666667</v>
      </c>
      <c r="N965">
        <v>49</v>
      </c>
      <c r="O965" t="s">
        <v>93</v>
      </c>
      <c r="P965" t="s">
        <v>23</v>
      </c>
      <c r="Q965" t="s">
        <v>2898</v>
      </c>
      <c r="R965">
        <f t="shared" si="105"/>
        <v>91700119</v>
      </c>
      <c r="S965" t="str" cm="1">
        <f t="array" ref="S965">IF(C965="",IFERROR(INDEX($C$2:$C$1166,MATCH(MAX(COUNTIF($C$2:$C$1166,$C$2:$C$1166)),COUNTIF($C$2:$C$1166,$C$2:$C$1166),0)),"Unknown"),C965)</f>
        <v xml:space="preserve">  JEAN-PIERRE MALIK </v>
      </c>
      <c r="T965" s="4" t="str" cm="1">
        <f t="array" ref="T965">IF(D965="",IFERROR(INDEX($D$2:$D$1000,MATCH(MAX(COUNTIF($D$2:$D$1166,$D$2:$D$1166)),COUNTIF($D$2:$D$1166,$D$2:$D$1166),0)),"Unknown"),D965)</f>
        <v>David Al-Sayed</v>
      </c>
      <c r="U965" t="str">
        <f t="shared" si="106"/>
        <v>AED</v>
      </c>
      <c r="V965" s="7" t="str">
        <f t="shared" si="106"/>
        <v>ZAR</v>
      </c>
      <c r="W965" s="7" t="str">
        <f t="shared" si="107"/>
        <v>USA</v>
      </c>
      <c r="X965" s="7" t="str">
        <f t="shared" si="107"/>
        <v>France</v>
      </c>
      <c r="Y965" s="7" t="str" cm="1">
        <f t="array" ref="Y965">IF(H965="",IFERROR(INDEX($H$2:$H$1166,MATCH(MAX(COUNTIF($H$2:$H$1166,$H$2:$H$1166)),COUNTIF($H$2:$H$1166,$H$2:$H$1166),0)),"Unknown"),H965)</f>
        <v>Pending</v>
      </c>
      <c r="Z965" s="7" t="str">
        <f t="shared" si="108"/>
        <v>Outer-Transaction</v>
      </c>
      <c r="AA965" s="7">
        <f>IF(J965="",AVERAGE($J:$J),J965)</f>
        <v>13021.42</v>
      </c>
      <c r="AB965" s="7">
        <f>IF(N965="",AVERAGE($N:$N),N965)</f>
        <v>49</v>
      </c>
      <c r="AC965" s="7">
        <f t="shared" si="109"/>
        <v>2026</v>
      </c>
      <c r="AD965" s="7">
        <f t="shared" si="110"/>
        <v>3</v>
      </c>
      <c r="AE965" s="7">
        <f>COUNTIF(A:A,A965)</f>
        <v>1</v>
      </c>
      <c r="AF965" s="7" t="str">
        <f t="shared" si="111"/>
        <v/>
      </c>
    </row>
    <row r="966" spans="1:32">
      <c r="A966" t="s">
        <v>2899</v>
      </c>
      <c r="B966">
        <v>50107493</v>
      </c>
      <c r="C966" t="s">
        <v>2900</v>
      </c>
      <c r="D966" t="s">
        <v>1099</v>
      </c>
      <c r="F966" t="s">
        <v>92</v>
      </c>
      <c r="G966" t="s">
        <v>22</v>
      </c>
      <c r="I966" t="s">
        <v>3374</v>
      </c>
      <c r="J966">
        <v>14300.58</v>
      </c>
      <c r="K966" t="s">
        <v>27</v>
      </c>
      <c r="L966" t="s">
        <v>75</v>
      </c>
      <c r="M966" s="1">
        <v>45800.449305555558</v>
      </c>
      <c r="N966">
        <v>63</v>
      </c>
      <c r="O966" t="s">
        <v>37</v>
      </c>
      <c r="P966" t="s">
        <v>36</v>
      </c>
      <c r="Q966" t="s">
        <v>2901</v>
      </c>
      <c r="R966">
        <f t="shared" si="105"/>
        <v>50107493</v>
      </c>
      <c r="S966" t="str" cm="1">
        <f t="array" ref="S966">IF(C966="",IFERROR(INDEX($C$2:$C$1166,MATCH(MAX(COUNTIF($C$2:$C$1166,$C$2:$C$1166)),COUNTIF($C$2:$C$1166,$C$2:$C$1166),0)),"Unknown"),C966)</f>
        <v xml:space="preserve">  RICHARD SOUZA </v>
      </c>
      <c r="T966" s="4" t="str" cm="1">
        <f t="array" ref="T966">IF(D966="",IFERROR(INDEX($D$2:$D$1000,MATCH(MAX(COUNTIF($D$2:$D$1166,$D$2:$D$1166)),COUNTIF($D$2:$D$1166,$D$2:$D$1166),0)),"Unknown"),D966)</f>
        <v>Mary Anderson</v>
      </c>
      <c r="U966" t="str">
        <f t="shared" si="106"/>
        <v>AUD</v>
      </c>
      <c r="V966" s="7" t="str">
        <f t="shared" si="106"/>
        <v>BRL</v>
      </c>
      <c r="W966" s="7" t="str">
        <f t="shared" si="107"/>
        <v>South Africa</v>
      </c>
      <c r="X966" s="7" t="str">
        <f t="shared" si="107"/>
        <v>Germany</v>
      </c>
      <c r="Y966" s="7" t="str" cm="1">
        <f t="array" ref="Y966">IF(H966="",IFERROR(INDEX($H$2:$H$1166,MATCH(MAX(COUNTIF($H$2:$H$1166,$H$2:$H$1166)),COUNTIF($H$2:$H$1166,$H$2:$H$1166),0)),"Unknown"),H966)</f>
        <v>Pending</v>
      </c>
      <c r="Z966" s="7" t="str">
        <f t="shared" si="108"/>
        <v>External</v>
      </c>
      <c r="AA966" s="7">
        <f>IF(J966="",AVERAGE($J:$J),J966)</f>
        <v>14300.58</v>
      </c>
      <c r="AB966" s="7">
        <f>IF(N966="",AVERAGE($N:$N),N966)</f>
        <v>63</v>
      </c>
      <c r="AC966" s="7">
        <f t="shared" si="109"/>
        <v>2025</v>
      </c>
      <c r="AD966" s="7">
        <f t="shared" si="110"/>
        <v>5</v>
      </c>
      <c r="AE966" s="7">
        <f>COUNTIF(A:A,A966)</f>
        <v>1</v>
      </c>
      <c r="AF966" s="7" t="str">
        <f t="shared" si="111"/>
        <v/>
      </c>
    </row>
    <row r="967" spans="1:32">
      <c r="A967" t="s">
        <v>2902</v>
      </c>
      <c r="B967">
        <v>92811164</v>
      </c>
      <c r="C967" t="s">
        <v>2903</v>
      </c>
      <c r="D967" t="s">
        <v>939</v>
      </c>
      <c r="F967" t="s">
        <v>80</v>
      </c>
      <c r="G967" t="s">
        <v>121</v>
      </c>
      <c r="H967" t="s">
        <v>38</v>
      </c>
      <c r="I967" t="s">
        <v>3378</v>
      </c>
      <c r="J967">
        <v>9161.76</v>
      </c>
      <c r="K967" t="s">
        <v>86</v>
      </c>
      <c r="L967" t="s">
        <v>81</v>
      </c>
      <c r="M967" s="1">
        <v>44042.815972222219</v>
      </c>
      <c r="N967">
        <v>33</v>
      </c>
      <c r="O967" t="s">
        <v>36</v>
      </c>
      <c r="P967" t="s">
        <v>36</v>
      </c>
      <c r="Q967" t="s">
        <v>2904</v>
      </c>
      <c r="R967">
        <f t="shared" si="105"/>
        <v>92811164</v>
      </c>
      <c r="S967" t="str" cm="1">
        <f t="array" ref="S967">IF(C967="",IFERROR(INDEX($C$2:$C$1166,MATCH(MAX(COUNTIF($C$2:$C$1166,$C$2:$C$1166)),COUNTIF($C$2:$C$1166,$C$2:$C$1166),0)),"Unknown"),C967)</f>
        <v>David Rodriguez</v>
      </c>
      <c r="T967" s="4" t="str" cm="1">
        <f t="array" ref="T967">IF(D967="",IFERROR(INDEX($D$2:$D$1000,MATCH(MAX(COUNTIF($D$2:$D$1166,$D$2:$D$1166)),COUNTIF($D$2:$D$1166,$D$2:$D$1166),0)),"Unknown"),D967)</f>
        <v>Michael Nair</v>
      </c>
      <c r="U967" t="str">
        <f t="shared" si="106"/>
        <v>USD</v>
      </c>
      <c r="V967" s="7" t="str">
        <f t="shared" si="106"/>
        <v>INR</v>
      </c>
      <c r="W967" s="7" t="str">
        <f t="shared" si="107"/>
        <v>Germany</v>
      </c>
      <c r="X967" s="7" t="str">
        <f t="shared" si="107"/>
        <v>Germany</v>
      </c>
      <c r="Y967" s="7" t="str" cm="1">
        <f t="array" ref="Y967">IF(H967="",IFERROR(INDEX($H$2:$H$1166,MATCH(MAX(COUNTIF($H$2:$H$1166,$H$2:$H$1166)),COUNTIF($H$2:$H$1166,$H$2:$H$1166),0)),"Unknown"),H967)</f>
        <v>Pending</v>
      </c>
      <c r="Z967" s="7" t="str">
        <f t="shared" si="108"/>
        <v>Inter-Transaction</v>
      </c>
      <c r="AA967" s="7">
        <f>IF(J967="",AVERAGE($J:$J),J967)</f>
        <v>9161.76</v>
      </c>
      <c r="AB967" s="7">
        <f>IF(N967="",AVERAGE($N:$N),N967)</f>
        <v>33</v>
      </c>
      <c r="AC967" s="7">
        <f t="shared" si="109"/>
        <v>2020</v>
      </c>
      <c r="AD967" s="7">
        <f t="shared" si="110"/>
        <v>7</v>
      </c>
      <c r="AE967" s="7">
        <f>COUNTIF(A:A,A967)</f>
        <v>1</v>
      </c>
      <c r="AF967" s="7" t="str">
        <f t="shared" si="111"/>
        <v/>
      </c>
    </row>
    <row r="968" spans="1:32">
      <c r="A968" t="s">
        <v>2905</v>
      </c>
      <c r="B968">
        <v>71777181</v>
      </c>
      <c r="C968" t="s">
        <v>822</v>
      </c>
      <c r="D968" t="s">
        <v>259</v>
      </c>
      <c r="F968" t="s">
        <v>35</v>
      </c>
      <c r="G968" t="s">
        <v>98</v>
      </c>
      <c r="H968" t="s">
        <v>74</v>
      </c>
      <c r="I968" t="s">
        <v>3377</v>
      </c>
      <c r="J968">
        <v>7517.9</v>
      </c>
      <c r="K968" t="s">
        <v>47</v>
      </c>
      <c r="L968" t="s">
        <v>75</v>
      </c>
      <c r="M968" s="1">
        <v>44338.911805555559</v>
      </c>
      <c r="N968">
        <v>85</v>
      </c>
      <c r="O968" t="s">
        <v>127</v>
      </c>
      <c r="P968" t="s">
        <v>54</v>
      </c>
      <c r="Q968" t="s">
        <v>2906</v>
      </c>
      <c r="R968">
        <f t="shared" si="105"/>
        <v>71777181</v>
      </c>
      <c r="S968" t="str" cm="1">
        <f t="array" ref="S968">IF(C968="",IFERROR(INDEX($C$2:$C$1166,MATCH(MAX(COUNTIF($C$2:$C$1166,$C$2:$C$1166)),COUNTIF($C$2:$C$1166,$C$2:$C$1166),0)),"Unknown"),C968)</f>
        <v>Susan Martin</v>
      </c>
      <c r="T968" s="4" t="str" cm="1">
        <f t="array" ref="T968">IF(D968="",IFERROR(INDEX($D$2:$D$1000,MATCH(MAX(COUNTIF($D$2:$D$1166,$D$2:$D$1166)),COUNTIF($D$2:$D$1166,$D$2:$D$1166),0)),"Unknown"),D968)</f>
        <v>Susan Brown</v>
      </c>
      <c r="U968" t="str">
        <f t="shared" si="106"/>
        <v>EUR</v>
      </c>
      <c r="V968" s="7" t="str">
        <f t="shared" si="106"/>
        <v>JPY</v>
      </c>
      <c r="W968" s="7" t="str">
        <f t="shared" si="107"/>
        <v>Canada</v>
      </c>
      <c r="X968" s="7" t="str">
        <f t="shared" si="107"/>
        <v>India</v>
      </c>
      <c r="Y968" s="7" t="str" cm="1">
        <f t="array" ref="Y968">IF(H968="",IFERROR(INDEX($H$2:$H$1166,MATCH(MAX(COUNTIF($H$2:$H$1166,$H$2:$H$1166)),COUNTIF($H$2:$H$1166,$H$2:$H$1166),0)),"Unknown"),H968)</f>
        <v>Non-KYC</v>
      </c>
      <c r="Z968" s="7" t="str">
        <f t="shared" si="108"/>
        <v>Inter-Transaction</v>
      </c>
      <c r="AA968" s="7">
        <f>IF(J968="",AVERAGE($J:$J),J968)</f>
        <v>7517.9</v>
      </c>
      <c r="AB968" s="7">
        <f>IF(N968="",AVERAGE($N:$N),N968)</f>
        <v>85</v>
      </c>
      <c r="AC968" s="7">
        <f t="shared" si="109"/>
        <v>2021</v>
      </c>
      <c r="AD968" s="7">
        <f t="shared" si="110"/>
        <v>5</v>
      </c>
      <c r="AE968" s="7">
        <f>COUNTIF(A:A,A968)</f>
        <v>1</v>
      </c>
      <c r="AF968" s="7" t="str">
        <f t="shared" si="111"/>
        <v/>
      </c>
    </row>
    <row r="969" spans="1:32">
      <c r="A969" t="s">
        <v>2907</v>
      </c>
      <c r="B969">
        <v>67628113</v>
      </c>
      <c r="C969" t="s">
        <v>2354</v>
      </c>
      <c r="D969" t="s">
        <v>2847</v>
      </c>
      <c r="F969" t="s">
        <v>92</v>
      </c>
      <c r="G969" t="s">
        <v>22</v>
      </c>
      <c r="H969" t="s">
        <v>38</v>
      </c>
      <c r="I969" t="s">
        <v>3371</v>
      </c>
      <c r="J969">
        <v>1488.87</v>
      </c>
      <c r="K969" t="s">
        <v>39</v>
      </c>
      <c r="L969" t="s">
        <v>48</v>
      </c>
      <c r="M969" s="1">
        <v>45894.927777777775</v>
      </c>
      <c r="N969">
        <v>54</v>
      </c>
      <c r="O969" t="s">
        <v>23</v>
      </c>
      <c r="P969" t="s">
        <v>54</v>
      </c>
      <c r="Q969" t="s">
        <v>2908</v>
      </c>
      <c r="R969">
        <f t="shared" si="105"/>
        <v>67628113</v>
      </c>
      <c r="S969" t="str" cm="1">
        <f t="array" ref="S969">IF(C969="",IFERROR(INDEX($C$2:$C$1166,MATCH(MAX(COUNTIF($C$2:$C$1166,$C$2:$C$1166)),COUNTIF($C$2:$C$1166,$C$2:$C$1166),0)),"Unknown"),C969)</f>
        <v>John Al-Sayed</v>
      </c>
      <c r="T969" s="4" t="str" cm="1">
        <f t="array" ref="T969">IF(D969="",IFERROR(INDEX($D$2:$D$1000,MATCH(MAX(COUNTIF($D$2:$D$1166,$D$2:$D$1166)),COUNTIF($D$2:$D$1166,$D$2:$D$1166),0)),"Unknown"),D969)</f>
        <v>Sanjay Lopez</v>
      </c>
      <c r="U969" t="str">
        <f t="shared" si="106"/>
        <v>AUD</v>
      </c>
      <c r="V969" s="7" t="str">
        <f t="shared" si="106"/>
        <v>BRL</v>
      </c>
      <c r="W969" s="7" t="str">
        <f t="shared" si="107"/>
        <v>France</v>
      </c>
      <c r="X969" s="7" t="str">
        <f t="shared" si="107"/>
        <v>India</v>
      </c>
      <c r="Y969" s="7" t="str" cm="1">
        <f t="array" ref="Y969">IF(H969="",IFERROR(INDEX($H$2:$H$1166,MATCH(MAX(COUNTIF($H$2:$H$1166,$H$2:$H$1166)),COUNTIF($H$2:$H$1166,$H$2:$H$1166),0)),"Unknown"),H969)</f>
        <v>Pending</v>
      </c>
      <c r="Z969" s="7" t="str">
        <f t="shared" si="108"/>
        <v>Outer-Transaction</v>
      </c>
      <c r="AA969" s="7">
        <f>IF(J969="",AVERAGE($J:$J),J969)</f>
        <v>1488.87</v>
      </c>
      <c r="AB969" s="7">
        <f>IF(N969="",AVERAGE($N:$N),N969)</f>
        <v>54</v>
      </c>
      <c r="AC969" s="7">
        <f t="shared" si="109"/>
        <v>2025</v>
      </c>
      <c r="AD969" s="7">
        <f t="shared" si="110"/>
        <v>8</v>
      </c>
      <c r="AE969" s="7">
        <f>COUNTIF(A:A,A969)</f>
        <v>1</v>
      </c>
      <c r="AF969" s="7" t="str">
        <f t="shared" si="111"/>
        <v/>
      </c>
    </row>
    <row r="970" spans="1:32">
      <c r="A970" t="s">
        <v>2909</v>
      </c>
      <c r="B970">
        <v>81085877</v>
      </c>
      <c r="C970" t="s">
        <v>1159</v>
      </c>
      <c r="D970" t="s">
        <v>2910</v>
      </c>
      <c r="F970" t="s">
        <v>98</v>
      </c>
      <c r="G970" t="s">
        <v>98</v>
      </c>
      <c r="H970" t="s">
        <v>38</v>
      </c>
      <c r="I970" t="s">
        <v>3378</v>
      </c>
      <c r="J970">
        <v>6220.65</v>
      </c>
      <c r="K970" t="s">
        <v>27</v>
      </c>
      <c r="L970" t="s">
        <v>28</v>
      </c>
      <c r="M970" s="1">
        <v>45352.506944444445</v>
      </c>
      <c r="N970">
        <v>71</v>
      </c>
      <c r="O970" t="s">
        <v>62</v>
      </c>
      <c r="P970" t="s">
        <v>54</v>
      </c>
      <c r="Q970" t="s">
        <v>2911</v>
      </c>
      <c r="R970">
        <f t="shared" si="105"/>
        <v>81085877</v>
      </c>
      <c r="S970" t="str" cm="1">
        <f t="array" ref="S970">IF(C970="",IFERROR(INDEX($C$2:$C$1166,MATCH(MAX(COUNTIF($C$2:$C$1166,$C$2:$C$1166)),COUNTIF($C$2:$C$1166,$C$2:$C$1166),0)),"Unknown"),C970)</f>
        <v>Priya Volkov</v>
      </c>
      <c r="T970" s="4" t="str" cm="1">
        <f t="array" ref="T970">IF(D970="",IFERROR(INDEX($D$2:$D$1000,MATCH(MAX(COUNTIF($D$2:$D$1166,$D$2:$D$1166)),COUNTIF($D$2:$D$1166,$D$2:$D$1166),0)),"Unknown"),D970)</f>
        <v>Lucas Dubois</v>
      </c>
      <c r="U970" t="str">
        <f t="shared" si="106"/>
        <v>JPY</v>
      </c>
      <c r="V970" s="7" t="str">
        <f t="shared" si="106"/>
        <v>JPY</v>
      </c>
      <c r="W970" s="7" t="str">
        <f t="shared" si="107"/>
        <v>Australia</v>
      </c>
      <c r="X970" s="7" t="str">
        <f t="shared" si="107"/>
        <v>India</v>
      </c>
      <c r="Y970" s="7" t="str" cm="1">
        <f t="array" ref="Y970">IF(H970="",IFERROR(INDEX($H$2:$H$1166,MATCH(MAX(COUNTIF($H$2:$H$1166,$H$2:$H$1166)),COUNTIF($H$2:$H$1166,$H$2:$H$1166),0)),"Unknown"),H970)</f>
        <v>Pending</v>
      </c>
      <c r="Z970" s="7" t="str">
        <f t="shared" si="108"/>
        <v>Inter-Transaction</v>
      </c>
      <c r="AA970" s="7">
        <f>IF(J970="",AVERAGE($J:$J),J970)</f>
        <v>6220.65</v>
      </c>
      <c r="AB970" s="7">
        <f>IF(N970="",AVERAGE($N:$N),N970)</f>
        <v>71</v>
      </c>
      <c r="AC970" s="7">
        <f t="shared" si="109"/>
        <v>2024</v>
      </c>
      <c r="AD970" s="7">
        <f t="shared" si="110"/>
        <v>3</v>
      </c>
      <c r="AE970" s="7">
        <f>COUNTIF(A:A,A970)</f>
        <v>1</v>
      </c>
      <c r="AF970" s="7" t="str">
        <f t="shared" si="111"/>
        <v/>
      </c>
    </row>
    <row r="971" spans="1:32">
      <c r="A971" t="s">
        <v>2912</v>
      </c>
      <c r="B971">
        <v>87748507</v>
      </c>
      <c r="C971" t="s">
        <v>1421</v>
      </c>
      <c r="D971" t="s">
        <v>1531</v>
      </c>
      <c r="F971" t="s">
        <v>180</v>
      </c>
      <c r="G971" t="s">
        <v>116</v>
      </c>
      <c r="H971" t="s">
        <v>103</v>
      </c>
      <c r="I971" t="s">
        <v>3374</v>
      </c>
      <c r="J971">
        <v>8136.87</v>
      </c>
      <c r="K971" t="s">
        <v>39</v>
      </c>
      <c r="L971" t="s">
        <v>28</v>
      </c>
      <c r="M971" s="1">
        <v>44162.111111111109</v>
      </c>
      <c r="N971">
        <v>31</v>
      </c>
      <c r="O971" t="s">
        <v>62</v>
      </c>
      <c r="P971" t="s">
        <v>55</v>
      </c>
      <c r="Q971" t="s">
        <v>2913</v>
      </c>
      <c r="R971">
        <f t="shared" si="105"/>
        <v>87748507</v>
      </c>
      <c r="S971" t="str" cm="1">
        <f t="array" ref="S971">IF(C971="",IFERROR(INDEX($C$2:$C$1166,MATCH(MAX(COUNTIF($C$2:$C$1166,$C$2:$C$1166)),COUNTIF($C$2:$C$1166,$C$2:$C$1166),0)),"Unknown"),C971)</f>
        <v>John Jones</v>
      </c>
      <c r="T971" s="4" t="str" cm="1">
        <f t="array" ref="T971">IF(D971="",IFERROR(INDEX($D$2:$D$1000,MATCH(MAX(COUNTIF($D$2:$D$1166,$D$2:$D$1166)),COUNTIF($D$2:$D$1166,$D$2:$D$1166),0)),"Unknown"),D971)</f>
        <v>Carlos Garcia</v>
      </c>
      <c r="U971" t="str">
        <f t="shared" si="106"/>
        <v>zar</v>
      </c>
      <c r="V971" s="7" t="str">
        <f t="shared" si="106"/>
        <v>CHF</v>
      </c>
      <c r="W971" s="7" t="str">
        <f t="shared" si="107"/>
        <v>Australia</v>
      </c>
      <c r="X971" s="7" t="str">
        <f t="shared" si="107"/>
        <v>UK</v>
      </c>
      <c r="Y971" s="7" t="str" cm="1">
        <f t="array" ref="Y971">IF(H971="",IFERROR(INDEX($H$2:$H$1166,MATCH(MAX(COUNTIF($H$2:$H$1166,$H$2:$H$1166)),COUNTIF($H$2:$H$1166,$H$2:$H$1166),0)),"Unknown"),H971)</f>
        <v>Verified</v>
      </c>
      <c r="Z971" s="7" t="str">
        <f t="shared" si="108"/>
        <v>External</v>
      </c>
      <c r="AA971" s="7">
        <f>IF(J971="",AVERAGE($J:$J),J971)</f>
        <v>8136.87</v>
      </c>
      <c r="AB971" s="7">
        <f>IF(N971="",AVERAGE($N:$N),N971)</f>
        <v>31</v>
      </c>
      <c r="AC971" s="7">
        <f t="shared" si="109"/>
        <v>2020</v>
      </c>
      <c r="AD971" s="7">
        <f t="shared" si="110"/>
        <v>11</v>
      </c>
      <c r="AE971" s="7">
        <f>COUNTIF(A:A,A971)</f>
        <v>1</v>
      </c>
      <c r="AF971" s="7" t="str">
        <f t="shared" si="111"/>
        <v/>
      </c>
    </row>
    <row r="972" spans="1:32">
      <c r="A972" t="s">
        <v>2914</v>
      </c>
      <c r="B972">
        <v>37182451</v>
      </c>
      <c r="C972" t="s">
        <v>260</v>
      </c>
      <c r="D972" t="s">
        <v>735</v>
      </c>
      <c r="F972" t="s">
        <v>98</v>
      </c>
      <c r="G972" t="s">
        <v>98</v>
      </c>
      <c r="H972" t="s">
        <v>103</v>
      </c>
      <c r="I972" t="s">
        <v>3376</v>
      </c>
      <c r="J972">
        <v>981.38</v>
      </c>
      <c r="K972" t="s">
        <v>39</v>
      </c>
      <c r="L972" t="s">
        <v>28</v>
      </c>
      <c r="M972" s="1">
        <v>44381.222916666666</v>
      </c>
      <c r="N972">
        <v>72</v>
      </c>
      <c r="O972" t="s">
        <v>93</v>
      </c>
      <c r="P972" t="s">
        <v>23</v>
      </c>
      <c r="Q972" t="s">
        <v>2915</v>
      </c>
      <c r="R972">
        <f t="shared" si="105"/>
        <v>37182451</v>
      </c>
      <c r="S972" t="str" cm="1">
        <f t="array" ref="S972">IF(C972="",IFERROR(INDEX($C$2:$C$1166,MATCH(MAX(COUNTIF($C$2:$C$1166,$C$2:$C$1166)),COUNTIF($C$2:$C$1166,$C$2:$C$1166),0)),"Unknown"),C972)</f>
        <v>Christopher Taylor</v>
      </c>
      <c r="T972" s="4" t="str" cm="1">
        <f t="array" ref="T972">IF(D972="",IFERROR(INDEX($D$2:$D$1000,MATCH(MAX(COUNTIF($D$2:$D$1166,$D$2:$D$1166)),COUNTIF($D$2:$D$1166,$D$2:$D$1166),0)),"Unknown"),D972)</f>
        <v>Robert Khan</v>
      </c>
      <c r="U972" t="str">
        <f t="shared" si="106"/>
        <v>JPY</v>
      </c>
      <c r="V972" s="7" t="str">
        <f t="shared" si="106"/>
        <v>JPY</v>
      </c>
      <c r="W972" s="7" t="str">
        <f t="shared" si="107"/>
        <v>USA</v>
      </c>
      <c r="X972" s="7" t="str">
        <f t="shared" si="107"/>
        <v>France</v>
      </c>
      <c r="Y972" s="7" t="str" cm="1">
        <f t="array" ref="Y972">IF(H972="",IFERROR(INDEX($H$2:$H$1166,MATCH(MAX(COUNTIF($H$2:$H$1166,$H$2:$H$1166)),COUNTIF($H$2:$H$1166,$H$2:$H$1166),0)),"Unknown"),H972)</f>
        <v>Verified</v>
      </c>
      <c r="Z972" s="7" t="str">
        <f t="shared" si="108"/>
        <v>Internal</v>
      </c>
      <c r="AA972" s="7">
        <f>IF(J972="",AVERAGE($J:$J),J972)</f>
        <v>981.38</v>
      </c>
      <c r="AB972" s="7">
        <f>IF(N972="",AVERAGE($N:$N),N972)</f>
        <v>72</v>
      </c>
      <c r="AC972" s="7">
        <f t="shared" si="109"/>
        <v>2021</v>
      </c>
      <c r="AD972" s="7">
        <f t="shared" si="110"/>
        <v>7</v>
      </c>
      <c r="AE972" s="7">
        <f>COUNTIF(A:A,A972)</f>
        <v>1</v>
      </c>
      <c r="AF972" s="7" t="str">
        <f t="shared" si="111"/>
        <v/>
      </c>
    </row>
    <row r="973" spans="1:32">
      <c r="A973" t="s">
        <v>2916</v>
      </c>
      <c r="B973">
        <v>45376376</v>
      </c>
      <c r="C973" t="s">
        <v>825</v>
      </c>
      <c r="D973" t="s">
        <v>2917</v>
      </c>
      <c r="F973" t="s">
        <v>80</v>
      </c>
      <c r="G973" t="s">
        <v>21</v>
      </c>
      <c r="I973" t="s">
        <v>3377</v>
      </c>
      <c r="J973">
        <v>2714.3</v>
      </c>
      <c r="K973" t="s">
        <v>27</v>
      </c>
      <c r="L973" t="s">
        <v>28</v>
      </c>
      <c r="M973" s="1">
        <v>45455.862500000003</v>
      </c>
      <c r="N973">
        <v>65</v>
      </c>
      <c r="O973" t="s">
        <v>68</v>
      </c>
      <c r="P973" t="s">
        <v>127</v>
      </c>
      <c r="Q973" t="s">
        <v>2918</v>
      </c>
      <c r="R973">
        <f t="shared" si="105"/>
        <v>45376376</v>
      </c>
      <c r="S973" t="str" cm="1">
        <f t="array" ref="S973">IF(C973="",IFERROR(INDEX($C$2:$C$1166,MATCH(MAX(COUNTIF($C$2:$C$1166,$C$2:$C$1166)),COUNTIF($C$2:$C$1166,$C$2:$C$1166),0)),"Unknown"),C973)</f>
        <v>Karen Taylor</v>
      </c>
      <c r="T973" s="4" t="str" cm="1">
        <f t="array" ref="T973">IF(D973="",IFERROR(INDEX($D$2:$D$1000,MATCH(MAX(COUNTIF($D$2:$D$1166,$D$2:$D$1166)),COUNTIF($D$2:$D$1166,$D$2:$D$1166),0)),"Unknown"),D973)</f>
        <v>Thomas Wilson</v>
      </c>
      <c r="U973" t="str">
        <f t="shared" si="106"/>
        <v>USD</v>
      </c>
      <c r="V973" s="7" t="str">
        <f t="shared" si="106"/>
        <v>GBP</v>
      </c>
      <c r="W973" s="7" t="str">
        <f t="shared" si="107"/>
        <v>UAE</v>
      </c>
      <c r="X973" s="7" t="str">
        <f t="shared" si="107"/>
        <v>Canada</v>
      </c>
      <c r="Y973" s="7" t="str" cm="1">
        <f t="array" ref="Y973">IF(H973="",IFERROR(INDEX($H$2:$H$1166,MATCH(MAX(COUNTIF($H$2:$H$1166,$H$2:$H$1166)),COUNTIF($H$2:$H$1166,$H$2:$H$1166),0)),"Unknown"),H973)</f>
        <v>Pending</v>
      </c>
      <c r="Z973" s="7" t="str">
        <f t="shared" si="108"/>
        <v>Inter-Transaction</v>
      </c>
      <c r="AA973" s="7">
        <f>IF(J973="",AVERAGE($J:$J),J973)</f>
        <v>2714.3</v>
      </c>
      <c r="AB973" s="7">
        <f>IF(N973="",AVERAGE($N:$N),N973)</f>
        <v>65</v>
      </c>
      <c r="AC973" s="7">
        <f t="shared" si="109"/>
        <v>2024</v>
      </c>
      <c r="AD973" s="7">
        <f t="shared" si="110"/>
        <v>6</v>
      </c>
      <c r="AE973" s="7">
        <f>COUNTIF(A:A,A973)</f>
        <v>1</v>
      </c>
      <c r="AF973" s="7" t="str">
        <f t="shared" si="111"/>
        <v/>
      </c>
    </row>
    <row r="974" spans="1:32">
      <c r="A974" t="s">
        <v>2919</v>
      </c>
      <c r="B974">
        <v>96379228</v>
      </c>
      <c r="C974" t="s">
        <v>2920</v>
      </c>
      <c r="D974" t="s">
        <v>1472</v>
      </c>
      <c r="F974" t="s">
        <v>98</v>
      </c>
      <c r="G974" t="s">
        <v>21</v>
      </c>
      <c r="I974" t="s">
        <v>3376</v>
      </c>
      <c r="J974">
        <v>559.35</v>
      </c>
      <c r="K974" t="s">
        <v>86</v>
      </c>
      <c r="L974" t="s">
        <v>28</v>
      </c>
      <c r="M974" s="1">
        <v>44772.659722222219</v>
      </c>
      <c r="N974">
        <v>24</v>
      </c>
      <c r="O974" t="s">
        <v>55</v>
      </c>
      <c r="P974" t="s">
        <v>54</v>
      </c>
      <c r="Q974" t="s">
        <v>2921</v>
      </c>
      <c r="R974">
        <f t="shared" si="105"/>
        <v>96379228</v>
      </c>
      <c r="S974" t="str" cm="1">
        <f t="array" ref="S974">IF(C974="",IFERROR(INDEX($C$2:$C$1166,MATCH(MAX(COUNTIF($C$2:$C$1166,$C$2:$C$1166)),COUNTIF($C$2:$C$1166,$C$2:$C$1166),0)),"Unknown"),C974)</f>
        <v xml:space="preserve">  JOSEPH MALIK </v>
      </c>
      <c r="T974" s="4" t="str" cm="1">
        <f t="array" ref="T974">IF(D974="",IFERROR(INDEX($D$2:$D$1000,MATCH(MAX(COUNTIF($D$2:$D$1166,$D$2:$D$1166)),COUNTIF($D$2:$D$1166,$D$2:$D$1166),0)),"Unknown"),D974)</f>
        <v>Sanjay Silva</v>
      </c>
      <c r="U974" t="str">
        <f t="shared" si="106"/>
        <v>JPY</v>
      </c>
      <c r="V974" s="7" t="str">
        <f t="shared" si="106"/>
        <v>GBP</v>
      </c>
      <c r="W974" s="7" t="str">
        <f t="shared" si="107"/>
        <v>UK</v>
      </c>
      <c r="X974" s="7" t="str">
        <f t="shared" si="107"/>
        <v>India</v>
      </c>
      <c r="Y974" s="7" t="str" cm="1">
        <f t="array" ref="Y974">IF(H974="",IFERROR(INDEX($H$2:$H$1166,MATCH(MAX(COUNTIF($H$2:$H$1166,$H$2:$H$1166)),COUNTIF($H$2:$H$1166,$H$2:$H$1166),0)),"Unknown"),H974)</f>
        <v>Pending</v>
      </c>
      <c r="Z974" s="7" t="str">
        <f t="shared" si="108"/>
        <v>Internal</v>
      </c>
      <c r="AA974" s="7">
        <f>IF(J974="",AVERAGE($J:$J),J974)</f>
        <v>559.35</v>
      </c>
      <c r="AB974" s="7">
        <f>IF(N974="",AVERAGE($N:$N),N974)</f>
        <v>24</v>
      </c>
      <c r="AC974" s="7">
        <f t="shared" si="109"/>
        <v>2022</v>
      </c>
      <c r="AD974" s="7">
        <f t="shared" si="110"/>
        <v>7</v>
      </c>
      <c r="AE974" s="7">
        <f>COUNTIF(A:A,A974)</f>
        <v>1</v>
      </c>
      <c r="AF974" s="7" t="str">
        <f t="shared" si="111"/>
        <v/>
      </c>
    </row>
    <row r="975" spans="1:32">
      <c r="A975" t="s">
        <v>2922</v>
      </c>
      <c r="B975">
        <v>40051846</v>
      </c>
      <c r="C975" t="s">
        <v>1710</v>
      </c>
      <c r="D975" t="s">
        <v>597</v>
      </c>
      <c r="F975" t="s">
        <v>92</v>
      </c>
      <c r="G975" t="s">
        <v>45</v>
      </c>
      <c r="H975" t="s">
        <v>56</v>
      </c>
      <c r="I975" t="s">
        <v>3372</v>
      </c>
      <c r="J975">
        <v>4925.28</v>
      </c>
      <c r="K975" t="s">
        <v>27</v>
      </c>
      <c r="L975" t="s">
        <v>81</v>
      </c>
      <c r="M975" s="1">
        <v>46134.197916666664</v>
      </c>
      <c r="N975">
        <v>24</v>
      </c>
      <c r="O975" t="s">
        <v>36</v>
      </c>
      <c r="P975" t="s">
        <v>37</v>
      </c>
      <c r="Q975" t="s">
        <v>2923</v>
      </c>
      <c r="R975">
        <f t="shared" si="105"/>
        <v>40051846</v>
      </c>
      <c r="S975" t="str" cm="1">
        <f t="array" ref="S975">IF(C975="",IFERROR(INDEX($C$2:$C$1166,MATCH(MAX(COUNTIF($C$2:$C$1166,$C$2:$C$1166)),COUNTIF($C$2:$C$1166,$C$2:$C$1166),0)),"Unknown"),C975)</f>
        <v>David Volkov</v>
      </c>
      <c r="T975" s="4" t="str" cm="1">
        <f t="array" ref="T975">IF(D975="",IFERROR(INDEX($D$2:$D$1000,MATCH(MAX(COUNTIF($D$2:$D$1166,$D$2:$D$1166)),COUNTIF($D$2:$D$1166,$D$2:$D$1166),0)),"Unknown"),D975)</f>
        <v>Elena Taylor</v>
      </c>
      <c r="U975" t="str">
        <f t="shared" si="106"/>
        <v>AUD</v>
      </c>
      <c r="V975" s="7" t="str">
        <f t="shared" si="106"/>
        <v>ZAR</v>
      </c>
      <c r="W975" s="7" t="str">
        <f t="shared" si="107"/>
        <v>Germany</v>
      </c>
      <c r="X975" s="7" t="str">
        <f t="shared" si="107"/>
        <v>South Africa</v>
      </c>
      <c r="Y975" s="7" t="str" cm="1">
        <f t="array" ref="Y975">IF(H975="",IFERROR(INDEX($H$2:$H$1166,MATCH(MAX(COUNTIF($H$2:$H$1166,$H$2:$H$1166)),COUNTIF($H$2:$H$1166,$H$2:$H$1166),0)),"Unknown"),H975)</f>
        <v>Unverified</v>
      </c>
      <c r="Z975" s="7" t="str">
        <f t="shared" si="108"/>
        <v>Outer-Transaction</v>
      </c>
      <c r="AA975" s="7">
        <f>IF(J975="",AVERAGE($J:$J),J975)</f>
        <v>4925.28</v>
      </c>
      <c r="AB975" s="7">
        <f>IF(N975="",AVERAGE($N:$N),N975)</f>
        <v>24</v>
      </c>
      <c r="AC975" s="7">
        <f t="shared" si="109"/>
        <v>2026</v>
      </c>
      <c r="AD975" s="7">
        <f t="shared" si="110"/>
        <v>4</v>
      </c>
      <c r="AE975" s="7">
        <f>COUNTIF(A:A,A975)</f>
        <v>1</v>
      </c>
      <c r="AF975" s="7" t="str">
        <f t="shared" si="111"/>
        <v/>
      </c>
    </row>
    <row r="976" spans="1:32">
      <c r="A976" t="s">
        <v>2924</v>
      </c>
      <c r="B976">
        <v>98342130</v>
      </c>
      <c r="C976" t="s">
        <v>1808</v>
      </c>
      <c r="D976" t="s">
        <v>2925</v>
      </c>
      <c r="F976" t="s">
        <v>393</v>
      </c>
      <c r="G976" t="s">
        <v>45</v>
      </c>
      <c r="H976" t="s">
        <v>74</v>
      </c>
      <c r="I976" t="s">
        <v>3374</v>
      </c>
      <c r="J976">
        <v>1413.28</v>
      </c>
      <c r="K976" t="s">
        <v>39</v>
      </c>
      <c r="L976" t="s">
        <v>48</v>
      </c>
      <c r="M976" s="1">
        <v>44558.69027777778</v>
      </c>
      <c r="N976">
        <v>50</v>
      </c>
      <c r="O976" t="s">
        <v>36</v>
      </c>
      <c r="P976" t="s">
        <v>93</v>
      </c>
      <c r="Q976" t="s">
        <v>2926</v>
      </c>
      <c r="R976">
        <f t="shared" si="105"/>
        <v>98342130</v>
      </c>
      <c r="S976" t="str" cm="1">
        <f t="array" ref="S976">IF(C976="",IFERROR(INDEX($C$2:$C$1166,MATCH(MAX(COUNTIF($C$2:$C$1166,$C$2:$C$1166)),COUNTIF($C$2:$C$1166,$C$2:$C$1166),0)),"Unknown"),C976)</f>
        <v>Carlos Volkov</v>
      </c>
      <c r="T976" s="4" t="str" cm="1">
        <f t="array" ref="T976">IF(D976="",IFERROR(INDEX($D$2:$D$1000,MATCH(MAX(COUNTIF($D$2:$D$1166,$D$2:$D$1166)),COUNTIF($D$2:$D$1166,$D$2:$D$1166),0)),"Unknown"),D976)</f>
        <v xml:space="preserve"> william brown   </v>
      </c>
      <c r="U976" t="str">
        <f t="shared" si="106"/>
        <v>cad</v>
      </c>
      <c r="V976" s="7" t="str">
        <f t="shared" si="106"/>
        <v>ZAR</v>
      </c>
      <c r="W976" s="7" t="str">
        <f t="shared" si="107"/>
        <v>Germany</v>
      </c>
      <c r="X976" s="7" t="str">
        <f t="shared" si="107"/>
        <v>USA</v>
      </c>
      <c r="Y976" s="7" t="str" cm="1">
        <f t="array" ref="Y976">IF(H976="",IFERROR(INDEX($H$2:$H$1166,MATCH(MAX(COUNTIF($H$2:$H$1166,$H$2:$H$1166)),COUNTIF($H$2:$H$1166,$H$2:$H$1166),0)),"Unknown"),H976)</f>
        <v>Non-KYC</v>
      </c>
      <c r="Z976" s="7" t="str">
        <f t="shared" si="108"/>
        <v>External</v>
      </c>
      <c r="AA976" s="7">
        <f>IF(J976="",AVERAGE($J:$J),J976)</f>
        <v>1413.28</v>
      </c>
      <c r="AB976" s="7">
        <f>IF(N976="",AVERAGE($N:$N),N976)</f>
        <v>50</v>
      </c>
      <c r="AC976" s="7">
        <f t="shared" si="109"/>
        <v>2021</v>
      </c>
      <c r="AD976" s="7">
        <f t="shared" si="110"/>
        <v>12</v>
      </c>
      <c r="AE976" s="7">
        <f>COUNTIF(A:A,A976)</f>
        <v>1</v>
      </c>
      <c r="AF976" s="7" t="str">
        <f t="shared" si="111"/>
        <v/>
      </c>
    </row>
    <row r="977" spans="1:32">
      <c r="A977" t="s">
        <v>2927</v>
      </c>
      <c r="B977">
        <v>51790477</v>
      </c>
      <c r="C977" t="s">
        <v>596</v>
      </c>
      <c r="D977" t="s">
        <v>1380</v>
      </c>
      <c r="F977" t="s">
        <v>45</v>
      </c>
      <c r="G977" t="s">
        <v>22</v>
      </c>
      <c r="H977" t="s">
        <v>25</v>
      </c>
      <c r="I977" t="s">
        <v>3371</v>
      </c>
      <c r="J977">
        <v>6014.94</v>
      </c>
      <c r="K977" t="s">
        <v>39</v>
      </c>
      <c r="L977" t="s">
        <v>28</v>
      </c>
      <c r="M977" s="1">
        <v>44710.135416666664</v>
      </c>
      <c r="N977">
        <v>40</v>
      </c>
      <c r="O977" t="s">
        <v>37</v>
      </c>
      <c r="P977" t="s">
        <v>93</v>
      </c>
      <c r="Q977" t="s">
        <v>2928</v>
      </c>
      <c r="R977">
        <f t="shared" si="105"/>
        <v>51790477</v>
      </c>
      <c r="S977" t="str" cm="1">
        <f t="array" ref="S977">IF(C977="",IFERROR(INDEX($C$2:$C$1166,MATCH(MAX(COUNTIF($C$2:$C$1166,$C$2:$C$1166)),COUNTIF($C$2:$C$1166,$C$2:$C$1166),0)),"Unknown"),C977)</f>
        <v>Robert Martinez</v>
      </c>
      <c r="T977" s="4" t="str" cm="1">
        <f t="array" ref="T977">IF(D977="",IFERROR(INDEX($D$2:$D$1000,MATCH(MAX(COUNTIF($D$2:$D$1166,$D$2:$D$1166)),COUNTIF($D$2:$D$1166,$D$2:$D$1166),0)),"Unknown"),D977)</f>
        <v>Carlos Thomas</v>
      </c>
      <c r="U977" t="str">
        <f t="shared" si="106"/>
        <v>ZAR</v>
      </c>
      <c r="V977" s="7" t="str">
        <f t="shared" si="106"/>
        <v>BRL</v>
      </c>
      <c r="W977" s="7" t="str">
        <f t="shared" si="107"/>
        <v>South Africa</v>
      </c>
      <c r="X977" s="7" t="str">
        <f t="shared" si="107"/>
        <v>USA</v>
      </c>
      <c r="Y977" s="7" t="str" cm="1">
        <f t="array" ref="Y977">IF(H977="",IFERROR(INDEX($H$2:$H$1166,MATCH(MAX(COUNTIF($H$2:$H$1166,$H$2:$H$1166)),COUNTIF($H$2:$H$1166,$H$2:$H$1166),0)),"Unknown"),H977)</f>
        <v>KYC</v>
      </c>
      <c r="Z977" s="7" t="str">
        <f t="shared" si="108"/>
        <v>Outer-Transaction</v>
      </c>
      <c r="AA977" s="7">
        <f>IF(J977="",AVERAGE($J:$J),J977)</f>
        <v>6014.94</v>
      </c>
      <c r="AB977" s="7">
        <f>IF(N977="",AVERAGE($N:$N),N977)</f>
        <v>40</v>
      </c>
      <c r="AC977" s="7">
        <f t="shared" si="109"/>
        <v>2022</v>
      </c>
      <c r="AD977" s="7">
        <f t="shared" si="110"/>
        <v>5</v>
      </c>
      <c r="AE977" s="7">
        <f>COUNTIF(A:A,A977)</f>
        <v>1</v>
      </c>
      <c r="AF977" s="7" t="str">
        <f t="shared" si="111"/>
        <v/>
      </c>
    </row>
    <row r="978" spans="1:32">
      <c r="A978" t="s">
        <v>2929</v>
      </c>
      <c r="B978">
        <v>70442839</v>
      </c>
      <c r="C978" t="s">
        <v>1091</v>
      </c>
      <c r="D978" t="s">
        <v>2930</v>
      </c>
      <c r="F978" t="s">
        <v>21</v>
      </c>
      <c r="G978" t="s">
        <v>121</v>
      </c>
      <c r="H978" t="s">
        <v>103</v>
      </c>
      <c r="I978" t="s">
        <v>3378</v>
      </c>
      <c r="J978">
        <v>6186.09</v>
      </c>
      <c r="K978" t="s">
        <v>39</v>
      </c>
      <c r="L978" t="s">
        <v>75</v>
      </c>
      <c r="M978" s="1">
        <v>44479.638888888891</v>
      </c>
      <c r="N978">
        <v>36</v>
      </c>
      <c r="O978" t="s">
        <v>37</v>
      </c>
      <c r="P978" t="s">
        <v>55</v>
      </c>
      <c r="Q978" t="s">
        <v>2931</v>
      </c>
      <c r="R978">
        <f t="shared" si="105"/>
        <v>70442839</v>
      </c>
      <c r="S978" t="str" cm="1">
        <f t="array" ref="S978">IF(C978="",IFERROR(INDEX($C$2:$C$1166,MATCH(MAX(COUNTIF($C$2:$C$1166,$C$2:$C$1166)),COUNTIF($C$2:$C$1166,$C$2:$C$1166),0)),"Unknown"),C978)</f>
        <v>Nancy Anderson</v>
      </c>
      <c r="T978" s="4" t="str" cm="1">
        <f t="array" ref="T978">IF(D978="",IFERROR(INDEX($D$2:$D$1000,MATCH(MAX(COUNTIF($D$2:$D$1166,$D$2:$D$1166)),COUNTIF($D$2:$D$1166,$D$2:$D$1166),0)),"Unknown"),D978)</f>
        <v>Karen Johnson</v>
      </c>
      <c r="U978" t="str">
        <f t="shared" si="106"/>
        <v>GBP</v>
      </c>
      <c r="V978" s="7" t="str">
        <f t="shared" si="106"/>
        <v>INR</v>
      </c>
      <c r="W978" s="7" t="str">
        <f t="shared" si="107"/>
        <v>South Africa</v>
      </c>
      <c r="X978" s="7" t="str">
        <f t="shared" si="107"/>
        <v>UK</v>
      </c>
      <c r="Y978" s="7" t="str" cm="1">
        <f t="array" ref="Y978">IF(H978="",IFERROR(INDEX($H$2:$H$1166,MATCH(MAX(COUNTIF($H$2:$H$1166,$H$2:$H$1166)),COUNTIF($H$2:$H$1166,$H$2:$H$1166),0)),"Unknown"),H978)</f>
        <v>Verified</v>
      </c>
      <c r="Z978" s="7" t="str">
        <f t="shared" si="108"/>
        <v>Inter-Transaction</v>
      </c>
      <c r="AA978" s="7">
        <f>IF(J978="",AVERAGE($J:$J),J978)</f>
        <v>6186.09</v>
      </c>
      <c r="AB978" s="7">
        <f>IF(N978="",AVERAGE($N:$N),N978)</f>
        <v>36</v>
      </c>
      <c r="AC978" s="7">
        <f t="shared" si="109"/>
        <v>2021</v>
      </c>
      <c r="AD978" s="7">
        <f t="shared" si="110"/>
        <v>10</v>
      </c>
      <c r="AE978" s="7">
        <f>COUNTIF(A:A,A978)</f>
        <v>1</v>
      </c>
      <c r="AF978" s="7" t="str">
        <f t="shared" si="111"/>
        <v/>
      </c>
    </row>
    <row r="979" spans="1:32">
      <c r="A979" t="s">
        <v>2932</v>
      </c>
      <c r="B979">
        <v>28080813</v>
      </c>
      <c r="C979" t="s">
        <v>836</v>
      </c>
      <c r="D979" t="s">
        <v>89</v>
      </c>
      <c r="F979" t="s">
        <v>98</v>
      </c>
      <c r="G979" t="s">
        <v>45</v>
      </c>
      <c r="H979" t="s">
        <v>74</v>
      </c>
      <c r="I979" t="s">
        <v>3376</v>
      </c>
      <c r="J979">
        <v>13651.08</v>
      </c>
      <c r="K979" t="s">
        <v>47</v>
      </c>
      <c r="L979" t="s">
        <v>81</v>
      </c>
      <c r="M979" s="1">
        <v>44830.137499999997</v>
      </c>
      <c r="N979">
        <v>36</v>
      </c>
      <c r="O979" t="s">
        <v>62</v>
      </c>
      <c r="P979" t="s">
        <v>54</v>
      </c>
      <c r="Q979" t="s">
        <v>2933</v>
      </c>
      <c r="R979">
        <f t="shared" si="105"/>
        <v>28080813</v>
      </c>
      <c r="S979" t="str" cm="1">
        <f t="array" ref="S979">IF(C979="",IFERROR(INDEX($C$2:$C$1166,MATCH(MAX(COUNTIF($C$2:$C$1166,$C$2:$C$1166)),COUNTIF($C$2:$C$1166,$C$2:$C$1166),0)),"Unknown"),C979)</f>
        <v>Nancy Hernandez</v>
      </c>
      <c r="T979" s="4" t="str" cm="1">
        <f t="array" ref="T979">IF(D979="",IFERROR(INDEX($D$2:$D$1000,MATCH(MAX(COUNTIF($D$2:$D$1166,$D$2:$D$1166)),COUNTIF($D$2:$D$1166,$D$2:$D$1166),0)),"Unknown"),D979)</f>
        <v>Sarah Miller</v>
      </c>
      <c r="U979" t="str">
        <f t="shared" si="106"/>
        <v>JPY</v>
      </c>
      <c r="V979" s="7" t="str">
        <f t="shared" si="106"/>
        <v>ZAR</v>
      </c>
      <c r="W979" s="7" t="str">
        <f t="shared" si="107"/>
        <v>Australia</v>
      </c>
      <c r="X979" s="7" t="str">
        <f t="shared" si="107"/>
        <v>India</v>
      </c>
      <c r="Y979" s="7" t="str" cm="1">
        <f t="array" ref="Y979">IF(H979="",IFERROR(INDEX($H$2:$H$1166,MATCH(MAX(COUNTIF($H$2:$H$1166,$H$2:$H$1166)),COUNTIF($H$2:$H$1166,$H$2:$H$1166),0)),"Unknown"),H979)</f>
        <v>Non-KYC</v>
      </c>
      <c r="Z979" s="7" t="str">
        <f t="shared" si="108"/>
        <v>Internal</v>
      </c>
      <c r="AA979" s="7">
        <f>IF(J979="",AVERAGE($J:$J),J979)</f>
        <v>13651.08</v>
      </c>
      <c r="AB979" s="7">
        <f>IF(N979="",AVERAGE($N:$N),N979)</f>
        <v>36</v>
      </c>
      <c r="AC979" s="7">
        <f t="shared" si="109"/>
        <v>2022</v>
      </c>
      <c r="AD979" s="7">
        <f t="shared" si="110"/>
        <v>9</v>
      </c>
      <c r="AE979" s="7">
        <f>COUNTIF(A:A,A979)</f>
        <v>1</v>
      </c>
      <c r="AF979" s="7" t="str">
        <f t="shared" si="111"/>
        <v/>
      </c>
    </row>
    <row r="980" spans="1:32">
      <c r="A980" t="s">
        <v>2934</v>
      </c>
      <c r="B980">
        <v>54483342</v>
      </c>
      <c r="D980" t="s">
        <v>236</v>
      </c>
      <c r="F980" t="s">
        <v>45</v>
      </c>
      <c r="G980" t="s">
        <v>21</v>
      </c>
      <c r="I980" t="s">
        <v>3378</v>
      </c>
      <c r="J980">
        <v>1043.9000000000001</v>
      </c>
      <c r="K980" t="s">
        <v>57</v>
      </c>
      <c r="L980" t="s">
        <v>75</v>
      </c>
      <c r="M980" s="1">
        <v>45352.697222222225</v>
      </c>
      <c r="N980">
        <v>53</v>
      </c>
      <c r="O980" t="s">
        <v>62</v>
      </c>
      <c r="P980" t="s">
        <v>68</v>
      </c>
      <c r="Q980" t="s">
        <v>2935</v>
      </c>
      <c r="R980">
        <f t="shared" si="105"/>
        <v>54483342</v>
      </c>
      <c r="S980" t="str" cm="1">
        <f t="array" ref="S980">IF(C980="",IFERROR(INDEX($C$2:$C$1166,MATCH(MAX(COUNTIF($C$2:$C$1166,$C$2:$C$1166)),COUNTIF($C$2:$C$1166,$C$2:$C$1166),0)),"Unknown"),C980)</f>
        <v>Fatima Brown</v>
      </c>
      <c r="T980" s="4" t="str" cm="1">
        <f t="array" ref="T980">IF(D980="",IFERROR(INDEX($D$2:$D$1000,MATCH(MAX(COUNTIF($D$2:$D$1166,$D$2:$D$1166)),COUNTIF($D$2:$D$1166,$D$2:$D$1166),0)),"Unknown"),D980)</f>
        <v>Priya Rostova</v>
      </c>
      <c r="U980" t="str">
        <f t="shared" si="106"/>
        <v>ZAR</v>
      </c>
      <c r="V980" s="7" t="str">
        <f t="shared" si="106"/>
        <v>GBP</v>
      </c>
      <c r="W980" s="7" t="str">
        <f t="shared" si="107"/>
        <v>Australia</v>
      </c>
      <c r="X980" s="7" t="str">
        <f t="shared" si="107"/>
        <v>UAE</v>
      </c>
      <c r="Y980" s="7" t="str" cm="1">
        <f t="array" ref="Y980">IF(H980="",IFERROR(INDEX($H$2:$H$1166,MATCH(MAX(COUNTIF($H$2:$H$1166,$H$2:$H$1166)),COUNTIF($H$2:$H$1166,$H$2:$H$1166),0)),"Unknown"),H980)</f>
        <v>Pending</v>
      </c>
      <c r="Z980" s="7" t="str">
        <f t="shared" si="108"/>
        <v>Inter-Transaction</v>
      </c>
      <c r="AA980" s="7">
        <f>IF(J980="",AVERAGE($J:$J),J980)</f>
        <v>1043.9000000000001</v>
      </c>
      <c r="AB980" s="7">
        <f>IF(N980="",AVERAGE($N:$N),N980)</f>
        <v>53</v>
      </c>
      <c r="AC980" s="7">
        <f t="shared" si="109"/>
        <v>2024</v>
      </c>
      <c r="AD980" s="7">
        <f t="shared" si="110"/>
        <v>3</v>
      </c>
      <c r="AE980" s="7">
        <f>COUNTIF(A:A,A980)</f>
        <v>1</v>
      </c>
      <c r="AF980" s="7" t="str">
        <f t="shared" si="111"/>
        <v/>
      </c>
    </row>
    <row r="981" spans="1:32">
      <c r="A981" t="s">
        <v>2936</v>
      </c>
      <c r="D981" t="s">
        <v>1409</v>
      </c>
      <c r="F981" t="s">
        <v>34</v>
      </c>
      <c r="G981" t="s">
        <v>22</v>
      </c>
      <c r="H981" t="s">
        <v>103</v>
      </c>
      <c r="I981" t="s">
        <v>3374</v>
      </c>
      <c r="J981">
        <v>13979.05</v>
      </c>
      <c r="K981" t="s">
        <v>27</v>
      </c>
      <c r="L981" t="s">
        <v>28</v>
      </c>
      <c r="M981" s="1">
        <v>46349.912499999999</v>
      </c>
      <c r="N981">
        <v>46</v>
      </c>
      <c r="O981" t="s">
        <v>54</v>
      </c>
      <c r="P981" t="s">
        <v>24</v>
      </c>
      <c r="Q981" t="s">
        <v>2937</v>
      </c>
      <c r="R981">
        <f t="shared" si="105"/>
        <v>0</v>
      </c>
      <c r="S981" t="str" cm="1">
        <f t="array" ref="S981">IF(C981="",IFERROR(INDEX($C$2:$C$1166,MATCH(MAX(COUNTIF($C$2:$C$1166,$C$2:$C$1166)),COUNTIF($C$2:$C$1166,$C$2:$C$1166),0)),"Unknown"),C981)</f>
        <v>Fatima Brown</v>
      </c>
      <c r="T981" s="4" t="str" cm="1">
        <f t="array" ref="T981">IF(D981="",IFERROR(INDEX($D$2:$D$1000,MATCH(MAX(COUNTIF($D$2:$D$1166,$D$2:$D$1166)),COUNTIF($D$2:$D$1166,$D$2:$D$1166),0)),"Unknown"),D981)</f>
        <v>Joseph Garcia</v>
      </c>
      <c r="U981" t="str">
        <f t="shared" si="106"/>
        <v>CAD</v>
      </c>
      <c r="V981" s="7" t="str">
        <f t="shared" si="106"/>
        <v>BRL</v>
      </c>
      <c r="W981" s="7" t="str">
        <f t="shared" si="107"/>
        <v>India</v>
      </c>
      <c r="X981" s="7" t="str">
        <f t="shared" si="107"/>
        <v>Brazil</v>
      </c>
      <c r="Y981" s="7" t="str" cm="1">
        <f t="array" ref="Y981">IF(H981="",IFERROR(INDEX($H$2:$H$1166,MATCH(MAX(COUNTIF($H$2:$H$1166,$H$2:$H$1166)),COUNTIF($H$2:$H$1166,$H$2:$H$1166),0)),"Unknown"),H981)</f>
        <v>Verified</v>
      </c>
      <c r="Z981" s="7" t="str">
        <f t="shared" si="108"/>
        <v>External</v>
      </c>
      <c r="AA981" s="7">
        <f>IF(J981="",AVERAGE($J:$J),J981)</f>
        <v>13979.05</v>
      </c>
      <c r="AB981" s="7">
        <f>IF(N981="",AVERAGE($N:$N),N981)</f>
        <v>46</v>
      </c>
      <c r="AC981" s="7">
        <f t="shared" si="109"/>
        <v>2026</v>
      </c>
      <c r="AD981" s="7">
        <f t="shared" si="110"/>
        <v>11</v>
      </c>
      <c r="AE981" s="7">
        <f>COUNTIF(A:A,A981)</f>
        <v>1</v>
      </c>
      <c r="AF981" s="7" t="str">
        <f t="shared" si="111"/>
        <v/>
      </c>
    </row>
    <row r="982" spans="1:32">
      <c r="A982" t="s">
        <v>2938</v>
      </c>
      <c r="C982" t="s">
        <v>2101</v>
      </c>
      <c r="D982" t="s">
        <v>685</v>
      </c>
      <c r="F982" t="s">
        <v>35</v>
      </c>
      <c r="G982" t="s">
        <v>121</v>
      </c>
      <c r="H982" t="s">
        <v>25</v>
      </c>
      <c r="I982" t="s">
        <v>3374</v>
      </c>
      <c r="J982">
        <v>8866.07</v>
      </c>
      <c r="K982" t="s">
        <v>27</v>
      </c>
      <c r="L982" t="s">
        <v>48</v>
      </c>
      <c r="M982" s="1">
        <v>45443.977083333331</v>
      </c>
      <c r="N982">
        <v>77</v>
      </c>
      <c r="O982" t="s">
        <v>54</v>
      </c>
      <c r="P982" t="s">
        <v>127</v>
      </c>
      <c r="Q982" t="s">
        <v>2939</v>
      </c>
      <c r="R982">
        <f t="shared" si="105"/>
        <v>0</v>
      </c>
      <c r="S982" t="str" cm="1">
        <f t="array" ref="S982">IF(C982="",IFERROR(INDEX($C$2:$C$1166,MATCH(MAX(COUNTIF($C$2:$C$1166,$C$2:$C$1166)),COUNTIF($C$2:$C$1166,$C$2:$C$1166),0)),"Unknown"),C982)</f>
        <v>Karen Williams</v>
      </c>
      <c r="T982" s="4" t="str" cm="1">
        <f t="array" ref="T982">IF(D982="",IFERROR(INDEX($D$2:$D$1000,MATCH(MAX(COUNTIF($D$2:$D$1166,$D$2:$D$1166)),COUNTIF($D$2:$D$1166,$D$2:$D$1166),0)),"Unknown"),D982)</f>
        <v>Sanjay Khan</v>
      </c>
      <c r="U982" t="str">
        <f t="shared" si="106"/>
        <v>EUR</v>
      </c>
      <c r="V982" s="7" t="str">
        <f t="shared" si="106"/>
        <v>INR</v>
      </c>
      <c r="W982" s="7" t="str">
        <f t="shared" si="107"/>
        <v>India</v>
      </c>
      <c r="X982" s="7" t="str">
        <f t="shared" si="107"/>
        <v>Canada</v>
      </c>
      <c r="Y982" s="7" t="str" cm="1">
        <f t="array" ref="Y982">IF(H982="",IFERROR(INDEX($H$2:$H$1166,MATCH(MAX(COUNTIF($H$2:$H$1166,$H$2:$H$1166)),COUNTIF($H$2:$H$1166,$H$2:$H$1166),0)),"Unknown"),H982)</f>
        <v>KYC</v>
      </c>
      <c r="Z982" s="7" t="str">
        <f t="shared" si="108"/>
        <v>External</v>
      </c>
      <c r="AA982" s="7">
        <f>IF(J982="",AVERAGE($J:$J),J982)</f>
        <v>8866.07</v>
      </c>
      <c r="AB982" s="7">
        <f>IF(N982="",AVERAGE($N:$N),N982)</f>
        <v>77</v>
      </c>
      <c r="AC982" s="7">
        <f t="shared" si="109"/>
        <v>2024</v>
      </c>
      <c r="AD982" s="7">
        <f t="shared" si="110"/>
        <v>5</v>
      </c>
      <c r="AE982" s="7">
        <f>COUNTIF(A:A,A982)</f>
        <v>1</v>
      </c>
      <c r="AF982" s="7" t="str">
        <f t="shared" si="111"/>
        <v/>
      </c>
    </row>
    <row r="983" spans="1:32">
      <c r="A983" t="s">
        <v>2940</v>
      </c>
      <c r="B983">
        <v>99179347</v>
      </c>
      <c r="C983" t="s">
        <v>1966</v>
      </c>
      <c r="D983" t="s">
        <v>377</v>
      </c>
      <c r="F983" t="s">
        <v>21</v>
      </c>
      <c r="G983" t="s">
        <v>92</v>
      </c>
      <c r="I983" t="s">
        <v>3376</v>
      </c>
      <c r="J983">
        <v>5773.22</v>
      </c>
      <c r="K983" t="s">
        <v>47</v>
      </c>
      <c r="L983" t="s">
        <v>28</v>
      </c>
      <c r="M983" s="1">
        <v>46385.029861111114</v>
      </c>
      <c r="N983">
        <v>19</v>
      </c>
      <c r="O983" t="s">
        <v>68</v>
      </c>
      <c r="P983" t="s">
        <v>37</v>
      </c>
      <c r="Q983" t="s">
        <v>2941</v>
      </c>
      <c r="R983">
        <f t="shared" si="105"/>
        <v>99179347</v>
      </c>
      <c r="S983" t="str" cm="1">
        <f t="array" ref="S983">IF(C983="",IFERROR(INDEX($C$2:$C$1166,MATCH(MAX(COUNTIF($C$2:$C$1166,$C$2:$C$1166)),COUNTIF($C$2:$C$1166,$C$2:$C$1166),0)),"Unknown"),C983)</f>
        <v>Sanjay Davis</v>
      </c>
      <c r="T983" s="4" t="str" cm="1">
        <f t="array" ref="T983">IF(D983="",IFERROR(INDEX($D$2:$D$1000,MATCH(MAX(COUNTIF($D$2:$D$1166,$D$2:$D$1166)),COUNTIF($D$2:$D$1166,$D$2:$D$1166),0)),"Unknown"),D983)</f>
        <v>William Dubois</v>
      </c>
      <c r="U983" t="str">
        <f t="shared" si="106"/>
        <v>GBP</v>
      </c>
      <c r="V983" s="7" t="str">
        <f t="shared" si="106"/>
        <v>AUD</v>
      </c>
      <c r="W983" s="7" t="str">
        <f t="shared" si="107"/>
        <v>UAE</v>
      </c>
      <c r="X983" s="7" t="str">
        <f t="shared" si="107"/>
        <v>South Africa</v>
      </c>
      <c r="Y983" s="7" t="str" cm="1">
        <f t="array" ref="Y983">IF(H983="",IFERROR(INDEX($H$2:$H$1166,MATCH(MAX(COUNTIF($H$2:$H$1166,$H$2:$H$1166)),COUNTIF($H$2:$H$1166,$H$2:$H$1166),0)),"Unknown"),H983)</f>
        <v>Pending</v>
      </c>
      <c r="Z983" s="7" t="str">
        <f t="shared" si="108"/>
        <v>Internal</v>
      </c>
      <c r="AA983" s="7">
        <f>IF(J983="",AVERAGE($J:$J),J983)</f>
        <v>5773.22</v>
      </c>
      <c r="AB983" s="7">
        <f>IF(N983="",AVERAGE($N:$N),N983)</f>
        <v>19</v>
      </c>
      <c r="AC983" s="7">
        <f t="shared" si="109"/>
        <v>2026</v>
      </c>
      <c r="AD983" s="7">
        <f t="shared" si="110"/>
        <v>12</v>
      </c>
      <c r="AE983" s="7">
        <f>COUNTIF(A:A,A983)</f>
        <v>1</v>
      </c>
      <c r="AF983" s="7" t="str">
        <f t="shared" si="111"/>
        <v/>
      </c>
    </row>
    <row r="984" spans="1:32">
      <c r="A984" t="s">
        <v>2942</v>
      </c>
      <c r="B984">
        <v>10200744</v>
      </c>
      <c r="C984" t="s">
        <v>983</v>
      </c>
      <c r="D984" t="s">
        <v>544</v>
      </c>
      <c r="F984" t="s">
        <v>53</v>
      </c>
      <c r="G984" t="s">
        <v>21</v>
      </c>
      <c r="I984" t="s">
        <v>3374</v>
      </c>
      <c r="J984">
        <v>14682.94</v>
      </c>
      <c r="K984" t="s">
        <v>57</v>
      </c>
      <c r="L984" t="s">
        <v>28</v>
      </c>
      <c r="M984" s="1">
        <v>44840.154166666667</v>
      </c>
      <c r="N984">
        <v>18</v>
      </c>
      <c r="O984" t="s">
        <v>54</v>
      </c>
      <c r="P984" t="s">
        <v>23</v>
      </c>
      <c r="Q984" t="s">
        <v>2943</v>
      </c>
      <c r="R984">
        <f t="shared" si="105"/>
        <v>10200744</v>
      </c>
      <c r="S984" t="str" cm="1">
        <f t="array" ref="S984">IF(C984="",IFERROR(INDEX($C$2:$C$1166,MATCH(MAX(COUNTIF($C$2:$C$1166,$C$2:$C$1166)),COUNTIF($C$2:$C$1166,$C$2:$C$1166),0)),"Unknown"),C984)</f>
        <v>Michael Hernandez</v>
      </c>
      <c r="T984" s="4" t="str" cm="1">
        <f t="array" ref="T984">IF(D984="",IFERROR(INDEX($D$2:$D$1000,MATCH(MAX(COUNTIF($D$2:$D$1166,$D$2:$D$1166)),COUNTIF($D$2:$D$1166,$D$2:$D$1166),0)),"Unknown"),D984)</f>
        <v>Fatima Gonzalez</v>
      </c>
      <c r="U984" t="str">
        <f t="shared" si="106"/>
        <v>AED</v>
      </c>
      <c r="V984" s="7" t="str">
        <f t="shared" si="106"/>
        <v>GBP</v>
      </c>
      <c r="W984" s="7" t="str">
        <f t="shared" si="107"/>
        <v>India</v>
      </c>
      <c r="X984" s="7" t="str">
        <f t="shared" si="107"/>
        <v>France</v>
      </c>
      <c r="Y984" s="7" t="str" cm="1">
        <f t="array" ref="Y984">IF(H984="",IFERROR(INDEX($H$2:$H$1166,MATCH(MAX(COUNTIF($H$2:$H$1166,$H$2:$H$1166)),COUNTIF($H$2:$H$1166,$H$2:$H$1166),0)),"Unknown"),H984)</f>
        <v>Pending</v>
      </c>
      <c r="Z984" s="7" t="str">
        <f t="shared" si="108"/>
        <v>External</v>
      </c>
      <c r="AA984" s="7">
        <f>IF(J984="",AVERAGE($J:$J),J984)</f>
        <v>14682.94</v>
      </c>
      <c r="AB984" s="7">
        <f>IF(N984="",AVERAGE($N:$N),N984)</f>
        <v>18</v>
      </c>
      <c r="AC984" s="7">
        <f t="shared" si="109"/>
        <v>2022</v>
      </c>
      <c r="AD984" s="7">
        <f t="shared" si="110"/>
        <v>10</v>
      </c>
      <c r="AE984" s="7">
        <f>COUNTIF(A:A,A984)</f>
        <v>1</v>
      </c>
      <c r="AF984" s="7" t="str">
        <f t="shared" si="111"/>
        <v/>
      </c>
    </row>
    <row r="985" spans="1:32">
      <c r="A985" t="s">
        <v>2944</v>
      </c>
      <c r="B985">
        <v>22587924</v>
      </c>
      <c r="C985" t="s">
        <v>2218</v>
      </c>
      <c r="D985" t="s">
        <v>986</v>
      </c>
      <c r="F985" t="s">
        <v>21</v>
      </c>
      <c r="G985" t="s">
        <v>45</v>
      </c>
      <c r="H985" t="s">
        <v>74</v>
      </c>
      <c r="I985" t="s">
        <v>3371</v>
      </c>
      <c r="J985">
        <v>11655.19</v>
      </c>
      <c r="K985" t="s">
        <v>57</v>
      </c>
      <c r="L985" t="s">
        <v>28</v>
      </c>
      <c r="M985" s="1">
        <v>45381.167361111111</v>
      </c>
      <c r="N985">
        <v>64</v>
      </c>
      <c r="O985" t="s">
        <v>55</v>
      </c>
      <c r="P985" t="s">
        <v>68</v>
      </c>
      <c r="Q985" t="s">
        <v>2945</v>
      </c>
      <c r="R985">
        <f t="shared" si="105"/>
        <v>22587924</v>
      </c>
      <c r="S985" t="str" cm="1">
        <f t="array" ref="S985">IF(C985="",IFERROR(INDEX($C$2:$C$1166,MATCH(MAX(COUNTIF($C$2:$C$1166,$C$2:$C$1166)),COUNTIF($C$2:$C$1166,$C$2:$C$1166),0)),"Unknown"),C985)</f>
        <v>Sarah Malik</v>
      </c>
      <c r="T985" s="4" t="str" cm="1">
        <f t="array" ref="T985">IF(D985="",IFERROR(INDEX($D$2:$D$1000,MATCH(MAX(COUNTIF($D$2:$D$1166,$D$2:$D$1166)),COUNTIF($D$2:$D$1166,$D$2:$D$1166),0)),"Unknown"),D985)</f>
        <v>Thomas Martin</v>
      </c>
      <c r="U985" t="str">
        <f t="shared" si="106"/>
        <v>GBP</v>
      </c>
      <c r="V985" s="7" t="str">
        <f t="shared" si="106"/>
        <v>ZAR</v>
      </c>
      <c r="W985" s="7" t="str">
        <f t="shared" si="107"/>
        <v>UK</v>
      </c>
      <c r="X985" s="7" t="str">
        <f t="shared" si="107"/>
        <v>UAE</v>
      </c>
      <c r="Y985" s="7" t="str" cm="1">
        <f t="array" ref="Y985">IF(H985="",IFERROR(INDEX($H$2:$H$1166,MATCH(MAX(COUNTIF($H$2:$H$1166,$H$2:$H$1166)),COUNTIF($H$2:$H$1166,$H$2:$H$1166),0)),"Unknown"),H985)</f>
        <v>Non-KYC</v>
      </c>
      <c r="Z985" s="7" t="str">
        <f t="shared" si="108"/>
        <v>Outer-Transaction</v>
      </c>
      <c r="AA985" s="7">
        <f>IF(J985="",AVERAGE($J:$J),J985)</f>
        <v>11655.19</v>
      </c>
      <c r="AB985" s="7">
        <f>IF(N985="",AVERAGE($N:$N),N985)</f>
        <v>64</v>
      </c>
      <c r="AC985" s="7">
        <f t="shared" si="109"/>
        <v>2024</v>
      </c>
      <c r="AD985" s="7">
        <f t="shared" si="110"/>
        <v>3</v>
      </c>
      <c r="AE985" s="7">
        <f>COUNTIF(A:A,A985)</f>
        <v>1</v>
      </c>
      <c r="AF985" s="7" t="str">
        <f t="shared" si="111"/>
        <v/>
      </c>
    </row>
    <row r="986" spans="1:32">
      <c r="A986" t="s">
        <v>2946</v>
      </c>
      <c r="B986">
        <v>24769811</v>
      </c>
      <c r="C986" t="s">
        <v>678</v>
      </c>
      <c r="D986" t="s">
        <v>1911</v>
      </c>
      <c r="F986" t="s">
        <v>160</v>
      </c>
      <c r="G986" t="s">
        <v>121</v>
      </c>
      <c r="H986" t="s">
        <v>38</v>
      </c>
      <c r="I986" t="s">
        <v>3374</v>
      </c>
      <c r="J986">
        <v>5029.4799999999996</v>
      </c>
      <c r="K986" t="s">
        <v>27</v>
      </c>
      <c r="L986" t="s">
        <v>48</v>
      </c>
      <c r="M986" s="1">
        <v>44634.693749999999</v>
      </c>
      <c r="N986">
        <v>37</v>
      </c>
      <c r="O986" t="s">
        <v>55</v>
      </c>
      <c r="P986" t="s">
        <v>36</v>
      </c>
      <c r="Q986" t="s">
        <v>2947</v>
      </c>
      <c r="R986">
        <f t="shared" si="105"/>
        <v>24769811</v>
      </c>
      <c r="S986" t="str" cm="1">
        <f t="array" ref="S986">IF(C986="",IFERROR(INDEX($C$2:$C$1166,MATCH(MAX(COUNTIF($C$2:$C$1166,$C$2:$C$1166)),COUNTIF($C$2:$C$1166,$C$2:$C$1166),0)),"Unknown"),C986)</f>
        <v>Karen Gonzalez</v>
      </c>
      <c r="T986" s="4" t="str" cm="1">
        <f t="array" ref="T986">IF(D986="",IFERROR(INDEX($D$2:$D$1000,MATCH(MAX(COUNTIF($D$2:$D$1166,$D$2:$D$1166)),COUNTIF($D$2:$D$1166,$D$2:$D$1166),0)),"Unknown"),D986)</f>
        <v>Elizabeth Thomas</v>
      </c>
      <c r="U986" t="str">
        <f t="shared" si="106"/>
        <v>aud</v>
      </c>
      <c r="V986" s="7" t="str">
        <f t="shared" si="106"/>
        <v>INR</v>
      </c>
      <c r="W986" s="7" t="str">
        <f t="shared" si="107"/>
        <v>UK</v>
      </c>
      <c r="X986" s="7" t="str">
        <f t="shared" si="107"/>
        <v>Germany</v>
      </c>
      <c r="Y986" s="7" t="str" cm="1">
        <f t="array" ref="Y986">IF(H986="",IFERROR(INDEX($H$2:$H$1166,MATCH(MAX(COUNTIF($H$2:$H$1166,$H$2:$H$1166)),COUNTIF($H$2:$H$1166,$H$2:$H$1166),0)),"Unknown"),H986)</f>
        <v>Pending</v>
      </c>
      <c r="Z986" s="7" t="str">
        <f t="shared" si="108"/>
        <v>External</v>
      </c>
      <c r="AA986" s="7">
        <f>IF(J986="",AVERAGE($J:$J),J986)</f>
        <v>5029.4799999999996</v>
      </c>
      <c r="AB986" s="7">
        <f>IF(N986="",AVERAGE($N:$N),N986)</f>
        <v>37</v>
      </c>
      <c r="AC986" s="7">
        <f t="shared" si="109"/>
        <v>2022</v>
      </c>
      <c r="AD986" s="7">
        <f t="shared" si="110"/>
        <v>3</v>
      </c>
      <c r="AE986" s="7">
        <f>COUNTIF(A:A,A986)</f>
        <v>1</v>
      </c>
      <c r="AF986" s="7" t="str">
        <f t="shared" si="111"/>
        <v/>
      </c>
    </row>
    <row r="987" spans="1:32">
      <c r="A987" t="s">
        <v>2948</v>
      </c>
      <c r="B987">
        <v>83494016</v>
      </c>
      <c r="C987" t="s">
        <v>809</v>
      </c>
      <c r="D987" t="s">
        <v>2152</v>
      </c>
      <c r="F987" t="s">
        <v>34</v>
      </c>
      <c r="G987" t="s">
        <v>35</v>
      </c>
      <c r="H987" t="s">
        <v>103</v>
      </c>
      <c r="I987" t="s">
        <v>3374</v>
      </c>
      <c r="J987">
        <v>3844.71</v>
      </c>
      <c r="K987" t="s">
        <v>27</v>
      </c>
      <c r="L987" t="s">
        <v>81</v>
      </c>
      <c r="M987" s="1">
        <v>44044.222222222219</v>
      </c>
      <c r="N987">
        <v>28</v>
      </c>
      <c r="O987" t="s">
        <v>36</v>
      </c>
      <c r="P987" t="s">
        <v>68</v>
      </c>
      <c r="Q987" t="s">
        <v>2949</v>
      </c>
      <c r="R987">
        <f t="shared" si="105"/>
        <v>83494016</v>
      </c>
      <c r="S987" t="str" cm="1">
        <f t="array" ref="S987">IF(C987="",IFERROR(INDEX($C$2:$C$1166,MATCH(MAX(COUNTIF($C$2:$C$1166,$C$2:$C$1166)),COUNTIF($C$2:$C$1166,$C$2:$C$1166),0)),"Unknown"),C987)</f>
        <v>Richard Smith</v>
      </c>
      <c r="T987" s="4" t="str" cm="1">
        <f t="array" ref="T987">IF(D987="",IFERROR(INDEX($D$2:$D$1000,MATCH(MAX(COUNTIF($D$2:$D$1166,$D$2:$D$1166)),COUNTIF($D$2:$D$1166,$D$2:$D$1166),0)),"Unknown"),D987)</f>
        <v>Linda Al-Sayed</v>
      </c>
      <c r="U987" t="str">
        <f t="shared" si="106"/>
        <v>CAD</v>
      </c>
      <c r="V987" s="7" t="str">
        <f t="shared" si="106"/>
        <v>EUR</v>
      </c>
      <c r="W987" s="7" t="str">
        <f t="shared" si="107"/>
        <v>Germany</v>
      </c>
      <c r="X987" s="7" t="str">
        <f t="shared" si="107"/>
        <v>UAE</v>
      </c>
      <c r="Y987" s="7" t="str" cm="1">
        <f t="array" ref="Y987">IF(H987="",IFERROR(INDEX($H$2:$H$1166,MATCH(MAX(COUNTIF($H$2:$H$1166,$H$2:$H$1166)),COUNTIF($H$2:$H$1166,$H$2:$H$1166),0)),"Unknown"),H987)</f>
        <v>Verified</v>
      </c>
      <c r="Z987" s="7" t="str">
        <f t="shared" si="108"/>
        <v>External</v>
      </c>
      <c r="AA987" s="7">
        <f>IF(J987="",AVERAGE($J:$J),J987)</f>
        <v>3844.71</v>
      </c>
      <c r="AB987" s="7">
        <f>IF(N987="",AVERAGE($N:$N),N987)</f>
        <v>28</v>
      </c>
      <c r="AC987" s="7">
        <f t="shared" si="109"/>
        <v>2020</v>
      </c>
      <c r="AD987" s="7">
        <f t="shared" si="110"/>
        <v>8</v>
      </c>
      <c r="AE987" s="7">
        <f>COUNTIF(A:A,A987)</f>
        <v>1</v>
      </c>
      <c r="AF987" s="7" t="str">
        <f t="shared" si="111"/>
        <v/>
      </c>
    </row>
    <row r="988" spans="1:32">
      <c r="A988" t="s">
        <v>2950</v>
      </c>
      <c r="B988">
        <v>18872420</v>
      </c>
      <c r="C988" t="s">
        <v>1933</v>
      </c>
      <c r="D988" t="s">
        <v>2951</v>
      </c>
      <c r="G988" t="s">
        <v>22</v>
      </c>
      <c r="I988" t="s">
        <v>3377</v>
      </c>
      <c r="J988">
        <v>3918.11</v>
      </c>
      <c r="K988" t="s">
        <v>27</v>
      </c>
      <c r="L988" t="s">
        <v>81</v>
      </c>
      <c r="M988" s="1">
        <v>43999.341666666667</v>
      </c>
      <c r="N988">
        <v>19</v>
      </c>
      <c r="O988" t="s">
        <v>24</v>
      </c>
      <c r="P988" t="s">
        <v>55</v>
      </c>
      <c r="Q988" t="s">
        <v>2952</v>
      </c>
      <c r="R988">
        <f t="shared" si="105"/>
        <v>18872420</v>
      </c>
      <c r="S988" t="str" cm="1">
        <f t="array" ref="S988">IF(C988="",IFERROR(INDEX($C$2:$C$1166,MATCH(MAX(COUNTIF($C$2:$C$1166,$C$2:$C$1166)),COUNTIF($C$2:$C$1166,$C$2:$C$1166),0)),"Unknown"),C988)</f>
        <v>David Souza</v>
      </c>
      <c r="T988" s="4" t="str" cm="1">
        <f t="array" ref="T988">IF(D988="",IFERROR(INDEX($D$2:$D$1000,MATCH(MAX(COUNTIF($D$2:$D$1166,$D$2:$D$1166)),COUNTIF($D$2:$D$1166,$D$2:$D$1166),0)),"Unknown"),D988)</f>
        <v>Susan Rodriguez</v>
      </c>
      <c r="U988" t="str">
        <f t="shared" si="106"/>
        <v/>
      </c>
      <c r="V988" s="7" t="str">
        <f t="shared" si="106"/>
        <v>BRL</v>
      </c>
      <c r="W988" s="7" t="str">
        <f t="shared" si="107"/>
        <v>Brazil</v>
      </c>
      <c r="X988" s="7" t="str">
        <f t="shared" si="107"/>
        <v>UK</v>
      </c>
      <c r="Y988" s="7" t="str" cm="1">
        <f t="array" ref="Y988">IF(H988="",IFERROR(INDEX($H$2:$H$1166,MATCH(MAX(COUNTIF($H$2:$H$1166,$H$2:$H$1166)),COUNTIF($H$2:$H$1166,$H$2:$H$1166),0)),"Unknown"),H988)</f>
        <v>Pending</v>
      </c>
      <c r="Z988" s="7" t="str">
        <f t="shared" si="108"/>
        <v>Inter-Transaction</v>
      </c>
      <c r="AA988" s="7">
        <f>IF(J988="",AVERAGE($J:$J),J988)</f>
        <v>3918.11</v>
      </c>
      <c r="AB988" s="7">
        <f>IF(N988="",AVERAGE($N:$N),N988)</f>
        <v>19</v>
      </c>
      <c r="AC988" s="7">
        <f t="shared" si="109"/>
        <v>2020</v>
      </c>
      <c r="AD988" s="7">
        <f t="shared" si="110"/>
        <v>6</v>
      </c>
      <c r="AE988" s="7">
        <f>COUNTIF(A:A,A988)</f>
        <v>1</v>
      </c>
      <c r="AF988" s="7" t="str">
        <f t="shared" si="111"/>
        <v/>
      </c>
    </row>
    <row r="989" spans="1:32">
      <c r="A989" t="s">
        <v>2953</v>
      </c>
      <c r="B989">
        <v>42730364</v>
      </c>
      <c r="C989" t="s">
        <v>2954</v>
      </c>
      <c r="D989" t="s">
        <v>1787</v>
      </c>
      <c r="F989" t="s">
        <v>294</v>
      </c>
      <c r="G989" t="s">
        <v>121</v>
      </c>
      <c r="I989" t="s">
        <v>3376</v>
      </c>
      <c r="J989">
        <v>7211.54</v>
      </c>
      <c r="K989" t="s">
        <v>47</v>
      </c>
      <c r="L989" t="s">
        <v>28</v>
      </c>
      <c r="M989" s="1">
        <v>44808.427083333336</v>
      </c>
      <c r="N989">
        <v>84</v>
      </c>
      <c r="O989" t="s">
        <v>55</v>
      </c>
      <c r="P989" t="s">
        <v>127</v>
      </c>
      <c r="Q989" t="s">
        <v>2955</v>
      </c>
      <c r="R989">
        <f t="shared" si="105"/>
        <v>42730364</v>
      </c>
      <c r="S989" t="str" cm="1">
        <f t="array" ref="S989">IF(C989="",IFERROR(INDEX($C$2:$C$1166,MATCH(MAX(COUNTIF($C$2:$C$1166,$C$2:$C$1166)),COUNTIF($C$2:$C$1166,$C$2:$C$1166),0)),"Unknown"),C989)</f>
        <v xml:space="preserve">  THOMAS THOMAS </v>
      </c>
      <c r="T989" s="4" t="str" cm="1">
        <f t="array" ref="T989">IF(D989="",IFERROR(INDEX($D$2:$D$1000,MATCH(MAX(COUNTIF($D$2:$D$1166,$D$2:$D$1166)),COUNTIF($D$2:$D$1166,$D$2:$D$1166),0)),"Unknown"),D989)</f>
        <v>Sanjay Wilson</v>
      </c>
      <c r="U989" t="str">
        <f t="shared" si="106"/>
        <v>jpy</v>
      </c>
      <c r="V989" s="7" t="str">
        <f t="shared" si="106"/>
        <v>INR</v>
      </c>
      <c r="W989" s="7" t="str">
        <f t="shared" si="107"/>
        <v>UK</v>
      </c>
      <c r="X989" s="7" t="str">
        <f t="shared" si="107"/>
        <v>Canada</v>
      </c>
      <c r="Y989" s="7" t="str" cm="1">
        <f t="array" ref="Y989">IF(H989="",IFERROR(INDEX($H$2:$H$1166,MATCH(MAX(COUNTIF($H$2:$H$1166,$H$2:$H$1166)),COUNTIF($H$2:$H$1166,$H$2:$H$1166),0)),"Unknown"),H989)</f>
        <v>Pending</v>
      </c>
      <c r="Z989" s="7" t="str">
        <f t="shared" si="108"/>
        <v>Internal</v>
      </c>
      <c r="AA989" s="7">
        <f>IF(J989="",AVERAGE($J:$J),J989)</f>
        <v>7211.54</v>
      </c>
      <c r="AB989" s="7">
        <f>IF(N989="",AVERAGE($N:$N),N989)</f>
        <v>84</v>
      </c>
      <c r="AC989" s="7">
        <f t="shared" si="109"/>
        <v>2022</v>
      </c>
      <c r="AD989" s="7">
        <f t="shared" si="110"/>
        <v>9</v>
      </c>
      <c r="AE989" s="7">
        <f>COUNTIF(A:A,A989)</f>
        <v>1</v>
      </c>
      <c r="AF989" s="7" t="str">
        <f t="shared" si="111"/>
        <v/>
      </c>
    </row>
    <row r="990" spans="1:32">
      <c r="A990" t="s">
        <v>2956</v>
      </c>
      <c r="B990">
        <v>94732636</v>
      </c>
      <c r="D990" t="s">
        <v>167</v>
      </c>
      <c r="F990" t="s">
        <v>35</v>
      </c>
      <c r="G990" t="s">
        <v>98</v>
      </c>
      <c r="H990" t="s">
        <v>103</v>
      </c>
      <c r="I990" t="s">
        <v>3371</v>
      </c>
      <c r="J990">
        <v>4966.72</v>
      </c>
      <c r="K990" t="s">
        <v>39</v>
      </c>
      <c r="L990" t="s">
        <v>28</v>
      </c>
      <c r="M990" s="1">
        <v>45159.665277777778</v>
      </c>
      <c r="N990">
        <v>29</v>
      </c>
      <c r="O990" t="s">
        <v>127</v>
      </c>
      <c r="P990" t="s">
        <v>62</v>
      </c>
      <c r="Q990" t="s">
        <v>2957</v>
      </c>
      <c r="R990">
        <f t="shared" si="105"/>
        <v>94732636</v>
      </c>
      <c r="S990" t="str" cm="1">
        <f t="array" ref="S990">IF(C990="",IFERROR(INDEX($C$2:$C$1166,MATCH(MAX(COUNTIF($C$2:$C$1166,$C$2:$C$1166)),COUNTIF($C$2:$C$1166,$C$2:$C$1166),0)),"Unknown"),C990)</f>
        <v>Fatima Brown</v>
      </c>
      <c r="T990" s="4" t="str" cm="1">
        <f t="array" ref="T990">IF(D990="",IFERROR(INDEX($D$2:$D$1000,MATCH(MAX(COUNTIF($D$2:$D$1166,$D$2:$D$1166)),COUNTIF($D$2:$D$1166,$D$2:$D$1166),0)),"Unknown"),D990)</f>
        <v>John Thomas</v>
      </c>
      <c r="U990" t="str">
        <f t="shared" si="106"/>
        <v>EUR</v>
      </c>
      <c r="V990" s="7" t="str">
        <f t="shared" si="106"/>
        <v>JPY</v>
      </c>
      <c r="W990" s="7" t="str">
        <f t="shared" si="107"/>
        <v>Canada</v>
      </c>
      <c r="X990" s="7" t="str">
        <f t="shared" si="107"/>
        <v>Australia</v>
      </c>
      <c r="Y990" s="7" t="str" cm="1">
        <f t="array" ref="Y990">IF(H990="",IFERROR(INDEX($H$2:$H$1166,MATCH(MAX(COUNTIF($H$2:$H$1166,$H$2:$H$1166)),COUNTIF($H$2:$H$1166,$H$2:$H$1166),0)),"Unknown"),H990)</f>
        <v>Verified</v>
      </c>
      <c r="Z990" s="7" t="str">
        <f t="shared" si="108"/>
        <v>Outer-Transaction</v>
      </c>
      <c r="AA990" s="7">
        <f>IF(J990="",AVERAGE($J:$J),J990)</f>
        <v>4966.72</v>
      </c>
      <c r="AB990" s="7">
        <f>IF(N990="",AVERAGE($N:$N),N990)</f>
        <v>29</v>
      </c>
      <c r="AC990" s="7">
        <f t="shared" si="109"/>
        <v>2023</v>
      </c>
      <c r="AD990" s="7">
        <f t="shared" si="110"/>
        <v>8</v>
      </c>
      <c r="AE990" s="7">
        <f>COUNTIF(A:A,A990)</f>
        <v>1</v>
      </c>
      <c r="AF990" s="7" t="str">
        <f t="shared" si="111"/>
        <v/>
      </c>
    </row>
    <row r="991" spans="1:32">
      <c r="A991" t="s">
        <v>2958</v>
      </c>
      <c r="B991">
        <v>19677366</v>
      </c>
      <c r="C991" t="s">
        <v>2951</v>
      </c>
      <c r="D991" t="s">
        <v>1021</v>
      </c>
      <c r="F991" t="s">
        <v>112</v>
      </c>
      <c r="G991" t="s">
        <v>160</v>
      </c>
      <c r="H991" t="s">
        <v>103</v>
      </c>
      <c r="I991" t="s">
        <v>3374</v>
      </c>
      <c r="J991">
        <v>10373.82</v>
      </c>
      <c r="K991" t="s">
        <v>57</v>
      </c>
      <c r="L991" t="s">
        <v>28</v>
      </c>
      <c r="M991" s="1">
        <v>43976.070138888892</v>
      </c>
      <c r="N991">
        <v>37</v>
      </c>
      <c r="O991" t="s">
        <v>62</v>
      </c>
      <c r="P991" t="s">
        <v>62</v>
      </c>
      <c r="Q991" t="s">
        <v>2959</v>
      </c>
      <c r="R991">
        <f t="shared" si="105"/>
        <v>19677366</v>
      </c>
      <c r="S991" t="str" cm="1">
        <f t="array" ref="S991">IF(C991="",IFERROR(INDEX($C$2:$C$1166,MATCH(MAX(COUNTIF($C$2:$C$1166,$C$2:$C$1166)),COUNTIF($C$2:$C$1166,$C$2:$C$1166),0)),"Unknown"),C991)</f>
        <v>Susan Rodriguez</v>
      </c>
      <c r="T991" s="4" t="str" cm="1">
        <f t="array" ref="T991">IF(D991="",IFERROR(INDEX($D$2:$D$1000,MATCH(MAX(COUNTIF($D$2:$D$1166,$D$2:$D$1166)),COUNTIF($D$2:$D$1166,$D$2:$D$1166),0)),"Unknown"),D991)</f>
        <v>Linda Rostova</v>
      </c>
      <c r="U991" t="str">
        <f t="shared" si="106"/>
        <v>usd</v>
      </c>
      <c r="V991" s="7" t="str">
        <f t="shared" si="106"/>
        <v>aud</v>
      </c>
      <c r="W991" s="7" t="str">
        <f t="shared" si="107"/>
        <v>Australia</v>
      </c>
      <c r="X991" s="7" t="str">
        <f t="shared" si="107"/>
        <v>Australia</v>
      </c>
      <c r="Y991" s="7" t="str" cm="1">
        <f t="array" ref="Y991">IF(H991="",IFERROR(INDEX($H$2:$H$1166,MATCH(MAX(COUNTIF($H$2:$H$1166,$H$2:$H$1166)),COUNTIF($H$2:$H$1166,$H$2:$H$1166),0)),"Unknown"),H991)</f>
        <v>Verified</v>
      </c>
      <c r="Z991" s="7" t="str">
        <f t="shared" si="108"/>
        <v>External</v>
      </c>
      <c r="AA991" s="7">
        <f>IF(J991="",AVERAGE($J:$J),J991)</f>
        <v>10373.82</v>
      </c>
      <c r="AB991" s="7">
        <f>IF(N991="",AVERAGE($N:$N),N991)</f>
        <v>37</v>
      </c>
      <c r="AC991" s="7">
        <f t="shared" si="109"/>
        <v>2020</v>
      </c>
      <c r="AD991" s="7">
        <f t="shared" si="110"/>
        <v>5</v>
      </c>
      <c r="AE991" s="7">
        <f>COUNTIF(A:A,A991)</f>
        <v>1</v>
      </c>
      <c r="AF991" s="7" t="str">
        <f t="shared" si="111"/>
        <v/>
      </c>
    </row>
    <row r="992" spans="1:32">
      <c r="A992" t="s">
        <v>2960</v>
      </c>
      <c r="B992">
        <v>23837417</v>
      </c>
      <c r="C992" t="s">
        <v>1319</v>
      </c>
      <c r="D992" t="s">
        <v>1483</v>
      </c>
      <c r="F992" t="s">
        <v>1084</v>
      </c>
      <c r="G992" t="s">
        <v>21</v>
      </c>
      <c r="I992" t="s">
        <v>3376</v>
      </c>
      <c r="J992">
        <v>2118.34</v>
      </c>
      <c r="K992" t="s">
        <v>47</v>
      </c>
      <c r="L992" t="s">
        <v>48</v>
      </c>
      <c r="M992" s="1">
        <v>45629.463194444441</v>
      </c>
      <c r="N992">
        <v>22</v>
      </c>
      <c r="O992" t="s">
        <v>37</v>
      </c>
      <c r="P992" t="s">
        <v>54</v>
      </c>
      <c r="Q992" t="s">
        <v>2961</v>
      </c>
      <c r="R992">
        <f t="shared" si="105"/>
        <v>23837417</v>
      </c>
      <c r="S992" t="str" cm="1">
        <f t="array" ref="S992">IF(C992="",IFERROR(INDEX($C$2:$C$1166,MATCH(MAX(COUNTIF($C$2:$C$1166,$C$2:$C$1166)),COUNTIF($C$2:$C$1166,$C$2:$C$1166),0)),"Unknown"),C992)</f>
        <v>Richard Williams</v>
      </c>
      <c r="T992" s="4" t="str" cm="1">
        <f t="array" ref="T992">IF(D992="",IFERROR(INDEX($D$2:$D$1000,MATCH(MAX(COUNTIF($D$2:$D$1166,$D$2:$D$1166)),COUNTIF($D$2:$D$1166,$D$2:$D$1166),0)),"Unknown"),D992)</f>
        <v>David Hernandez</v>
      </c>
      <c r="U992" t="str">
        <f t="shared" si="106"/>
        <v>chf</v>
      </c>
      <c r="V992" s="7" t="str">
        <f t="shared" si="106"/>
        <v>GBP</v>
      </c>
      <c r="W992" s="7" t="str">
        <f t="shared" si="107"/>
        <v>South Africa</v>
      </c>
      <c r="X992" s="7" t="str">
        <f t="shared" si="107"/>
        <v>India</v>
      </c>
      <c r="Y992" s="7" t="str" cm="1">
        <f t="array" ref="Y992">IF(H992="",IFERROR(INDEX($H$2:$H$1166,MATCH(MAX(COUNTIF($H$2:$H$1166,$H$2:$H$1166)),COUNTIF($H$2:$H$1166,$H$2:$H$1166),0)),"Unknown"),H992)</f>
        <v>Pending</v>
      </c>
      <c r="Z992" s="7" t="str">
        <f t="shared" si="108"/>
        <v>Internal</v>
      </c>
      <c r="AA992" s="7">
        <f>IF(J992="",AVERAGE($J:$J),J992)</f>
        <v>2118.34</v>
      </c>
      <c r="AB992" s="7">
        <f>IF(N992="",AVERAGE($N:$N),N992)</f>
        <v>22</v>
      </c>
      <c r="AC992" s="7">
        <f t="shared" si="109"/>
        <v>2024</v>
      </c>
      <c r="AD992" s="7">
        <f t="shared" si="110"/>
        <v>12</v>
      </c>
      <c r="AE992" s="7">
        <f>COUNTIF(A:A,A992)</f>
        <v>1</v>
      </c>
      <c r="AF992" s="7" t="str">
        <f t="shared" si="111"/>
        <v/>
      </c>
    </row>
    <row r="993" spans="1:32">
      <c r="A993" t="s">
        <v>2962</v>
      </c>
      <c r="B993">
        <v>60704870</v>
      </c>
      <c r="C993" t="s">
        <v>939</v>
      </c>
      <c r="D993" t="s">
        <v>1465</v>
      </c>
      <c r="F993" t="s">
        <v>22</v>
      </c>
      <c r="G993" t="s">
        <v>116</v>
      </c>
      <c r="H993" t="s">
        <v>74</v>
      </c>
      <c r="I993" t="s">
        <v>3371</v>
      </c>
      <c r="J993">
        <v>8642.3799999999992</v>
      </c>
      <c r="K993" t="s">
        <v>47</v>
      </c>
      <c r="L993" t="s">
        <v>48</v>
      </c>
      <c r="M993" s="1">
        <v>44346.445138888892</v>
      </c>
      <c r="N993">
        <v>54</v>
      </c>
      <c r="O993" t="s">
        <v>54</v>
      </c>
      <c r="P993" t="s">
        <v>54</v>
      </c>
      <c r="Q993" t="s">
        <v>2963</v>
      </c>
      <c r="R993">
        <f t="shared" si="105"/>
        <v>60704870</v>
      </c>
      <c r="S993" t="str" cm="1">
        <f t="array" ref="S993">IF(C993="",IFERROR(INDEX($C$2:$C$1166,MATCH(MAX(COUNTIF($C$2:$C$1166,$C$2:$C$1166)),COUNTIF($C$2:$C$1166,$C$2:$C$1166),0)),"Unknown"),C993)</f>
        <v>Michael Nair</v>
      </c>
      <c r="T993" s="4" t="str" cm="1">
        <f t="array" ref="T993">IF(D993="",IFERROR(INDEX($D$2:$D$1000,MATCH(MAX(COUNTIF($D$2:$D$1166,$D$2:$D$1166)),COUNTIF($D$2:$D$1166,$D$2:$D$1166),0)),"Unknown"),D993)</f>
        <v>John Brown</v>
      </c>
      <c r="U993" t="str">
        <f t="shared" si="106"/>
        <v>BRL</v>
      </c>
      <c r="V993" s="7" t="str">
        <f t="shared" si="106"/>
        <v>CHF</v>
      </c>
      <c r="W993" s="7" t="str">
        <f t="shared" si="107"/>
        <v>India</v>
      </c>
      <c r="X993" s="7" t="str">
        <f t="shared" si="107"/>
        <v>India</v>
      </c>
      <c r="Y993" s="7" t="str" cm="1">
        <f t="array" ref="Y993">IF(H993="",IFERROR(INDEX($H$2:$H$1166,MATCH(MAX(COUNTIF($H$2:$H$1166,$H$2:$H$1166)),COUNTIF($H$2:$H$1166,$H$2:$H$1166),0)),"Unknown"),H993)</f>
        <v>Non-KYC</v>
      </c>
      <c r="Z993" s="7" t="str">
        <f t="shared" si="108"/>
        <v>Outer-Transaction</v>
      </c>
      <c r="AA993" s="7">
        <f>IF(J993="",AVERAGE($J:$J),J993)</f>
        <v>8642.3799999999992</v>
      </c>
      <c r="AB993" s="7">
        <f>IF(N993="",AVERAGE($N:$N),N993)</f>
        <v>54</v>
      </c>
      <c r="AC993" s="7">
        <f t="shared" si="109"/>
        <v>2021</v>
      </c>
      <c r="AD993" s="7">
        <f t="shared" si="110"/>
        <v>5</v>
      </c>
      <c r="AE993" s="7">
        <f>COUNTIF(A:A,A993)</f>
        <v>1</v>
      </c>
      <c r="AF993" s="7" t="str">
        <f t="shared" si="111"/>
        <v/>
      </c>
    </row>
    <row r="994" spans="1:32">
      <c r="A994" t="s">
        <v>2964</v>
      </c>
      <c r="B994">
        <v>55034753</v>
      </c>
      <c r="C994" t="s">
        <v>192</v>
      </c>
      <c r="D994" t="s">
        <v>1056</v>
      </c>
      <c r="F994" t="s">
        <v>21</v>
      </c>
      <c r="G994" t="s">
        <v>121</v>
      </c>
      <c r="H994" t="s">
        <v>56</v>
      </c>
      <c r="I994" t="s">
        <v>3377</v>
      </c>
      <c r="J994">
        <v>2607.21</v>
      </c>
      <c r="K994" t="s">
        <v>27</v>
      </c>
      <c r="L994" t="s">
        <v>81</v>
      </c>
      <c r="M994" s="1">
        <v>44283.538888888892</v>
      </c>
      <c r="N994">
        <v>55</v>
      </c>
      <c r="O994" t="s">
        <v>36</v>
      </c>
      <c r="P994" t="s">
        <v>55</v>
      </c>
      <c r="Q994" t="s">
        <v>2965</v>
      </c>
      <c r="R994">
        <f t="shared" si="105"/>
        <v>55034753</v>
      </c>
      <c r="S994" t="str" cm="1">
        <f t="array" ref="S994">IF(C994="",IFERROR(INDEX($C$2:$C$1166,MATCH(MAX(COUNTIF($C$2:$C$1166,$C$2:$C$1166)),COUNTIF($C$2:$C$1166,$C$2:$C$1166),0)),"Unknown"),C994)</f>
        <v>Amir Malik</v>
      </c>
      <c r="T994" s="4" t="str" cm="1">
        <f t="array" ref="T994">IF(D994="",IFERROR(INDEX($D$2:$D$1000,MATCH(MAX(COUNTIF($D$2:$D$1166,$D$2:$D$1166)),COUNTIF($D$2:$D$1166,$D$2:$D$1166),0)),"Unknown"),D994)</f>
        <v>Jessica Velez</v>
      </c>
      <c r="U994" t="str">
        <f t="shared" si="106"/>
        <v>GBP</v>
      </c>
      <c r="V994" s="7" t="str">
        <f t="shared" si="106"/>
        <v>INR</v>
      </c>
      <c r="W994" s="7" t="str">
        <f t="shared" si="107"/>
        <v>Germany</v>
      </c>
      <c r="X994" s="7" t="str">
        <f t="shared" si="107"/>
        <v>UK</v>
      </c>
      <c r="Y994" s="7" t="str" cm="1">
        <f t="array" ref="Y994">IF(H994="",IFERROR(INDEX($H$2:$H$1166,MATCH(MAX(COUNTIF($H$2:$H$1166,$H$2:$H$1166)),COUNTIF($H$2:$H$1166,$H$2:$H$1166),0)),"Unknown"),H994)</f>
        <v>Unverified</v>
      </c>
      <c r="Z994" s="7" t="str">
        <f t="shared" si="108"/>
        <v>Inter-Transaction</v>
      </c>
      <c r="AA994" s="7">
        <f>IF(J994="",AVERAGE($J:$J),J994)</f>
        <v>2607.21</v>
      </c>
      <c r="AB994" s="7">
        <f>IF(N994="",AVERAGE($N:$N),N994)</f>
        <v>55</v>
      </c>
      <c r="AC994" s="7">
        <f t="shared" si="109"/>
        <v>2021</v>
      </c>
      <c r="AD994" s="7">
        <f t="shared" si="110"/>
        <v>3</v>
      </c>
      <c r="AE994" s="7">
        <f>COUNTIF(A:A,A994)</f>
        <v>1</v>
      </c>
      <c r="AF994" s="7" t="str">
        <f t="shared" si="111"/>
        <v/>
      </c>
    </row>
    <row r="995" spans="1:32">
      <c r="A995" t="s">
        <v>2966</v>
      </c>
      <c r="B995">
        <v>95450709</v>
      </c>
      <c r="C995" t="s">
        <v>797</v>
      </c>
      <c r="D995" t="s">
        <v>164</v>
      </c>
      <c r="F995" t="s">
        <v>121</v>
      </c>
      <c r="G995" t="s">
        <v>53</v>
      </c>
      <c r="H995" t="s">
        <v>74</v>
      </c>
      <c r="I995" t="s">
        <v>3378</v>
      </c>
      <c r="J995">
        <v>6077.44</v>
      </c>
      <c r="K995" t="s">
        <v>86</v>
      </c>
      <c r="L995" t="s">
        <v>75</v>
      </c>
      <c r="M995" s="1">
        <v>43890.693055555559</v>
      </c>
      <c r="N995">
        <v>26</v>
      </c>
      <c r="O995" t="s">
        <v>93</v>
      </c>
      <c r="P995" t="s">
        <v>23</v>
      </c>
      <c r="Q995" t="s">
        <v>2967</v>
      </c>
      <c r="R995">
        <f t="shared" si="105"/>
        <v>95450709</v>
      </c>
      <c r="S995" t="str" cm="1">
        <f t="array" ref="S995">IF(C995="",IFERROR(INDEX($C$2:$C$1166,MATCH(MAX(COUNTIF($C$2:$C$1166,$C$2:$C$1166)),COUNTIF($C$2:$C$1166,$C$2:$C$1166),0)),"Unknown"),C995)</f>
        <v>Marta Thomas</v>
      </c>
      <c r="T995" s="4" t="str" cm="1">
        <f t="array" ref="T995">IF(D995="",IFERROR(INDEX($D$2:$D$1000,MATCH(MAX(COUNTIF($D$2:$D$1166,$D$2:$D$1166)),COUNTIF($D$2:$D$1166,$D$2:$D$1166),0)),"Unknown"),D995)</f>
        <v>Sanjay Volkov</v>
      </c>
      <c r="U995" t="str">
        <f t="shared" si="106"/>
        <v>INR</v>
      </c>
      <c r="V995" s="7" t="str">
        <f t="shared" si="106"/>
        <v>AED</v>
      </c>
      <c r="W995" s="7" t="str">
        <f t="shared" si="107"/>
        <v>USA</v>
      </c>
      <c r="X995" s="7" t="str">
        <f t="shared" si="107"/>
        <v>France</v>
      </c>
      <c r="Y995" s="7" t="str" cm="1">
        <f t="array" ref="Y995">IF(H995="",IFERROR(INDEX($H$2:$H$1166,MATCH(MAX(COUNTIF($H$2:$H$1166,$H$2:$H$1166)),COUNTIF($H$2:$H$1166,$H$2:$H$1166),0)),"Unknown"),H995)</f>
        <v>Non-KYC</v>
      </c>
      <c r="Z995" s="7" t="str">
        <f t="shared" si="108"/>
        <v>Inter-Transaction</v>
      </c>
      <c r="AA995" s="7">
        <f>IF(J995="",AVERAGE($J:$J),J995)</f>
        <v>6077.44</v>
      </c>
      <c r="AB995" s="7">
        <f>IF(N995="",AVERAGE($N:$N),N995)</f>
        <v>26</v>
      </c>
      <c r="AC995" s="7">
        <f t="shared" si="109"/>
        <v>2020</v>
      </c>
      <c r="AD995" s="7">
        <f t="shared" si="110"/>
        <v>2</v>
      </c>
      <c r="AE995" s="7">
        <f>COUNTIF(A:A,A995)</f>
        <v>1</v>
      </c>
      <c r="AF995" s="7" t="str">
        <f t="shared" si="111"/>
        <v/>
      </c>
    </row>
    <row r="996" spans="1:32">
      <c r="A996" t="s">
        <v>2968</v>
      </c>
      <c r="B996">
        <v>31166948</v>
      </c>
      <c r="C996" t="s">
        <v>2461</v>
      </c>
      <c r="D996" t="s">
        <v>208</v>
      </c>
      <c r="F996" t="s">
        <v>80</v>
      </c>
      <c r="G996" t="s">
        <v>116</v>
      </c>
      <c r="H996" t="s">
        <v>74</v>
      </c>
      <c r="I996" t="s">
        <v>3371</v>
      </c>
      <c r="J996">
        <v>6070.75</v>
      </c>
      <c r="K996" t="s">
        <v>27</v>
      </c>
      <c r="L996" t="s">
        <v>75</v>
      </c>
      <c r="M996" s="1">
        <v>44358.959722222222</v>
      </c>
      <c r="N996">
        <v>70</v>
      </c>
      <c r="O996" t="s">
        <v>37</v>
      </c>
      <c r="P996" t="s">
        <v>54</v>
      </c>
      <c r="Q996" t="s">
        <v>2969</v>
      </c>
      <c r="R996">
        <f t="shared" si="105"/>
        <v>31166948</v>
      </c>
      <c r="S996" t="str" cm="1">
        <f t="array" ref="S996">IF(C996="",IFERROR(INDEX($C$2:$C$1166,MATCH(MAX(COUNTIF($C$2:$C$1166,$C$2:$C$1166)),COUNTIF($C$2:$C$1166,$C$2:$C$1166),0)),"Unknown"),C996)</f>
        <v>Susan Silva</v>
      </c>
      <c r="T996" s="4" t="str" cm="1">
        <f t="array" ref="T996">IF(D996="",IFERROR(INDEX($D$2:$D$1000,MATCH(MAX(COUNTIF($D$2:$D$1166,$D$2:$D$1166)),COUNTIF($D$2:$D$1166,$D$2:$D$1166),0)),"Unknown"),D996)</f>
        <v>Elizabeth Malik</v>
      </c>
      <c r="U996" t="str">
        <f t="shared" si="106"/>
        <v>USD</v>
      </c>
      <c r="V996" s="7" t="str">
        <f t="shared" si="106"/>
        <v>CHF</v>
      </c>
      <c r="W996" s="7" t="str">
        <f t="shared" si="107"/>
        <v>South Africa</v>
      </c>
      <c r="X996" s="7" t="str">
        <f t="shared" si="107"/>
        <v>India</v>
      </c>
      <c r="Y996" s="7" t="str" cm="1">
        <f t="array" ref="Y996">IF(H996="",IFERROR(INDEX($H$2:$H$1166,MATCH(MAX(COUNTIF($H$2:$H$1166,$H$2:$H$1166)),COUNTIF($H$2:$H$1166,$H$2:$H$1166),0)),"Unknown"),H996)</f>
        <v>Non-KYC</v>
      </c>
      <c r="Z996" s="7" t="str">
        <f t="shared" si="108"/>
        <v>Outer-Transaction</v>
      </c>
      <c r="AA996" s="7">
        <f>IF(J996="",AVERAGE($J:$J),J996)</f>
        <v>6070.75</v>
      </c>
      <c r="AB996" s="7">
        <f>IF(N996="",AVERAGE($N:$N),N996)</f>
        <v>70</v>
      </c>
      <c r="AC996" s="7">
        <f t="shared" si="109"/>
        <v>2021</v>
      </c>
      <c r="AD996" s="7">
        <f t="shared" si="110"/>
        <v>6</v>
      </c>
      <c r="AE996" s="7">
        <f>COUNTIF(A:A,A996)</f>
        <v>1</v>
      </c>
      <c r="AF996" s="7" t="str">
        <f t="shared" si="111"/>
        <v/>
      </c>
    </row>
    <row r="997" spans="1:32">
      <c r="A997" t="s">
        <v>2970</v>
      </c>
      <c r="B997">
        <v>41316383</v>
      </c>
      <c r="C997" t="s">
        <v>1183</v>
      </c>
      <c r="D997" t="s">
        <v>1971</v>
      </c>
      <c r="F997" t="s">
        <v>22</v>
      </c>
      <c r="G997" t="s">
        <v>92</v>
      </c>
      <c r="H997" t="s">
        <v>74</v>
      </c>
      <c r="I997" t="s">
        <v>3371</v>
      </c>
      <c r="J997">
        <v>4351.6499999999996</v>
      </c>
      <c r="K997" t="s">
        <v>39</v>
      </c>
      <c r="L997" t="s">
        <v>81</v>
      </c>
      <c r="M997" s="1">
        <v>44854.8</v>
      </c>
      <c r="N997">
        <v>61</v>
      </c>
      <c r="O997" t="s">
        <v>127</v>
      </c>
      <c r="P997" t="s">
        <v>24</v>
      </c>
      <c r="Q997" t="s">
        <v>2971</v>
      </c>
      <c r="R997">
        <f t="shared" si="105"/>
        <v>41316383</v>
      </c>
      <c r="S997" t="str" cm="1">
        <f t="array" ref="S997">IF(C997="",IFERROR(INDEX($C$2:$C$1166,MATCH(MAX(COUNTIF($C$2:$C$1166,$C$2:$C$1166)),COUNTIF($C$2:$C$1166,$C$2:$C$1166),0)),"Unknown"),C997)</f>
        <v>Richard Miller</v>
      </c>
      <c r="T997" s="4" t="str" cm="1">
        <f t="array" ref="T997">IF(D997="",IFERROR(INDEX($D$2:$D$1000,MATCH(MAX(COUNTIF($D$2:$D$1166,$D$2:$D$1166)),COUNTIF($D$2:$D$1166,$D$2:$D$1166),0)),"Unknown"),D997)</f>
        <v>Karen Jackson</v>
      </c>
      <c r="U997" t="str">
        <f t="shared" si="106"/>
        <v>BRL</v>
      </c>
      <c r="V997" s="7" t="str">
        <f t="shared" si="106"/>
        <v>AUD</v>
      </c>
      <c r="W997" s="7" t="str">
        <f t="shared" si="107"/>
        <v>Canada</v>
      </c>
      <c r="X997" s="7" t="str">
        <f t="shared" si="107"/>
        <v>Brazil</v>
      </c>
      <c r="Y997" s="7" t="str" cm="1">
        <f t="array" ref="Y997">IF(H997="",IFERROR(INDEX($H$2:$H$1166,MATCH(MAX(COUNTIF($H$2:$H$1166,$H$2:$H$1166)),COUNTIF($H$2:$H$1166,$H$2:$H$1166),0)),"Unknown"),H997)</f>
        <v>Non-KYC</v>
      </c>
      <c r="Z997" s="7" t="str">
        <f t="shared" si="108"/>
        <v>Outer-Transaction</v>
      </c>
      <c r="AA997" s="7">
        <f>IF(J997="",AVERAGE($J:$J),J997)</f>
        <v>4351.6499999999996</v>
      </c>
      <c r="AB997" s="7">
        <f>IF(N997="",AVERAGE($N:$N),N997)</f>
        <v>61</v>
      </c>
      <c r="AC997" s="7">
        <f t="shared" si="109"/>
        <v>2022</v>
      </c>
      <c r="AD997" s="7">
        <f t="shared" si="110"/>
        <v>10</v>
      </c>
      <c r="AE997" s="7">
        <f>COUNTIF(A:A,A997)</f>
        <v>1</v>
      </c>
      <c r="AF997" s="7" t="str">
        <f t="shared" si="111"/>
        <v/>
      </c>
    </row>
    <row r="998" spans="1:32">
      <c r="A998" t="s">
        <v>2972</v>
      </c>
      <c r="B998">
        <v>36375893</v>
      </c>
      <c r="C998" t="s">
        <v>453</v>
      </c>
      <c r="D998" t="s">
        <v>424</v>
      </c>
      <c r="F998" t="s">
        <v>53</v>
      </c>
      <c r="G998" t="s">
        <v>121</v>
      </c>
      <c r="I998" t="s">
        <v>3376</v>
      </c>
      <c r="J998">
        <v>401.75</v>
      </c>
      <c r="K998" t="s">
        <v>86</v>
      </c>
      <c r="L998" t="s">
        <v>81</v>
      </c>
      <c r="M998" s="1">
        <v>46352.754166666666</v>
      </c>
      <c r="N998">
        <v>41</v>
      </c>
      <c r="O998" t="s">
        <v>54</v>
      </c>
      <c r="P998" t="s">
        <v>127</v>
      </c>
      <c r="Q998" t="s">
        <v>2973</v>
      </c>
      <c r="R998">
        <f t="shared" si="105"/>
        <v>36375893</v>
      </c>
      <c r="S998" t="str" cm="1">
        <f t="array" ref="S998">IF(C998="",IFERROR(INDEX($C$2:$C$1166,MATCH(MAX(COUNTIF($C$2:$C$1166,$C$2:$C$1166)),COUNTIF($C$2:$C$1166,$C$2:$C$1166),0)),"Unknown"),C998)</f>
        <v>Fatima Nair</v>
      </c>
      <c r="T998" s="4" t="str" cm="1">
        <f t="array" ref="T998">IF(D998="",IFERROR(INDEX($D$2:$D$1000,MATCH(MAX(COUNTIF($D$2:$D$1166,$D$2:$D$1166)),COUNTIF($D$2:$D$1166,$D$2:$D$1166),0)),"Unknown"),D998)</f>
        <v>Karen Souza</v>
      </c>
      <c r="U998" t="str">
        <f t="shared" si="106"/>
        <v>AED</v>
      </c>
      <c r="V998" s="7" t="str">
        <f t="shared" si="106"/>
        <v>INR</v>
      </c>
      <c r="W998" s="7" t="str">
        <f t="shared" si="107"/>
        <v>India</v>
      </c>
      <c r="X998" s="7" t="str">
        <f t="shared" si="107"/>
        <v>Canada</v>
      </c>
      <c r="Y998" s="7" t="str" cm="1">
        <f t="array" ref="Y998">IF(H998="",IFERROR(INDEX($H$2:$H$1166,MATCH(MAX(COUNTIF($H$2:$H$1166,$H$2:$H$1166)),COUNTIF($H$2:$H$1166,$H$2:$H$1166),0)),"Unknown"),H998)</f>
        <v>Pending</v>
      </c>
      <c r="Z998" s="7" t="str">
        <f t="shared" si="108"/>
        <v>Internal</v>
      </c>
      <c r="AA998" s="7">
        <f>IF(J998="",AVERAGE($J:$J),J998)</f>
        <v>401.75</v>
      </c>
      <c r="AB998" s="7">
        <f>IF(N998="",AVERAGE($N:$N),N998)</f>
        <v>41</v>
      </c>
      <c r="AC998" s="7">
        <f t="shared" si="109"/>
        <v>2026</v>
      </c>
      <c r="AD998" s="7">
        <f t="shared" si="110"/>
        <v>11</v>
      </c>
      <c r="AE998" s="7">
        <f>COUNTIF(A:A,A998)</f>
        <v>1</v>
      </c>
      <c r="AF998" s="7" t="str">
        <f t="shared" si="111"/>
        <v/>
      </c>
    </row>
    <row r="999" spans="1:32">
      <c r="A999" t="s">
        <v>2974</v>
      </c>
      <c r="B999">
        <v>20356771</v>
      </c>
      <c r="C999" t="s">
        <v>761</v>
      </c>
      <c r="D999" t="s">
        <v>829</v>
      </c>
      <c r="F999" t="s">
        <v>98</v>
      </c>
      <c r="G999" t="s">
        <v>35</v>
      </c>
      <c r="I999" t="s">
        <v>3371</v>
      </c>
      <c r="J999">
        <v>356.59</v>
      </c>
      <c r="K999" t="s">
        <v>47</v>
      </c>
      <c r="L999" t="s">
        <v>81</v>
      </c>
      <c r="M999" s="1">
        <v>45395.345833333333</v>
      </c>
      <c r="N999">
        <v>47</v>
      </c>
      <c r="O999" t="s">
        <v>127</v>
      </c>
      <c r="P999" t="s">
        <v>55</v>
      </c>
      <c r="Q999" t="s">
        <v>2975</v>
      </c>
      <c r="R999">
        <f t="shared" si="105"/>
        <v>20356771</v>
      </c>
      <c r="S999" t="str" cm="1">
        <f t="array" ref="S999">IF(C999="",IFERROR(INDEX($C$2:$C$1166,MATCH(MAX(COUNTIF($C$2:$C$1166,$C$2:$C$1166)),COUNTIF($C$2:$C$1166,$C$2:$C$1166),0)),"Unknown"),C999)</f>
        <v>Jessica Brown</v>
      </c>
      <c r="T999" s="4" t="str" cm="1">
        <f t="array" ref="T999">IF(D999="",IFERROR(INDEX($D$2:$D$1000,MATCH(MAX(COUNTIF($D$2:$D$1166,$D$2:$D$1166)),COUNTIF($D$2:$D$1166,$D$2:$D$1166),0)),"Unknown"),D999)</f>
        <v>Susan Malik</v>
      </c>
      <c r="U999" t="str">
        <f t="shared" si="106"/>
        <v>JPY</v>
      </c>
      <c r="V999" s="7" t="str">
        <f t="shared" si="106"/>
        <v>EUR</v>
      </c>
      <c r="W999" s="7" t="str">
        <f t="shared" si="107"/>
        <v>Canada</v>
      </c>
      <c r="X999" s="7" t="str">
        <f t="shared" si="107"/>
        <v>UK</v>
      </c>
      <c r="Y999" s="7" t="str" cm="1">
        <f t="array" ref="Y999">IF(H999="",IFERROR(INDEX($H$2:$H$1166,MATCH(MAX(COUNTIF($H$2:$H$1166,$H$2:$H$1166)),COUNTIF($H$2:$H$1166,$H$2:$H$1166),0)),"Unknown"),H999)</f>
        <v>Pending</v>
      </c>
      <c r="Z999" s="7" t="str">
        <f t="shared" si="108"/>
        <v>Outer-Transaction</v>
      </c>
      <c r="AA999" s="7">
        <f>IF(J999="",AVERAGE($J:$J),J999)</f>
        <v>356.59</v>
      </c>
      <c r="AB999" s="7">
        <f>IF(N999="",AVERAGE($N:$N),N999)</f>
        <v>47</v>
      </c>
      <c r="AC999" s="7">
        <f t="shared" si="109"/>
        <v>2024</v>
      </c>
      <c r="AD999" s="7">
        <f t="shared" si="110"/>
        <v>4</v>
      </c>
      <c r="AE999" s="7">
        <f>COUNTIF(A:A,A999)</f>
        <v>1</v>
      </c>
      <c r="AF999" s="7" t="str">
        <f t="shared" si="111"/>
        <v/>
      </c>
    </row>
    <row r="1000" spans="1:32">
      <c r="A1000" t="s">
        <v>2976</v>
      </c>
      <c r="B1000">
        <v>66856278</v>
      </c>
      <c r="C1000" t="s">
        <v>593</v>
      </c>
      <c r="D1000" t="s">
        <v>2977</v>
      </c>
      <c r="F1000" t="s">
        <v>98</v>
      </c>
      <c r="G1000" t="s">
        <v>21</v>
      </c>
      <c r="H1000" t="s">
        <v>103</v>
      </c>
      <c r="I1000" t="s">
        <v>3372</v>
      </c>
      <c r="J1000">
        <v>11758.48</v>
      </c>
      <c r="K1000" t="s">
        <v>27</v>
      </c>
      <c r="L1000" t="s">
        <v>75</v>
      </c>
      <c r="M1000" s="1">
        <v>44933.536805555559</v>
      </c>
      <c r="N1000">
        <v>76</v>
      </c>
      <c r="O1000" t="s">
        <v>62</v>
      </c>
      <c r="P1000" t="s">
        <v>93</v>
      </c>
      <c r="Q1000" t="s">
        <v>2978</v>
      </c>
      <c r="R1000">
        <f t="shared" si="105"/>
        <v>66856278</v>
      </c>
      <c r="S1000" t="str" cm="1">
        <f t="array" ref="S1000">IF(C1000="",IFERROR(INDEX($C$2:$C$1166,MATCH(MAX(COUNTIF($C$2:$C$1166,$C$2:$C$1166)),COUNTIF($C$2:$C$1166,$C$2:$C$1166),0)),"Unknown"),C1000)</f>
        <v>Amir Thomas</v>
      </c>
      <c r="T1000" s="4" t="str" cm="1">
        <f t="array" ref="T1000">IF(D1000="",IFERROR(INDEX($D$2:$D$1000,MATCH(MAX(COUNTIF($D$2:$D$1166,$D$2:$D$1166)),COUNTIF($D$2:$D$1166,$D$2:$D$1166),0)),"Unknown"),D1000)</f>
        <v>Karen Volkov</v>
      </c>
      <c r="U1000" t="str">
        <f t="shared" si="106"/>
        <v>JPY</v>
      </c>
      <c r="V1000" s="7" t="str">
        <f t="shared" si="106"/>
        <v>GBP</v>
      </c>
      <c r="W1000" s="7" t="str">
        <f t="shared" si="107"/>
        <v>Australia</v>
      </c>
      <c r="X1000" s="7" t="str">
        <f t="shared" si="107"/>
        <v>USA</v>
      </c>
      <c r="Y1000" s="7" t="str" cm="1">
        <f t="array" ref="Y1000">IF(H1000="",IFERROR(INDEX($H$2:$H$1166,MATCH(MAX(COUNTIF($H$2:$H$1166,$H$2:$H$1166)),COUNTIF($H$2:$H$1166,$H$2:$H$1166),0)),"Unknown"),H1000)</f>
        <v>Verified</v>
      </c>
      <c r="Z1000" s="7" t="str">
        <f t="shared" si="108"/>
        <v>Outer-Transaction</v>
      </c>
      <c r="AA1000" s="7">
        <f>IF(J1000="",AVERAGE($J:$J),J1000)</f>
        <v>11758.48</v>
      </c>
      <c r="AB1000" s="7">
        <f>IF(N1000="",AVERAGE($N:$N),N1000)</f>
        <v>76</v>
      </c>
      <c r="AC1000" s="7">
        <f t="shared" si="109"/>
        <v>2023</v>
      </c>
      <c r="AD1000" s="7">
        <f t="shared" si="110"/>
        <v>1</v>
      </c>
      <c r="AE1000" s="7">
        <f>COUNTIF(A:A,A1000)</f>
        <v>1</v>
      </c>
      <c r="AF1000" s="7" t="str">
        <f t="shared" si="111"/>
        <v/>
      </c>
    </row>
    <row r="1001" spans="1:32">
      <c r="A1001" t="s">
        <v>2979</v>
      </c>
      <c r="B1001">
        <v>49800622</v>
      </c>
      <c r="C1001" t="s">
        <v>1659</v>
      </c>
      <c r="D1001" t="s">
        <v>1233</v>
      </c>
      <c r="F1001" t="s">
        <v>121</v>
      </c>
      <c r="G1001" t="s">
        <v>116</v>
      </c>
      <c r="H1001" t="s">
        <v>103</v>
      </c>
      <c r="I1001" t="s">
        <v>3377</v>
      </c>
      <c r="J1001">
        <v>3236.32</v>
      </c>
      <c r="K1001" t="s">
        <v>27</v>
      </c>
      <c r="L1001" t="s">
        <v>75</v>
      </c>
      <c r="M1001" s="1">
        <v>44263.306250000001</v>
      </c>
      <c r="N1001">
        <v>31</v>
      </c>
      <c r="O1001" t="s">
        <v>62</v>
      </c>
      <c r="P1001" t="s">
        <v>36</v>
      </c>
      <c r="Q1001" t="s">
        <v>2980</v>
      </c>
      <c r="R1001">
        <f t="shared" si="105"/>
        <v>49800622</v>
      </c>
      <c r="S1001" t="str" cm="1">
        <f t="array" ref="S1001">IF(C1001="",IFERROR(INDEX($C$2:$C$1166,MATCH(MAX(COUNTIF($C$2:$C$1166,$C$2:$C$1166)),COUNTIF($C$2:$C$1166,$C$2:$C$1166),0)),"Unknown"),C1001)</f>
        <v>Susan Dubois</v>
      </c>
      <c r="T1001" s="4" t="str" cm="1">
        <f t="array" ref="T1001">IF(D1001="",IFERROR(INDEX($D$2:$D$1000,MATCH(MAX(COUNTIF($D$2:$D$1166,$D$2:$D$1166)),COUNTIF($D$2:$D$1166,$D$2:$D$1166),0)),"Unknown"),D1001)</f>
        <v>Joseph Miller</v>
      </c>
      <c r="U1001" t="str">
        <f t="shared" si="106"/>
        <v>INR</v>
      </c>
      <c r="V1001" s="7" t="str">
        <f t="shared" si="106"/>
        <v>CHF</v>
      </c>
      <c r="W1001" s="7" t="str">
        <f t="shared" si="107"/>
        <v>Australia</v>
      </c>
      <c r="X1001" s="7" t="str">
        <f t="shared" si="107"/>
        <v>Germany</v>
      </c>
      <c r="Y1001" s="7" t="str" cm="1">
        <f t="array" ref="Y1001">IF(H1001="",IFERROR(INDEX($H$2:$H$1166,MATCH(MAX(COUNTIF($H$2:$H$1166,$H$2:$H$1166)),COUNTIF($H$2:$H$1166,$H$2:$H$1166),0)),"Unknown"),H1001)</f>
        <v>Verified</v>
      </c>
      <c r="Z1001" s="7" t="str">
        <f t="shared" si="108"/>
        <v>Inter-Transaction</v>
      </c>
      <c r="AA1001" s="7">
        <f>IF(J1001="",AVERAGE($J:$J),J1001)</f>
        <v>3236.32</v>
      </c>
      <c r="AB1001" s="7">
        <f>IF(N1001="",AVERAGE($N:$N),N1001)</f>
        <v>31</v>
      </c>
      <c r="AC1001" s="7">
        <f t="shared" si="109"/>
        <v>2021</v>
      </c>
      <c r="AD1001" s="7">
        <f t="shared" si="110"/>
        <v>3</v>
      </c>
      <c r="AE1001" s="7">
        <f>COUNTIF(A:A,A1001)</f>
        <v>1</v>
      </c>
      <c r="AF1001" s="7" t="str">
        <f t="shared" si="111"/>
        <v/>
      </c>
    </row>
    <row r="1002" spans="1:32">
      <c r="A1002" t="s">
        <v>2981</v>
      </c>
      <c r="B1002">
        <v>71762245</v>
      </c>
      <c r="C1002" t="s">
        <v>448</v>
      </c>
      <c r="D1002" t="s">
        <v>861</v>
      </c>
      <c r="F1002" t="s">
        <v>80</v>
      </c>
      <c r="G1002" t="s">
        <v>92</v>
      </c>
      <c r="H1002" t="s">
        <v>25</v>
      </c>
      <c r="I1002" t="s">
        <v>3372</v>
      </c>
      <c r="J1002">
        <v>1620.47</v>
      </c>
      <c r="K1002" t="s">
        <v>57</v>
      </c>
      <c r="L1002" t="s">
        <v>28</v>
      </c>
      <c r="M1002" s="1">
        <v>45007.723611111112</v>
      </c>
      <c r="N1002">
        <v>26</v>
      </c>
      <c r="O1002" t="s">
        <v>68</v>
      </c>
      <c r="P1002" t="s">
        <v>55</v>
      </c>
      <c r="Q1002" t="s">
        <v>2982</v>
      </c>
      <c r="R1002">
        <f t="shared" si="105"/>
        <v>71762245</v>
      </c>
      <c r="S1002" t="str" cm="1">
        <f t="array" ref="S1002">IF(C1002="",IFERROR(INDEX($C$2:$C$1166,MATCH(MAX(COUNTIF($C$2:$C$1166,$C$2:$C$1166)),COUNTIF($C$2:$C$1166,$C$2:$C$1166),0)),"Unknown"),C1002)</f>
        <v>Robert Martin</v>
      </c>
      <c r="T1002" s="4" t="str" cm="1">
        <f t="array" ref="T1002">IF(D1002="",IFERROR(INDEX($D$2:$D$1000,MATCH(MAX(COUNTIF($D$2:$D$1166,$D$2:$D$1166)),COUNTIF($D$2:$D$1166,$D$2:$D$1166),0)),"Unknown"),D1002)</f>
        <v>Jessica Anderson</v>
      </c>
      <c r="U1002" t="str">
        <f t="shared" si="106"/>
        <v>USD</v>
      </c>
      <c r="V1002" s="7" t="str">
        <f t="shared" si="106"/>
        <v>AUD</v>
      </c>
      <c r="W1002" s="7" t="str">
        <f t="shared" si="107"/>
        <v>UAE</v>
      </c>
      <c r="X1002" s="7" t="str">
        <f t="shared" si="107"/>
        <v>UK</v>
      </c>
      <c r="Y1002" s="7" t="str" cm="1">
        <f t="array" ref="Y1002">IF(H1002="",IFERROR(INDEX($H$2:$H$1166,MATCH(MAX(COUNTIF($H$2:$H$1166,$H$2:$H$1166)),COUNTIF($H$2:$H$1166,$H$2:$H$1166),0)),"Unknown"),H1002)</f>
        <v>KYC</v>
      </c>
      <c r="Z1002" s="7" t="str">
        <f t="shared" si="108"/>
        <v>Outer-Transaction</v>
      </c>
      <c r="AA1002" s="7">
        <f>IF(J1002="",AVERAGE($J:$J),J1002)</f>
        <v>1620.47</v>
      </c>
      <c r="AB1002" s="7">
        <f>IF(N1002="",AVERAGE($N:$N),N1002)</f>
        <v>26</v>
      </c>
      <c r="AC1002" s="7">
        <f t="shared" si="109"/>
        <v>2023</v>
      </c>
      <c r="AD1002" s="7">
        <f t="shared" si="110"/>
        <v>3</v>
      </c>
      <c r="AE1002" s="7">
        <f>COUNTIF(A:A,A1002)</f>
        <v>1</v>
      </c>
      <c r="AF1002" s="7" t="str">
        <f t="shared" si="111"/>
        <v/>
      </c>
    </row>
    <row r="1003" spans="1:32">
      <c r="A1003" t="s">
        <v>2983</v>
      </c>
      <c r="B1003">
        <v>40389767</v>
      </c>
      <c r="C1003" t="s">
        <v>604</v>
      </c>
      <c r="D1003" t="s">
        <v>267</v>
      </c>
      <c r="F1003" t="s">
        <v>45</v>
      </c>
      <c r="G1003" t="s">
        <v>92</v>
      </c>
      <c r="H1003" t="s">
        <v>25</v>
      </c>
      <c r="I1003" t="s">
        <v>3378</v>
      </c>
      <c r="J1003">
        <v>693.4</v>
      </c>
      <c r="K1003" t="s">
        <v>27</v>
      </c>
      <c r="L1003" t="s">
        <v>75</v>
      </c>
      <c r="M1003" s="1">
        <v>44231.075694444444</v>
      </c>
      <c r="N1003">
        <v>57</v>
      </c>
      <c r="O1003" t="s">
        <v>36</v>
      </c>
      <c r="P1003" t="s">
        <v>55</v>
      </c>
      <c r="Q1003" t="s">
        <v>2984</v>
      </c>
      <c r="R1003">
        <f t="shared" si="105"/>
        <v>40389767</v>
      </c>
      <c r="S1003" t="str" cm="1">
        <f t="array" ref="S1003">IF(C1003="",IFERROR(INDEX($C$2:$C$1166,MATCH(MAX(COUNTIF($C$2:$C$1166,$C$2:$C$1166)),COUNTIF($C$2:$C$1166,$C$2:$C$1166),0)),"Unknown"),C1003)</f>
        <v>Elizabeth Rodriguez</v>
      </c>
      <c r="T1003" s="4" t="str" cm="1">
        <f t="array" ref="T1003">IF(D1003="",IFERROR(INDEX($D$2:$D$1000,MATCH(MAX(COUNTIF($D$2:$D$1166,$D$2:$D$1166)),COUNTIF($D$2:$D$1166,$D$2:$D$1166),0)),"Unknown"),D1003)</f>
        <v>David Miller</v>
      </c>
      <c r="U1003" t="str">
        <f t="shared" si="106"/>
        <v>ZAR</v>
      </c>
      <c r="V1003" s="7" t="str">
        <f t="shared" si="106"/>
        <v>AUD</v>
      </c>
      <c r="W1003" s="7" t="str">
        <f t="shared" si="107"/>
        <v>Germany</v>
      </c>
      <c r="X1003" s="7" t="str">
        <f t="shared" si="107"/>
        <v>UK</v>
      </c>
      <c r="Y1003" s="7" t="str" cm="1">
        <f t="array" ref="Y1003">IF(H1003="",IFERROR(INDEX($H$2:$H$1166,MATCH(MAX(COUNTIF($H$2:$H$1166,$H$2:$H$1166)),COUNTIF($H$2:$H$1166,$H$2:$H$1166),0)),"Unknown"),H1003)</f>
        <v>KYC</v>
      </c>
      <c r="Z1003" s="7" t="str">
        <f t="shared" si="108"/>
        <v>Inter-Transaction</v>
      </c>
      <c r="AA1003" s="7">
        <f>IF(J1003="",AVERAGE($J:$J),J1003)</f>
        <v>693.4</v>
      </c>
      <c r="AB1003" s="7">
        <f>IF(N1003="",AVERAGE($N:$N),N1003)</f>
        <v>57</v>
      </c>
      <c r="AC1003" s="7">
        <f t="shared" si="109"/>
        <v>2021</v>
      </c>
      <c r="AD1003" s="7">
        <f t="shared" si="110"/>
        <v>2</v>
      </c>
      <c r="AE1003" s="7">
        <f>COUNTIF(A:A,A1003)</f>
        <v>1</v>
      </c>
      <c r="AF1003" s="7" t="str">
        <f t="shared" si="111"/>
        <v/>
      </c>
    </row>
    <row r="1004" spans="1:32">
      <c r="A1004" t="s">
        <v>2985</v>
      </c>
      <c r="B1004">
        <v>83068652</v>
      </c>
      <c r="C1004" t="s">
        <v>2986</v>
      </c>
      <c r="D1004" t="s">
        <v>1938</v>
      </c>
      <c r="F1004" t="s">
        <v>116</v>
      </c>
      <c r="G1004" t="s">
        <v>45</v>
      </c>
      <c r="I1004" t="s">
        <v>3371</v>
      </c>
      <c r="J1004">
        <v>13405.54</v>
      </c>
      <c r="K1004" t="s">
        <v>86</v>
      </c>
      <c r="L1004" t="s">
        <v>48</v>
      </c>
      <c r="M1004" s="1">
        <v>45935.715277777781</v>
      </c>
      <c r="N1004">
        <v>83</v>
      </c>
      <c r="O1004" t="s">
        <v>37</v>
      </c>
      <c r="P1004" t="s">
        <v>62</v>
      </c>
      <c r="Q1004" t="s">
        <v>2987</v>
      </c>
      <c r="R1004">
        <f t="shared" si="105"/>
        <v>83068652</v>
      </c>
      <c r="S1004" t="str" cm="1">
        <f t="array" ref="S1004">IF(C1004="",IFERROR(INDEX($C$2:$C$1166,MATCH(MAX(COUNTIF($C$2:$C$1166,$C$2:$C$1166)),COUNTIF($C$2:$C$1166,$C$2:$C$1166),0)),"Unknown"),C1004)</f>
        <v xml:space="preserve">  ROBERT BROWN </v>
      </c>
      <c r="T1004" s="4" t="str" cm="1">
        <f t="array" ref="T1004">IF(D1004="",IFERROR(INDEX($D$2:$D$1000,MATCH(MAX(COUNTIF($D$2:$D$1166,$D$2:$D$1166)),COUNTIF($D$2:$D$1166,$D$2:$D$1166),0)),"Unknown"),D1004)</f>
        <v>Joseph Smith</v>
      </c>
      <c r="U1004" t="str">
        <f t="shared" si="106"/>
        <v>CHF</v>
      </c>
      <c r="V1004" s="7" t="str">
        <f t="shared" si="106"/>
        <v>ZAR</v>
      </c>
      <c r="W1004" s="7" t="str">
        <f t="shared" si="107"/>
        <v>South Africa</v>
      </c>
      <c r="X1004" s="7" t="str">
        <f t="shared" si="107"/>
        <v>Australia</v>
      </c>
      <c r="Y1004" s="7" t="str" cm="1">
        <f t="array" ref="Y1004">IF(H1004="",IFERROR(INDEX($H$2:$H$1166,MATCH(MAX(COUNTIF($H$2:$H$1166,$H$2:$H$1166)),COUNTIF($H$2:$H$1166,$H$2:$H$1166),0)),"Unknown"),H1004)</f>
        <v>Pending</v>
      </c>
      <c r="Z1004" s="7" t="str">
        <f t="shared" si="108"/>
        <v>Outer-Transaction</v>
      </c>
      <c r="AA1004" s="7">
        <f>IF(J1004="",AVERAGE($J:$J),J1004)</f>
        <v>13405.54</v>
      </c>
      <c r="AB1004" s="7">
        <f>IF(N1004="",AVERAGE($N:$N),N1004)</f>
        <v>83</v>
      </c>
      <c r="AC1004" s="7">
        <f t="shared" si="109"/>
        <v>2025</v>
      </c>
      <c r="AD1004" s="7">
        <f t="shared" si="110"/>
        <v>10</v>
      </c>
      <c r="AE1004" s="7">
        <f>COUNTIF(A:A,A1004)</f>
        <v>1</v>
      </c>
      <c r="AF1004" s="7" t="str">
        <f t="shared" si="111"/>
        <v/>
      </c>
    </row>
    <row r="1005" spans="1:32">
      <c r="A1005" t="s">
        <v>2988</v>
      </c>
      <c r="B1005">
        <v>15309049</v>
      </c>
      <c r="C1005" t="s">
        <v>171</v>
      </c>
      <c r="D1005" t="s">
        <v>970</v>
      </c>
      <c r="F1005" t="s">
        <v>121</v>
      </c>
      <c r="G1005" t="s">
        <v>53</v>
      </c>
      <c r="H1005" t="s">
        <v>25</v>
      </c>
      <c r="I1005" t="s">
        <v>3371</v>
      </c>
      <c r="J1005">
        <v>4795.58</v>
      </c>
      <c r="K1005" t="s">
        <v>86</v>
      </c>
      <c r="L1005" t="s">
        <v>81</v>
      </c>
      <c r="M1005" s="1">
        <v>46064.009027777778</v>
      </c>
      <c r="N1005">
        <v>42</v>
      </c>
      <c r="O1005" t="s">
        <v>23</v>
      </c>
      <c r="P1005" t="s">
        <v>37</v>
      </c>
      <c r="Q1005" t="s">
        <v>2989</v>
      </c>
      <c r="R1005">
        <f t="shared" si="105"/>
        <v>15309049</v>
      </c>
      <c r="S1005" t="str" cm="1">
        <f t="array" ref="S1005">IF(C1005="",IFERROR(INDEX($C$2:$C$1166,MATCH(MAX(COUNTIF($C$2:$C$1166,$C$2:$C$1166)),COUNTIF($C$2:$C$1166,$C$2:$C$1166),0)),"Unknown"),C1005)</f>
        <v>Elizabeth Martinez</v>
      </c>
      <c r="T1005" s="4" t="str" cm="1">
        <f t="array" ref="T1005">IF(D1005="",IFERROR(INDEX($D$2:$D$1000,MATCH(MAX(COUNTIF($D$2:$D$1166,$D$2:$D$1166)),COUNTIF($D$2:$D$1166,$D$2:$D$1166),0)),"Unknown"),D1005)</f>
        <v>Michael Brown</v>
      </c>
      <c r="U1005" t="str">
        <f t="shared" si="106"/>
        <v>INR</v>
      </c>
      <c r="V1005" s="7" t="str">
        <f t="shared" si="106"/>
        <v>AED</v>
      </c>
      <c r="W1005" s="7" t="str">
        <f t="shared" si="107"/>
        <v>France</v>
      </c>
      <c r="X1005" s="7" t="str">
        <f t="shared" si="107"/>
        <v>South Africa</v>
      </c>
      <c r="Y1005" s="7" t="str" cm="1">
        <f t="array" ref="Y1005">IF(H1005="",IFERROR(INDEX($H$2:$H$1166,MATCH(MAX(COUNTIF($H$2:$H$1166,$H$2:$H$1166)),COUNTIF($H$2:$H$1166,$H$2:$H$1166),0)),"Unknown"),H1005)</f>
        <v>KYC</v>
      </c>
      <c r="Z1005" s="7" t="str">
        <f t="shared" si="108"/>
        <v>Outer-Transaction</v>
      </c>
      <c r="AA1005" s="7">
        <f>IF(J1005="",AVERAGE($J:$J),J1005)</f>
        <v>4795.58</v>
      </c>
      <c r="AB1005" s="7">
        <f>IF(N1005="",AVERAGE($N:$N),N1005)</f>
        <v>42</v>
      </c>
      <c r="AC1005" s="7">
        <f t="shared" si="109"/>
        <v>2026</v>
      </c>
      <c r="AD1005" s="7">
        <f t="shared" si="110"/>
        <v>2</v>
      </c>
      <c r="AE1005" s="7">
        <f>COUNTIF(A:A,A1005)</f>
        <v>1</v>
      </c>
      <c r="AF1005" s="7" t="str">
        <f t="shared" si="111"/>
        <v/>
      </c>
    </row>
    <row r="1006" spans="1:32">
      <c r="A1006" t="s">
        <v>2990</v>
      </c>
      <c r="B1006">
        <v>82953400</v>
      </c>
      <c r="C1006" t="s">
        <v>1519</v>
      </c>
      <c r="D1006" t="s">
        <v>2043</v>
      </c>
      <c r="F1006" t="s">
        <v>35</v>
      </c>
      <c r="G1006" t="s">
        <v>22</v>
      </c>
      <c r="H1006" t="s">
        <v>25</v>
      </c>
      <c r="I1006" t="s">
        <v>3376</v>
      </c>
      <c r="J1006">
        <v>10230.86</v>
      </c>
      <c r="K1006" t="s">
        <v>86</v>
      </c>
      <c r="L1006" t="s">
        <v>48</v>
      </c>
      <c r="M1006" s="1">
        <v>46276.631944444445</v>
      </c>
      <c r="N1006">
        <v>39</v>
      </c>
      <c r="O1006" t="s">
        <v>23</v>
      </c>
      <c r="P1006" t="s">
        <v>23</v>
      </c>
      <c r="Q1006" t="s">
        <v>2991</v>
      </c>
      <c r="R1006">
        <f t="shared" si="105"/>
        <v>82953400</v>
      </c>
      <c r="S1006" t="str" cm="1">
        <f t="array" ref="S1006">IF(C1006="",IFERROR(INDEX($C$2:$C$1166,MATCH(MAX(COUNTIF($C$2:$C$1166,$C$2:$C$1166)),COUNTIF($C$2:$C$1166,$C$2:$C$1166),0)),"Unknown"),C1006)</f>
        <v>Joseph Johnson</v>
      </c>
      <c r="T1006" s="4" t="str" cm="1">
        <f t="array" ref="T1006">IF(D1006="",IFERROR(INDEX($D$2:$D$1000,MATCH(MAX(COUNTIF($D$2:$D$1166,$D$2:$D$1166)),COUNTIF($D$2:$D$1166,$D$2:$D$1166),0)),"Unknown"),D1006)</f>
        <v>Robert Hernandez</v>
      </c>
      <c r="U1006" t="str">
        <f t="shared" si="106"/>
        <v>EUR</v>
      </c>
      <c r="V1006" s="7" t="str">
        <f t="shared" si="106"/>
        <v>BRL</v>
      </c>
      <c r="W1006" s="7" t="str">
        <f t="shared" si="107"/>
        <v>France</v>
      </c>
      <c r="X1006" s="7" t="str">
        <f t="shared" si="107"/>
        <v>France</v>
      </c>
      <c r="Y1006" s="7" t="str" cm="1">
        <f t="array" ref="Y1006">IF(H1006="",IFERROR(INDEX($H$2:$H$1166,MATCH(MAX(COUNTIF($H$2:$H$1166,$H$2:$H$1166)),COUNTIF($H$2:$H$1166,$H$2:$H$1166),0)),"Unknown"),H1006)</f>
        <v>KYC</v>
      </c>
      <c r="Z1006" s="7" t="str">
        <f t="shared" si="108"/>
        <v>Internal</v>
      </c>
      <c r="AA1006" s="7">
        <f>IF(J1006="",AVERAGE($J:$J),J1006)</f>
        <v>10230.86</v>
      </c>
      <c r="AB1006" s="7">
        <f>IF(N1006="",AVERAGE($N:$N),N1006)</f>
        <v>39</v>
      </c>
      <c r="AC1006" s="7">
        <f t="shared" si="109"/>
        <v>2026</v>
      </c>
      <c r="AD1006" s="7">
        <f t="shared" si="110"/>
        <v>9</v>
      </c>
      <c r="AE1006" s="7">
        <f>COUNTIF(A:A,A1006)</f>
        <v>1</v>
      </c>
      <c r="AF1006" s="7" t="str">
        <f t="shared" si="111"/>
        <v/>
      </c>
    </row>
    <row r="1007" spans="1:32">
      <c r="A1007" t="s">
        <v>2992</v>
      </c>
      <c r="B1007">
        <v>26002927</v>
      </c>
      <c r="C1007" t="s">
        <v>667</v>
      </c>
      <c r="D1007" t="s">
        <v>897</v>
      </c>
      <c r="F1007" t="s">
        <v>53</v>
      </c>
      <c r="G1007" t="s">
        <v>34</v>
      </c>
      <c r="H1007" t="s">
        <v>56</v>
      </c>
      <c r="I1007" t="s">
        <v>3372</v>
      </c>
      <c r="J1007">
        <v>12738.51</v>
      </c>
      <c r="K1007" t="s">
        <v>57</v>
      </c>
      <c r="L1007" t="s">
        <v>81</v>
      </c>
      <c r="M1007" s="1">
        <v>44435.004166666666</v>
      </c>
      <c r="N1007">
        <v>21</v>
      </c>
      <c r="O1007" t="s">
        <v>37</v>
      </c>
      <c r="P1007" t="s">
        <v>37</v>
      </c>
      <c r="Q1007" t="s">
        <v>2993</v>
      </c>
      <c r="R1007">
        <f t="shared" si="105"/>
        <v>26002927</v>
      </c>
      <c r="S1007" t="str" cm="1">
        <f t="array" ref="S1007">IF(C1007="",IFERROR(INDEX($C$2:$C$1166,MATCH(MAX(COUNTIF($C$2:$C$1166,$C$2:$C$1166)),COUNTIF($C$2:$C$1166,$C$2:$C$1166),0)),"Unknown"),C1007)</f>
        <v>Michael Khan</v>
      </c>
      <c r="T1007" s="4" t="str" cm="1">
        <f t="array" ref="T1007">IF(D1007="",IFERROR(INDEX($D$2:$D$1000,MATCH(MAX(COUNTIF($D$2:$D$1166,$D$2:$D$1166)),COUNTIF($D$2:$D$1166,$D$2:$D$1166),0)),"Unknown"),D1007)</f>
        <v>Karen Anderson</v>
      </c>
      <c r="U1007" t="str">
        <f t="shared" si="106"/>
        <v>AED</v>
      </c>
      <c r="V1007" s="7" t="str">
        <f t="shared" si="106"/>
        <v>CAD</v>
      </c>
      <c r="W1007" s="7" t="str">
        <f t="shared" si="107"/>
        <v>South Africa</v>
      </c>
      <c r="X1007" s="7" t="str">
        <f t="shared" si="107"/>
        <v>South Africa</v>
      </c>
      <c r="Y1007" s="7" t="str" cm="1">
        <f t="array" ref="Y1007">IF(H1007="",IFERROR(INDEX($H$2:$H$1166,MATCH(MAX(COUNTIF($H$2:$H$1166,$H$2:$H$1166)),COUNTIF($H$2:$H$1166,$H$2:$H$1166),0)),"Unknown"),H1007)</f>
        <v>Unverified</v>
      </c>
      <c r="Z1007" s="7" t="str">
        <f t="shared" si="108"/>
        <v>Outer-Transaction</v>
      </c>
      <c r="AA1007" s="7">
        <f>IF(J1007="",AVERAGE($J:$J),J1007)</f>
        <v>12738.51</v>
      </c>
      <c r="AB1007" s="7">
        <f>IF(N1007="",AVERAGE($N:$N),N1007)</f>
        <v>21</v>
      </c>
      <c r="AC1007" s="7">
        <f t="shared" si="109"/>
        <v>2021</v>
      </c>
      <c r="AD1007" s="7">
        <f t="shared" si="110"/>
        <v>8</v>
      </c>
      <c r="AE1007" s="7">
        <f>COUNTIF(A:A,A1007)</f>
        <v>1</v>
      </c>
      <c r="AF1007" s="7" t="str">
        <f t="shared" si="111"/>
        <v/>
      </c>
    </row>
    <row r="1008" spans="1:32">
      <c r="A1008" t="s">
        <v>2994</v>
      </c>
      <c r="B1008">
        <v>77017197</v>
      </c>
      <c r="C1008" t="s">
        <v>1571</v>
      </c>
      <c r="D1008" t="s">
        <v>1864</v>
      </c>
      <c r="F1008" t="s">
        <v>35</v>
      </c>
      <c r="G1008" t="s">
        <v>116</v>
      </c>
      <c r="H1008" t="s">
        <v>25</v>
      </c>
      <c r="I1008" t="s">
        <v>3377</v>
      </c>
      <c r="J1008">
        <v>10652.7</v>
      </c>
      <c r="K1008" t="s">
        <v>86</v>
      </c>
      <c r="L1008" t="s">
        <v>75</v>
      </c>
      <c r="M1008" s="1">
        <v>46036.65625</v>
      </c>
      <c r="N1008">
        <v>43</v>
      </c>
      <c r="O1008" t="s">
        <v>93</v>
      </c>
      <c r="P1008" t="s">
        <v>24</v>
      </c>
      <c r="Q1008" t="s">
        <v>2995</v>
      </c>
      <c r="R1008">
        <f t="shared" si="105"/>
        <v>77017197</v>
      </c>
      <c r="S1008" t="str" cm="1">
        <f t="array" ref="S1008">IF(C1008="",IFERROR(INDEX($C$2:$C$1166,MATCH(MAX(COUNTIF($C$2:$C$1166,$C$2:$C$1166)),COUNTIF($C$2:$C$1166,$C$2:$C$1166),0)),"Unknown"),C1008)</f>
        <v>Barbara Martin</v>
      </c>
      <c r="T1008" s="4" t="str" cm="1">
        <f t="array" ref="T1008">IF(D1008="",IFERROR(INDEX($D$2:$D$1000,MATCH(MAX(COUNTIF($D$2:$D$1166,$D$2:$D$1166)),COUNTIF($D$2:$D$1166,$D$2:$D$1166),0)),"Unknown"),D1008)</f>
        <v>Patricia Velez</v>
      </c>
      <c r="U1008" t="str">
        <f t="shared" si="106"/>
        <v>EUR</v>
      </c>
      <c r="V1008" s="7" t="str">
        <f t="shared" si="106"/>
        <v>CHF</v>
      </c>
      <c r="W1008" s="7" t="str">
        <f t="shared" si="107"/>
        <v>USA</v>
      </c>
      <c r="X1008" s="7" t="str">
        <f t="shared" si="107"/>
        <v>Brazil</v>
      </c>
      <c r="Y1008" s="7" t="str" cm="1">
        <f t="array" ref="Y1008">IF(H1008="",IFERROR(INDEX($H$2:$H$1166,MATCH(MAX(COUNTIF($H$2:$H$1166,$H$2:$H$1166)),COUNTIF($H$2:$H$1166,$H$2:$H$1166),0)),"Unknown"),H1008)</f>
        <v>KYC</v>
      </c>
      <c r="Z1008" s="7" t="str">
        <f t="shared" si="108"/>
        <v>Inter-Transaction</v>
      </c>
      <c r="AA1008" s="7">
        <f>IF(J1008="",AVERAGE($J:$J),J1008)</f>
        <v>10652.7</v>
      </c>
      <c r="AB1008" s="7">
        <f>IF(N1008="",AVERAGE($N:$N),N1008)</f>
        <v>43</v>
      </c>
      <c r="AC1008" s="7">
        <f t="shared" si="109"/>
        <v>2026</v>
      </c>
      <c r="AD1008" s="7">
        <f t="shared" si="110"/>
        <v>1</v>
      </c>
      <c r="AE1008" s="7">
        <f>COUNTIF(A:A,A1008)</f>
        <v>1</v>
      </c>
      <c r="AF1008" s="7" t="str">
        <f t="shared" si="111"/>
        <v/>
      </c>
    </row>
    <row r="1009" spans="1:32">
      <c r="A1009" t="s">
        <v>2996</v>
      </c>
      <c r="B1009">
        <v>56223778</v>
      </c>
      <c r="C1009" t="s">
        <v>570</v>
      </c>
      <c r="D1009" t="s">
        <v>570</v>
      </c>
      <c r="F1009" t="s">
        <v>44</v>
      </c>
      <c r="G1009" t="s">
        <v>22</v>
      </c>
      <c r="H1009" t="s">
        <v>25</v>
      </c>
      <c r="I1009" t="s">
        <v>3374</v>
      </c>
      <c r="J1009">
        <v>7003.5</v>
      </c>
      <c r="K1009" t="s">
        <v>27</v>
      </c>
      <c r="L1009" t="s">
        <v>75</v>
      </c>
      <c r="M1009" s="1">
        <v>45641.592361111114</v>
      </c>
      <c r="N1009">
        <v>75</v>
      </c>
      <c r="O1009" t="s">
        <v>36</v>
      </c>
      <c r="P1009" t="s">
        <v>93</v>
      </c>
      <c r="Q1009" t="s">
        <v>2997</v>
      </c>
      <c r="R1009">
        <f t="shared" si="105"/>
        <v>56223778</v>
      </c>
      <c r="S1009" t="str" cm="1">
        <f t="array" ref="S1009">IF(C1009="",IFERROR(INDEX($C$2:$C$1166,MATCH(MAX(COUNTIF($C$2:$C$1166,$C$2:$C$1166)),COUNTIF($C$2:$C$1166,$C$2:$C$1166),0)),"Unknown"),C1009)</f>
        <v>Richard Garcia</v>
      </c>
      <c r="T1009" s="4" t="str" cm="1">
        <f t="array" ref="T1009">IF(D1009="",IFERROR(INDEX($D$2:$D$1000,MATCH(MAX(COUNTIF($D$2:$D$1166,$D$2:$D$1166)),COUNTIF($D$2:$D$1166,$D$2:$D$1166),0)),"Unknown"),D1009)</f>
        <v>Richard Garcia</v>
      </c>
      <c r="U1009" t="str">
        <f t="shared" si="106"/>
        <v>SGD</v>
      </c>
      <c r="V1009" s="7" t="str">
        <f t="shared" si="106"/>
        <v>BRL</v>
      </c>
      <c r="W1009" s="7" t="str">
        <f t="shared" si="107"/>
        <v>Germany</v>
      </c>
      <c r="X1009" s="7" t="str">
        <f t="shared" si="107"/>
        <v>USA</v>
      </c>
      <c r="Y1009" s="7" t="str" cm="1">
        <f t="array" ref="Y1009">IF(H1009="",IFERROR(INDEX($H$2:$H$1166,MATCH(MAX(COUNTIF($H$2:$H$1166,$H$2:$H$1166)),COUNTIF($H$2:$H$1166,$H$2:$H$1166),0)),"Unknown"),H1009)</f>
        <v>KYC</v>
      </c>
      <c r="Z1009" s="7" t="str">
        <f t="shared" si="108"/>
        <v>External</v>
      </c>
      <c r="AA1009" s="7">
        <f>IF(J1009="",AVERAGE($J:$J),J1009)</f>
        <v>7003.5</v>
      </c>
      <c r="AB1009" s="7">
        <f>IF(N1009="",AVERAGE($N:$N),N1009)</f>
        <v>75</v>
      </c>
      <c r="AC1009" s="7">
        <f t="shared" si="109"/>
        <v>2024</v>
      </c>
      <c r="AD1009" s="7">
        <f t="shared" si="110"/>
        <v>12</v>
      </c>
      <c r="AE1009" s="7">
        <f>COUNTIF(A:A,A1009)</f>
        <v>1</v>
      </c>
      <c r="AF1009" s="7" t="str">
        <f t="shared" si="111"/>
        <v/>
      </c>
    </row>
    <row r="1010" spans="1:32">
      <c r="A1010" t="s">
        <v>2998</v>
      </c>
      <c r="B1010">
        <v>24222635</v>
      </c>
      <c r="C1010" t="s">
        <v>1575</v>
      </c>
      <c r="D1010" t="s">
        <v>335</v>
      </c>
      <c r="F1010" t="s">
        <v>44</v>
      </c>
      <c r="I1010" t="s">
        <v>3371</v>
      </c>
      <c r="J1010">
        <v>6729.34</v>
      </c>
      <c r="K1010" t="s">
        <v>86</v>
      </c>
      <c r="L1010" t="s">
        <v>81</v>
      </c>
      <c r="M1010" s="1">
        <v>45294.862500000003</v>
      </c>
      <c r="N1010">
        <v>46</v>
      </c>
      <c r="O1010" t="s">
        <v>127</v>
      </c>
      <c r="P1010" t="s">
        <v>62</v>
      </c>
      <c r="Q1010" t="s">
        <v>2999</v>
      </c>
      <c r="R1010">
        <f t="shared" si="105"/>
        <v>24222635</v>
      </c>
      <c r="S1010" t="str" cm="1">
        <f t="array" ref="S1010">IF(C1010="",IFERROR(INDEX($C$2:$C$1166,MATCH(MAX(COUNTIF($C$2:$C$1166,$C$2:$C$1166)),COUNTIF($C$2:$C$1166,$C$2:$C$1166),0)),"Unknown"),C1010)</f>
        <v>Christopher Nair</v>
      </c>
      <c r="T1010" s="4" t="str" cm="1">
        <f t="array" ref="T1010">IF(D1010="",IFERROR(INDEX($D$2:$D$1000,MATCH(MAX(COUNTIF($D$2:$D$1166,$D$2:$D$1166)),COUNTIF($D$2:$D$1166,$D$2:$D$1166),0)),"Unknown"),D1010)</f>
        <v>Elena Al-Sayed</v>
      </c>
      <c r="U1010" t="str">
        <f t="shared" si="106"/>
        <v>SGD</v>
      </c>
      <c r="V1010" s="7" t="str">
        <f t="shared" si="106"/>
        <v/>
      </c>
      <c r="W1010" s="7" t="str">
        <f t="shared" si="107"/>
        <v>Canada</v>
      </c>
      <c r="X1010" s="7" t="str">
        <f t="shared" si="107"/>
        <v>Australia</v>
      </c>
      <c r="Y1010" s="7" t="str" cm="1">
        <f t="array" ref="Y1010">IF(H1010="",IFERROR(INDEX($H$2:$H$1166,MATCH(MAX(COUNTIF($H$2:$H$1166,$H$2:$H$1166)),COUNTIF($H$2:$H$1166,$H$2:$H$1166),0)),"Unknown"),H1010)</f>
        <v>Pending</v>
      </c>
      <c r="Z1010" s="7" t="str">
        <f t="shared" si="108"/>
        <v>Outer-Transaction</v>
      </c>
      <c r="AA1010" s="7">
        <f>IF(J1010="",AVERAGE($J:$J),J1010)</f>
        <v>6729.34</v>
      </c>
      <c r="AB1010" s="7">
        <f>IF(N1010="",AVERAGE($N:$N),N1010)</f>
        <v>46</v>
      </c>
      <c r="AC1010" s="7">
        <f t="shared" si="109"/>
        <v>2024</v>
      </c>
      <c r="AD1010" s="7">
        <f t="shared" si="110"/>
        <v>1</v>
      </c>
      <c r="AE1010" s="7">
        <f>COUNTIF(A:A,A1010)</f>
        <v>1</v>
      </c>
      <c r="AF1010" s="7" t="str">
        <f t="shared" si="111"/>
        <v/>
      </c>
    </row>
    <row r="1011" spans="1:32">
      <c r="A1011" t="s">
        <v>3000</v>
      </c>
      <c r="B1011">
        <v>13027327</v>
      </c>
      <c r="C1011" t="s">
        <v>3001</v>
      </c>
      <c r="D1011" t="s">
        <v>596</v>
      </c>
      <c r="F1011" t="s">
        <v>45</v>
      </c>
      <c r="G1011" t="s">
        <v>53</v>
      </c>
      <c r="H1011" t="s">
        <v>56</v>
      </c>
      <c r="I1011" t="s">
        <v>3371</v>
      </c>
      <c r="J1011">
        <v>3917.55</v>
      </c>
      <c r="K1011" t="s">
        <v>27</v>
      </c>
      <c r="L1011" t="s">
        <v>81</v>
      </c>
      <c r="M1011" s="1">
        <v>46344.637499999997</v>
      </c>
      <c r="N1011">
        <v>54</v>
      </c>
      <c r="O1011" t="s">
        <v>93</v>
      </c>
      <c r="P1011" t="s">
        <v>93</v>
      </c>
      <c r="Q1011" t="s">
        <v>3002</v>
      </c>
      <c r="R1011">
        <f t="shared" si="105"/>
        <v>13027327</v>
      </c>
      <c r="S1011" t="str" cm="1">
        <f t="array" ref="S1011">IF(C1011="",IFERROR(INDEX($C$2:$C$1166,MATCH(MAX(COUNTIF($C$2:$C$1166,$C$2:$C$1166)),COUNTIF($C$2:$C$1166,$C$2:$C$1166),0)),"Unknown"),C1011)</f>
        <v>Marta Johnson</v>
      </c>
      <c r="T1011" s="4" t="str" cm="1">
        <f t="array" ref="T1011">IF(D1011="",IFERROR(INDEX($D$2:$D$1000,MATCH(MAX(COUNTIF($D$2:$D$1166,$D$2:$D$1166)),COUNTIF($D$2:$D$1166,$D$2:$D$1166),0)),"Unknown"),D1011)</f>
        <v>Robert Martinez</v>
      </c>
      <c r="U1011" t="str">
        <f t="shared" si="106"/>
        <v>ZAR</v>
      </c>
      <c r="V1011" s="7" t="str">
        <f t="shared" si="106"/>
        <v>AED</v>
      </c>
      <c r="W1011" s="7" t="str">
        <f t="shared" si="107"/>
        <v>USA</v>
      </c>
      <c r="X1011" s="7" t="str">
        <f t="shared" si="107"/>
        <v>USA</v>
      </c>
      <c r="Y1011" s="7" t="str" cm="1">
        <f t="array" ref="Y1011">IF(H1011="",IFERROR(INDEX($H$2:$H$1166,MATCH(MAX(COUNTIF($H$2:$H$1166,$H$2:$H$1166)),COUNTIF($H$2:$H$1166,$H$2:$H$1166),0)),"Unknown"),H1011)</f>
        <v>Unverified</v>
      </c>
      <c r="Z1011" s="7" t="str">
        <f t="shared" si="108"/>
        <v>Outer-Transaction</v>
      </c>
      <c r="AA1011" s="7">
        <f>IF(J1011="",AVERAGE($J:$J),J1011)</f>
        <v>3917.55</v>
      </c>
      <c r="AB1011" s="7">
        <f>IF(N1011="",AVERAGE($N:$N),N1011)</f>
        <v>54</v>
      </c>
      <c r="AC1011" s="7">
        <f t="shared" si="109"/>
        <v>2026</v>
      </c>
      <c r="AD1011" s="7">
        <f t="shared" si="110"/>
        <v>11</v>
      </c>
      <c r="AE1011" s="7">
        <f>COUNTIF(A:A,A1011)</f>
        <v>1</v>
      </c>
      <c r="AF1011" s="7" t="str">
        <f t="shared" si="111"/>
        <v/>
      </c>
    </row>
    <row r="1012" spans="1:32">
      <c r="A1012" t="s">
        <v>3003</v>
      </c>
      <c r="B1012">
        <v>23460777</v>
      </c>
      <c r="C1012" t="s">
        <v>1738</v>
      </c>
      <c r="D1012" t="s">
        <v>2664</v>
      </c>
      <c r="F1012" t="s">
        <v>92</v>
      </c>
      <c r="G1012" t="s">
        <v>21</v>
      </c>
      <c r="H1012" t="s">
        <v>74</v>
      </c>
      <c r="I1012" t="s">
        <v>3371</v>
      </c>
      <c r="J1012">
        <v>2150.9499999999998</v>
      </c>
      <c r="K1012" t="s">
        <v>47</v>
      </c>
      <c r="L1012" t="s">
        <v>48</v>
      </c>
      <c r="M1012" s="1">
        <v>46324.706944444442</v>
      </c>
      <c r="N1012">
        <v>35</v>
      </c>
      <c r="O1012" t="s">
        <v>24</v>
      </c>
      <c r="P1012" t="s">
        <v>24</v>
      </c>
      <c r="Q1012" t="s">
        <v>3004</v>
      </c>
      <c r="R1012">
        <f t="shared" si="105"/>
        <v>23460777</v>
      </c>
      <c r="S1012" t="str" cm="1">
        <f t="array" ref="S1012">IF(C1012="",IFERROR(INDEX($C$2:$C$1166,MATCH(MAX(COUNTIF($C$2:$C$1166,$C$2:$C$1166)),COUNTIF($C$2:$C$1166,$C$2:$C$1166),0)),"Unknown"),C1012)</f>
        <v>Sarah Jones</v>
      </c>
      <c r="T1012" s="4" t="str" cm="1">
        <f t="array" ref="T1012">IF(D1012="",IFERROR(INDEX($D$2:$D$1000,MATCH(MAX(COUNTIF($D$2:$D$1166,$D$2:$D$1166)),COUNTIF($D$2:$D$1166,$D$2:$D$1166),0)),"Unknown"),D1012)</f>
        <v>Karen Jones</v>
      </c>
      <c r="U1012" t="str">
        <f t="shared" si="106"/>
        <v>AUD</v>
      </c>
      <c r="V1012" s="7" t="str">
        <f t="shared" si="106"/>
        <v>GBP</v>
      </c>
      <c r="W1012" s="7" t="str">
        <f t="shared" si="107"/>
        <v>Brazil</v>
      </c>
      <c r="X1012" s="7" t="str">
        <f t="shared" si="107"/>
        <v>Brazil</v>
      </c>
      <c r="Y1012" s="7" t="str" cm="1">
        <f t="array" ref="Y1012">IF(H1012="",IFERROR(INDEX($H$2:$H$1166,MATCH(MAX(COUNTIF($H$2:$H$1166,$H$2:$H$1166)),COUNTIF($H$2:$H$1166,$H$2:$H$1166),0)),"Unknown"),H1012)</f>
        <v>Non-KYC</v>
      </c>
      <c r="Z1012" s="7" t="str">
        <f t="shared" si="108"/>
        <v>Outer-Transaction</v>
      </c>
      <c r="AA1012" s="7">
        <f>IF(J1012="",AVERAGE($J:$J),J1012)</f>
        <v>2150.9499999999998</v>
      </c>
      <c r="AB1012" s="7">
        <f>IF(N1012="",AVERAGE($N:$N),N1012)</f>
        <v>35</v>
      </c>
      <c r="AC1012" s="7">
        <f t="shared" si="109"/>
        <v>2026</v>
      </c>
      <c r="AD1012" s="7">
        <f t="shared" si="110"/>
        <v>10</v>
      </c>
      <c r="AE1012" s="7">
        <f>COUNTIF(A:A,A1012)</f>
        <v>1</v>
      </c>
      <c r="AF1012" s="7" t="str">
        <f t="shared" si="111"/>
        <v/>
      </c>
    </row>
    <row r="1013" spans="1:32">
      <c r="A1013" t="s">
        <v>3005</v>
      </c>
      <c r="B1013">
        <v>91335364</v>
      </c>
      <c r="C1013" t="s">
        <v>3006</v>
      </c>
      <c r="D1013" t="s">
        <v>480</v>
      </c>
      <c r="F1013" t="s">
        <v>35</v>
      </c>
      <c r="G1013" t="s">
        <v>80</v>
      </c>
      <c r="H1013" t="s">
        <v>25</v>
      </c>
      <c r="I1013" t="s">
        <v>3374</v>
      </c>
      <c r="J1013">
        <v>1740.76</v>
      </c>
      <c r="K1013" t="s">
        <v>47</v>
      </c>
      <c r="L1013" t="s">
        <v>75</v>
      </c>
      <c r="M1013" s="1">
        <v>45604.237500000003</v>
      </c>
      <c r="N1013">
        <v>59</v>
      </c>
      <c r="O1013" t="s">
        <v>37</v>
      </c>
      <c r="P1013" t="s">
        <v>37</v>
      </c>
      <c r="Q1013" t="s">
        <v>3007</v>
      </c>
      <c r="R1013">
        <f t="shared" si="105"/>
        <v>91335364</v>
      </c>
      <c r="S1013" t="str" cm="1">
        <f t="array" ref="S1013">IF(C1013="",IFERROR(INDEX($C$2:$C$1166,MATCH(MAX(COUNTIF($C$2:$C$1166,$C$2:$C$1166)),COUNTIF($C$2:$C$1166,$C$2:$C$1166),0)),"Unknown"),C1013)</f>
        <v>Christopher Martin</v>
      </c>
      <c r="T1013" s="4" t="str" cm="1">
        <f t="array" ref="T1013">IF(D1013="",IFERROR(INDEX($D$2:$D$1000,MATCH(MAX(COUNTIF($D$2:$D$1166,$D$2:$D$1166)),COUNTIF($D$2:$D$1166,$D$2:$D$1166),0)),"Unknown"),D1013)</f>
        <v>Barbara Johnson</v>
      </c>
      <c r="U1013" t="str">
        <f t="shared" si="106"/>
        <v>EUR</v>
      </c>
      <c r="V1013" s="7" t="str">
        <f t="shared" si="106"/>
        <v>USD</v>
      </c>
      <c r="W1013" s="7" t="str">
        <f t="shared" si="107"/>
        <v>South Africa</v>
      </c>
      <c r="X1013" s="7" t="str">
        <f t="shared" si="107"/>
        <v>South Africa</v>
      </c>
      <c r="Y1013" s="7" t="str" cm="1">
        <f t="array" ref="Y1013">IF(H1013="",IFERROR(INDEX($H$2:$H$1166,MATCH(MAX(COUNTIF($H$2:$H$1166,$H$2:$H$1166)),COUNTIF($H$2:$H$1166,$H$2:$H$1166),0)),"Unknown"),H1013)</f>
        <v>KYC</v>
      </c>
      <c r="Z1013" s="7" t="str">
        <f t="shared" si="108"/>
        <v>External</v>
      </c>
      <c r="AA1013" s="7">
        <f>IF(J1013="",AVERAGE($J:$J),J1013)</f>
        <v>1740.76</v>
      </c>
      <c r="AB1013" s="7">
        <f>IF(N1013="",AVERAGE($N:$N),N1013)</f>
        <v>59</v>
      </c>
      <c r="AC1013" s="7">
        <f t="shared" si="109"/>
        <v>2024</v>
      </c>
      <c r="AD1013" s="7">
        <f t="shared" si="110"/>
        <v>11</v>
      </c>
      <c r="AE1013" s="7">
        <f>COUNTIF(A:A,A1013)</f>
        <v>1</v>
      </c>
      <c r="AF1013" s="7" t="str">
        <f t="shared" si="111"/>
        <v/>
      </c>
    </row>
    <row r="1014" spans="1:32">
      <c r="A1014" t="s">
        <v>3008</v>
      </c>
      <c r="B1014">
        <v>27616344</v>
      </c>
      <c r="C1014" t="s">
        <v>304</v>
      </c>
      <c r="D1014" t="s">
        <v>734</v>
      </c>
      <c r="F1014" t="s">
        <v>53</v>
      </c>
      <c r="G1014" t="s">
        <v>35</v>
      </c>
      <c r="H1014" t="s">
        <v>38</v>
      </c>
      <c r="I1014" t="s">
        <v>3372</v>
      </c>
      <c r="J1014">
        <v>7867.62</v>
      </c>
      <c r="K1014" t="s">
        <v>86</v>
      </c>
      <c r="L1014" t="s">
        <v>48</v>
      </c>
      <c r="M1014" s="1">
        <v>45384.672222222223</v>
      </c>
      <c r="N1014">
        <v>58</v>
      </c>
      <c r="O1014" t="s">
        <v>127</v>
      </c>
      <c r="P1014" t="s">
        <v>55</v>
      </c>
      <c r="Q1014" t="s">
        <v>3009</v>
      </c>
      <c r="R1014">
        <f t="shared" si="105"/>
        <v>27616344</v>
      </c>
      <c r="S1014" t="str" cm="1">
        <f t="array" ref="S1014">IF(C1014="",IFERROR(INDEX($C$2:$C$1166,MATCH(MAX(COUNTIF($C$2:$C$1166,$C$2:$C$1166)),COUNTIF($C$2:$C$1166,$C$2:$C$1166),0)),"Unknown"),C1014)</f>
        <v>Priya Khan</v>
      </c>
      <c r="T1014" s="4" t="str" cm="1">
        <f t="array" ref="T1014">IF(D1014="",IFERROR(INDEX($D$2:$D$1000,MATCH(MAX(COUNTIF($D$2:$D$1166,$D$2:$D$1166)),COUNTIF($D$2:$D$1166,$D$2:$D$1166),0)),"Unknown"),D1014)</f>
        <v>John Silva</v>
      </c>
      <c r="U1014" t="str">
        <f t="shared" si="106"/>
        <v>AED</v>
      </c>
      <c r="V1014" s="7" t="str">
        <f t="shared" si="106"/>
        <v>EUR</v>
      </c>
      <c r="W1014" s="7" t="str">
        <f t="shared" si="107"/>
        <v>Canada</v>
      </c>
      <c r="X1014" s="7" t="str">
        <f t="shared" si="107"/>
        <v>UK</v>
      </c>
      <c r="Y1014" s="7" t="str" cm="1">
        <f t="array" ref="Y1014">IF(H1014="",IFERROR(INDEX($H$2:$H$1166,MATCH(MAX(COUNTIF($H$2:$H$1166,$H$2:$H$1166)),COUNTIF($H$2:$H$1166,$H$2:$H$1166),0)),"Unknown"),H1014)</f>
        <v>Pending</v>
      </c>
      <c r="Z1014" s="7" t="str">
        <f t="shared" si="108"/>
        <v>Outer-Transaction</v>
      </c>
      <c r="AA1014" s="7">
        <f>IF(J1014="",AVERAGE($J:$J),J1014)</f>
        <v>7867.62</v>
      </c>
      <c r="AB1014" s="7">
        <f>IF(N1014="",AVERAGE($N:$N),N1014)</f>
        <v>58</v>
      </c>
      <c r="AC1014" s="7">
        <f t="shared" si="109"/>
        <v>2024</v>
      </c>
      <c r="AD1014" s="7">
        <f t="shared" si="110"/>
        <v>4</v>
      </c>
      <c r="AE1014" s="7">
        <f>COUNTIF(A:A,A1014)</f>
        <v>1</v>
      </c>
      <c r="AF1014" s="7" t="str">
        <f t="shared" si="111"/>
        <v/>
      </c>
    </row>
    <row r="1015" spans="1:32">
      <c r="A1015" t="s">
        <v>3010</v>
      </c>
      <c r="B1015">
        <v>20361782</v>
      </c>
      <c r="C1015" t="s">
        <v>836</v>
      </c>
      <c r="D1015" t="s">
        <v>139</v>
      </c>
      <c r="F1015" t="s">
        <v>98</v>
      </c>
      <c r="G1015" t="s">
        <v>35</v>
      </c>
      <c r="I1015" t="s">
        <v>3374</v>
      </c>
      <c r="J1015">
        <v>1942.1</v>
      </c>
      <c r="K1015" t="s">
        <v>86</v>
      </c>
      <c r="L1015" t="s">
        <v>48</v>
      </c>
      <c r="M1015" s="1">
        <v>44927.719444444447</v>
      </c>
      <c r="N1015">
        <v>55</v>
      </c>
      <c r="O1015" t="s">
        <v>23</v>
      </c>
      <c r="P1015" t="s">
        <v>54</v>
      </c>
      <c r="Q1015" t="s">
        <v>3011</v>
      </c>
      <c r="R1015">
        <f t="shared" si="105"/>
        <v>20361782</v>
      </c>
      <c r="S1015" t="str" cm="1">
        <f t="array" ref="S1015">IF(C1015="",IFERROR(INDEX($C$2:$C$1166,MATCH(MAX(COUNTIF($C$2:$C$1166,$C$2:$C$1166)),COUNTIF($C$2:$C$1166,$C$2:$C$1166),0)),"Unknown"),C1015)</f>
        <v>Nancy Hernandez</v>
      </c>
      <c r="T1015" s="4" t="str" cm="1">
        <f t="array" ref="T1015">IF(D1015="",IFERROR(INDEX($D$2:$D$1000,MATCH(MAX(COUNTIF($D$2:$D$1166,$D$2:$D$1166)),COUNTIF($D$2:$D$1166,$D$2:$D$1166),0)),"Unknown"),D1015)</f>
        <v>Zayn Dubois</v>
      </c>
      <c r="U1015" t="str">
        <f t="shared" si="106"/>
        <v>JPY</v>
      </c>
      <c r="V1015" s="7" t="str">
        <f t="shared" si="106"/>
        <v>EUR</v>
      </c>
      <c r="W1015" s="7" t="str">
        <f t="shared" si="107"/>
        <v>France</v>
      </c>
      <c r="X1015" s="7" t="str">
        <f t="shared" si="107"/>
        <v>India</v>
      </c>
      <c r="Y1015" s="7" t="str" cm="1">
        <f t="array" ref="Y1015">IF(H1015="",IFERROR(INDEX($H$2:$H$1166,MATCH(MAX(COUNTIF($H$2:$H$1166,$H$2:$H$1166)),COUNTIF($H$2:$H$1166,$H$2:$H$1166),0)),"Unknown"),H1015)</f>
        <v>Pending</v>
      </c>
      <c r="Z1015" s="7" t="str">
        <f t="shared" si="108"/>
        <v>External</v>
      </c>
      <c r="AA1015" s="7">
        <f>IF(J1015="",AVERAGE($J:$J),J1015)</f>
        <v>1942.1</v>
      </c>
      <c r="AB1015" s="7">
        <f>IF(N1015="",AVERAGE($N:$N),N1015)</f>
        <v>55</v>
      </c>
      <c r="AC1015" s="7">
        <f t="shared" si="109"/>
        <v>2023</v>
      </c>
      <c r="AD1015" s="7">
        <f t="shared" si="110"/>
        <v>1</v>
      </c>
      <c r="AE1015" s="7">
        <f>COUNTIF(A:A,A1015)</f>
        <v>1</v>
      </c>
      <c r="AF1015" s="7" t="str">
        <f t="shared" si="111"/>
        <v/>
      </c>
    </row>
    <row r="1016" spans="1:32">
      <c r="A1016" t="s">
        <v>3012</v>
      </c>
      <c r="B1016">
        <v>85060646</v>
      </c>
      <c r="C1016" t="s">
        <v>1279</v>
      </c>
      <c r="D1016" t="s">
        <v>2067</v>
      </c>
      <c r="F1016" t="s">
        <v>44</v>
      </c>
      <c r="G1016" t="s">
        <v>98</v>
      </c>
      <c r="I1016" t="s">
        <v>3374</v>
      </c>
      <c r="J1016">
        <v>6675.05</v>
      </c>
      <c r="K1016" t="s">
        <v>47</v>
      </c>
      <c r="L1016" t="s">
        <v>81</v>
      </c>
      <c r="M1016" s="1">
        <v>44759.473611111112</v>
      </c>
      <c r="N1016">
        <v>51</v>
      </c>
      <c r="O1016" t="s">
        <v>55</v>
      </c>
      <c r="P1016" t="s">
        <v>54</v>
      </c>
      <c r="Q1016" t="s">
        <v>3013</v>
      </c>
      <c r="R1016">
        <f t="shared" si="105"/>
        <v>85060646</v>
      </c>
      <c r="S1016" t="str" cm="1">
        <f t="array" ref="S1016">IF(C1016="",IFERROR(INDEX($C$2:$C$1166,MATCH(MAX(COUNTIF($C$2:$C$1166,$C$2:$C$1166)),COUNTIF($C$2:$C$1166,$C$2:$C$1166),0)),"Unknown"),C1016)</f>
        <v>Sanjay Rostova</v>
      </c>
      <c r="T1016" s="4" t="str" cm="1">
        <f t="array" ref="T1016">IF(D1016="",IFERROR(INDEX($D$2:$D$1000,MATCH(MAX(COUNTIF($D$2:$D$1166,$D$2:$D$1166)),COUNTIF($D$2:$D$1166,$D$2:$D$1166),0)),"Unknown"),D1016)</f>
        <v>John Velez</v>
      </c>
      <c r="U1016" t="str">
        <f t="shared" si="106"/>
        <v>SGD</v>
      </c>
      <c r="V1016" s="7" t="str">
        <f t="shared" si="106"/>
        <v>JPY</v>
      </c>
      <c r="W1016" s="7" t="str">
        <f t="shared" si="107"/>
        <v>UK</v>
      </c>
      <c r="X1016" s="7" t="str">
        <f t="shared" si="107"/>
        <v>India</v>
      </c>
      <c r="Y1016" s="7" t="str" cm="1">
        <f t="array" ref="Y1016">IF(H1016="",IFERROR(INDEX($H$2:$H$1166,MATCH(MAX(COUNTIF($H$2:$H$1166,$H$2:$H$1166)),COUNTIF($H$2:$H$1166,$H$2:$H$1166),0)),"Unknown"),H1016)</f>
        <v>Pending</v>
      </c>
      <c r="Z1016" s="7" t="str">
        <f t="shared" si="108"/>
        <v>External</v>
      </c>
      <c r="AA1016" s="7">
        <f>IF(J1016="",AVERAGE($J:$J),J1016)</f>
        <v>6675.05</v>
      </c>
      <c r="AB1016" s="7">
        <f>IF(N1016="",AVERAGE($N:$N),N1016)</f>
        <v>51</v>
      </c>
      <c r="AC1016" s="7">
        <f t="shared" si="109"/>
        <v>2022</v>
      </c>
      <c r="AD1016" s="7">
        <f t="shared" si="110"/>
        <v>7</v>
      </c>
      <c r="AE1016" s="7">
        <f>COUNTIF(A:A,A1016)</f>
        <v>1</v>
      </c>
      <c r="AF1016" s="7" t="str">
        <f t="shared" si="111"/>
        <v/>
      </c>
    </row>
    <row r="1017" spans="1:32">
      <c r="A1017" t="s">
        <v>3014</v>
      </c>
      <c r="B1017">
        <v>12799227</v>
      </c>
      <c r="C1017" t="s">
        <v>916</v>
      </c>
      <c r="D1017" t="s">
        <v>2078</v>
      </c>
      <c r="F1017" t="s">
        <v>22</v>
      </c>
      <c r="G1017" t="s">
        <v>80</v>
      </c>
      <c r="H1017" t="s">
        <v>103</v>
      </c>
      <c r="I1017" t="s">
        <v>3371</v>
      </c>
      <c r="J1017">
        <v>7802.13</v>
      </c>
      <c r="K1017" t="s">
        <v>27</v>
      </c>
      <c r="L1017" t="s">
        <v>81</v>
      </c>
      <c r="M1017" s="1">
        <v>45782.911805555559</v>
      </c>
      <c r="N1017">
        <v>34</v>
      </c>
      <c r="O1017" t="s">
        <v>68</v>
      </c>
      <c r="P1017" t="s">
        <v>68</v>
      </c>
      <c r="Q1017" t="s">
        <v>3015</v>
      </c>
      <c r="R1017">
        <f t="shared" si="105"/>
        <v>12799227</v>
      </c>
      <c r="S1017" t="str" cm="1">
        <f t="array" ref="S1017">IF(C1017="",IFERROR(INDEX($C$2:$C$1166,MATCH(MAX(COUNTIF($C$2:$C$1166,$C$2:$C$1166)),COUNTIF($C$2:$C$1166,$C$2:$C$1166),0)),"Unknown"),C1017)</f>
        <v>Karen Dubois</v>
      </c>
      <c r="T1017" s="4" t="str" cm="1">
        <f t="array" ref="T1017">IF(D1017="",IFERROR(INDEX($D$2:$D$1000,MATCH(MAX(COUNTIF($D$2:$D$1166,$D$2:$D$1166)),COUNTIF($D$2:$D$1166,$D$2:$D$1166),0)),"Unknown"),D1017)</f>
        <v>David Garcia</v>
      </c>
      <c r="U1017" t="str">
        <f t="shared" si="106"/>
        <v>BRL</v>
      </c>
      <c r="V1017" s="7" t="str">
        <f t="shared" si="106"/>
        <v>USD</v>
      </c>
      <c r="W1017" s="7" t="str">
        <f t="shared" si="107"/>
        <v>UAE</v>
      </c>
      <c r="X1017" s="7" t="str">
        <f t="shared" si="107"/>
        <v>UAE</v>
      </c>
      <c r="Y1017" s="7" t="str" cm="1">
        <f t="array" ref="Y1017">IF(H1017="",IFERROR(INDEX($H$2:$H$1166,MATCH(MAX(COUNTIF($H$2:$H$1166,$H$2:$H$1166)),COUNTIF($H$2:$H$1166,$H$2:$H$1166),0)),"Unknown"),H1017)</f>
        <v>Verified</v>
      </c>
      <c r="Z1017" s="7" t="str">
        <f t="shared" si="108"/>
        <v>Outer-Transaction</v>
      </c>
      <c r="AA1017" s="7">
        <f>IF(J1017="",AVERAGE($J:$J),J1017)</f>
        <v>7802.13</v>
      </c>
      <c r="AB1017" s="7">
        <f>IF(N1017="",AVERAGE($N:$N),N1017)</f>
        <v>34</v>
      </c>
      <c r="AC1017" s="7">
        <f t="shared" si="109"/>
        <v>2025</v>
      </c>
      <c r="AD1017" s="7">
        <f t="shared" si="110"/>
        <v>5</v>
      </c>
      <c r="AE1017" s="7">
        <f>COUNTIF(A:A,A1017)</f>
        <v>1</v>
      </c>
      <c r="AF1017" s="7" t="str">
        <f t="shared" si="111"/>
        <v/>
      </c>
    </row>
    <row r="1018" spans="1:32">
      <c r="A1018" t="s">
        <v>3016</v>
      </c>
      <c r="B1018">
        <v>69599673</v>
      </c>
      <c r="C1018" t="s">
        <v>2790</v>
      </c>
      <c r="D1018" t="s">
        <v>2693</v>
      </c>
      <c r="F1018" t="s">
        <v>44</v>
      </c>
      <c r="G1018" t="s">
        <v>92</v>
      </c>
      <c r="H1018" t="s">
        <v>38</v>
      </c>
      <c r="I1018" t="s">
        <v>3377</v>
      </c>
      <c r="J1018">
        <v>2108.8000000000002</v>
      </c>
      <c r="K1018" t="s">
        <v>47</v>
      </c>
      <c r="L1018" t="s">
        <v>28</v>
      </c>
      <c r="M1018" s="1">
        <v>45804.195833333331</v>
      </c>
      <c r="N1018">
        <v>54</v>
      </c>
      <c r="O1018" t="s">
        <v>23</v>
      </c>
      <c r="P1018" t="s">
        <v>36</v>
      </c>
      <c r="Q1018" t="s">
        <v>3017</v>
      </c>
      <c r="R1018">
        <f t="shared" si="105"/>
        <v>69599673</v>
      </c>
      <c r="S1018" t="str" cm="1">
        <f t="array" ref="S1018">IF(C1018="",IFERROR(INDEX($C$2:$C$1166,MATCH(MAX(COUNTIF($C$2:$C$1166,$C$2:$C$1166)),COUNTIF($C$2:$C$1166,$C$2:$C$1166),0)),"Unknown"),C1018)</f>
        <v xml:space="preserve">  CARLOS JOHNSON </v>
      </c>
      <c r="T1018" s="4" t="str" cm="1">
        <f t="array" ref="T1018">IF(D1018="",IFERROR(INDEX($D$2:$D$1000,MATCH(MAX(COUNTIF($D$2:$D$1166,$D$2:$D$1166)),COUNTIF($D$2:$D$1166,$D$2:$D$1166),0)),"Unknown"),D1018)</f>
        <v>Robert Gonzalez</v>
      </c>
      <c r="U1018" t="str">
        <f t="shared" si="106"/>
        <v>SGD</v>
      </c>
      <c r="V1018" s="7" t="str">
        <f t="shared" si="106"/>
        <v>AUD</v>
      </c>
      <c r="W1018" s="7" t="str">
        <f t="shared" si="107"/>
        <v>France</v>
      </c>
      <c r="X1018" s="7" t="str">
        <f t="shared" si="107"/>
        <v>Germany</v>
      </c>
      <c r="Y1018" s="7" t="str" cm="1">
        <f t="array" ref="Y1018">IF(H1018="",IFERROR(INDEX($H$2:$H$1166,MATCH(MAX(COUNTIF($H$2:$H$1166,$H$2:$H$1166)),COUNTIF($H$2:$H$1166,$H$2:$H$1166),0)),"Unknown"),H1018)</f>
        <v>Pending</v>
      </c>
      <c r="Z1018" s="7" t="str">
        <f t="shared" si="108"/>
        <v>Inter-Transaction</v>
      </c>
      <c r="AA1018" s="7">
        <f>IF(J1018="",AVERAGE($J:$J),J1018)</f>
        <v>2108.8000000000002</v>
      </c>
      <c r="AB1018" s="7">
        <f>IF(N1018="",AVERAGE($N:$N),N1018)</f>
        <v>54</v>
      </c>
      <c r="AC1018" s="7">
        <f t="shared" si="109"/>
        <v>2025</v>
      </c>
      <c r="AD1018" s="7">
        <f t="shared" si="110"/>
        <v>5</v>
      </c>
      <c r="AE1018" s="7">
        <f>COUNTIF(A:A,A1018)</f>
        <v>1</v>
      </c>
      <c r="AF1018" s="7" t="str">
        <f t="shared" si="111"/>
        <v/>
      </c>
    </row>
    <row r="1019" spans="1:32">
      <c r="A1019" t="s">
        <v>3018</v>
      </c>
      <c r="B1019">
        <v>71717603</v>
      </c>
      <c r="C1019" t="s">
        <v>3019</v>
      </c>
      <c r="D1019" t="s">
        <v>2218</v>
      </c>
      <c r="F1019" t="s">
        <v>34</v>
      </c>
      <c r="G1019" t="s">
        <v>80</v>
      </c>
      <c r="H1019" t="s">
        <v>74</v>
      </c>
      <c r="I1019" t="s">
        <v>3378</v>
      </c>
      <c r="J1019">
        <v>7689.13</v>
      </c>
      <c r="K1019" t="s">
        <v>86</v>
      </c>
      <c r="L1019" t="s">
        <v>75</v>
      </c>
      <c r="M1019" s="1">
        <v>45895.165277777778</v>
      </c>
      <c r="N1019">
        <v>42</v>
      </c>
      <c r="O1019" t="s">
        <v>36</v>
      </c>
      <c r="P1019" t="s">
        <v>23</v>
      </c>
      <c r="Q1019" t="s">
        <v>3020</v>
      </c>
      <c r="R1019">
        <f t="shared" si="105"/>
        <v>71717603</v>
      </c>
      <c r="S1019" t="str" cm="1">
        <f t="array" ref="S1019">IF(C1019="",IFERROR(INDEX($C$2:$C$1166,MATCH(MAX(COUNTIF($C$2:$C$1166,$C$2:$C$1166)),COUNTIF($C$2:$C$1166,$C$2:$C$1166),0)),"Unknown"),C1019)</f>
        <v>Jean-Pierre Khan</v>
      </c>
      <c r="T1019" s="4" t="str" cm="1">
        <f t="array" ref="T1019">IF(D1019="",IFERROR(INDEX($D$2:$D$1000,MATCH(MAX(COUNTIF($D$2:$D$1166,$D$2:$D$1166)),COUNTIF($D$2:$D$1166,$D$2:$D$1166),0)),"Unknown"),D1019)</f>
        <v>Sarah Malik</v>
      </c>
      <c r="U1019" t="str">
        <f t="shared" si="106"/>
        <v>CAD</v>
      </c>
      <c r="V1019" s="7" t="str">
        <f t="shared" si="106"/>
        <v>USD</v>
      </c>
      <c r="W1019" s="7" t="str">
        <f t="shared" si="107"/>
        <v>Germany</v>
      </c>
      <c r="X1019" s="7" t="str">
        <f t="shared" si="107"/>
        <v>France</v>
      </c>
      <c r="Y1019" s="7" t="str" cm="1">
        <f t="array" ref="Y1019">IF(H1019="",IFERROR(INDEX($H$2:$H$1166,MATCH(MAX(COUNTIF($H$2:$H$1166,$H$2:$H$1166)),COUNTIF($H$2:$H$1166,$H$2:$H$1166),0)),"Unknown"),H1019)</f>
        <v>Non-KYC</v>
      </c>
      <c r="Z1019" s="7" t="str">
        <f t="shared" si="108"/>
        <v>Inter-Transaction</v>
      </c>
      <c r="AA1019" s="7">
        <f>IF(J1019="",AVERAGE($J:$J),J1019)</f>
        <v>7689.13</v>
      </c>
      <c r="AB1019" s="7">
        <f>IF(N1019="",AVERAGE($N:$N),N1019)</f>
        <v>42</v>
      </c>
      <c r="AC1019" s="7">
        <f t="shared" si="109"/>
        <v>2025</v>
      </c>
      <c r="AD1019" s="7">
        <f t="shared" si="110"/>
        <v>8</v>
      </c>
      <c r="AE1019" s="7">
        <f>COUNTIF(A:A,A1019)</f>
        <v>1</v>
      </c>
      <c r="AF1019" s="7" t="str">
        <f t="shared" si="111"/>
        <v/>
      </c>
    </row>
    <row r="1020" spans="1:32">
      <c r="A1020" t="s">
        <v>3021</v>
      </c>
      <c r="B1020">
        <v>53973507</v>
      </c>
      <c r="C1020" t="s">
        <v>1051</v>
      </c>
      <c r="D1020" t="s">
        <v>1858</v>
      </c>
      <c r="F1020" t="s">
        <v>116</v>
      </c>
      <c r="G1020" t="s">
        <v>80</v>
      </c>
      <c r="H1020" t="s">
        <v>74</v>
      </c>
      <c r="I1020" t="s">
        <v>3378</v>
      </c>
      <c r="J1020">
        <v>6788.15</v>
      </c>
      <c r="K1020" t="s">
        <v>47</v>
      </c>
      <c r="L1020" t="s">
        <v>48</v>
      </c>
      <c r="M1020" s="1">
        <v>45385.126388888886</v>
      </c>
      <c r="N1020">
        <v>44</v>
      </c>
      <c r="O1020" t="s">
        <v>62</v>
      </c>
      <c r="P1020" t="s">
        <v>24</v>
      </c>
      <c r="Q1020" t="s">
        <v>3022</v>
      </c>
      <c r="R1020">
        <f t="shared" si="105"/>
        <v>53973507</v>
      </c>
      <c r="S1020" t="str" cm="1">
        <f t="array" ref="S1020">IF(C1020="",IFERROR(INDEX($C$2:$C$1166,MATCH(MAX(COUNTIF($C$2:$C$1166,$C$2:$C$1166)),COUNTIF($C$2:$C$1166,$C$2:$C$1166),0)),"Unknown"),C1020)</f>
        <v>Karen Hernandez</v>
      </c>
      <c r="T1020" s="4" t="str" cm="1">
        <f t="array" ref="T1020">IF(D1020="",IFERROR(INDEX($D$2:$D$1000,MATCH(MAX(COUNTIF($D$2:$D$1166,$D$2:$D$1166)),COUNTIF($D$2:$D$1166,$D$2:$D$1166),0)),"Unknown"),D1020)</f>
        <v>Richard Anderson</v>
      </c>
      <c r="U1020" t="str">
        <f t="shared" si="106"/>
        <v>CHF</v>
      </c>
      <c r="V1020" s="7" t="str">
        <f t="shared" si="106"/>
        <v>USD</v>
      </c>
      <c r="W1020" s="7" t="str">
        <f t="shared" si="107"/>
        <v>Australia</v>
      </c>
      <c r="X1020" s="7" t="str">
        <f t="shared" si="107"/>
        <v>Brazil</v>
      </c>
      <c r="Y1020" s="7" t="str" cm="1">
        <f t="array" ref="Y1020">IF(H1020="",IFERROR(INDEX($H$2:$H$1166,MATCH(MAX(COUNTIF($H$2:$H$1166,$H$2:$H$1166)),COUNTIF($H$2:$H$1166,$H$2:$H$1166),0)),"Unknown"),H1020)</f>
        <v>Non-KYC</v>
      </c>
      <c r="Z1020" s="7" t="str">
        <f t="shared" si="108"/>
        <v>Inter-Transaction</v>
      </c>
      <c r="AA1020" s="7">
        <f>IF(J1020="",AVERAGE($J:$J),J1020)</f>
        <v>6788.15</v>
      </c>
      <c r="AB1020" s="7">
        <f>IF(N1020="",AVERAGE($N:$N),N1020)</f>
        <v>44</v>
      </c>
      <c r="AC1020" s="7">
        <f t="shared" si="109"/>
        <v>2024</v>
      </c>
      <c r="AD1020" s="7">
        <f t="shared" si="110"/>
        <v>4</v>
      </c>
      <c r="AE1020" s="7">
        <f>COUNTIF(A:A,A1020)</f>
        <v>1</v>
      </c>
      <c r="AF1020" s="7" t="str">
        <f t="shared" si="111"/>
        <v/>
      </c>
    </row>
    <row r="1021" spans="1:32">
      <c r="A1021" t="s">
        <v>3023</v>
      </c>
      <c r="B1021">
        <v>53239383</v>
      </c>
      <c r="C1021" t="s">
        <v>578</v>
      </c>
      <c r="D1021" t="s">
        <v>533</v>
      </c>
      <c r="F1021" t="s">
        <v>160</v>
      </c>
      <c r="G1021" t="s">
        <v>121</v>
      </c>
      <c r="I1021" t="s">
        <v>3376</v>
      </c>
      <c r="J1021">
        <v>9005.41</v>
      </c>
      <c r="K1021" t="s">
        <v>39</v>
      </c>
      <c r="L1021" t="s">
        <v>48</v>
      </c>
      <c r="M1021" s="1">
        <v>44156.995833333334</v>
      </c>
      <c r="N1021">
        <v>74</v>
      </c>
      <c r="O1021" t="s">
        <v>55</v>
      </c>
      <c r="P1021" t="s">
        <v>36</v>
      </c>
      <c r="Q1021" t="s">
        <v>3024</v>
      </c>
      <c r="R1021">
        <f t="shared" si="105"/>
        <v>53239383</v>
      </c>
      <c r="S1021" t="str" cm="1">
        <f t="array" ref="S1021">IF(C1021="",IFERROR(INDEX($C$2:$C$1166,MATCH(MAX(COUNTIF($C$2:$C$1166,$C$2:$C$1166)),COUNTIF($C$2:$C$1166,$C$2:$C$1166),0)),"Unknown"),C1021)</f>
        <v>Sanjay Moore</v>
      </c>
      <c r="T1021" s="4" t="str" cm="1">
        <f t="array" ref="T1021">IF(D1021="",IFERROR(INDEX($D$2:$D$1000,MATCH(MAX(COUNTIF($D$2:$D$1166,$D$2:$D$1166)),COUNTIF($D$2:$D$1166,$D$2:$D$1166),0)),"Unknown"),D1021)</f>
        <v>Priya Silva</v>
      </c>
      <c r="U1021" t="str">
        <f t="shared" si="106"/>
        <v>aud</v>
      </c>
      <c r="V1021" s="7" t="str">
        <f t="shared" si="106"/>
        <v>INR</v>
      </c>
      <c r="W1021" s="7" t="str">
        <f t="shared" si="107"/>
        <v>UK</v>
      </c>
      <c r="X1021" s="7" t="str">
        <f t="shared" si="107"/>
        <v>Germany</v>
      </c>
      <c r="Y1021" s="7" t="str" cm="1">
        <f t="array" ref="Y1021">IF(H1021="",IFERROR(INDEX($H$2:$H$1166,MATCH(MAX(COUNTIF($H$2:$H$1166,$H$2:$H$1166)),COUNTIF($H$2:$H$1166,$H$2:$H$1166),0)),"Unknown"),H1021)</f>
        <v>Pending</v>
      </c>
      <c r="Z1021" s="7" t="str">
        <f t="shared" si="108"/>
        <v>Internal</v>
      </c>
      <c r="AA1021" s="7">
        <f>IF(J1021="",AVERAGE($J:$J),J1021)</f>
        <v>9005.41</v>
      </c>
      <c r="AB1021" s="7">
        <f>IF(N1021="",AVERAGE($N:$N),N1021)</f>
        <v>74</v>
      </c>
      <c r="AC1021" s="7">
        <f t="shared" si="109"/>
        <v>2020</v>
      </c>
      <c r="AD1021" s="7">
        <f t="shared" si="110"/>
        <v>11</v>
      </c>
      <c r="AE1021" s="7">
        <f>COUNTIF(A:A,A1021)</f>
        <v>1</v>
      </c>
      <c r="AF1021" s="7" t="str">
        <f t="shared" si="111"/>
        <v/>
      </c>
    </row>
    <row r="1022" spans="1:32">
      <c r="A1022" t="s">
        <v>3025</v>
      </c>
      <c r="B1022">
        <v>33734184</v>
      </c>
      <c r="C1022" t="s">
        <v>1508</v>
      </c>
      <c r="D1022" t="s">
        <v>1505</v>
      </c>
      <c r="G1022" t="s">
        <v>92</v>
      </c>
      <c r="H1022" t="s">
        <v>74</v>
      </c>
      <c r="I1022" t="s">
        <v>3378</v>
      </c>
      <c r="J1022">
        <v>11275.35</v>
      </c>
      <c r="K1022" t="s">
        <v>47</v>
      </c>
      <c r="L1022" t="s">
        <v>28</v>
      </c>
      <c r="M1022" s="1">
        <v>44825.693055555559</v>
      </c>
      <c r="N1022">
        <v>48</v>
      </c>
      <c r="O1022" t="s">
        <v>68</v>
      </c>
      <c r="P1022" t="s">
        <v>23</v>
      </c>
      <c r="Q1022" t="s">
        <v>3026</v>
      </c>
      <c r="R1022">
        <f t="shared" si="105"/>
        <v>33734184</v>
      </c>
      <c r="S1022" t="str" cm="1">
        <f t="array" ref="S1022">IF(C1022="",IFERROR(INDEX($C$2:$C$1166,MATCH(MAX(COUNTIF($C$2:$C$1166,$C$2:$C$1166)),COUNTIF($C$2:$C$1166,$C$2:$C$1166),0)),"Unknown"),C1022)</f>
        <v>Carlos Brown</v>
      </c>
      <c r="T1022" s="4" t="str" cm="1">
        <f t="array" ref="T1022">IF(D1022="",IFERROR(INDEX($D$2:$D$1000,MATCH(MAX(COUNTIF($D$2:$D$1166,$D$2:$D$1166)),COUNTIF($D$2:$D$1166,$D$2:$D$1166),0)),"Unknown"),D1022)</f>
        <v>Susan Velez</v>
      </c>
      <c r="U1022" t="str">
        <f t="shared" si="106"/>
        <v/>
      </c>
      <c r="V1022" s="7" t="str">
        <f t="shared" si="106"/>
        <v>AUD</v>
      </c>
      <c r="W1022" s="7" t="str">
        <f t="shared" si="107"/>
        <v>UAE</v>
      </c>
      <c r="X1022" s="7" t="str">
        <f t="shared" si="107"/>
        <v>France</v>
      </c>
      <c r="Y1022" s="7" t="str" cm="1">
        <f t="array" ref="Y1022">IF(H1022="",IFERROR(INDEX($H$2:$H$1166,MATCH(MAX(COUNTIF($H$2:$H$1166,$H$2:$H$1166)),COUNTIF($H$2:$H$1166,$H$2:$H$1166),0)),"Unknown"),H1022)</f>
        <v>Non-KYC</v>
      </c>
      <c r="Z1022" s="7" t="str">
        <f t="shared" si="108"/>
        <v>Inter-Transaction</v>
      </c>
      <c r="AA1022" s="7">
        <f>IF(J1022="",AVERAGE($J:$J),J1022)</f>
        <v>11275.35</v>
      </c>
      <c r="AB1022" s="7">
        <f>IF(N1022="",AVERAGE($N:$N),N1022)</f>
        <v>48</v>
      </c>
      <c r="AC1022" s="7">
        <f t="shared" si="109"/>
        <v>2022</v>
      </c>
      <c r="AD1022" s="7">
        <f t="shared" si="110"/>
        <v>9</v>
      </c>
      <c r="AE1022" s="7">
        <f>COUNTIF(A:A,A1022)</f>
        <v>1</v>
      </c>
      <c r="AF1022" s="7" t="str">
        <f t="shared" si="111"/>
        <v/>
      </c>
    </row>
    <row r="1023" spans="1:32">
      <c r="A1023" t="s">
        <v>3027</v>
      </c>
      <c r="B1023">
        <v>66101245</v>
      </c>
      <c r="C1023" t="s">
        <v>1864</v>
      </c>
      <c r="D1023" t="s">
        <v>690</v>
      </c>
      <c r="F1023" t="s">
        <v>121</v>
      </c>
      <c r="G1023" t="s">
        <v>45</v>
      </c>
      <c r="H1023" t="s">
        <v>25</v>
      </c>
      <c r="I1023" t="s">
        <v>3377</v>
      </c>
      <c r="J1023">
        <v>881.44</v>
      </c>
      <c r="K1023" t="s">
        <v>86</v>
      </c>
      <c r="L1023" t="s">
        <v>48</v>
      </c>
      <c r="M1023" s="1">
        <v>44443.162499999999</v>
      </c>
      <c r="N1023">
        <v>23</v>
      </c>
      <c r="O1023" t="s">
        <v>68</v>
      </c>
      <c r="P1023" t="s">
        <v>36</v>
      </c>
      <c r="Q1023" t="s">
        <v>3028</v>
      </c>
      <c r="R1023">
        <f t="shared" si="105"/>
        <v>66101245</v>
      </c>
      <c r="S1023" t="str" cm="1">
        <f t="array" ref="S1023">IF(C1023="",IFERROR(INDEX($C$2:$C$1166,MATCH(MAX(COUNTIF($C$2:$C$1166,$C$2:$C$1166)),COUNTIF($C$2:$C$1166,$C$2:$C$1166),0)),"Unknown"),C1023)</f>
        <v>Patricia Velez</v>
      </c>
      <c r="T1023" s="4" t="str" cm="1">
        <f t="array" ref="T1023">IF(D1023="",IFERROR(INDEX($D$2:$D$1000,MATCH(MAX(COUNTIF($D$2:$D$1166,$D$2:$D$1166)),COUNTIF($D$2:$D$1166,$D$2:$D$1166),0)),"Unknown"),D1023)</f>
        <v>Christopher Johnson</v>
      </c>
      <c r="U1023" t="str">
        <f t="shared" si="106"/>
        <v>INR</v>
      </c>
      <c r="V1023" s="7" t="str">
        <f t="shared" si="106"/>
        <v>ZAR</v>
      </c>
      <c r="W1023" s="7" t="str">
        <f t="shared" si="107"/>
        <v>UAE</v>
      </c>
      <c r="X1023" s="7" t="str">
        <f t="shared" si="107"/>
        <v>Germany</v>
      </c>
      <c r="Y1023" s="7" t="str" cm="1">
        <f t="array" ref="Y1023">IF(H1023="",IFERROR(INDEX($H$2:$H$1166,MATCH(MAX(COUNTIF($H$2:$H$1166,$H$2:$H$1166)),COUNTIF($H$2:$H$1166,$H$2:$H$1166),0)),"Unknown"),H1023)</f>
        <v>KYC</v>
      </c>
      <c r="Z1023" s="7" t="str">
        <f t="shared" si="108"/>
        <v>Inter-Transaction</v>
      </c>
      <c r="AA1023" s="7">
        <f>IF(J1023="",AVERAGE($J:$J),J1023)</f>
        <v>881.44</v>
      </c>
      <c r="AB1023" s="7">
        <f>IF(N1023="",AVERAGE($N:$N),N1023)</f>
        <v>23</v>
      </c>
      <c r="AC1023" s="7">
        <f t="shared" si="109"/>
        <v>2021</v>
      </c>
      <c r="AD1023" s="7">
        <f t="shared" si="110"/>
        <v>9</v>
      </c>
      <c r="AE1023" s="7">
        <f>COUNTIF(A:A,A1023)</f>
        <v>1</v>
      </c>
      <c r="AF1023" s="7" t="str">
        <f t="shared" si="111"/>
        <v/>
      </c>
    </row>
    <row r="1024" spans="1:32">
      <c r="A1024" t="s">
        <v>3029</v>
      </c>
      <c r="B1024">
        <v>18588637</v>
      </c>
      <c r="C1024" t="s">
        <v>3030</v>
      </c>
      <c r="D1024" t="s">
        <v>601</v>
      </c>
      <c r="F1024" t="s">
        <v>53</v>
      </c>
      <c r="G1024" t="s">
        <v>80</v>
      </c>
      <c r="H1024" t="s">
        <v>103</v>
      </c>
      <c r="I1024" t="s">
        <v>3378</v>
      </c>
      <c r="J1024">
        <v>10907.08</v>
      </c>
      <c r="K1024" t="s">
        <v>47</v>
      </c>
      <c r="L1024" t="s">
        <v>48</v>
      </c>
      <c r="M1024" s="1">
        <v>44426.507638888892</v>
      </c>
      <c r="N1024">
        <v>57</v>
      </c>
      <c r="O1024" t="s">
        <v>24</v>
      </c>
      <c r="P1024" t="s">
        <v>37</v>
      </c>
      <c r="Q1024" t="s">
        <v>3031</v>
      </c>
      <c r="R1024">
        <f t="shared" si="105"/>
        <v>18588637</v>
      </c>
      <c r="S1024" t="str" cm="1">
        <f t="array" ref="S1024">IF(C1024="",IFERROR(INDEX($C$2:$C$1166,MATCH(MAX(COUNTIF($C$2:$C$1166,$C$2:$C$1166)),COUNTIF($C$2:$C$1166,$C$2:$C$1166),0)),"Unknown"),C1024)</f>
        <v>Charles Al-Sayed</v>
      </c>
      <c r="T1024" s="4" t="str" cm="1">
        <f t="array" ref="T1024">IF(D1024="",IFERROR(INDEX($D$2:$D$1000,MATCH(MAX(COUNTIF($D$2:$D$1166,$D$2:$D$1166)),COUNTIF($D$2:$D$1166,$D$2:$D$1166),0)),"Unknown"),D1024)</f>
        <v>Susan Lopez</v>
      </c>
      <c r="U1024" t="str">
        <f t="shared" si="106"/>
        <v>AED</v>
      </c>
      <c r="V1024" s="7" t="str">
        <f t="shared" si="106"/>
        <v>USD</v>
      </c>
      <c r="W1024" s="7" t="str">
        <f t="shared" si="107"/>
        <v>Brazil</v>
      </c>
      <c r="X1024" s="7" t="str">
        <f t="shared" si="107"/>
        <v>South Africa</v>
      </c>
      <c r="Y1024" s="7" t="str" cm="1">
        <f t="array" ref="Y1024">IF(H1024="",IFERROR(INDEX($H$2:$H$1166,MATCH(MAX(COUNTIF($H$2:$H$1166,$H$2:$H$1166)),COUNTIF($H$2:$H$1166,$H$2:$H$1166),0)),"Unknown"),H1024)</f>
        <v>Verified</v>
      </c>
      <c r="Z1024" s="7" t="str">
        <f t="shared" si="108"/>
        <v>Inter-Transaction</v>
      </c>
      <c r="AA1024" s="7">
        <f>IF(J1024="",AVERAGE($J:$J),J1024)</f>
        <v>10907.08</v>
      </c>
      <c r="AB1024" s="7">
        <f>IF(N1024="",AVERAGE($N:$N),N1024)</f>
        <v>57</v>
      </c>
      <c r="AC1024" s="7">
        <f t="shared" si="109"/>
        <v>2021</v>
      </c>
      <c r="AD1024" s="7">
        <f t="shared" si="110"/>
        <v>8</v>
      </c>
      <c r="AE1024" s="7">
        <f>COUNTIF(A:A,A1024)</f>
        <v>1</v>
      </c>
      <c r="AF1024" s="7" t="str">
        <f t="shared" si="111"/>
        <v/>
      </c>
    </row>
    <row r="1025" spans="1:32">
      <c r="A1025" t="s">
        <v>3032</v>
      </c>
      <c r="B1025">
        <v>48872850</v>
      </c>
      <c r="C1025" t="s">
        <v>1578</v>
      </c>
      <c r="D1025" t="s">
        <v>1296</v>
      </c>
      <c r="F1025" t="s">
        <v>80</v>
      </c>
      <c r="G1025" t="s">
        <v>22</v>
      </c>
      <c r="H1025" t="s">
        <v>25</v>
      </c>
      <c r="I1025" t="s">
        <v>3377</v>
      </c>
      <c r="J1025">
        <v>10054.5</v>
      </c>
      <c r="K1025" t="s">
        <v>39</v>
      </c>
      <c r="L1025" t="s">
        <v>81</v>
      </c>
      <c r="M1025" s="1">
        <v>44751.013888888891</v>
      </c>
      <c r="N1025">
        <v>29</v>
      </c>
      <c r="O1025" t="s">
        <v>24</v>
      </c>
      <c r="P1025" t="s">
        <v>23</v>
      </c>
      <c r="Q1025" t="s">
        <v>3033</v>
      </c>
      <c r="R1025">
        <f t="shared" si="105"/>
        <v>48872850</v>
      </c>
      <c r="S1025" t="str" cm="1">
        <f t="array" ref="S1025">IF(C1025="",IFERROR(INDEX($C$2:$C$1166,MATCH(MAX(COUNTIF($C$2:$C$1166,$C$2:$C$1166)),COUNTIF($C$2:$C$1166,$C$2:$C$1166),0)),"Unknown"),C1025)</f>
        <v>Thomas Al-Sayed</v>
      </c>
      <c r="T1025" s="4" t="str" cm="1">
        <f t="array" ref="T1025">IF(D1025="",IFERROR(INDEX($D$2:$D$1000,MATCH(MAX(COUNTIF($D$2:$D$1166,$D$2:$D$1166)),COUNTIF($D$2:$D$1166,$D$2:$D$1166),0)),"Unknown"),D1025)</f>
        <v>Barbara Khan</v>
      </c>
      <c r="U1025" t="str">
        <f t="shared" si="106"/>
        <v>USD</v>
      </c>
      <c r="V1025" s="7" t="str">
        <f t="shared" si="106"/>
        <v>BRL</v>
      </c>
      <c r="W1025" s="7" t="str">
        <f t="shared" si="107"/>
        <v>Brazil</v>
      </c>
      <c r="X1025" s="7" t="str">
        <f t="shared" si="107"/>
        <v>France</v>
      </c>
      <c r="Y1025" s="7" t="str" cm="1">
        <f t="array" ref="Y1025">IF(H1025="",IFERROR(INDEX($H$2:$H$1166,MATCH(MAX(COUNTIF($H$2:$H$1166,$H$2:$H$1166)),COUNTIF($H$2:$H$1166,$H$2:$H$1166),0)),"Unknown"),H1025)</f>
        <v>KYC</v>
      </c>
      <c r="Z1025" s="7" t="str">
        <f t="shared" si="108"/>
        <v>Inter-Transaction</v>
      </c>
      <c r="AA1025" s="7">
        <f>IF(J1025="",AVERAGE($J:$J),J1025)</f>
        <v>10054.5</v>
      </c>
      <c r="AB1025" s="7">
        <f>IF(N1025="",AVERAGE($N:$N),N1025)</f>
        <v>29</v>
      </c>
      <c r="AC1025" s="7">
        <f t="shared" si="109"/>
        <v>2022</v>
      </c>
      <c r="AD1025" s="7">
        <f t="shared" si="110"/>
        <v>7</v>
      </c>
      <c r="AE1025" s="7">
        <f>COUNTIF(A:A,A1025)</f>
        <v>1</v>
      </c>
      <c r="AF1025" s="7" t="str">
        <f t="shared" si="111"/>
        <v/>
      </c>
    </row>
    <row r="1026" spans="1:32">
      <c r="A1026" t="s">
        <v>3034</v>
      </c>
      <c r="B1026">
        <v>13557133</v>
      </c>
      <c r="C1026" t="s">
        <v>2111</v>
      </c>
      <c r="F1026" t="s">
        <v>22</v>
      </c>
      <c r="G1026" t="s">
        <v>45</v>
      </c>
      <c r="H1026" t="s">
        <v>25</v>
      </c>
      <c r="I1026" t="s">
        <v>3371</v>
      </c>
      <c r="J1026">
        <v>1989.36</v>
      </c>
      <c r="K1026" t="s">
        <v>86</v>
      </c>
      <c r="L1026" t="s">
        <v>28</v>
      </c>
      <c r="M1026" s="1">
        <v>44672.763888888891</v>
      </c>
      <c r="N1026">
        <v>70</v>
      </c>
      <c r="O1026" t="s">
        <v>54</v>
      </c>
      <c r="P1026" t="s">
        <v>37</v>
      </c>
      <c r="Q1026" t="s">
        <v>3035</v>
      </c>
      <c r="R1026">
        <f t="shared" ref="R1026:R1089" si="112">IF(B1026="",0,B1026)</f>
        <v>13557133</v>
      </c>
      <c r="S1026" t="str" cm="1">
        <f t="array" ref="S1026">IF(C1026="",IFERROR(INDEX($C$2:$C$1166,MATCH(MAX(COUNTIF($C$2:$C$1166,$C$2:$C$1166)),COUNTIF($C$2:$C$1166,$C$2:$C$1166),0)),"Unknown"),C1026)</f>
        <v>Lucas Jackson</v>
      </c>
      <c r="T1026" s="4" t="str" cm="1">
        <f t="array" ref="T1026">IF(D1026="",IFERROR(INDEX($D$2:$D$1000,MATCH(MAX(COUNTIF($D$2:$D$1166,$D$2:$D$1166)),COUNTIF($D$2:$D$1166,$D$2:$D$1166),0)),"Unknown"),D1026)</f>
        <v>Patricia Smith</v>
      </c>
      <c r="U1026" t="str">
        <f t="shared" ref="U1026:V1089" si="113">TRIM(F1026)</f>
        <v>BRL</v>
      </c>
      <c r="V1026" s="7" t="str">
        <f t="shared" si="113"/>
        <v>ZAR</v>
      </c>
      <c r="W1026" s="7" t="str">
        <f t="shared" ref="W1026:X1089" si="114">TRIM(O1026)</f>
        <v>India</v>
      </c>
      <c r="X1026" s="7" t="str">
        <f t="shared" si="114"/>
        <v>South Africa</v>
      </c>
      <c r="Y1026" s="7" t="str" cm="1">
        <f t="array" ref="Y1026">IF(H1026="",IFERROR(INDEX($H$2:$H$1166,MATCH(MAX(COUNTIF($H$2:$H$1166,$H$2:$H$1166)),COUNTIF($H$2:$H$1166,$H$2:$H$1166),0)),"Unknown"),H1026)</f>
        <v>KYC</v>
      </c>
      <c r="Z1026" s="7" t="str">
        <f t="shared" ref="Z1026:Z1089" si="115">PROPER(I1026)</f>
        <v>Outer-Transaction</v>
      </c>
      <c r="AA1026" s="7">
        <f>IF(J1026="",AVERAGE($J:$J),J1026)</f>
        <v>1989.36</v>
      </c>
      <c r="AB1026" s="7">
        <f>IF(N1026="",AVERAGE($N:$N),N1026)</f>
        <v>70</v>
      </c>
      <c r="AC1026" s="7">
        <f t="shared" ref="AC1026:AC1089" si="116">YEAR(M1026)</f>
        <v>2022</v>
      </c>
      <c r="AD1026" s="7">
        <f t="shared" ref="AD1026:AD1089" si="117">MONTH(M1026)</f>
        <v>4</v>
      </c>
      <c r="AE1026" s="7">
        <f>COUNTIF(A:A,A1026)</f>
        <v>1</v>
      </c>
      <c r="AF1026" s="7" t="str">
        <f t="shared" ref="AF1026:AF1089" si="118">IF(E1026="","",IF(OR(E1026="Yes",E1026="Y",E1026="TRUE",E1026=1),"Yes","No"))</f>
        <v/>
      </c>
    </row>
    <row r="1027" spans="1:32">
      <c r="A1027" t="s">
        <v>3036</v>
      </c>
      <c r="B1027">
        <v>55003155</v>
      </c>
      <c r="C1027" t="s">
        <v>2214</v>
      </c>
      <c r="D1027" t="s">
        <v>2221</v>
      </c>
      <c r="F1027" t="s">
        <v>35</v>
      </c>
      <c r="G1027" t="s">
        <v>98</v>
      </c>
      <c r="I1027" t="s">
        <v>3378</v>
      </c>
      <c r="J1027">
        <v>9710.35</v>
      </c>
      <c r="K1027" t="s">
        <v>57</v>
      </c>
      <c r="L1027" t="s">
        <v>81</v>
      </c>
      <c r="M1027" s="1">
        <v>45056.803472222222</v>
      </c>
      <c r="N1027">
        <v>27</v>
      </c>
      <c r="O1027" t="s">
        <v>23</v>
      </c>
      <c r="P1027" t="s">
        <v>55</v>
      </c>
      <c r="Q1027" t="s">
        <v>3037</v>
      </c>
      <c r="R1027">
        <f t="shared" si="112"/>
        <v>55003155</v>
      </c>
      <c r="S1027" t="str" cm="1">
        <f t="array" ref="S1027">IF(C1027="",IFERROR(INDEX($C$2:$C$1166,MATCH(MAX(COUNTIF($C$2:$C$1166,$C$2:$C$1166)),COUNTIF($C$2:$C$1166,$C$2:$C$1166),0)),"Unknown"),C1027)</f>
        <v>Elizabeth Jones</v>
      </c>
      <c r="T1027" s="4" t="str" cm="1">
        <f t="array" ref="T1027">IF(D1027="",IFERROR(INDEX($D$2:$D$1000,MATCH(MAX(COUNTIF($D$2:$D$1166,$D$2:$D$1166)),COUNTIF($D$2:$D$1166,$D$2:$D$1166),0)),"Unknown"),D1027)</f>
        <v>Michael Miller</v>
      </c>
      <c r="U1027" t="str">
        <f t="shared" si="113"/>
        <v>EUR</v>
      </c>
      <c r="V1027" s="7" t="str">
        <f t="shared" si="113"/>
        <v>JPY</v>
      </c>
      <c r="W1027" s="7" t="str">
        <f t="shared" si="114"/>
        <v>France</v>
      </c>
      <c r="X1027" s="7" t="str">
        <f t="shared" si="114"/>
        <v>UK</v>
      </c>
      <c r="Y1027" s="7" t="str" cm="1">
        <f t="array" ref="Y1027">IF(H1027="",IFERROR(INDEX($H$2:$H$1166,MATCH(MAX(COUNTIF($H$2:$H$1166,$H$2:$H$1166)),COUNTIF($H$2:$H$1166,$H$2:$H$1166),0)),"Unknown"),H1027)</f>
        <v>Pending</v>
      </c>
      <c r="Z1027" s="7" t="str">
        <f t="shared" si="115"/>
        <v>Inter-Transaction</v>
      </c>
      <c r="AA1027" s="7">
        <f>IF(J1027="",AVERAGE($J:$J),J1027)</f>
        <v>9710.35</v>
      </c>
      <c r="AB1027" s="7">
        <f>IF(N1027="",AVERAGE($N:$N),N1027)</f>
        <v>27</v>
      </c>
      <c r="AC1027" s="7">
        <f t="shared" si="116"/>
        <v>2023</v>
      </c>
      <c r="AD1027" s="7">
        <f t="shared" si="117"/>
        <v>5</v>
      </c>
      <c r="AE1027" s="7">
        <f>COUNTIF(A:A,A1027)</f>
        <v>1</v>
      </c>
      <c r="AF1027" s="7" t="str">
        <f t="shared" si="118"/>
        <v/>
      </c>
    </row>
    <row r="1028" spans="1:32">
      <c r="A1028" t="s">
        <v>3038</v>
      </c>
      <c r="B1028">
        <v>42862031</v>
      </c>
      <c r="C1028" t="s">
        <v>3039</v>
      </c>
      <c r="D1028" t="s">
        <v>243</v>
      </c>
      <c r="F1028" t="s">
        <v>116</v>
      </c>
      <c r="G1028" t="s">
        <v>98</v>
      </c>
      <c r="H1028" t="s">
        <v>74</v>
      </c>
      <c r="I1028" t="s">
        <v>3378</v>
      </c>
      <c r="J1028">
        <v>6565.93</v>
      </c>
      <c r="K1028" t="s">
        <v>27</v>
      </c>
      <c r="L1028" t="s">
        <v>81</v>
      </c>
      <c r="M1028" s="1">
        <v>44174.45208333333</v>
      </c>
      <c r="N1028">
        <v>62</v>
      </c>
      <c r="O1028" t="s">
        <v>23</v>
      </c>
      <c r="P1028" t="s">
        <v>62</v>
      </c>
      <c r="Q1028" t="s">
        <v>3040</v>
      </c>
      <c r="R1028">
        <f t="shared" si="112"/>
        <v>42862031</v>
      </c>
      <c r="S1028" t="str" cm="1">
        <f t="array" ref="S1028">IF(C1028="",IFERROR(INDEX($C$2:$C$1166,MATCH(MAX(COUNTIF($C$2:$C$1166,$C$2:$C$1166)),COUNTIF($C$2:$C$1166,$C$2:$C$1166),0)),"Unknown"),C1028)</f>
        <v>Thomas Khan</v>
      </c>
      <c r="T1028" s="4" t="str" cm="1">
        <f t="array" ref="T1028">IF(D1028="",IFERROR(INDEX($D$2:$D$1000,MATCH(MAX(COUNTIF($D$2:$D$1166,$D$2:$D$1166)),COUNTIF($D$2:$D$1166,$D$2:$D$1166),0)),"Unknown"),D1028)</f>
        <v>Richard Dubois</v>
      </c>
      <c r="U1028" t="str">
        <f t="shared" si="113"/>
        <v>CHF</v>
      </c>
      <c r="V1028" s="7" t="str">
        <f t="shared" si="113"/>
        <v>JPY</v>
      </c>
      <c r="W1028" s="7" t="str">
        <f t="shared" si="114"/>
        <v>France</v>
      </c>
      <c r="X1028" s="7" t="str">
        <f t="shared" si="114"/>
        <v>Australia</v>
      </c>
      <c r="Y1028" s="7" t="str" cm="1">
        <f t="array" ref="Y1028">IF(H1028="",IFERROR(INDEX($H$2:$H$1166,MATCH(MAX(COUNTIF($H$2:$H$1166,$H$2:$H$1166)),COUNTIF($H$2:$H$1166,$H$2:$H$1166),0)),"Unknown"),H1028)</f>
        <v>Non-KYC</v>
      </c>
      <c r="Z1028" s="7" t="str">
        <f t="shared" si="115"/>
        <v>Inter-Transaction</v>
      </c>
      <c r="AA1028" s="7">
        <f>IF(J1028="",AVERAGE($J:$J),J1028)</f>
        <v>6565.93</v>
      </c>
      <c r="AB1028" s="7">
        <f>IF(N1028="",AVERAGE($N:$N),N1028)</f>
        <v>62</v>
      </c>
      <c r="AC1028" s="7">
        <f t="shared" si="116"/>
        <v>2020</v>
      </c>
      <c r="AD1028" s="7">
        <f t="shared" si="117"/>
        <v>12</v>
      </c>
      <c r="AE1028" s="7">
        <f>COUNTIF(A:A,A1028)</f>
        <v>1</v>
      </c>
      <c r="AF1028" s="7" t="str">
        <f t="shared" si="118"/>
        <v/>
      </c>
    </row>
    <row r="1029" spans="1:32">
      <c r="A1029" t="s">
        <v>3041</v>
      </c>
      <c r="B1029">
        <v>37072445</v>
      </c>
      <c r="C1029" t="s">
        <v>1073</v>
      </c>
      <c r="D1029" t="s">
        <v>1815</v>
      </c>
      <c r="F1029" t="s">
        <v>35</v>
      </c>
      <c r="G1029" t="s">
        <v>34</v>
      </c>
      <c r="I1029" t="s">
        <v>3377</v>
      </c>
      <c r="J1029">
        <v>12219.73</v>
      </c>
      <c r="K1029" t="s">
        <v>57</v>
      </c>
      <c r="L1029" t="s">
        <v>48</v>
      </c>
      <c r="M1029" s="1">
        <v>45707.116666666669</v>
      </c>
      <c r="N1029">
        <v>34</v>
      </c>
      <c r="O1029" t="s">
        <v>23</v>
      </c>
      <c r="P1029" t="s">
        <v>37</v>
      </c>
      <c r="Q1029" t="s">
        <v>3042</v>
      </c>
      <c r="R1029">
        <f t="shared" si="112"/>
        <v>37072445</v>
      </c>
      <c r="S1029" t="str" cm="1">
        <f t="array" ref="S1029">IF(C1029="",IFERROR(INDEX($C$2:$C$1166,MATCH(MAX(COUNTIF($C$2:$C$1166,$C$2:$C$1166)),COUNTIF($C$2:$C$1166,$C$2:$C$1166),0)),"Unknown"),C1029)</f>
        <v>Lucas Velez</v>
      </c>
      <c r="T1029" s="4" t="str" cm="1">
        <f t="array" ref="T1029">IF(D1029="",IFERROR(INDEX($D$2:$D$1000,MATCH(MAX(COUNTIF($D$2:$D$1166,$D$2:$D$1166)),COUNTIF($D$2:$D$1166,$D$2:$D$1166),0)),"Unknown"),D1029)</f>
        <v>Sarah Wilson</v>
      </c>
      <c r="U1029" t="str">
        <f t="shared" si="113"/>
        <v>EUR</v>
      </c>
      <c r="V1029" s="7" t="str">
        <f t="shared" si="113"/>
        <v>CAD</v>
      </c>
      <c r="W1029" s="7" t="str">
        <f t="shared" si="114"/>
        <v>France</v>
      </c>
      <c r="X1029" s="7" t="str">
        <f t="shared" si="114"/>
        <v>South Africa</v>
      </c>
      <c r="Y1029" s="7" t="str" cm="1">
        <f t="array" ref="Y1029">IF(H1029="",IFERROR(INDEX($H$2:$H$1166,MATCH(MAX(COUNTIF($H$2:$H$1166,$H$2:$H$1166)),COUNTIF($H$2:$H$1166,$H$2:$H$1166),0)),"Unknown"),H1029)</f>
        <v>Pending</v>
      </c>
      <c r="Z1029" s="7" t="str">
        <f t="shared" si="115"/>
        <v>Inter-Transaction</v>
      </c>
      <c r="AA1029" s="7">
        <f>IF(J1029="",AVERAGE($J:$J),J1029)</f>
        <v>12219.73</v>
      </c>
      <c r="AB1029" s="7">
        <f>IF(N1029="",AVERAGE($N:$N),N1029)</f>
        <v>34</v>
      </c>
      <c r="AC1029" s="7">
        <f t="shared" si="116"/>
        <v>2025</v>
      </c>
      <c r="AD1029" s="7">
        <f t="shared" si="117"/>
        <v>2</v>
      </c>
      <c r="AE1029" s="7">
        <f>COUNTIF(A:A,A1029)</f>
        <v>1</v>
      </c>
      <c r="AF1029" s="7" t="str">
        <f t="shared" si="118"/>
        <v/>
      </c>
    </row>
    <row r="1030" spans="1:32">
      <c r="A1030" t="s">
        <v>3043</v>
      </c>
      <c r="B1030">
        <v>29394450</v>
      </c>
      <c r="C1030" t="s">
        <v>731</v>
      </c>
      <c r="D1030" t="s">
        <v>1483</v>
      </c>
      <c r="F1030" t="s">
        <v>121</v>
      </c>
      <c r="G1030" t="s">
        <v>121</v>
      </c>
      <c r="H1030" t="s">
        <v>38</v>
      </c>
      <c r="I1030" t="s">
        <v>3372</v>
      </c>
      <c r="J1030">
        <v>14661.64</v>
      </c>
      <c r="K1030" t="s">
        <v>57</v>
      </c>
      <c r="L1030" t="s">
        <v>81</v>
      </c>
      <c r="M1030" s="1">
        <v>44689.479861111111</v>
      </c>
      <c r="N1030">
        <v>43</v>
      </c>
      <c r="O1030" t="s">
        <v>54</v>
      </c>
      <c r="P1030" t="s">
        <v>54</v>
      </c>
      <c r="Q1030" t="s">
        <v>3044</v>
      </c>
      <c r="R1030">
        <f t="shared" si="112"/>
        <v>29394450</v>
      </c>
      <c r="S1030" t="str" cm="1">
        <f t="array" ref="S1030">IF(C1030="",IFERROR(INDEX($C$2:$C$1166,MATCH(MAX(COUNTIF($C$2:$C$1166,$C$2:$C$1166)),COUNTIF($C$2:$C$1166,$C$2:$C$1166),0)),"Unknown"),C1030)</f>
        <v>Sarah Garcia</v>
      </c>
      <c r="T1030" s="4" t="str" cm="1">
        <f t="array" ref="T1030">IF(D1030="",IFERROR(INDEX($D$2:$D$1000,MATCH(MAX(COUNTIF($D$2:$D$1166,$D$2:$D$1166)),COUNTIF($D$2:$D$1166,$D$2:$D$1166),0)),"Unknown"),D1030)</f>
        <v>David Hernandez</v>
      </c>
      <c r="U1030" t="str">
        <f t="shared" si="113"/>
        <v>INR</v>
      </c>
      <c r="V1030" s="7" t="str">
        <f t="shared" si="113"/>
        <v>INR</v>
      </c>
      <c r="W1030" s="7" t="str">
        <f t="shared" si="114"/>
        <v>India</v>
      </c>
      <c r="X1030" s="7" t="str">
        <f t="shared" si="114"/>
        <v>India</v>
      </c>
      <c r="Y1030" s="7" t="str" cm="1">
        <f t="array" ref="Y1030">IF(H1030="",IFERROR(INDEX($H$2:$H$1166,MATCH(MAX(COUNTIF($H$2:$H$1166,$H$2:$H$1166)),COUNTIF($H$2:$H$1166,$H$2:$H$1166),0)),"Unknown"),H1030)</f>
        <v>Pending</v>
      </c>
      <c r="Z1030" s="7" t="str">
        <f t="shared" si="115"/>
        <v>Outer-Transaction</v>
      </c>
      <c r="AA1030" s="7">
        <f>IF(J1030="",AVERAGE($J:$J),J1030)</f>
        <v>14661.64</v>
      </c>
      <c r="AB1030" s="7">
        <f>IF(N1030="",AVERAGE($N:$N),N1030)</f>
        <v>43</v>
      </c>
      <c r="AC1030" s="7">
        <f t="shared" si="116"/>
        <v>2022</v>
      </c>
      <c r="AD1030" s="7">
        <f t="shared" si="117"/>
        <v>5</v>
      </c>
      <c r="AE1030" s="7">
        <f>COUNTIF(A:A,A1030)</f>
        <v>1</v>
      </c>
      <c r="AF1030" s="7" t="str">
        <f t="shared" si="118"/>
        <v/>
      </c>
    </row>
    <row r="1031" spans="1:32">
      <c r="A1031" t="s">
        <v>3045</v>
      </c>
      <c r="B1031">
        <v>12909870</v>
      </c>
      <c r="C1031" t="s">
        <v>1676</v>
      </c>
      <c r="D1031" t="s">
        <v>188</v>
      </c>
      <c r="F1031" t="s">
        <v>92</v>
      </c>
      <c r="G1031" t="s">
        <v>116</v>
      </c>
      <c r="H1031" t="s">
        <v>25</v>
      </c>
      <c r="I1031" t="s">
        <v>3371</v>
      </c>
      <c r="J1031">
        <v>12278.17</v>
      </c>
      <c r="K1031" t="s">
        <v>86</v>
      </c>
      <c r="L1031" t="s">
        <v>81</v>
      </c>
      <c r="M1031" s="1">
        <v>45254.402083333334</v>
      </c>
      <c r="N1031">
        <v>79</v>
      </c>
      <c r="O1031" t="s">
        <v>93</v>
      </c>
      <c r="P1031" t="s">
        <v>36</v>
      </c>
      <c r="Q1031" t="s">
        <v>3046</v>
      </c>
      <c r="R1031">
        <f t="shared" si="112"/>
        <v>12909870</v>
      </c>
      <c r="S1031" t="str" cm="1">
        <f t="array" ref="S1031">IF(C1031="",IFERROR(INDEX($C$2:$C$1166,MATCH(MAX(COUNTIF($C$2:$C$1166,$C$2:$C$1166)),COUNTIF($C$2:$C$1166,$C$2:$C$1166),0)),"Unknown"),C1031)</f>
        <v>Barbara Wilson</v>
      </c>
      <c r="T1031" s="4" t="str" cm="1">
        <f t="array" ref="T1031">IF(D1031="",IFERROR(INDEX($D$2:$D$1000,MATCH(MAX(COUNTIF($D$2:$D$1166,$D$2:$D$1166)),COUNTIF($D$2:$D$1166,$D$2:$D$1166),0)),"Unknown"),D1031)</f>
        <v>Sanjay Jones</v>
      </c>
      <c r="U1031" t="str">
        <f t="shared" si="113"/>
        <v>AUD</v>
      </c>
      <c r="V1031" s="7" t="str">
        <f t="shared" si="113"/>
        <v>CHF</v>
      </c>
      <c r="W1031" s="7" t="str">
        <f t="shared" si="114"/>
        <v>USA</v>
      </c>
      <c r="X1031" s="7" t="str">
        <f t="shared" si="114"/>
        <v>Germany</v>
      </c>
      <c r="Y1031" s="7" t="str" cm="1">
        <f t="array" ref="Y1031">IF(H1031="",IFERROR(INDEX($H$2:$H$1166,MATCH(MAX(COUNTIF($H$2:$H$1166,$H$2:$H$1166)),COUNTIF($H$2:$H$1166,$H$2:$H$1166),0)),"Unknown"),H1031)</f>
        <v>KYC</v>
      </c>
      <c r="Z1031" s="7" t="str">
        <f t="shared" si="115"/>
        <v>Outer-Transaction</v>
      </c>
      <c r="AA1031" s="7">
        <f>IF(J1031="",AVERAGE($J:$J),J1031)</f>
        <v>12278.17</v>
      </c>
      <c r="AB1031" s="7">
        <f>IF(N1031="",AVERAGE($N:$N),N1031)</f>
        <v>79</v>
      </c>
      <c r="AC1031" s="7">
        <f t="shared" si="116"/>
        <v>2023</v>
      </c>
      <c r="AD1031" s="7">
        <f t="shared" si="117"/>
        <v>11</v>
      </c>
      <c r="AE1031" s="7">
        <f>COUNTIF(A:A,A1031)</f>
        <v>1</v>
      </c>
      <c r="AF1031" s="7" t="str">
        <f t="shared" si="118"/>
        <v/>
      </c>
    </row>
    <row r="1032" spans="1:32">
      <c r="A1032" t="s">
        <v>3047</v>
      </c>
      <c r="B1032">
        <v>69169839</v>
      </c>
      <c r="C1032" t="s">
        <v>3048</v>
      </c>
      <c r="D1032" t="s">
        <v>705</v>
      </c>
      <c r="F1032" t="s">
        <v>176</v>
      </c>
      <c r="G1032" t="s">
        <v>21</v>
      </c>
      <c r="H1032" t="s">
        <v>25</v>
      </c>
      <c r="I1032" t="s">
        <v>3371</v>
      </c>
      <c r="J1032">
        <v>2218.69</v>
      </c>
      <c r="K1032" t="s">
        <v>47</v>
      </c>
      <c r="L1032" t="s">
        <v>75</v>
      </c>
      <c r="M1032" s="1">
        <v>44275.586111111108</v>
      </c>
      <c r="N1032">
        <v>63</v>
      </c>
      <c r="O1032" t="s">
        <v>68</v>
      </c>
      <c r="P1032" t="s">
        <v>68</v>
      </c>
      <c r="Q1032" t="s">
        <v>3049</v>
      </c>
      <c r="R1032">
        <f t="shared" si="112"/>
        <v>69169839</v>
      </c>
      <c r="S1032" t="str" cm="1">
        <f t="array" ref="S1032">IF(C1032="",IFERROR(INDEX($C$2:$C$1166,MATCH(MAX(COUNTIF($C$2:$C$1166,$C$2:$C$1166)),COUNTIF($C$2:$C$1166,$C$2:$C$1166),0)),"Unknown"),C1032)</f>
        <v>Christopher Dubois</v>
      </c>
      <c r="T1032" s="4" t="str" cm="1">
        <f t="array" ref="T1032">IF(D1032="",IFERROR(INDEX($D$2:$D$1000,MATCH(MAX(COUNTIF($D$2:$D$1166,$D$2:$D$1166)),COUNTIF($D$2:$D$1166,$D$2:$D$1166),0)),"Unknown"),D1032)</f>
        <v>William Rodriguez</v>
      </c>
      <c r="U1032" t="str">
        <f t="shared" si="113"/>
        <v>aed</v>
      </c>
      <c r="V1032" s="7" t="str">
        <f t="shared" si="113"/>
        <v>GBP</v>
      </c>
      <c r="W1032" s="7" t="str">
        <f t="shared" si="114"/>
        <v>UAE</v>
      </c>
      <c r="X1032" s="7" t="str">
        <f t="shared" si="114"/>
        <v>UAE</v>
      </c>
      <c r="Y1032" s="7" t="str" cm="1">
        <f t="array" ref="Y1032">IF(H1032="",IFERROR(INDEX($H$2:$H$1166,MATCH(MAX(COUNTIF($H$2:$H$1166,$H$2:$H$1166)),COUNTIF($H$2:$H$1166,$H$2:$H$1166),0)),"Unknown"),H1032)</f>
        <v>KYC</v>
      </c>
      <c r="Z1032" s="7" t="str">
        <f t="shared" si="115"/>
        <v>Outer-Transaction</v>
      </c>
      <c r="AA1032" s="7">
        <f>IF(J1032="",AVERAGE($J:$J),J1032)</f>
        <v>2218.69</v>
      </c>
      <c r="AB1032" s="7">
        <f>IF(N1032="",AVERAGE($N:$N),N1032)</f>
        <v>63</v>
      </c>
      <c r="AC1032" s="7">
        <f t="shared" si="116"/>
        <v>2021</v>
      </c>
      <c r="AD1032" s="7">
        <f t="shared" si="117"/>
        <v>3</v>
      </c>
      <c r="AE1032" s="7">
        <f>COUNTIF(A:A,A1032)</f>
        <v>1</v>
      </c>
      <c r="AF1032" s="7" t="str">
        <f t="shared" si="118"/>
        <v/>
      </c>
    </row>
    <row r="1033" spans="1:32">
      <c r="A1033" t="s">
        <v>3050</v>
      </c>
      <c r="B1033">
        <v>56290206</v>
      </c>
      <c r="C1033" t="s">
        <v>3051</v>
      </c>
      <c r="D1033" t="s">
        <v>3052</v>
      </c>
      <c r="F1033" t="s">
        <v>21</v>
      </c>
      <c r="G1033" t="s">
        <v>34</v>
      </c>
      <c r="H1033" t="s">
        <v>74</v>
      </c>
      <c r="I1033" t="s">
        <v>3374</v>
      </c>
      <c r="J1033">
        <v>9168.35</v>
      </c>
      <c r="K1033" t="s">
        <v>47</v>
      </c>
      <c r="L1033" t="s">
        <v>28</v>
      </c>
      <c r="M1033" s="1">
        <v>45619.164583333331</v>
      </c>
      <c r="N1033">
        <v>81</v>
      </c>
      <c r="O1033" t="s">
        <v>55</v>
      </c>
      <c r="P1033" t="s">
        <v>127</v>
      </c>
      <c r="Q1033" t="s">
        <v>3053</v>
      </c>
      <c r="R1033">
        <f t="shared" si="112"/>
        <v>56290206</v>
      </c>
      <c r="S1033" t="str" cm="1">
        <f t="array" ref="S1033">IF(C1033="",IFERROR(INDEX($C$2:$C$1166,MATCH(MAX(COUNTIF($C$2:$C$1166,$C$2:$C$1166)),COUNTIF($C$2:$C$1166,$C$2:$C$1166),0)),"Unknown"),C1033)</f>
        <v xml:space="preserve">  SARAH AL-SAYED </v>
      </c>
      <c r="T1033" s="4" t="str" cm="1">
        <f t="array" ref="T1033">IF(D1033="",IFERROR(INDEX($D$2:$D$1000,MATCH(MAX(COUNTIF($D$2:$D$1166,$D$2:$D$1166)),COUNTIF($D$2:$D$1166,$D$2:$D$1166),0)),"Unknown"),D1033)</f>
        <v xml:space="preserve"> christopher anderson   </v>
      </c>
      <c r="U1033" t="str">
        <f t="shared" si="113"/>
        <v>GBP</v>
      </c>
      <c r="V1033" s="7" t="str">
        <f t="shared" si="113"/>
        <v>CAD</v>
      </c>
      <c r="W1033" s="7" t="str">
        <f t="shared" si="114"/>
        <v>UK</v>
      </c>
      <c r="X1033" s="7" t="str">
        <f t="shared" si="114"/>
        <v>Canada</v>
      </c>
      <c r="Y1033" s="7" t="str" cm="1">
        <f t="array" ref="Y1033">IF(H1033="",IFERROR(INDEX($H$2:$H$1166,MATCH(MAX(COUNTIF($H$2:$H$1166,$H$2:$H$1166)),COUNTIF($H$2:$H$1166,$H$2:$H$1166),0)),"Unknown"),H1033)</f>
        <v>Non-KYC</v>
      </c>
      <c r="Z1033" s="7" t="str">
        <f t="shared" si="115"/>
        <v>External</v>
      </c>
      <c r="AA1033" s="7">
        <f>IF(J1033="",AVERAGE($J:$J),J1033)</f>
        <v>9168.35</v>
      </c>
      <c r="AB1033" s="7">
        <f>IF(N1033="",AVERAGE($N:$N),N1033)</f>
        <v>81</v>
      </c>
      <c r="AC1033" s="7">
        <f t="shared" si="116"/>
        <v>2024</v>
      </c>
      <c r="AD1033" s="7">
        <f t="shared" si="117"/>
        <v>11</v>
      </c>
      <c r="AE1033" s="7">
        <f>COUNTIF(A:A,A1033)</f>
        <v>1</v>
      </c>
      <c r="AF1033" s="7" t="str">
        <f t="shared" si="118"/>
        <v/>
      </c>
    </row>
    <row r="1034" spans="1:32">
      <c r="A1034" t="s">
        <v>3054</v>
      </c>
      <c r="B1034">
        <v>30946019</v>
      </c>
      <c r="C1034" t="s">
        <v>858</v>
      </c>
      <c r="D1034" t="s">
        <v>1059</v>
      </c>
      <c r="F1034" t="s">
        <v>176</v>
      </c>
      <c r="G1034" t="s">
        <v>34</v>
      </c>
      <c r="H1034" t="s">
        <v>56</v>
      </c>
      <c r="I1034" t="s">
        <v>3371</v>
      </c>
      <c r="J1034">
        <v>6110.87</v>
      </c>
      <c r="K1034" t="s">
        <v>47</v>
      </c>
      <c r="L1034" t="s">
        <v>48</v>
      </c>
      <c r="M1034" s="1">
        <v>44052.868750000001</v>
      </c>
      <c r="N1034">
        <v>19</v>
      </c>
      <c r="O1034" t="s">
        <v>36</v>
      </c>
      <c r="P1034" t="s">
        <v>23</v>
      </c>
      <c r="Q1034" t="s">
        <v>3055</v>
      </c>
      <c r="R1034">
        <f t="shared" si="112"/>
        <v>30946019</v>
      </c>
      <c r="S1034" t="str" cm="1">
        <f t="array" ref="S1034">IF(C1034="",IFERROR(INDEX($C$2:$C$1166,MATCH(MAX(COUNTIF($C$2:$C$1166,$C$2:$C$1166)),COUNTIF($C$2:$C$1166,$C$2:$C$1166),0)),"Unknown"),C1034)</f>
        <v>Elena Johnson</v>
      </c>
      <c r="T1034" s="4" t="str" cm="1">
        <f t="array" ref="T1034">IF(D1034="",IFERROR(INDEX($D$2:$D$1000,MATCH(MAX(COUNTIF($D$2:$D$1166,$D$2:$D$1166)),COUNTIF($D$2:$D$1166,$D$2:$D$1166),0)),"Unknown"),D1034)</f>
        <v>Priya Jackson</v>
      </c>
      <c r="U1034" t="str">
        <f t="shared" si="113"/>
        <v>aed</v>
      </c>
      <c r="V1034" s="7" t="str">
        <f t="shared" si="113"/>
        <v>CAD</v>
      </c>
      <c r="W1034" s="7" t="str">
        <f t="shared" si="114"/>
        <v>Germany</v>
      </c>
      <c r="X1034" s="7" t="str">
        <f t="shared" si="114"/>
        <v>France</v>
      </c>
      <c r="Y1034" s="7" t="str" cm="1">
        <f t="array" ref="Y1034">IF(H1034="",IFERROR(INDEX($H$2:$H$1166,MATCH(MAX(COUNTIF($H$2:$H$1166,$H$2:$H$1166)),COUNTIF($H$2:$H$1166,$H$2:$H$1166),0)),"Unknown"),H1034)</f>
        <v>Unverified</v>
      </c>
      <c r="Z1034" s="7" t="str">
        <f t="shared" si="115"/>
        <v>Outer-Transaction</v>
      </c>
      <c r="AA1034" s="7">
        <f>IF(J1034="",AVERAGE($J:$J),J1034)</f>
        <v>6110.87</v>
      </c>
      <c r="AB1034" s="7">
        <f>IF(N1034="",AVERAGE($N:$N),N1034)</f>
        <v>19</v>
      </c>
      <c r="AC1034" s="7">
        <f t="shared" si="116"/>
        <v>2020</v>
      </c>
      <c r="AD1034" s="7">
        <f t="shared" si="117"/>
        <v>8</v>
      </c>
      <c r="AE1034" s="7">
        <f>COUNTIF(A:A,A1034)</f>
        <v>1</v>
      </c>
      <c r="AF1034" s="7" t="str">
        <f t="shared" si="118"/>
        <v/>
      </c>
    </row>
    <row r="1035" spans="1:32">
      <c r="A1035" t="s">
        <v>3056</v>
      </c>
      <c r="B1035">
        <v>16578058</v>
      </c>
      <c r="C1035" t="s">
        <v>1808</v>
      </c>
      <c r="D1035" t="s">
        <v>232</v>
      </c>
      <c r="F1035" t="s">
        <v>98</v>
      </c>
      <c r="G1035" t="s">
        <v>53</v>
      </c>
      <c r="H1035" t="s">
        <v>74</v>
      </c>
      <c r="I1035" t="s">
        <v>3372</v>
      </c>
      <c r="J1035">
        <v>12738.24</v>
      </c>
      <c r="K1035" t="s">
        <v>27</v>
      </c>
      <c r="L1035" t="s">
        <v>81</v>
      </c>
      <c r="M1035" s="1">
        <v>44422.786111111112</v>
      </c>
      <c r="N1035">
        <v>71</v>
      </c>
      <c r="O1035" t="s">
        <v>68</v>
      </c>
      <c r="P1035" t="s">
        <v>24</v>
      </c>
      <c r="Q1035" t="s">
        <v>3057</v>
      </c>
      <c r="R1035">
        <f t="shared" si="112"/>
        <v>16578058</v>
      </c>
      <c r="S1035" t="str" cm="1">
        <f t="array" ref="S1035">IF(C1035="",IFERROR(INDEX($C$2:$C$1166,MATCH(MAX(COUNTIF($C$2:$C$1166,$C$2:$C$1166)),COUNTIF($C$2:$C$1166,$C$2:$C$1166),0)),"Unknown"),C1035)</f>
        <v>Carlos Volkov</v>
      </c>
      <c r="T1035" s="4" t="str" cm="1">
        <f t="array" ref="T1035">IF(D1035="",IFERROR(INDEX($D$2:$D$1000,MATCH(MAX(COUNTIF($D$2:$D$1166,$D$2:$D$1166)),COUNTIF($D$2:$D$1166,$D$2:$D$1166),0)),"Unknown"),D1035)</f>
        <v>Fatima Velez</v>
      </c>
      <c r="U1035" t="str">
        <f t="shared" si="113"/>
        <v>JPY</v>
      </c>
      <c r="V1035" s="7" t="str">
        <f t="shared" si="113"/>
        <v>AED</v>
      </c>
      <c r="W1035" s="7" t="str">
        <f t="shared" si="114"/>
        <v>UAE</v>
      </c>
      <c r="X1035" s="7" t="str">
        <f t="shared" si="114"/>
        <v>Brazil</v>
      </c>
      <c r="Y1035" s="7" t="str" cm="1">
        <f t="array" ref="Y1035">IF(H1035="",IFERROR(INDEX($H$2:$H$1166,MATCH(MAX(COUNTIF($H$2:$H$1166,$H$2:$H$1166)),COUNTIF($H$2:$H$1166,$H$2:$H$1166),0)),"Unknown"),H1035)</f>
        <v>Non-KYC</v>
      </c>
      <c r="Z1035" s="7" t="str">
        <f t="shared" si="115"/>
        <v>Outer-Transaction</v>
      </c>
      <c r="AA1035" s="7">
        <f>IF(J1035="",AVERAGE($J:$J),J1035)</f>
        <v>12738.24</v>
      </c>
      <c r="AB1035" s="7">
        <f>IF(N1035="",AVERAGE($N:$N),N1035)</f>
        <v>71</v>
      </c>
      <c r="AC1035" s="7">
        <f t="shared" si="116"/>
        <v>2021</v>
      </c>
      <c r="AD1035" s="7">
        <f t="shared" si="117"/>
        <v>8</v>
      </c>
      <c r="AE1035" s="7">
        <f>COUNTIF(A:A,A1035)</f>
        <v>1</v>
      </c>
      <c r="AF1035" s="7" t="str">
        <f t="shared" si="118"/>
        <v/>
      </c>
    </row>
    <row r="1036" spans="1:32">
      <c r="A1036" t="s">
        <v>3058</v>
      </c>
      <c r="B1036">
        <v>37762332</v>
      </c>
      <c r="C1036" t="s">
        <v>1938</v>
      </c>
      <c r="D1036" t="s">
        <v>3059</v>
      </c>
      <c r="F1036" t="s">
        <v>53</v>
      </c>
      <c r="G1036" t="s">
        <v>116</v>
      </c>
      <c r="H1036" t="s">
        <v>103</v>
      </c>
      <c r="I1036" t="s">
        <v>3372</v>
      </c>
      <c r="J1036">
        <v>4206.18</v>
      </c>
      <c r="K1036" t="s">
        <v>86</v>
      </c>
      <c r="L1036" t="s">
        <v>28</v>
      </c>
      <c r="M1036" s="1">
        <v>44861.134722222225</v>
      </c>
      <c r="N1036">
        <v>82</v>
      </c>
      <c r="O1036" t="s">
        <v>24</v>
      </c>
      <c r="P1036" t="s">
        <v>68</v>
      </c>
      <c r="Q1036" t="s">
        <v>3060</v>
      </c>
      <c r="R1036">
        <f t="shared" si="112"/>
        <v>37762332</v>
      </c>
      <c r="S1036" t="str" cm="1">
        <f t="array" ref="S1036">IF(C1036="",IFERROR(INDEX($C$2:$C$1166,MATCH(MAX(COUNTIF($C$2:$C$1166,$C$2:$C$1166)),COUNTIF($C$2:$C$1166,$C$2:$C$1166),0)),"Unknown"),C1036)</f>
        <v>Joseph Smith</v>
      </c>
      <c r="T1036" s="4" t="str" cm="1">
        <f t="array" ref="T1036">IF(D1036="",IFERROR(INDEX($D$2:$D$1000,MATCH(MAX(COUNTIF($D$2:$D$1166,$D$2:$D$1166)),COUNTIF($D$2:$D$1166,$D$2:$D$1166),0)),"Unknown"),D1036)</f>
        <v xml:space="preserve"> zayn hernandez   </v>
      </c>
      <c r="U1036" t="str">
        <f t="shared" si="113"/>
        <v>AED</v>
      </c>
      <c r="V1036" s="7" t="str">
        <f t="shared" si="113"/>
        <v>CHF</v>
      </c>
      <c r="W1036" s="7" t="str">
        <f t="shared" si="114"/>
        <v>Brazil</v>
      </c>
      <c r="X1036" s="7" t="str">
        <f t="shared" si="114"/>
        <v>UAE</v>
      </c>
      <c r="Y1036" s="7" t="str" cm="1">
        <f t="array" ref="Y1036">IF(H1036="",IFERROR(INDEX($H$2:$H$1166,MATCH(MAX(COUNTIF($H$2:$H$1166,$H$2:$H$1166)),COUNTIF($H$2:$H$1166,$H$2:$H$1166),0)),"Unknown"),H1036)</f>
        <v>Verified</v>
      </c>
      <c r="Z1036" s="7" t="str">
        <f t="shared" si="115"/>
        <v>Outer-Transaction</v>
      </c>
      <c r="AA1036" s="7">
        <f>IF(J1036="",AVERAGE($J:$J),J1036)</f>
        <v>4206.18</v>
      </c>
      <c r="AB1036" s="7">
        <f>IF(N1036="",AVERAGE($N:$N),N1036)</f>
        <v>82</v>
      </c>
      <c r="AC1036" s="7">
        <f t="shared" si="116"/>
        <v>2022</v>
      </c>
      <c r="AD1036" s="7">
        <f t="shared" si="117"/>
        <v>10</v>
      </c>
      <c r="AE1036" s="7">
        <f>COUNTIF(A:A,A1036)</f>
        <v>1</v>
      </c>
      <c r="AF1036" s="7" t="str">
        <f t="shared" si="118"/>
        <v/>
      </c>
    </row>
    <row r="1037" spans="1:32">
      <c r="A1037" t="s">
        <v>3061</v>
      </c>
      <c r="B1037">
        <v>97655433</v>
      </c>
      <c r="C1037" t="s">
        <v>115</v>
      </c>
      <c r="D1037" t="s">
        <v>2816</v>
      </c>
      <c r="F1037" t="s">
        <v>34</v>
      </c>
      <c r="G1037" t="s">
        <v>53</v>
      </c>
      <c r="I1037" t="s">
        <v>3374</v>
      </c>
      <c r="J1037">
        <v>909.62</v>
      </c>
      <c r="K1037" t="s">
        <v>86</v>
      </c>
      <c r="L1037" t="s">
        <v>48</v>
      </c>
      <c r="M1037" s="1">
        <v>45126.696527777778</v>
      </c>
      <c r="N1037">
        <v>68</v>
      </c>
      <c r="O1037" t="s">
        <v>127</v>
      </c>
      <c r="P1037" t="s">
        <v>54</v>
      </c>
      <c r="Q1037" t="s">
        <v>3062</v>
      </c>
      <c r="R1037">
        <f t="shared" si="112"/>
        <v>97655433</v>
      </c>
      <c r="S1037" t="str" cm="1">
        <f t="array" ref="S1037">IF(C1037="",IFERROR(INDEX($C$2:$C$1166,MATCH(MAX(COUNTIF($C$2:$C$1166,$C$2:$C$1166)),COUNTIF($C$2:$C$1166,$C$2:$C$1166),0)),"Unknown"),C1037)</f>
        <v>Carlos Malik</v>
      </c>
      <c r="T1037" s="4" t="str" cm="1">
        <f t="array" ref="T1037">IF(D1037="",IFERROR(INDEX($D$2:$D$1000,MATCH(MAX(COUNTIF($D$2:$D$1166,$D$2:$D$1166)),COUNTIF($D$2:$D$1166,$D$2:$D$1166),0)),"Unknown"),D1037)</f>
        <v>John Williams</v>
      </c>
      <c r="U1037" t="str">
        <f t="shared" si="113"/>
        <v>CAD</v>
      </c>
      <c r="V1037" s="7" t="str">
        <f t="shared" si="113"/>
        <v>AED</v>
      </c>
      <c r="W1037" s="7" t="str">
        <f t="shared" si="114"/>
        <v>Canada</v>
      </c>
      <c r="X1037" s="7" t="str">
        <f t="shared" si="114"/>
        <v>India</v>
      </c>
      <c r="Y1037" s="7" t="str" cm="1">
        <f t="array" ref="Y1037">IF(H1037="",IFERROR(INDEX($H$2:$H$1166,MATCH(MAX(COUNTIF($H$2:$H$1166,$H$2:$H$1166)),COUNTIF($H$2:$H$1166,$H$2:$H$1166),0)),"Unknown"),H1037)</f>
        <v>Pending</v>
      </c>
      <c r="Z1037" s="7" t="str">
        <f t="shared" si="115"/>
        <v>External</v>
      </c>
      <c r="AA1037" s="7">
        <f>IF(J1037="",AVERAGE($J:$J),J1037)</f>
        <v>909.62</v>
      </c>
      <c r="AB1037" s="7">
        <f>IF(N1037="",AVERAGE($N:$N),N1037)</f>
        <v>68</v>
      </c>
      <c r="AC1037" s="7">
        <f t="shared" si="116"/>
        <v>2023</v>
      </c>
      <c r="AD1037" s="7">
        <f t="shared" si="117"/>
        <v>7</v>
      </c>
      <c r="AE1037" s="7">
        <f>COUNTIF(A:A,A1037)</f>
        <v>1</v>
      </c>
      <c r="AF1037" s="7" t="str">
        <f t="shared" si="118"/>
        <v/>
      </c>
    </row>
    <row r="1038" spans="1:32">
      <c r="A1038" t="s">
        <v>3063</v>
      </c>
      <c r="B1038">
        <v>42479386</v>
      </c>
      <c r="C1038" t="s">
        <v>679</v>
      </c>
      <c r="D1038" t="s">
        <v>935</v>
      </c>
      <c r="F1038" t="s">
        <v>34</v>
      </c>
      <c r="G1038" t="s">
        <v>35</v>
      </c>
      <c r="H1038" t="s">
        <v>38</v>
      </c>
      <c r="I1038" t="s">
        <v>3374</v>
      </c>
      <c r="J1038">
        <v>3266.45</v>
      </c>
      <c r="K1038" t="s">
        <v>57</v>
      </c>
      <c r="L1038" t="s">
        <v>81</v>
      </c>
      <c r="M1038" s="1">
        <v>44848.089583333334</v>
      </c>
      <c r="N1038">
        <v>70</v>
      </c>
      <c r="O1038" t="s">
        <v>62</v>
      </c>
      <c r="P1038" t="s">
        <v>37</v>
      </c>
      <c r="Q1038" t="s">
        <v>3064</v>
      </c>
      <c r="R1038">
        <f t="shared" si="112"/>
        <v>42479386</v>
      </c>
      <c r="S1038" t="str" cm="1">
        <f t="array" ref="S1038">IF(C1038="",IFERROR(INDEX($C$2:$C$1166,MATCH(MAX(COUNTIF($C$2:$C$1166,$C$2:$C$1166)),COUNTIF($C$2:$C$1166,$C$2:$C$1166),0)),"Unknown"),C1038)</f>
        <v>Robert Lopez</v>
      </c>
      <c r="T1038" s="4" t="str" cm="1">
        <f t="array" ref="T1038">IF(D1038="",IFERROR(INDEX($D$2:$D$1000,MATCH(MAX(COUNTIF($D$2:$D$1166,$D$2:$D$1166)),COUNTIF($D$2:$D$1166,$D$2:$D$1166),0)),"Unknown"),D1038)</f>
        <v>Joseph Gonzalez</v>
      </c>
      <c r="U1038" t="str">
        <f t="shared" si="113"/>
        <v>CAD</v>
      </c>
      <c r="V1038" s="7" t="str">
        <f t="shared" si="113"/>
        <v>EUR</v>
      </c>
      <c r="W1038" s="7" t="str">
        <f t="shared" si="114"/>
        <v>Australia</v>
      </c>
      <c r="X1038" s="7" t="str">
        <f t="shared" si="114"/>
        <v>South Africa</v>
      </c>
      <c r="Y1038" s="7" t="str" cm="1">
        <f t="array" ref="Y1038">IF(H1038="",IFERROR(INDEX($H$2:$H$1166,MATCH(MAX(COUNTIF($H$2:$H$1166,$H$2:$H$1166)),COUNTIF($H$2:$H$1166,$H$2:$H$1166),0)),"Unknown"),H1038)</f>
        <v>Pending</v>
      </c>
      <c r="Z1038" s="7" t="str">
        <f t="shared" si="115"/>
        <v>External</v>
      </c>
      <c r="AA1038" s="7">
        <f>IF(J1038="",AVERAGE($J:$J),J1038)</f>
        <v>3266.45</v>
      </c>
      <c r="AB1038" s="7">
        <f>IF(N1038="",AVERAGE($N:$N),N1038)</f>
        <v>70</v>
      </c>
      <c r="AC1038" s="7">
        <f t="shared" si="116"/>
        <v>2022</v>
      </c>
      <c r="AD1038" s="7">
        <f t="shared" si="117"/>
        <v>10</v>
      </c>
      <c r="AE1038" s="7">
        <f>COUNTIF(A:A,A1038)</f>
        <v>1</v>
      </c>
      <c r="AF1038" s="7" t="str">
        <f t="shared" si="118"/>
        <v/>
      </c>
    </row>
    <row r="1039" spans="1:32">
      <c r="A1039" t="s">
        <v>3065</v>
      </c>
      <c r="B1039">
        <v>61195094</v>
      </c>
      <c r="C1039" t="s">
        <v>1916</v>
      </c>
      <c r="D1039" t="s">
        <v>1757</v>
      </c>
      <c r="F1039" t="s">
        <v>44</v>
      </c>
      <c r="G1039" t="s">
        <v>98</v>
      </c>
      <c r="I1039" t="s">
        <v>3377</v>
      </c>
      <c r="J1039">
        <v>6077.93</v>
      </c>
      <c r="K1039" t="s">
        <v>27</v>
      </c>
      <c r="L1039" t="s">
        <v>48</v>
      </c>
      <c r="M1039" s="1">
        <v>45894.611805555556</v>
      </c>
      <c r="N1039">
        <v>53</v>
      </c>
      <c r="O1039" t="s">
        <v>54</v>
      </c>
      <c r="P1039" t="s">
        <v>62</v>
      </c>
      <c r="Q1039" t="s">
        <v>3066</v>
      </c>
      <c r="R1039">
        <f t="shared" si="112"/>
        <v>61195094</v>
      </c>
      <c r="S1039" t="str" cm="1">
        <f t="array" ref="S1039">IF(C1039="",IFERROR(INDEX($C$2:$C$1166,MATCH(MAX(COUNTIF($C$2:$C$1166,$C$2:$C$1166)),COUNTIF($C$2:$C$1166,$C$2:$C$1166),0)),"Unknown"),C1039)</f>
        <v xml:space="preserve">  BARBARA ANDERSON </v>
      </c>
      <c r="T1039" s="4" t="str" cm="1">
        <f t="array" ref="T1039">IF(D1039="",IFERROR(INDEX($D$2:$D$1000,MATCH(MAX(COUNTIF($D$2:$D$1166,$D$2:$D$1166)),COUNTIF($D$2:$D$1166,$D$2:$D$1166),0)),"Unknown"),D1039)</f>
        <v>Patricia Thomas</v>
      </c>
      <c r="U1039" t="str">
        <f t="shared" si="113"/>
        <v>SGD</v>
      </c>
      <c r="V1039" s="7" t="str">
        <f t="shared" si="113"/>
        <v>JPY</v>
      </c>
      <c r="W1039" s="7" t="str">
        <f t="shared" si="114"/>
        <v>India</v>
      </c>
      <c r="X1039" s="7" t="str">
        <f t="shared" si="114"/>
        <v>Australia</v>
      </c>
      <c r="Y1039" s="7" t="str" cm="1">
        <f t="array" ref="Y1039">IF(H1039="",IFERROR(INDEX($H$2:$H$1166,MATCH(MAX(COUNTIF($H$2:$H$1166,$H$2:$H$1166)),COUNTIF($H$2:$H$1166,$H$2:$H$1166),0)),"Unknown"),H1039)</f>
        <v>Pending</v>
      </c>
      <c r="Z1039" s="7" t="str">
        <f t="shared" si="115"/>
        <v>Inter-Transaction</v>
      </c>
      <c r="AA1039" s="7">
        <f>IF(J1039="",AVERAGE($J:$J),J1039)</f>
        <v>6077.93</v>
      </c>
      <c r="AB1039" s="7">
        <f>IF(N1039="",AVERAGE($N:$N),N1039)</f>
        <v>53</v>
      </c>
      <c r="AC1039" s="7">
        <f t="shared" si="116"/>
        <v>2025</v>
      </c>
      <c r="AD1039" s="7">
        <f t="shared" si="117"/>
        <v>8</v>
      </c>
      <c r="AE1039" s="7">
        <f>COUNTIF(A:A,A1039)</f>
        <v>1</v>
      </c>
      <c r="AF1039" s="7" t="str">
        <f t="shared" si="118"/>
        <v/>
      </c>
    </row>
    <row r="1040" spans="1:32">
      <c r="A1040" t="s">
        <v>3067</v>
      </c>
      <c r="B1040">
        <v>66692915</v>
      </c>
      <c r="C1040" t="s">
        <v>569</v>
      </c>
      <c r="D1040" t="s">
        <v>1587</v>
      </c>
      <c r="F1040" t="s">
        <v>92</v>
      </c>
      <c r="G1040" t="s">
        <v>44</v>
      </c>
      <c r="H1040" t="s">
        <v>25</v>
      </c>
      <c r="I1040" t="s">
        <v>3372</v>
      </c>
      <c r="J1040">
        <v>13048.08</v>
      </c>
      <c r="K1040" t="s">
        <v>57</v>
      </c>
      <c r="L1040" t="s">
        <v>28</v>
      </c>
      <c r="M1040" s="1">
        <v>45278.973611111112</v>
      </c>
      <c r="N1040">
        <v>43</v>
      </c>
      <c r="O1040" t="s">
        <v>37</v>
      </c>
      <c r="P1040" t="s">
        <v>55</v>
      </c>
      <c r="Q1040" t="s">
        <v>3068</v>
      </c>
      <c r="R1040">
        <f t="shared" si="112"/>
        <v>66692915</v>
      </c>
      <c r="S1040" t="str" cm="1">
        <f t="array" ref="S1040">IF(C1040="",IFERROR(INDEX($C$2:$C$1166,MATCH(MAX(COUNTIF($C$2:$C$1166,$C$2:$C$1166)),COUNTIF($C$2:$C$1166,$C$2:$C$1166),0)),"Unknown"),C1040)</f>
        <v>Patricia Williams</v>
      </c>
      <c r="T1040" s="4" t="str" cm="1">
        <f t="array" ref="T1040">IF(D1040="",IFERROR(INDEX($D$2:$D$1000,MATCH(MAX(COUNTIF($D$2:$D$1166,$D$2:$D$1166)),COUNTIF($D$2:$D$1166,$D$2:$D$1166),0)),"Unknown"),D1040)</f>
        <v>Christopher Jackson</v>
      </c>
      <c r="U1040" t="str">
        <f t="shared" si="113"/>
        <v>AUD</v>
      </c>
      <c r="V1040" s="7" t="str">
        <f t="shared" si="113"/>
        <v>SGD</v>
      </c>
      <c r="W1040" s="7" t="str">
        <f t="shared" si="114"/>
        <v>South Africa</v>
      </c>
      <c r="X1040" s="7" t="str">
        <f t="shared" si="114"/>
        <v>UK</v>
      </c>
      <c r="Y1040" s="7" t="str" cm="1">
        <f t="array" ref="Y1040">IF(H1040="",IFERROR(INDEX($H$2:$H$1166,MATCH(MAX(COUNTIF($H$2:$H$1166,$H$2:$H$1166)),COUNTIF($H$2:$H$1166,$H$2:$H$1166),0)),"Unknown"),H1040)</f>
        <v>KYC</v>
      </c>
      <c r="Z1040" s="7" t="str">
        <f t="shared" si="115"/>
        <v>Outer-Transaction</v>
      </c>
      <c r="AA1040" s="7">
        <f>IF(J1040="",AVERAGE($J:$J),J1040)</f>
        <v>13048.08</v>
      </c>
      <c r="AB1040" s="7">
        <f>IF(N1040="",AVERAGE($N:$N),N1040)</f>
        <v>43</v>
      </c>
      <c r="AC1040" s="7">
        <f t="shared" si="116"/>
        <v>2023</v>
      </c>
      <c r="AD1040" s="7">
        <f t="shared" si="117"/>
        <v>12</v>
      </c>
      <c r="AE1040" s="7">
        <f>COUNTIF(A:A,A1040)</f>
        <v>1</v>
      </c>
      <c r="AF1040" s="7" t="str">
        <f t="shared" si="118"/>
        <v/>
      </c>
    </row>
    <row r="1041" spans="1:32">
      <c r="A1041" t="s">
        <v>3069</v>
      </c>
      <c r="B1041">
        <v>30126105</v>
      </c>
      <c r="C1041" t="s">
        <v>2549</v>
      </c>
      <c r="D1041" t="s">
        <v>614</v>
      </c>
      <c r="F1041" t="s">
        <v>121</v>
      </c>
      <c r="G1041" t="s">
        <v>116</v>
      </c>
      <c r="I1041" t="s">
        <v>3371</v>
      </c>
      <c r="J1041">
        <v>1423.02</v>
      </c>
      <c r="K1041" t="s">
        <v>39</v>
      </c>
      <c r="L1041" t="s">
        <v>75</v>
      </c>
      <c r="M1041" s="1">
        <v>45876.708333333336</v>
      </c>
      <c r="N1041">
        <v>46</v>
      </c>
      <c r="O1041" t="s">
        <v>127</v>
      </c>
      <c r="P1041" t="s">
        <v>127</v>
      </c>
      <c r="Q1041" t="s">
        <v>3070</v>
      </c>
      <c r="R1041">
        <f t="shared" si="112"/>
        <v>30126105</v>
      </c>
      <c r="S1041" t="str" cm="1">
        <f t="array" ref="S1041">IF(C1041="",IFERROR(INDEX($C$2:$C$1166,MATCH(MAX(COUNTIF($C$2:$C$1166,$C$2:$C$1166)),COUNTIF($C$2:$C$1166,$C$2:$C$1166),0)),"Unknown"),C1041)</f>
        <v>Karen Lopez</v>
      </c>
      <c r="T1041" s="4" t="str" cm="1">
        <f t="array" ref="T1041">IF(D1041="",IFERROR(INDEX($D$2:$D$1000,MATCH(MAX(COUNTIF($D$2:$D$1166,$D$2:$D$1166)),COUNTIF($D$2:$D$1166,$D$2:$D$1166),0)),"Unknown"),D1041)</f>
        <v>Elizabeth Lopez</v>
      </c>
      <c r="U1041" t="str">
        <f t="shared" si="113"/>
        <v>INR</v>
      </c>
      <c r="V1041" s="7" t="str">
        <f t="shared" si="113"/>
        <v>CHF</v>
      </c>
      <c r="W1041" s="7" t="str">
        <f t="shared" si="114"/>
        <v>Canada</v>
      </c>
      <c r="X1041" s="7" t="str">
        <f t="shared" si="114"/>
        <v>Canada</v>
      </c>
      <c r="Y1041" s="7" t="str" cm="1">
        <f t="array" ref="Y1041">IF(H1041="",IFERROR(INDEX($H$2:$H$1166,MATCH(MAX(COUNTIF($H$2:$H$1166,$H$2:$H$1166)),COUNTIF($H$2:$H$1166,$H$2:$H$1166),0)),"Unknown"),H1041)</f>
        <v>Pending</v>
      </c>
      <c r="Z1041" s="7" t="str">
        <f t="shared" si="115"/>
        <v>Outer-Transaction</v>
      </c>
      <c r="AA1041" s="7">
        <f>IF(J1041="",AVERAGE($J:$J),J1041)</f>
        <v>1423.02</v>
      </c>
      <c r="AB1041" s="7">
        <f>IF(N1041="",AVERAGE($N:$N),N1041)</f>
        <v>46</v>
      </c>
      <c r="AC1041" s="7">
        <f t="shared" si="116"/>
        <v>2025</v>
      </c>
      <c r="AD1041" s="7">
        <f t="shared" si="117"/>
        <v>8</v>
      </c>
      <c r="AE1041" s="7">
        <f>COUNTIF(A:A,A1041)</f>
        <v>1</v>
      </c>
      <c r="AF1041" s="7" t="str">
        <f t="shared" si="118"/>
        <v/>
      </c>
    </row>
    <row r="1042" spans="1:32">
      <c r="A1042" t="s">
        <v>3071</v>
      </c>
      <c r="B1042">
        <v>10577198</v>
      </c>
      <c r="C1042" t="s">
        <v>192</v>
      </c>
      <c r="D1042" t="s">
        <v>183</v>
      </c>
      <c r="F1042" t="s">
        <v>98</v>
      </c>
      <c r="G1042" t="s">
        <v>34</v>
      </c>
      <c r="H1042" t="s">
        <v>38</v>
      </c>
      <c r="I1042" t="s">
        <v>3376</v>
      </c>
      <c r="J1042">
        <v>12168.67</v>
      </c>
      <c r="K1042" t="s">
        <v>47</v>
      </c>
      <c r="L1042" t="s">
        <v>75</v>
      </c>
      <c r="M1042" s="1">
        <v>44354.119444444441</v>
      </c>
      <c r="N1042">
        <v>38</v>
      </c>
      <c r="O1042" t="s">
        <v>36</v>
      </c>
      <c r="P1042" t="s">
        <v>93</v>
      </c>
      <c r="Q1042" t="s">
        <v>3072</v>
      </c>
      <c r="R1042">
        <f t="shared" si="112"/>
        <v>10577198</v>
      </c>
      <c r="S1042" t="str" cm="1">
        <f t="array" ref="S1042">IF(C1042="",IFERROR(INDEX($C$2:$C$1166,MATCH(MAX(COUNTIF($C$2:$C$1166,$C$2:$C$1166)),COUNTIF($C$2:$C$1166,$C$2:$C$1166),0)),"Unknown"),C1042)</f>
        <v>Amir Malik</v>
      </c>
      <c r="T1042" s="4" t="str" cm="1">
        <f t="array" ref="T1042">IF(D1042="",IFERROR(INDEX($D$2:$D$1000,MATCH(MAX(COUNTIF($D$2:$D$1166,$D$2:$D$1166)),COUNTIF($D$2:$D$1166,$D$2:$D$1166),0)),"Unknown"),D1042)</f>
        <v>Jean-Pierre Miller</v>
      </c>
      <c r="U1042" t="str">
        <f t="shared" si="113"/>
        <v>JPY</v>
      </c>
      <c r="V1042" s="7" t="str">
        <f t="shared" si="113"/>
        <v>CAD</v>
      </c>
      <c r="W1042" s="7" t="str">
        <f t="shared" si="114"/>
        <v>Germany</v>
      </c>
      <c r="X1042" s="7" t="str">
        <f t="shared" si="114"/>
        <v>USA</v>
      </c>
      <c r="Y1042" s="7" t="str" cm="1">
        <f t="array" ref="Y1042">IF(H1042="",IFERROR(INDEX($H$2:$H$1166,MATCH(MAX(COUNTIF($H$2:$H$1166,$H$2:$H$1166)),COUNTIF($H$2:$H$1166,$H$2:$H$1166),0)),"Unknown"),H1042)</f>
        <v>Pending</v>
      </c>
      <c r="Z1042" s="7" t="str">
        <f t="shared" si="115"/>
        <v>Internal</v>
      </c>
      <c r="AA1042" s="7">
        <f>IF(J1042="",AVERAGE($J:$J),J1042)</f>
        <v>12168.67</v>
      </c>
      <c r="AB1042" s="7">
        <f>IF(N1042="",AVERAGE($N:$N),N1042)</f>
        <v>38</v>
      </c>
      <c r="AC1042" s="7">
        <f t="shared" si="116"/>
        <v>2021</v>
      </c>
      <c r="AD1042" s="7">
        <f t="shared" si="117"/>
        <v>6</v>
      </c>
      <c r="AE1042" s="7">
        <f>COUNTIF(A:A,A1042)</f>
        <v>1</v>
      </c>
      <c r="AF1042" s="7" t="str">
        <f t="shared" si="118"/>
        <v/>
      </c>
    </row>
    <row r="1043" spans="1:32">
      <c r="A1043" t="s">
        <v>3073</v>
      </c>
      <c r="B1043">
        <v>50241725</v>
      </c>
      <c r="C1043" t="s">
        <v>761</v>
      </c>
      <c r="D1043" t="s">
        <v>79</v>
      </c>
      <c r="F1043" t="s">
        <v>44</v>
      </c>
      <c r="G1043" t="s">
        <v>121</v>
      </c>
      <c r="I1043" t="s">
        <v>3377</v>
      </c>
      <c r="J1043">
        <v>9587.24</v>
      </c>
      <c r="K1043" t="s">
        <v>47</v>
      </c>
      <c r="L1043" t="s">
        <v>48</v>
      </c>
      <c r="M1043" s="1">
        <v>45899.458333333336</v>
      </c>
      <c r="N1043">
        <v>28</v>
      </c>
      <c r="O1043" t="s">
        <v>23</v>
      </c>
      <c r="P1043" t="s">
        <v>68</v>
      </c>
      <c r="Q1043" t="s">
        <v>3074</v>
      </c>
      <c r="R1043">
        <f t="shared" si="112"/>
        <v>50241725</v>
      </c>
      <c r="S1043" t="str" cm="1">
        <f t="array" ref="S1043">IF(C1043="",IFERROR(INDEX($C$2:$C$1166,MATCH(MAX(COUNTIF($C$2:$C$1166,$C$2:$C$1166)),COUNTIF($C$2:$C$1166,$C$2:$C$1166),0)),"Unknown"),C1043)</f>
        <v>Jessica Brown</v>
      </c>
      <c r="T1043" s="4" t="str" cm="1">
        <f t="array" ref="T1043">IF(D1043="",IFERROR(INDEX($D$2:$D$1000,MATCH(MAX(COUNTIF($D$2:$D$1166,$D$2:$D$1166)),COUNTIF($D$2:$D$1166,$D$2:$D$1166),0)),"Unknown"),D1043)</f>
        <v>Elizabeth Smith</v>
      </c>
      <c r="U1043" t="str">
        <f t="shared" si="113"/>
        <v>SGD</v>
      </c>
      <c r="V1043" s="7" t="str">
        <f t="shared" si="113"/>
        <v>INR</v>
      </c>
      <c r="W1043" s="7" t="str">
        <f t="shared" si="114"/>
        <v>France</v>
      </c>
      <c r="X1043" s="7" t="str">
        <f t="shared" si="114"/>
        <v>UAE</v>
      </c>
      <c r="Y1043" s="7" t="str" cm="1">
        <f t="array" ref="Y1043">IF(H1043="",IFERROR(INDEX($H$2:$H$1166,MATCH(MAX(COUNTIF($H$2:$H$1166,$H$2:$H$1166)),COUNTIF($H$2:$H$1166,$H$2:$H$1166),0)),"Unknown"),H1043)</f>
        <v>Pending</v>
      </c>
      <c r="Z1043" s="7" t="str">
        <f t="shared" si="115"/>
        <v>Inter-Transaction</v>
      </c>
      <c r="AA1043" s="7">
        <f>IF(J1043="",AVERAGE($J:$J),J1043)</f>
        <v>9587.24</v>
      </c>
      <c r="AB1043" s="7">
        <f>IF(N1043="",AVERAGE($N:$N),N1043)</f>
        <v>28</v>
      </c>
      <c r="AC1043" s="7">
        <f t="shared" si="116"/>
        <v>2025</v>
      </c>
      <c r="AD1043" s="7">
        <f t="shared" si="117"/>
        <v>8</v>
      </c>
      <c r="AE1043" s="7">
        <f>COUNTIF(A:A,A1043)</f>
        <v>1</v>
      </c>
      <c r="AF1043" s="7" t="str">
        <f t="shared" si="118"/>
        <v/>
      </c>
    </row>
    <row r="1044" spans="1:32">
      <c r="A1044" t="s">
        <v>3075</v>
      </c>
      <c r="B1044">
        <v>52820746</v>
      </c>
      <c r="C1044" t="s">
        <v>460</v>
      </c>
      <c r="D1044" t="s">
        <v>1461</v>
      </c>
      <c r="F1044" t="s">
        <v>160</v>
      </c>
      <c r="G1044" t="s">
        <v>126</v>
      </c>
      <c r="H1044" t="s">
        <v>25</v>
      </c>
      <c r="I1044" t="s">
        <v>3371</v>
      </c>
      <c r="J1044">
        <v>10747.76</v>
      </c>
      <c r="K1044" t="s">
        <v>57</v>
      </c>
      <c r="L1044" t="s">
        <v>48</v>
      </c>
      <c r="M1044" s="1">
        <v>46106.084722222222</v>
      </c>
      <c r="N1044">
        <v>57</v>
      </c>
      <c r="O1044" t="s">
        <v>24</v>
      </c>
      <c r="P1044" t="s">
        <v>62</v>
      </c>
      <c r="Q1044" t="s">
        <v>3076</v>
      </c>
      <c r="R1044">
        <f t="shared" si="112"/>
        <v>52820746</v>
      </c>
      <c r="S1044" t="str" cm="1">
        <f t="array" ref="S1044">IF(C1044="",IFERROR(INDEX($C$2:$C$1166,MATCH(MAX(COUNTIF($C$2:$C$1166,$C$2:$C$1166)),COUNTIF($C$2:$C$1166,$C$2:$C$1166),0)),"Unknown"),C1044)</f>
        <v>Michael Rostova</v>
      </c>
      <c r="T1044" s="4" t="str" cm="1">
        <f t="array" ref="T1044">IF(D1044="",IFERROR(INDEX($D$2:$D$1000,MATCH(MAX(COUNTIF($D$2:$D$1166,$D$2:$D$1166)),COUNTIF($D$2:$D$1166,$D$2:$D$1166),0)),"Unknown"),D1044)</f>
        <v>Fatima Thomas</v>
      </c>
      <c r="U1044" t="str">
        <f t="shared" si="113"/>
        <v>aud</v>
      </c>
      <c r="V1044" s="7" t="str">
        <f t="shared" si="113"/>
        <v>inr</v>
      </c>
      <c r="W1044" s="7" t="str">
        <f t="shared" si="114"/>
        <v>Brazil</v>
      </c>
      <c r="X1044" s="7" t="str">
        <f t="shared" si="114"/>
        <v>Australia</v>
      </c>
      <c r="Y1044" s="7" t="str" cm="1">
        <f t="array" ref="Y1044">IF(H1044="",IFERROR(INDEX($H$2:$H$1166,MATCH(MAX(COUNTIF($H$2:$H$1166,$H$2:$H$1166)),COUNTIF($H$2:$H$1166,$H$2:$H$1166),0)),"Unknown"),H1044)</f>
        <v>KYC</v>
      </c>
      <c r="Z1044" s="7" t="str">
        <f t="shared" si="115"/>
        <v>Outer-Transaction</v>
      </c>
      <c r="AA1044" s="7">
        <f>IF(J1044="",AVERAGE($J:$J),J1044)</f>
        <v>10747.76</v>
      </c>
      <c r="AB1044" s="7">
        <f>IF(N1044="",AVERAGE($N:$N),N1044)</f>
        <v>57</v>
      </c>
      <c r="AC1044" s="7">
        <f t="shared" si="116"/>
        <v>2026</v>
      </c>
      <c r="AD1044" s="7">
        <f t="shared" si="117"/>
        <v>3</v>
      </c>
      <c r="AE1044" s="7">
        <f>COUNTIF(A:A,A1044)</f>
        <v>1</v>
      </c>
      <c r="AF1044" s="7" t="str">
        <f t="shared" si="118"/>
        <v/>
      </c>
    </row>
    <row r="1045" spans="1:32">
      <c r="A1045" t="s">
        <v>3077</v>
      </c>
      <c r="B1045">
        <v>98881010</v>
      </c>
      <c r="C1045" t="s">
        <v>1476</v>
      </c>
      <c r="D1045" t="s">
        <v>784</v>
      </c>
      <c r="F1045" t="s">
        <v>22</v>
      </c>
      <c r="G1045" t="s">
        <v>92</v>
      </c>
      <c r="I1045" t="s">
        <v>3376</v>
      </c>
      <c r="J1045">
        <v>6523.19</v>
      </c>
      <c r="K1045" t="s">
        <v>39</v>
      </c>
      <c r="L1045" t="s">
        <v>81</v>
      </c>
      <c r="M1045" s="1">
        <v>45639.179166666669</v>
      </c>
      <c r="N1045">
        <v>28</v>
      </c>
      <c r="O1045" t="s">
        <v>24</v>
      </c>
      <c r="P1045" t="s">
        <v>93</v>
      </c>
      <c r="Q1045" t="s">
        <v>3078</v>
      </c>
      <c r="R1045">
        <f t="shared" si="112"/>
        <v>98881010</v>
      </c>
      <c r="S1045" t="str" cm="1">
        <f t="array" ref="S1045">IF(C1045="",IFERROR(INDEX($C$2:$C$1166,MATCH(MAX(COUNTIF($C$2:$C$1166,$C$2:$C$1166)),COUNTIF($C$2:$C$1166,$C$2:$C$1166),0)),"Unknown"),C1045)</f>
        <v>Thomas Thomas</v>
      </c>
      <c r="T1045" s="4" t="str" cm="1">
        <f t="array" ref="T1045">IF(D1045="",IFERROR(INDEX($D$2:$D$1000,MATCH(MAX(COUNTIF($D$2:$D$1166,$D$2:$D$1166)),COUNTIF($D$2:$D$1166,$D$2:$D$1166),0)),"Unknown"),D1045)</f>
        <v>Patricia Dubois</v>
      </c>
      <c r="U1045" t="str">
        <f t="shared" si="113"/>
        <v>BRL</v>
      </c>
      <c r="V1045" s="7" t="str">
        <f t="shared" si="113"/>
        <v>AUD</v>
      </c>
      <c r="W1045" s="7" t="str">
        <f t="shared" si="114"/>
        <v>Brazil</v>
      </c>
      <c r="X1045" s="7" t="str">
        <f t="shared" si="114"/>
        <v>USA</v>
      </c>
      <c r="Y1045" s="7" t="str" cm="1">
        <f t="array" ref="Y1045">IF(H1045="",IFERROR(INDEX($H$2:$H$1166,MATCH(MAX(COUNTIF($H$2:$H$1166,$H$2:$H$1166)),COUNTIF($H$2:$H$1166,$H$2:$H$1166),0)),"Unknown"),H1045)</f>
        <v>Pending</v>
      </c>
      <c r="Z1045" s="7" t="str">
        <f t="shared" si="115"/>
        <v>Internal</v>
      </c>
      <c r="AA1045" s="7">
        <f>IF(J1045="",AVERAGE($J:$J),J1045)</f>
        <v>6523.19</v>
      </c>
      <c r="AB1045" s="7">
        <f>IF(N1045="",AVERAGE($N:$N),N1045)</f>
        <v>28</v>
      </c>
      <c r="AC1045" s="7">
        <f t="shared" si="116"/>
        <v>2024</v>
      </c>
      <c r="AD1045" s="7">
        <f t="shared" si="117"/>
        <v>12</v>
      </c>
      <c r="AE1045" s="7">
        <f>COUNTIF(A:A,A1045)</f>
        <v>1</v>
      </c>
      <c r="AF1045" s="7" t="str">
        <f t="shared" si="118"/>
        <v/>
      </c>
    </row>
    <row r="1046" spans="1:32">
      <c r="A1046" t="s">
        <v>3079</v>
      </c>
      <c r="B1046">
        <v>45703830</v>
      </c>
      <c r="C1046" t="s">
        <v>1117</v>
      </c>
      <c r="D1046" t="s">
        <v>629</v>
      </c>
      <c r="F1046" t="s">
        <v>21</v>
      </c>
      <c r="G1046" t="s">
        <v>53</v>
      </c>
      <c r="I1046" t="s">
        <v>3376</v>
      </c>
      <c r="J1046">
        <v>3012.36</v>
      </c>
      <c r="K1046" t="s">
        <v>47</v>
      </c>
      <c r="L1046" t="s">
        <v>48</v>
      </c>
      <c r="M1046" s="1">
        <v>45142.024305555555</v>
      </c>
      <c r="N1046">
        <v>53</v>
      </c>
      <c r="O1046" t="s">
        <v>24</v>
      </c>
      <c r="P1046" t="s">
        <v>127</v>
      </c>
      <c r="Q1046" t="s">
        <v>3080</v>
      </c>
      <c r="R1046">
        <f t="shared" si="112"/>
        <v>45703830</v>
      </c>
      <c r="S1046" t="str" cm="1">
        <f t="array" ref="S1046">IF(C1046="",IFERROR(INDEX($C$2:$C$1166,MATCH(MAX(COUNTIF($C$2:$C$1166,$C$2:$C$1166)),COUNTIF($C$2:$C$1166,$C$2:$C$1166),0)),"Unknown"),C1046)</f>
        <v>John Smith</v>
      </c>
      <c r="T1046" s="4" t="str" cm="1">
        <f t="array" ref="T1046">IF(D1046="",IFERROR(INDEX($D$2:$D$1000,MATCH(MAX(COUNTIF($D$2:$D$1166,$D$2:$D$1166)),COUNTIF($D$2:$D$1166,$D$2:$D$1166),0)),"Unknown"),D1046)</f>
        <v>Nancy Rostova</v>
      </c>
      <c r="U1046" t="str">
        <f t="shared" si="113"/>
        <v>GBP</v>
      </c>
      <c r="V1046" s="7" t="str">
        <f t="shared" si="113"/>
        <v>AED</v>
      </c>
      <c r="W1046" s="7" t="str">
        <f t="shared" si="114"/>
        <v>Brazil</v>
      </c>
      <c r="X1046" s="7" t="str">
        <f t="shared" si="114"/>
        <v>Canada</v>
      </c>
      <c r="Y1046" s="7" t="str" cm="1">
        <f t="array" ref="Y1046">IF(H1046="",IFERROR(INDEX($H$2:$H$1166,MATCH(MAX(COUNTIF($H$2:$H$1166,$H$2:$H$1166)),COUNTIF($H$2:$H$1166,$H$2:$H$1166),0)),"Unknown"),H1046)</f>
        <v>Pending</v>
      </c>
      <c r="Z1046" s="7" t="str">
        <f t="shared" si="115"/>
        <v>Internal</v>
      </c>
      <c r="AA1046" s="7">
        <f>IF(J1046="",AVERAGE($J:$J),J1046)</f>
        <v>3012.36</v>
      </c>
      <c r="AB1046" s="7">
        <f>IF(N1046="",AVERAGE($N:$N),N1046)</f>
        <v>53</v>
      </c>
      <c r="AC1046" s="7">
        <f t="shared" si="116"/>
        <v>2023</v>
      </c>
      <c r="AD1046" s="7">
        <f t="shared" si="117"/>
        <v>8</v>
      </c>
      <c r="AE1046" s="7">
        <f>COUNTIF(A:A,A1046)</f>
        <v>1</v>
      </c>
      <c r="AF1046" s="7" t="str">
        <f t="shared" si="118"/>
        <v/>
      </c>
    </row>
    <row r="1047" spans="1:32">
      <c r="A1047" t="s">
        <v>3081</v>
      </c>
      <c r="B1047">
        <v>74188387</v>
      </c>
      <c r="C1047" t="s">
        <v>550</v>
      </c>
      <c r="D1047" t="s">
        <v>3082</v>
      </c>
      <c r="F1047" t="s">
        <v>34</v>
      </c>
      <c r="G1047" t="s">
        <v>44</v>
      </c>
      <c r="I1047" t="s">
        <v>3377</v>
      </c>
      <c r="J1047">
        <v>667.4</v>
      </c>
      <c r="K1047" t="s">
        <v>39</v>
      </c>
      <c r="L1047" t="s">
        <v>48</v>
      </c>
      <c r="M1047" s="1">
        <v>45137.158333333333</v>
      </c>
      <c r="N1047">
        <v>76</v>
      </c>
      <c r="O1047" t="s">
        <v>23</v>
      </c>
      <c r="P1047" t="s">
        <v>24</v>
      </c>
      <c r="Q1047" t="s">
        <v>3083</v>
      </c>
      <c r="R1047">
        <f t="shared" si="112"/>
        <v>74188387</v>
      </c>
      <c r="S1047" t="str" cm="1">
        <f t="array" ref="S1047">IF(C1047="",IFERROR(INDEX($C$2:$C$1166,MATCH(MAX(COUNTIF($C$2:$C$1166,$C$2:$C$1166)),COUNTIF($C$2:$C$1166,$C$2:$C$1166),0)),"Unknown"),C1047)</f>
        <v>Marta Davis</v>
      </c>
      <c r="T1047" s="4" t="str" cm="1">
        <f t="array" ref="T1047">IF(D1047="",IFERROR(INDEX($D$2:$D$1000,MATCH(MAX(COUNTIF($D$2:$D$1166,$D$2:$D$1166)),COUNTIF($D$2:$D$1166,$D$2:$D$1166),0)),"Unknown"),D1047)</f>
        <v xml:space="preserve"> jessica johnson   </v>
      </c>
      <c r="U1047" t="str">
        <f t="shared" si="113"/>
        <v>CAD</v>
      </c>
      <c r="V1047" s="7" t="str">
        <f t="shared" si="113"/>
        <v>SGD</v>
      </c>
      <c r="W1047" s="7" t="str">
        <f t="shared" si="114"/>
        <v>France</v>
      </c>
      <c r="X1047" s="7" t="str">
        <f t="shared" si="114"/>
        <v>Brazil</v>
      </c>
      <c r="Y1047" s="7" t="str" cm="1">
        <f t="array" ref="Y1047">IF(H1047="",IFERROR(INDEX($H$2:$H$1166,MATCH(MAX(COUNTIF($H$2:$H$1166,$H$2:$H$1166)),COUNTIF($H$2:$H$1166,$H$2:$H$1166),0)),"Unknown"),H1047)</f>
        <v>Pending</v>
      </c>
      <c r="Z1047" s="7" t="str">
        <f t="shared" si="115"/>
        <v>Inter-Transaction</v>
      </c>
      <c r="AA1047" s="7">
        <f>IF(J1047="",AVERAGE($J:$J),J1047)</f>
        <v>667.4</v>
      </c>
      <c r="AB1047" s="7">
        <f>IF(N1047="",AVERAGE($N:$N),N1047)</f>
        <v>76</v>
      </c>
      <c r="AC1047" s="7">
        <f t="shared" si="116"/>
        <v>2023</v>
      </c>
      <c r="AD1047" s="7">
        <f t="shared" si="117"/>
        <v>7</v>
      </c>
      <c r="AE1047" s="7">
        <f>COUNTIF(A:A,A1047)</f>
        <v>1</v>
      </c>
      <c r="AF1047" s="7" t="str">
        <f t="shared" si="118"/>
        <v/>
      </c>
    </row>
    <row r="1048" spans="1:32">
      <c r="A1048" t="s">
        <v>3084</v>
      </c>
      <c r="B1048">
        <v>72911386</v>
      </c>
      <c r="C1048" t="s">
        <v>2208</v>
      </c>
      <c r="D1048" t="s">
        <v>1091</v>
      </c>
      <c r="F1048" t="s">
        <v>121</v>
      </c>
      <c r="G1048" t="s">
        <v>121</v>
      </c>
      <c r="H1048" t="s">
        <v>38</v>
      </c>
      <c r="I1048" t="s">
        <v>3371</v>
      </c>
      <c r="J1048">
        <v>1625.88</v>
      </c>
      <c r="K1048" t="s">
        <v>27</v>
      </c>
      <c r="L1048" t="s">
        <v>81</v>
      </c>
      <c r="M1048" s="1">
        <v>46282.575694444444</v>
      </c>
      <c r="N1048">
        <v>56</v>
      </c>
      <c r="O1048" t="s">
        <v>37</v>
      </c>
      <c r="P1048" t="s">
        <v>24</v>
      </c>
      <c r="Q1048" t="s">
        <v>3085</v>
      </c>
      <c r="R1048">
        <f t="shared" si="112"/>
        <v>72911386</v>
      </c>
      <c r="S1048" t="str" cm="1">
        <f t="array" ref="S1048">IF(C1048="",IFERROR(INDEX($C$2:$C$1166,MATCH(MAX(COUNTIF($C$2:$C$1166,$C$2:$C$1166)),COUNTIF($C$2:$C$1166,$C$2:$C$1166),0)),"Unknown"),C1048)</f>
        <v>Priya Hernandez</v>
      </c>
      <c r="T1048" s="4" t="str" cm="1">
        <f t="array" ref="T1048">IF(D1048="",IFERROR(INDEX($D$2:$D$1000,MATCH(MAX(COUNTIF($D$2:$D$1166,$D$2:$D$1166)),COUNTIF($D$2:$D$1166,$D$2:$D$1166),0)),"Unknown"),D1048)</f>
        <v>Nancy Anderson</v>
      </c>
      <c r="U1048" t="str">
        <f t="shared" si="113"/>
        <v>INR</v>
      </c>
      <c r="V1048" s="7" t="str">
        <f t="shared" si="113"/>
        <v>INR</v>
      </c>
      <c r="W1048" s="7" t="str">
        <f t="shared" si="114"/>
        <v>South Africa</v>
      </c>
      <c r="X1048" s="7" t="str">
        <f t="shared" si="114"/>
        <v>Brazil</v>
      </c>
      <c r="Y1048" s="7" t="str" cm="1">
        <f t="array" ref="Y1048">IF(H1048="",IFERROR(INDEX($H$2:$H$1166,MATCH(MAX(COUNTIF($H$2:$H$1166,$H$2:$H$1166)),COUNTIF($H$2:$H$1166,$H$2:$H$1166),0)),"Unknown"),H1048)</f>
        <v>Pending</v>
      </c>
      <c r="Z1048" s="7" t="str">
        <f t="shared" si="115"/>
        <v>Outer-Transaction</v>
      </c>
      <c r="AA1048" s="7">
        <f>IF(J1048="",AVERAGE($J:$J),J1048)</f>
        <v>1625.88</v>
      </c>
      <c r="AB1048" s="7">
        <f>IF(N1048="",AVERAGE($N:$N),N1048)</f>
        <v>56</v>
      </c>
      <c r="AC1048" s="7">
        <f t="shared" si="116"/>
        <v>2026</v>
      </c>
      <c r="AD1048" s="7">
        <f t="shared" si="117"/>
        <v>9</v>
      </c>
      <c r="AE1048" s="7">
        <f>COUNTIF(A:A,A1048)</f>
        <v>2</v>
      </c>
      <c r="AF1048" s="7" t="str">
        <f t="shared" si="118"/>
        <v/>
      </c>
    </row>
    <row r="1049" spans="1:32">
      <c r="A1049" t="s">
        <v>3086</v>
      </c>
      <c r="B1049">
        <v>61987708</v>
      </c>
      <c r="C1049" t="s">
        <v>1332</v>
      </c>
      <c r="D1049" t="s">
        <v>2479</v>
      </c>
      <c r="F1049" t="s">
        <v>21</v>
      </c>
      <c r="G1049" t="s">
        <v>80</v>
      </c>
      <c r="I1049" t="s">
        <v>3372</v>
      </c>
      <c r="J1049">
        <v>6355.01</v>
      </c>
      <c r="K1049" t="s">
        <v>47</v>
      </c>
      <c r="L1049" t="s">
        <v>48</v>
      </c>
      <c r="M1049" s="1">
        <v>44920.01458333333</v>
      </c>
      <c r="N1049">
        <v>71</v>
      </c>
      <c r="O1049" t="s">
        <v>54</v>
      </c>
      <c r="P1049" t="s">
        <v>36</v>
      </c>
      <c r="Q1049" t="s">
        <v>3087</v>
      </c>
      <c r="R1049">
        <f t="shared" si="112"/>
        <v>61987708</v>
      </c>
      <c r="S1049" t="str" cm="1">
        <f t="array" ref="S1049">IF(C1049="",IFERROR(INDEX($C$2:$C$1166,MATCH(MAX(COUNTIF($C$2:$C$1166,$C$2:$C$1166)),COUNTIF($C$2:$C$1166,$C$2:$C$1166),0)),"Unknown"),C1049)</f>
        <v>Zayn Martinez</v>
      </c>
      <c r="T1049" s="4" t="str" cm="1">
        <f t="array" ref="T1049">IF(D1049="",IFERROR(INDEX($D$2:$D$1000,MATCH(MAX(COUNTIF($D$2:$D$1166,$D$2:$D$1166)),COUNTIF($D$2:$D$1166,$D$2:$D$1166),0)),"Unknown"),D1049)</f>
        <v>Marta Khan</v>
      </c>
      <c r="U1049" t="str">
        <f t="shared" si="113"/>
        <v>GBP</v>
      </c>
      <c r="V1049" s="7" t="str">
        <f t="shared" si="113"/>
        <v>USD</v>
      </c>
      <c r="W1049" s="7" t="str">
        <f t="shared" si="114"/>
        <v>India</v>
      </c>
      <c r="X1049" s="7" t="str">
        <f t="shared" si="114"/>
        <v>Germany</v>
      </c>
      <c r="Y1049" s="7" t="str" cm="1">
        <f t="array" ref="Y1049">IF(H1049="",IFERROR(INDEX($H$2:$H$1166,MATCH(MAX(COUNTIF($H$2:$H$1166,$H$2:$H$1166)),COUNTIF($H$2:$H$1166,$H$2:$H$1166),0)),"Unknown"),H1049)</f>
        <v>Pending</v>
      </c>
      <c r="Z1049" s="7" t="str">
        <f t="shared" si="115"/>
        <v>Outer-Transaction</v>
      </c>
      <c r="AA1049" s="7">
        <f>IF(J1049="",AVERAGE($J:$J),J1049)</f>
        <v>6355.01</v>
      </c>
      <c r="AB1049" s="7">
        <f>IF(N1049="",AVERAGE($N:$N),N1049)</f>
        <v>71</v>
      </c>
      <c r="AC1049" s="7">
        <f t="shared" si="116"/>
        <v>2022</v>
      </c>
      <c r="AD1049" s="7">
        <f t="shared" si="117"/>
        <v>12</v>
      </c>
      <c r="AE1049" s="7">
        <f>COUNTIF(A:A,A1049)</f>
        <v>1</v>
      </c>
      <c r="AF1049" s="7" t="str">
        <f t="shared" si="118"/>
        <v/>
      </c>
    </row>
    <row r="1050" spans="1:32">
      <c r="A1050" t="s">
        <v>3088</v>
      </c>
      <c r="B1050">
        <v>48936328</v>
      </c>
      <c r="C1050" t="s">
        <v>3089</v>
      </c>
      <c r="D1050" t="s">
        <v>882</v>
      </c>
      <c r="F1050" t="s">
        <v>22</v>
      </c>
      <c r="G1050" t="s">
        <v>45</v>
      </c>
      <c r="I1050" t="s">
        <v>3372</v>
      </c>
      <c r="J1050">
        <v>11850.76</v>
      </c>
      <c r="K1050" t="s">
        <v>57</v>
      </c>
      <c r="L1050" t="s">
        <v>28</v>
      </c>
      <c r="M1050" s="1">
        <v>45503.626388888886</v>
      </c>
      <c r="N1050">
        <v>72</v>
      </c>
      <c r="O1050" t="s">
        <v>127</v>
      </c>
      <c r="P1050" t="s">
        <v>127</v>
      </c>
      <c r="Q1050" t="s">
        <v>3090</v>
      </c>
      <c r="R1050">
        <f t="shared" si="112"/>
        <v>48936328</v>
      </c>
      <c r="S1050" t="str" cm="1">
        <f t="array" ref="S1050">IF(C1050="",IFERROR(INDEX($C$2:$C$1166,MATCH(MAX(COUNTIF($C$2:$C$1166,$C$2:$C$1166)),COUNTIF($C$2:$C$1166,$C$2:$C$1166),0)),"Unknown"),C1050)</f>
        <v xml:space="preserve">  JOHN JOHNSON </v>
      </c>
      <c r="T1050" s="4" t="str" cm="1">
        <f t="array" ref="T1050">IF(D1050="",IFERROR(INDEX($D$2:$D$1000,MATCH(MAX(COUNTIF($D$2:$D$1166,$D$2:$D$1166)),COUNTIF($D$2:$D$1166,$D$2:$D$1166),0)),"Unknown"),D1050)</f>
        <v>Lucas Johnson</v>
      </c>
      <c r="U1050" t="str">
        <f t="shared" si="113"/>
        <v>BRL</v>
      </c>
      <c r="V1050" s="7" t="str">
        <f t="shared" si="113"/>
        <v>ZAR</v>
      </c>
      <c r="W1050" s="7" t="str">
        <f t="shared" si="114"/>
        <v>Canada</v>
      </c>
      <c r="X1050" s="7" t="str">
        <f t="shared" si="114"/>
        <v>Canada</v>
      </c>
      <c r="Y1050" s="7" t="str" cm="1">
        <f t="array" ref="Y1050">IF(H1050="",IFERROR(INDEX($H$2:$H$1166,MATCH(MAX(COUNTIF($H$2:$H$1166,$H$2:$H$1166)),COUNTIF($H$2:$H$1166,$H$2:$H$1166),0)),"Unknown"),H1050)</f>
        <v>Pending</v>
      </c>
      <c r="Z1050" s="7" t="str">
        <f t="shared" si="115"/>
        <v>Outer-Transaction</v>
      </c>
      <c r="AA1050" s="7">
        <f>IF(J1050="",AVERAGE($J:$J),J1050)</f>
        <v>11850.76</v>
      </c>
      <c r="AB1050" s="7">
        <f>IF(N1050="",AVERAGE($N:$N),N1050)</f>
        <v>72</v>
      </c>
      <c r="AC1050" s="7">
        <f t="shared" si="116"/>
        <v>2024</v>
      </c>
      <c r="AD1050" s="7">
        <f t="shared" si="117"/>
        <v>7</v>
      </c>
      <c r="AE1050" s="7">
        <f>COUNTIF(A:A,A1050)</f>
        <v>1</v>
      </c>
      <c r="AF1050" s="7" t="str">
        <f t="shared" si="118"/>
        <v/>
      </c>
    </row>
    <row r="1051" spans="1:32">
      <c r="A1051" t="s">
        <v>3091</v>
      </c>
      <c r="B1051">
        <v>17653101</v>
      </c>
      <c r="C1051" t="s">
        <v>3092</v>
      </c>
      <c r="D1051" t="s">
        <v>335</v>
      </c>
      <c r="F1051" t="s">
        <v>121</v>
      </c>
      <c r="G1051" t="s">
        <v>34</v>
      </c>
      <c r="H1051" t="s">
        <v>74</v>
      </c>
      <c r="I1051" t="s">
        <v>3377</v>
      </c>
      <c r="J1051">
        <v>1350.24</v>
      </c>
      <c r="K1051" t="s">
        <v>86</v>
      </c>
      <c r="L1051" t="s">
        <v>28</v>
      </c>
      <c r="M1051" s="1">
        <v>44267.930555555555</v>
      </c>
      <c r="N1051">
        <v>41</v>
      </c>
      <c r="O1051" t="s">
        <v>23</v>
      </c>
      <c r="P1051" t="s">
        <v>127</v>
      </c>
      <c r="Q1051" t="s">
        <v>3093</v>
      </c>
      <c r="R1051">
        <f t="shared" si="112"/>
        <v>17653101</v>
      </c>
      <c r="S1051" t="str" cm="1">
        <f t="array" ref="S1051">IF(C1051="",IFERROR(INDEX($C$2:$C$1166,MATCH(MAX(COUNTIF($C$2:$C$1166,$C$2:$C$1166)),COUNTIF($C$2:$C$1166,$C$2:$C$1166),0)),"Unknown"),C1051)</f>
        <v>Carlos Nair</v>
      </c>
      <c r="T1051" s="4" t="str" cm="1">
        <f t="array" ref="T1051">IF(D1051="",IFERROR(INDEX($D$2:$D$1000,MATCH(MAX(COUNTIF($D$2:$D$1166,$D$2:$D$1166)),COUNTIF($D$2:$D$1166,$D$2:$D$1166),0)),"Unknown"),D1051)</f>
        <v>Elena Al-Sayed</v>
      </c>
      <c r="U1051" t="str">
        <f t="shared" si="113"/>
        <v>INR</v>
      </c>
      <c r="V1051" s="7" t="str">
        <f t="shared" si="113"/>
        <v>CAD</v>
      </c>
      <c r="W1051" s="7" t="str">
        <f t="shared" si="114"/>
        <v>France</v>
      </c>
      <c r="X1051" s="7" t="str">
        <f t="shared" si="114"/>
        <v>Canada</v>
      </c>
      <c r="Y1051" s="7" t="str" cm="1">
        <f t="array" ref="Y1051">IF(H1051="",IFERROR(INDEX($H$2:$H$1166,MATCH(MAX(COUNTIF($H$2:$H$1166,$H$2:$H$1166)),COUNTIF($H$2:$H$1166,$H$2:$H$1166),0)),"Unknown"),H1051)</f>
        <v>Non-KYC</v>
      </c>
      <c r="Z1051" s="7" t="str">
        <f t="shared" si="115"/>
        <v>Inter-Transaction</v>
      </c>
      <c r="AA1051" s="7">
        <f>IF(J1051="",AVERAGE($J:$J),J1051)</f>
        <v>1350.24</v>
      </c>
      <c r="AB1051" s="7">
        <f>IF(N1051="",AVERAGE($N:$N),N1051)</f>
        <v>41</v>
      </c>
      <c r="AC1051" s="7">
        <f t="shared" si="116"/>
        <v>2021</v>
      </c>
      <c r="AD1051" s="7">
        <f t="shared" si="117"/>
        <v>3</v>
      </c>
      <c r="AE1051" s="7">
        <f>COUNTIF(A:A,A1051)</f>
        <v>1</v>
      </c>
      <c r="AF1051" s="7" t="str">
        <f t="shared" si="118"/>
        <v/>
      </c>
    </row>
    <row r="1052" spans="1:32">
      <c r="A1052" t="s">
        <v>3094</v>
      </c>
      <c r="B1052">
        <v>51570260</v>
      </c>
      <c r="C1052" t="s">
        <v>483</v>
      </c>
      <c r="D1052" t="s">
        <v>2930</v>
      </c>
      <c r="F1052" t="s">
        <v>45</v>
      </c>
      <c r="G1052" t="s">
        <v>126</v>
      </c>
      <c r="H1052" t="s">
        <v>74</v>
      </c>
      <c r="I1052" t="s">
        <v>3376</v>
      </c>
      <c r="J1052">
        <v>10247.31</v>
      </c>
      <c r="K1052" t="s">
        <v>27</v>
      </c>
      <c r="L1052" t="s">
        <v>48</v>
      </c>
      <c r="M1052" s="1">
        <v>44659.348611111112</v>
      </c>
      <c r="N1052">
        <v>39</v>
      </c>
      <c r="O1052" t="s">
        <v>36</v>
      </c>
      <c r="P1052" t="s">
        <v>93</v>
      </c>
      <c r="Q1052" t="s">
        <v>3095</v>
      </c>
      <c r="R1052">
        <f t="shared" si="112"/>
        <v>51570260</v>
      </c>
      <c r="S1052" t="str" cm="1">
        <f t="array" ref="S1052">IF(C1052="",IFERROR(INDEX($C$2:$C$1166,MATCH(MAX(COUNTIF($C$2:$C$1166,$C$2:$C$1166)),COUNTIF($C$2:$C$1166,$C$2:$C$1166),0)),"Unknown"),C1052)</f>
        <v>Zayn Khan</v>
      </c>
      <c r="T1052" s="4" t="str" cm="1">
        <f t="array" ref="T1052">IF(D1052="",IFERROR(INDEX($D$2:$D$1000,MATCH(MAX(COUNTIF($D$2:$D$1166,$D$2:$D$1166)),COUNTIF($D$2:$D$1166,$D$2:$D$1166),0)),"Unknown"),D1052)</f>
        <v>Karen Johnson</v>
      </c>
      <c r="U1052" t="str">
        <f t="shared" si="113"/>
        <v>ZAR</v>
      </c>
      <c r="V1052" s="7" t="str">
        <f t="shared" si="113"/>
        <v>inr</v>
      </c>
      <c r="W1052" s="7" t="str">
        <f t="shared" si="114"/>
        <v>Germany</v>
      </c>
      <c r="X1052" s="7" t="str">
        <f t="shared" si="114"/>
        <v>USA</v>
      </c>
      <c r="Y1052" s="7" t="str" cm="1">
        <f t="array" ref="Y1052">IF(H1052="",IFERROR(INDEX($H$2:$H$1166,MATCH(MAX(COUNTIF($H$2:$H$1166,$H$2:$H$1166)),COUNTIF($H$2:$H$1166,$H$2:$H$1166),0)),"Unknown"),H1052)</f>
        <v>Non-KYC</v>
      </c>
      <c r="Z1052" s="7" t="str">
        <f t="shared" si="115"/>
        <v>Internal</v>
      </c>
      <c r="AA1052" s="7">
        <f>IF(J1052="",AVERAGE($J:$J),J1052)</f>
        <v>10247.31</v>
      </c>
      <c r="AB1052" s="7">
        <f>IF(N1052="",AVERAGE($N:$N),N1052)</f>
        <v>39</v>
      </c>
      <c r="AC1052" s="7">
        <f t="shared" si="116"/>
        <v>2022</v>
      </c>
      <c r="AD1052" s="7">
        <f t="shared" si="117"/>
        <v>4</v>
      </c>
      <c r="AE1052" s="7">
        <f>COUNTIF(A:A,A1052)</f>
        <v>1</v>
      </c>
      <c r="AF1052" s="7" t="str">
        <f t="shared" si="118"/>
        <v/>
      </c>
    </row>
    <row r="1053" spans="1:32">
      <c r="A1053" t="s">
        <v>3096</v>
      </c>
      <c r="B1053">
        <v>96261359</v>
      </c>
      <c r="C1053" t="s">
        <v>657</v>
      </c>
      <c r="D1053" t="s">
        <v>2040</v>
      </c>
      <c r="F1053" t="s">
        <v>21</v>
      </c>
      <c r="G1053" t="s">
        <v>45</v>
      </c>
      <c r="H1053" t="s">
        <v>103</v>
      </c>
      <c r="I1053" t="s">
        <v>3372</v>
      </c>
      <c r="J1053">
        <v>13413</v>
      </c>
      <c r="K1053" t="s">
        <v>57</v>
      </c>
      <c r="L1053" t="s">
        <v>81</v>
      </c>
      <c r="M1053" s="1">
        <v>44089.138888888891</v>
      </c>
      <c r="N1053">
        <v>73</v>
      </c>
      <c r="O1053" t="s">
        <v>54</v>
      </c>
      <c r="P1053" t="s">
        <v>62</v>
      </c>
      <c r="Q1053" t="s">
        <v>3097</v>
      </c>
      <c r="R1053">
        <f t="shared" si="112"/>
        <v>96261359</v>
      </c>
      <c r="S1053" t="str" cm="1">
        <f t="array" ref="S1053">IF(C1053="",IFERROR(INDEX($C$2:$C$1166,MATCH(MAX(COUNTIF($C$2:$C$1166,$C$2:$C$1166)),COUNTIF($C$2:$C$1166,$C$2:$C$1166),0)),"Unknown"),C1053)</f>
        <v>John Taylor</v>
      </c>
      <c r="T1053" s="4" t="str" cm="1">
        <f t="array" ref="T1053">IF(D1053="",IFERROR(INDEX($D$2:$D$1000,MATCH(MAX(COUNTIF($D$2:$D$1166,$D$2:$D$1166)),COUNTIF($D$2:$D$1166,$D$2:$D$1166),0)),"Unknown"),D1053)</f>
        <v>Lucas Silva</v>
      </c>
      <c r="U1053" t="str">
        <f t="shared" si="113"/>
        <v>GBP</v>
      </c>
      <c r="V1053" s="7" t="str">
        <f t="shared" si="113"/>
        <v>ZAR</v>
      </c>
      <c r="W1053" s="7" t="str">
        <f t="shared" si="114"/>
        <v>India</v>
      </c>
      <c r="X1053" s="7" t="str">
        <f t="shared" si="114"/>
        <v>Australia</v>
      </c>
      <c r="Y1053" s="7" t="str" cm="1">
        <f t="array" ref="Y1053">IF(H1053="",IFERROR(INDEX($H$2:$H$1166,MATCH(MAX(COUNTIF($H$2:$H$1166,$H$2:$H$1166)),COUNTIF($H$2:$H$1166,$H$2:$H$1166),0)),"Unknown"),H1053)</f>
        <v>Verified</v>
      </c>
      <c r="Z1053" s="7" t="str">
        <f t="shared" si="115"/>
        <v>Outer-Transaction</v>
      </c>
      <c r="AA1053" s="7">
        <f>IF(J1053="",AVERAGE($J:$J),J1053)</f>
        <v>13413</v>
      </c>
      <c r="AB1053" s="7">
        <f>IF(N1053="",AVERAGE($N:$N),N1053)</f>
        <v>73</v>
      </c>
      <c r="AC1053" s="7">
        <f t="shared" si="116"/>
        <v>2020</v>
      </c>
      <c r="AD1053" s="7">
        <f t="shared" si="117"/>
        <v>9</v>
      </c>
      <c r="AE1053" s="7">
        <f>COUNTIF(A:A,A1053)</f>
        <v>1</v>
      </c>
      <c r="AF1053" s="7" t="str">
        <f t="shared" si="118"/>
        <v/>
      </c>
    </row>
    <row r="1054" spans="1:32">
      <c r="A1054" t="s">
        <v>3098</v>
      </c>
      <c r="B1054">
        <v>83615758</v>
      </c>
      <c r="C1054" t="s">
        <v>2599</v>
      </c>
      <c r="D1054" t="s">
        <v>689</v>
      </c>
      <c r="F1054" t="s">
        <v>116</v>
      </c>
      <c r="G1054" t="s">
        <v>92</v>
      </c>
      <c r="H1054" t="s">
        <v>25</v>
      </c>
      <c r="I1054" t="s">
        <v>3376</v>
      </c>
      <c r="J1054">
        <v>8772.1</v>
      </c>
      <c r="K1054" t="s">
        <v>86</v>
      </c>
      <c r="L1054" t="s">
        <v>75</v>
      </c>
      <c r="M1054" s="1">
        <v>45834.195833333331</v>
      </c>
      <c r="N1054">
        <v>50</v>
      </c>
      <c r="O1054" t="s">
        <v>36</v>
      </c>
      <c r="P1054" t="s">
        <v>23</v>
      </c>
      <c r="Q1054" t="s">
        <v>3099</v>
      </c>
      <c r="R1054">
        <f t="shared" si="112"/>
        <v>83615758</v>
      </c>
      <c r="S1054" t="str" cm="1">
        <f t="array" ref="S1054">IF(C1054="",IFERROR(INDEX($C$2:$C$1166,MATCH(MAX(COUNTIF($C$2:$C$1166,$C$2:$C$1166)),COUNTIF($C$2:$C$1166,$C$2:$C$1166),0)),"Unknown"),C1054)</f>
        <v>William Velez</v>
      </c>
      <c r="T1054" s="4" t="str" cm="1">
        <f t="array" ref="T1054">IF(D1054="",IFERROR(INDEX($D$2:$D$1000,MATCH(MAX(COUNTIF($D$2:$D$1166,$D$2:$D$1166)),COUNTIF($D$2:$D$1166,$D$2:$D$1166),0)),"Unknown"),D1054)</f>
        <v>Jean-Pierre Al-Sayed</v>
      </c>
      <c r="U1054" t="str">
        <f t="shared" si="113"/>
        <v>CHF</v>
      </c>
      <c r="V1054" s="7" t="str">
        <f t="shared" si="113"/>
        <v>AUD</v>
      </c>
      <c r="W1054" s="7" t="str">
        <f t="shared" si="114"/>
        <v>Germany</v>
      </c>
      <c r="X1054" s="7" t="str">
        <f t="shared" si="114"/>
        <v>France</v>
      </c>
      <c r="Y1054" s="7" t="str" cm="1">
        <f t="array" ref="Y1054">IF(H1054="",IFERROR(INDEX($H$2:$H$1166,MATCH(MAX(COUNTIF($H$2:$H$1166,$H$2:$H$1166)),COUNTIF($H$2:$H$1166,$H$2:$H$1166),0)),"Unknown"),H1054)</f>
        <v>KYC</v>
      </c>
      <c r="Z1054" s="7" t="str">
        <f t="shared" si="115"/>
        <v>Internal</v>
      </c>
      <c r="AA1054" s="7">
        <f>IF(J1054="",AVERAGE($J:$J),J1054)</f>
        <v>8772.1</v>
      </c>
      <c r="AB1054" s="7">
        <f>IF(N1054="",AVERAGE($N:$N),N1054)</f>
        <v>50</v>
      </c>
      <c r="AC1054" s="7">
        <f t="shared" si="116"/>
        <v>2025</v>
      </c>
      <c r="AD1054" s="7">
        <f t="shared" si="117"/>
        <v>6</v>
      </c>
      <c r="AE1054" s="7">
        <f>COUNTIF(A:A,A1054)</f>
        <v>1</v>
      </c>
      <c r="AF1054" s="7" t="str">
        <f t="shared" si="118"/>
        <v/>
      </c>
    </row>
    <row r="1055" spans="1:32">
      <c r="A1055" t="s">
        <v>3100</v>
      </c>
      <c r="B1055">
        <v>23937948</v>
      </c>
      <c r="C1055" t="s">
        <v>413</v>
      </c>
      <c r="D1055" t="s">
        <v>1815</v>
      </c>
      <c r="F1055" t="s">
        <v>35</v>
      </c>
      <c r="G1055" t="s">
        <v>98</v>
      </c>
      <c r="H1055" t="s">
        <v>74</v>
      </c>
      <c r="I1055" t="s">
        <v>3372</v>
      </c>
      <c r="J1055">
        <v>13903.29</v>
      </c>
      <c r="K1055" t="s">
        <v>39</v>
      </c>
      <c r="L1055" t="s">
        <v>75</v>
      </c>
      <c r="M1055" s="1">
        <v>45820.850694444445</v>
      </c>
      <c r="N1055">
        <v>53</v>
      </c>
      <c r="O1055" t="s">
        <v>54</v>
      </c>
      <c r="P1055" t="s">
        <v>93</v>
      </c>
      <c r="Q1055" t="s">
        <v>3101</v>
      </c>
      <c r="R1055">
        <f t="shared" si="112"/>
        <v>23937948</v>
      </c>
      <c r="S1055" t="str" cm="1">
        <f t="array" ref="S1055">IF(C1055="",IFERROR(INDEX($C$2:$C$1166,MATCH(MAX(COUNTIF($C$2:$C$1166,$C$2:$C$1166)),COUNTIF($C$2:$C$1166,$C$2:$C$1166),0)),"Unknown"),C1055)</f>
        <v>Joseph Silva</v>
      </c>
      <c r="T1055" s="4" t="str" cm="1">
        <f t="array" ref="T1055">IF(D1055="",IFERROR(INDEX($D$2:$D$1000,MATCH(MAX(COUNTIF($D$2:$D$1166,$D$2:$D$1166)),COUNTIF($D$2:$D$1166,$D$2:$D$1166),0)),"Unknown"),D1055)</f>
        <v>Sarah Wilson</v>
      </c>
      <c r="U1055" t="str">
        <f t="shared" si="113"/>
        <v>EUR</v>
      </c>
      <c r="V1055" s="7" t="str">
        <f t="shared" si="113"/>
        <v>JPY</v>
      </c>
      <c r="W1055" s="7" t="str">
        <f t="shared" si="114"/>
        <v>India</v>
      </c>
      <c r="X1055" s="7" t="str">
        <f t="shared" si="114"/>
        <v>USA</v>
      </c>
      <c r="Y1055" s="7" t="str" cm="1">
        <f t="array" ref="Y1055">IF(H1055="",IFERROR(INDEX($H$2:$H$1166,MATCH(MAX(COUNTIF($H$2:$H$1166,$H$2:$H$1166)),COUNTIF($H$2:$H$1166,$H$2:$H$1166),0)),"Unknown"),H1055)</f>
        <v>Non-KYC</v>
      </c>
      <c r="Z1055" s="7" t="str">
        <f t="shared" si="115"/>
        <v>Outer-Transaction</v>
      </c>
      <c r="AA1055" s="7">
        <f>IF(J1055="",AVERAGE($J:$J),J1055)</f>
        <v>13903.29</v>
      </c>
      <c r="AB1055" s="7">
        <f>IF(N1055="",AVERAGE($N:$N),N1055)</f>
        <v>53</v>
      </c>
      <c r="AC1055" s="7">
        <f t="shared" si="116"/>
        <v>2025</v>
      </c>
      <c r="AD1055" s="7">
        <f t="shared" si="117"/>
        <v>6</v>
      </c>
      <c r="AE1055" s="7">
        <f>COUNTIF(A:A,A1055)</f>
        <v>1</v>
      </c>
      <c r="AF1055" s="7" t="str">
        <f t="shared" si="118"/>
        <v/>
      </c>
    </row>
    <row r="1056" spans="1:32">
      <c r="A1056" t="s">
        <v>3102</v>
      </c>
      <c r="B1056">
        <v>31329251</v>
      </c>
      <c r="C1056" t="s">
        <v>2569</v>
      </c>
      <c r="D1056" t="s">
        <v>3103</v>
      </c>
      <c r="F1056" t="s">
        <v>392</v>
      </c>
      <c r="G1056" t="s">
        <v>98</v>
      </c>
      <c r="H1056" t="s">
        <v>56</v>
      </c>
      <c r="I1056" t="s">
        <v>3378</v>
      </c>
      <c r="J1056">
        <v>2543.4299999999998</v>
      </c>
      <c r="K1056" t="s">
        <v>27</v>
      </c>
      <c r="L1056" t="s">
        <v>28</v>
      </c>
      <c r="M1056" s="1">
        <v>43933.372916666667</v>
      </c>
      <c r="N1056">
        <v>37</v>
      </c>
      <c r="O1056" t="s">
        <v>37</v>
      </c>
      <c r="P1056" t="s">
        <v>55</v>
      </c>
      <c r="Q1056" t="s">
        <v>3104</v>
      </c>
      <c r="R1056">
        <f t="shared" si="112"/>
        <v>31329251</v>
      </c>
      <c r="S1056" t="str" cm="1">
        <f t="array" ref="S1056">IF(C1056="",IFERROR(INDEX($C$2:$C$1166,MATCH(MAX(COUNTIF($C$2:$C$1166,$C$2:$C$1166)),COUNTIF($C$2:$C$1166,$C$2:$C$1166),0)),"Unknown"),C1056)</f>
        <v>Linda Wilson</v>
      </c>
      <c r="T1056" s="4" t="str" cm="1">
        <f t="array" ref="T1056">IF(D1056="",IFERROR(INDEX($D$2:$D$1000,MATCH(MAX(COUNTIF($D$2:$D$1166,$D$2:$D$1166)),COUNTIF($D$2:$D$1166,$D$2:$D$1166),0)),"Unknown"),D1056)</f>
        <v>Jessica Wilson</v>
      </c>
      <c r="U1056" t="str">
        <f t="shared" si="113"/>
        <v>brl</v>
      </c>
      <c r="V1056" s="7" t="str">
        <f t="shared" si="113"/>
        <v>JPY</v>
      </c>
      <c r="W1056" s="7" t="str">
        <f t="shared" si="114"/>
        <v>South Africa</v>
      </c>
      <c r="X1056" s="7" t="str">
        <f t="shared" si="114"/>
        <v>UK</v>
      </c>
      <c r="Y1056" s="7" t="str" cm="1">
        <f t="array" ref="Y1056">IF(H1056="",IFERROR(INDEX($H$2:$H$1166,MATCH(MAX(COUNTIF($H$2:$H$1166,$H$2:$H$1166)),COUNTIF($H$2:$H$1166,$H$2:$H$1166),0)),"Unknown"),H1056)</f>
        <v>Unverified</v>
      </c>
      <c r="Z1056" s="7" t="str">
        <f t="shared" si="115"/>
        <v>Inter-Transaction</v>
      </c>
      <c r="AA1056" s="7">
        <f>IF(J1056="",AVERAGE($J:$J),J1056)</f>
        <v>2543.4299999999998</v>
      </c>
      <c r="AB1056" s="7">
        <f>IF(N1056="",AVERAGE($N:$N),N1056)</f>
        <v>37</v>
      </c>
      <c r="AC1056" s="7">
        <f t="shared" si="116"/>
        <v>2020</v>
      </c>
      <c r="AD1056" s="7">
        <f t="shared" si="117"/>
        <v>4</v>
      </c>
      <c r="AE1056" s="7">
        <f>COUNTIF(A:A,A1056)</f>
        <v>1</v>
      </c>
      <c r="AF1056" s="7" t="str">
        <f t="shared" si="118"/>
        <v/>
      </c>
    </row>
    <row r="1057" spans="1:32">
      <c r="A1057" t="s">
        <v>3105</v>
      </c>
      <c r="B1057">
        <v>74461050</v>
      </c>
      <c r="C1057" t="s">
        <v>3106</v>
      </c>
      <c r="D1057" t="s">
        <v>130</v>
      </c>
      <c r="F1057" t="s">
        <v>44</v>
      </c>
      <c r="G1057" t="s">
        <v>92</v>
      </c>
      <c r="H1057" t="s">
        <v>38</v>
      </c>
      <c r="I1057" t="s">
        <v>3377</v>
      </c>
      <c r="J1057">
        <v>4763.1499999999996</v>
      </c>
      <c r="K1057" t="s">
        <v>86</v>
      </c>
      <c r="L1057" t="s">
        <v>75</v>
      </c>
      <c r="M1057" s="1">
        <v>44823.109027777777</v>
      </c>
      <c r="N1057">
        <v>79</v>
      </c>
      <c r="O1057" t="s">
        <v>62</v>
      </c>
      <c r="P1057" t="s">
        <v>24</v>
      </c>
      <c r="Q1057" t="s">
        <v>3107</v>
      </c>
      <c r="R1057">
        <f t="shared" si="112"/>
        <v>74461050</v>
      </c>
      <c r="S1057" t="str" cm="1">
        <f t="array" ref="S1057">IF(C1057="",IFERROR(INDEX($C$2:$C$1166,MATCH(MAX(COUNTIF($C$2:$C$1166,$C$2:$C$1166)),COUNTIF($C$2:$C$1166,$C$2:$C$1166),0)),"Unknown"),C1057)</f>
        <v>Thomas Jones</v>
      </c>
      <c r="T1057" s="4" t="str" cm="1">
        <f t="array" ref="T1057">IF(D1057="",IFERROR(INDEX($D$2:$D$1000,MATCH(MAX(COUNTIF($D$2:$D$1166,$D$2:$D$1166)),COUNTIF($D$2:$D$1166,$D$2:$D$1166),0)),"Unknown"),D1057)</f>
        <v>Jessica Hernandez</v>
      </c>
      <c r="U1057" t="str">
        <f t="shared" si="113"/>
        <v>SGD</v>
      </c>
      <c r="V1057" s="7" t="str">
        <f t="shared" si="113"/>
        <v>AUD</v>
      </c>
      <c r="W1057" s="7" t="str">
        <f t="shared" si="114"/>
        <v>Australia</v>
      </c>
      <c r="X1057" s="7" t="str">
        <f t="shared" si="114"/>
        <v>Brazil</v>
      </c>
      <c r="Y1057" s="7" t="str" cm="1">
        <f t="array" ref="Y1057">IF(H1057="",IFERROR(INDEX($H$2:$H$1166,MATCH(MAX(COUNTIF($H$2:$H$1166,$H$2:$H$1166)),COUNTIF($H$2:$H$1166,$H$2:$H$1166),0)),"Unknown"),H1057)</f>
        <v>Pending</v>
      </c>
      <c r="Z1057" s="7" t="str">
        <f t="shared" si="115"/>
        <v>Inter-Transaction</v>
      </c>
      <c r="AA1057" s="7">
        <f>IF(J1057="",AVERAGE($J:$J),J1057)</f>
        <v>4763.1499999999996</v>
      </c>
      <c r="AB1057" s="7">
        <f>IF(N1057="",AVERAGE($N:$N),N1057)</f>
        <v>79</v>
      </c>
      <c r="AC1057" s="7">
        <f t="shared" si="116"/>
        <v>2022</v>
      </c>
      <c r="AD1057" s="7">
        <f t="shared" si="117"/>
        <v>9</v>
      </c>
      <c r="AE1057" s="7">
        <f>COUNTIF(A:A,A1057)</f>
        <v>1</v>
      </c>
      <c r="AF1057" s="7" t="str">
        <f t="shared" si="118"/>
        <v/>
      </c>
    </row>
    <row r="1058" spans="1:32">
      <c r="A1058" t="s">
        <v>3108</v>
      </c>
      <c r="B1058">
        <v>28666346</v>
      </c>
      <c r="C1058" t="s">
        <v>1978</v>
      </c>
      <c r="D1058" t="s">
        <v>829</v>
      </c>
      <c r="F1058" t="s">
        <v>35</v>
      </c>
      <c r="G1058" t="s">
        <v>98</v>
      </c>
      <c r="H1058" t="s">
        <v>25</v>
      </c>
      <c r="I1058" t="s">
        <v>3377</v>
      </c>
      <c r="J1058">
        <v>13096.83</v>
      </c>
      <c r="K1058" t="s">
        <v>57</v>
      </c>
      <c r="L1058" t="s">
        <v>28</v>
      </c>
      <c r="M1058" s="1">
        <v>44599.965277777781</v>
      </c>
      <c r="N1058">
        <v>43</v>
      </c>
      <c r="O1058" t="s">
        <v>36</v>
      </c>
      <c r="P1058" t="s">
        <v>24</v>
      </c>
      <c r="Q1058" t="s">
        <v>3109</v>
      </c>
      <c r="R1058">
        <f t="shared" si="112"/>
        <v>28666346</v>
      </c>
      <c r="S1058" t="str" cm="1">
        <f t="array" ref="S1058">IF(C1058="",IFERROR(INDEX($C$2:$C$1166,MATCH(MAX(COUNTIF($C$2:$C$1166,$C$2:$C$1166)),COUNTIF($C$2:$C$1166,$C$2:$C$1166),0)),"Unknown"),C1058)</f>
        <v>Christopher Malik</v>
      </c>
      <c r="T1058" s="4" t="str" cm="1">
        <f t="array" ref="T1058">IF(D1058="",IFERROR(INDEX($D$2:$D$1000,MATCH(MAX(COUNTIF($D$2:$D$1166,$D$2:$D$1166)),COUNTIF($D$2:$D$1166,$D$2:$D$1166),0)),"Unknown"),D1058)</f>
        <v>Susan Malik</v>
      </c>
      <c r="U1058" t="str">
        <f t="shared" si="113"/>
        <v>EUR</v>
      </c>
      <c r="V1058" s="7" t="str">
        <f t="shared" si="113"/>
        <v>JPY</v>
      </c>
      <c r="W1058" s="7" t="str">
        <f t="shared" si="114"/>
        <v>Germany</v>
      </c>
      <c r="X1058" s="7" t="str">
        <f t="shared" si="114"/>
        <v>Brazil</v>
      </c>
      <c r="Y1058" s="7" t="str" cm="1">
        <f t="array" ref="Y1058">IF(H1058="",IFERROR(INDEX($H$2:$H$1166,MATCH(MAX(COUNTIF($H$2:$H$1166,$H$2:$H$1166)),COUNTIF($H$2:$H$1166,$H$2:$H$1166),0)),"Unknown"),H1058)</f>
        <v>KYC</v>
      </c>
      <c r="Z1058" s="7" t="str">
        <f t="shared" si="115"/>
        <v>Inter-Transaction</v>
      </c>
      <c r="AA1058" s="7">
        <f>IF(J1058="",AVERAGE($J:$J),J1058)</f>
        <v>13096.83</v>
      </c>
      <c r="AB1058" s="7">
        <f>IF(N1058="",AVERAGE($N:$N),N1058)</f>
        <v>43</v>
      </c>
      <c r="AC1058" s="7">
        <f t="shared" si="116"/>
        <v>2022</v>
      </c>
      <c r="AD1058" s="7">
        <f t="shared" si="117"/>
        <v>2</v>
      </c>
      <c r="AE1058" s="7">
        <f>COUNTIF(A:A,A1058)</f>
        <v>1</v>
      </c>
      <c r="AF1058" s="7" t="str">
        <f t="shared" si="118"/>
        <v/>
      </c>
    </row>
    <row r="1059" spans="1:32">
      <c r="A1059" t="s">
        <v>3110</v>
      </c>
      <c r="B1059">
        <v>75937854</v>
      </c>
      <c r="C1059" t="s">
        <v>790</v>
      </c>
      <c r="F1059" t="s">
        <v>45</v>
      </c>
      <c r="G1059" t="s">
        <v>112</v>
      </c>
      <c r="H1059" t="s">
        <v>103</v>
      </c>
      <c r="I1059" t="s">
        <v>3374</v>
      </c>
      <c r="J1059">
        <v>207.76</v>
      </c>
      <c r="K1059" t="s">
        <v>27</v>
      </c>
      <c r="L1059" t="s">
        <v>81</v>
      </c>
      <c r="M1059" s="1">
        <v>44955.352777777778</v>
      </c>
      <c r="N1059">
        <v>83</v>
      </c>
      <c r="O1059" t="s">
        <v>23</v>
      </c>
      <c r="P1059" t="s">
        <v>36</v>
      </c>
      <c r="Q1059" t="s">
        <v>3111</v>
      </c>
      <c r="R1059">
        <f t="shared" si="112"/>
        <v>75937854</v>
      </c>
      <c r="S1059" t="str" cm="1">
        <f t="array" ref="S1059">IF(C1059="",IFERROR(INDEX($C$2:$C$1166,MATCH(MAX(COUNTIF($C$2:$C$1166,$C$2:$C$1166)),COUNTIF($C$2:$C$1166,$C$2:$C$1166),0)),"Unknown"),C1059)</f>
        <v>Susan Nair</v>
      </c>
      <c r="T1059" s="4" t="str" cm="1">
        <f t="array" ref="T1059">IF(D1059="",IFERROR(INDEX($D$2:$D$1000,MATCH(MAX(COUNTIF($D$2:$D$1166,$D$2:$D$1166)),COUNTIF($D$2:$D$1166,$D$2:$D$1166),0)),"Unknown"),D1059)</f>
        <v>Patricia Smith</v>
      </c>
      <c r="U1059" t="str">
        <f t="shared" si="113"/>
        <v>ZAR</v>
      </c>
      <c r="V1059" s="7" t="str">
        <f t="shared" si="113"/>
        <v>usd</v>
      </c>
      <c r="W1059" s="7" t="str">
        <f t="shared" si="114"/>
        <v>France</v>
      </c>
      <c r="X1059" s="7" t="str">
        <f t="shared" si="114"/>
        <v>Germany</v>
      </c>
      <c r="Y1059" s="7" t="str" cm="1">
        <f t="array" ref="Y1059">IF(H1059="",IFERROR(INDEX($H$2:$H$1166,MATCH(MAX(COUNTIF($H$2:$H$1166,$H$2:$H$1166)),COUNTIF($H$2:$H$1166,$H$2:$H$1166),0)),"Unknown"),H1059)</f>
        <v>Verified</v>
      </c>
      <c r="Z1059" s="7" t="str">
        <f t="shared" si="115"/>
        <v>External</v>
      </c>
      <c r="AA1059" s="7">
        <f>IF(J1059="",AVERAGE($J:$J),J1059)</f>
        <v>207.76</v>
      </c>
      <c r="AB1059" s="7">
        <f>IF(N1059="",AVERAGE($N:$N),N1059)</f>
        <v>83</v>
      </c>
      <c r="AC1059" s="7">
        <f t="shared" si="116"/>
        <v>2023</v>
      </c>
      <c r="AD1059" s="7">
        <f t="shared" si="117"/>
        <v>1</v>
      </c>
      <c r="AE1059" s="7">
        <f>COUNTIF(A:A,A1059)</f>
        <v>1</v>
      </c>
      <c r="AF1059" s="7" t="str">
        <f t="shared" si="118"/>
        <v/>
      </c>
    </row>
    <row r="1060" spans="1:32">
      <c r="A1060" t="s">
        <v>3112</v>
      </c>
      <c r="B1060">
        <v>34314630</v>
      </c>
      <c r="C1060" t="s">
        <v>3113</v>
      </c>
      <c r="D1060" t="s">
        <v>1670</v>
      </c>
      <c r="F1060" t="s">
        <v>121</v>
      </c>
      <c r="G1060" t="s">
        <v>35</v>
      </c>
      <c r="H1060" t="s">
        <v>56</v>
      </c>
      <c r="I1060" t="s">
        <v>3374</v>
      </c>
      <c r="J1060">
        <v>2941.53</v>
      </c>
      <c r="K1060" t="s">
        <v>47</v>
      </c>
      <c r="L1060" t="s">
        <v>75</v>
      </c>
      <c r="M1060" s="1">
        <v>45052.620833333334</v>
      </c>
      <c r="N1060">
        <v>57</v>
      </c>
      <c r="O1060" t="s">
        <v>54</v>
      </c>
      <c r="P1060" t="s">
        <v>55</v>
      </c>
      <c r="Q1060" t="s">
        <v>3114</v>
      </c>
      <c r="R1060">
        <f t="shared" si="112"/>
        <v>34314630</v>
      </c>
      <c r="S1060" t="str" cm="1">
        <f t="array" ref="S1060">IF(C1060="",IFERROR(INDEX($C$2:$C$1166,MATCH(MAX(COUNTIF($C$2:$C$1166,$C$2:$C$1166)),COUNTIF($C$2:$C$1166,$C$2:$C$1166),0)),"Unknown"),C1060)</f>
        <v xml:space="preserve">  LINDA DAVIS </v>
      </c>
      <c r="T1060" s="4" t="str" cm="1">
        <f t="array" ref="T1060">IF(D1060="",IFERROR(INDEX($D$2:$D$1000,MATCH(MAX(COUNTIF($D$2:$D$1166,$D$2:$D$1166)),COUNTIF($D$2:$D$1166,$D$2:$D$1166),0)),"Unknown"),D1060)</f>
        <v>Zayn Miller</v>
      </c>
      <c r="U1060" t="str">
        <f t="shared" si="113"/>
        <v>INR</v>
      </c>
      <c r="V1060" s="7" t="str">
        <f t="shared" si="113"/>
        <v>EUR</v>
      </c>
      <c r="W1060" s="7" t="str">
        <f t="shared" si="114"/>
        <v>India</v>
      </c>
      <c r="X1060" s="7" t="str">
        <f t="shared" si="114"/>
        <v>UK</v>
      </c>
      <c r="Y1060" s="7" t="str" cm="1">
        <f t="array" ref="Y1060">IF(H1060="",IFERROR(INDEX($H$2:$H$1166,MATCH(MAX(COUNTIF($H$2:$H$1166,$H$2:$H$1166)),COUNTIF($H$2:$H$1166,$H$2:$H$1166),0)),"Unknown"),H1060)</f>
        <v>Unverified</v>
      </c>
      <c r="Z1060" s="7" t="str">
        <f t="shared" si="115"/>
        <v>External</v>
      </c>
      <c r="AA1060" s="7">
        <f>IF(J1060="",AVERAGE($J:$J),J1060)</f>
        <v>2941.53</v>
      </c>
      <c r="AB1060" s="7">
        <f>IF(N1060="",AVERAGE($N:$N),N1060)</f>
        <v>57</v>
      </c>
      <c r="AC1060" s="7">
        <f t="shared" si="116"/>
        <v>2023</v>
      </c>
      <c r="AD1060" s="7">
        <f t="shared" si="117"/>
        <v>5</v>
      </c>
      <c r="AE1060" s="7">
        <f>COUNTIF(A:A,A1060)</f>
        <v>1</v>
      </c>
      <c r="AF1060" s="7" t="str">
        <f t="shared" si="118"/>
        <v/>
      </c>
    </row>
    <row r="1061" spans="1:32">
      <c r="A1061" t="s">
        <v>3115</v>
      </c>
      <c r="B1061">
        <v>95235819</v>
      </c>
      <c r="C1061" t="s">
        <v>1022</v>
      </c>
      <c r="D1061" t="s">
        <v>2413</v>
      </c>
      <c r="F1061" t="s">
        <v>22</v>
      </c>
      <c r="G1061" t="s">
        <v>35</v>
      </c>
      <c r="H1061" t="s">
        <v>103</v>
      </c>
      <c r="I1061" t="s">
        <v>3372</v>
      </c>
      <c r="J1061">
        <v>10177.56</v>
      </c>
      <c r="K1061" t="s">
        <v>39</v>
      </c>
      <c r="L1061" t="s">
        <v>75</v>
      </c>
      <c r="M1061" s="1">
        <v>46104.083333333336</v>
      </c>
      <c r="N1061">
        <v>34</v>
      </c>
      <c r="O1061" t="s">
        <v>24</v>
      </c>
      <c r="P1061" t="s">
        <v>24</v>
      </c>
      <c r="Q1061" t="s">
        <v>3116</v>
      </c>
      <c r="R1061">
        <f t="shared" si="112"/>
        <v>95235819</v>
      </c>
      <c r="S1061" t="str" cm="1">
        <f t="array" ref="S1061">IF(C1061="",IFERROR(INDEX($C$2:$C$1166,MATCH(MAX(COUNTIF($C$2:$C$1166,$C$2:$C$1166)),COUNTIF($C$2:$C$1166,$C$2:$C$1166),0)),"Unknown"),C1061)</f>
        <v>Barbara Smith</v>
      </c>
      <c r="T1061" s="4" t="str" cm="1">
        <f t="array" ref="T1061">IF(D1061="",IFERROR(INDEX($D$2:$D$1000,MATCH(MAX(COUNTIF($D$2:$D$1166,$D$2:$D$1166)),COUNTIF($D$2:$D$1166,$D$2:$D$1166),0)),"Unknown"),D1061)</f>
        <v>Elena Silva</v>
      </c>
      <c r="U1061" t="str">
        <f t="shared" si="113"/>
        <v>BRL</v>
      </c>
      <c r="V1061" s="7" t="str">
        <f t="shared" si="113"/>
        <v>EUR</v>
      </c>
      <c r="W1061" s="7" t="str">
        <f t="shared" si="114"/>
        <v>Brazil</v>
      </c>
      <c r="X1061" s="7" t="str">
        <f t="shared" si="114"/>
        <v>Brazil</v>
      </c>
      <c r="Y1061" s="7" t="str" cm="1">
        <f t="array" ref="Y1061">IF(H1061="",IFERROR(INDEX($H$2:$H$1166,MATCH(MAX(COUNTIF($H$2:$H$1166,$H$2:$H$1166)),COUNTIF($H$2:$H$1166,$H$2:$H$1166),0)),"Unknown"),H1061)</f>
        <v>Verified</v>
      </c>
      <c r="Z1061" s="7" t="str">
        <f t="shared" si="115"/>
        <v>Outer-Transaction</v>
      </c>
      <c r="AA1061" s="7">
        <f>IF(J1061="",AVERAGE($J:$J),J1061)</f>
        <v>10177.56</v>
      </c>
      <c r="AB1061" s="7">
        <f>IF(N1061="",AVERAGE($N:$N),N1061)</f>
        <v>34</v>
      </c>
      <c r="AC1061" s="7">
        <f t="shared" si="116"/>
        <v>2026</v>
      </c>
      <c r="AD1061" s="7">
        <f t="shared" si="117"/>
        <v>3</v>
      </c>
      <c r="AE1061" s="7">
        <f>COUNTIF(A:A,A1061)</f>
        <v>1</v>
      </c>
      <c r="AF1061" s="7" t="str">
        <f t="shared" si="118"/>
        <v/>
      </c>
    </row>
    <row r="1062" spans="1:32">
      <c r="A1062" t="s">
        <v>3117</v>
      </c>
      <c r="B1062">
        <v>44143101</v>
      </c>
      <c r="C1062" t="s">
        <v>2854</v>
      </c>
      <c r="D1062" t="s">
        <v>854</v>
      </c>
      <c r="F1062" t="s">
        <v>92</v>
      </c>
      <c r="G1062" t="s">
        <v>98</v>
      </c>
      <c r="I1062" t="s">
        <v>3374</v>
      </c>
      <c r="J1062">
        <v>13089.99</v>
      </c>
      <c r="K1062" t="s">
        <v>27</v>
      </c>
      <c r="L1062" t="s">
        <v>48</v>
      </c>
      <c r="M1062" s="1">
        <v>46341.828472222223</v>
      </c>
      <c r="N1062">
        <v>18</v>
      </c>
      <c r="O1062" t="s">
        <v>68</v>
      </c>
      <c r="P1062" t="s">
        <v>93</v>
      </c>
      <c r="Q1062" t="s">
        <v>3118</v>
      </c>
      <c r="R1062">
        <f t="shared" si="112"/>
        <v>44143101</v>
      </c>
      <c r="S1062" t="str" cm="1">
        <f t="array" ref="S1062">IF(C1062="",IFERROR(INDEX($C$2:$C$1166,MATCH(MAX(COUNTIF($C$2:$C$1166,$C$2:$C$1166)),COUNTIF($C$2:$C$1166,$C$2:$C$1166),0)),"Unknown"),C1062)</f>
        <v>Richard Al-Sayed</v>
      </c>
      <c r="T1062" s="4" t="str" cm="1">
        <f t="array" ref="T1062">IF(D1062="",IFERROR(INDEX($D$2:$D$1000,MATCH(MAX(COUNTIF($D$2:$D$1166,$D$2:$D$1166)),COUNTIF($D$2:$D$1166,$D$2:$D$1166),0)),"Unknown"),D1062)</f>
        <v>Robert Rodriguez</v>
      </c>
      <c r="U1062" t="str">
        <f t="shared" si="113"/>
        <v>AUD</v>
      </c>
      <c r="V1062" s="7" t="str">
        <f t="shared" si="113"/>
        <v>JPY</v>
      </c>
      <c r="W1062" s="7" t="str">
        <f t="shared" si="114"/>
        <v>UAE</v>
      </c>
      <c r="X1062" s="7" t="str">
        <f t="shared" si="114"/>
        <v>USA</v>
      </c>
      <c r="Y1062" s="7" t="str" cm="1">
        <f t="array" ref="Y1062">IF(H1062="",IFERROR(INDEX($H$2:$H$1166,MATCH(MAX(COUNTIF($H$2:$H$1166,$H$2:$H$1166)),COUNTIF($H$2:$H$1166,$H$2:$H$1166),0)),"Unknown"),H1062)</f>
        <v>Pending</v>
      </c>
      <c r="Z1062" s="7" t="str">
        <f t="shared" si="115"/>
        <v>External</v>
      </c>
      <c r="AA1062" s="7">
        <f>IF(J1062="",AVERAGE($J:$J),J1062)</f>
        <v>13089.99</v>
      </c>
      <c r="AB1062" s="7">
        <f>IF(N1062="",AVERAGE($N:$N),N1062)</f>
        <v>18</v>
      </c>
      <c r="AC1062" s="7">
        <f t="shared" si="116"/>
        <v>2026</v>
      </c>
      <c r="AD1062" s="7">
        <f t="shared" si="117"/>
        <v>11</v>
      </c>
      <c r="AE1062" s="7">
        <f>COUNTIF(A:A,A1062)</f>
        <v>1</v>
      </c>
      <c r="AF1062" s="7" t="str">
        <f t="shared" si="118"/>
        <v/>
      </c>
    </row>
    <row r="1063" spans="1:32">
      <c r="A1063" t="s">
        <v>3119</v>
      </c>
      <c r="B1063">
        <v>65900464</v>
      </c>
      <c r="C1063" t="s">
        <v>593</v>
      </c>
      <c r="D1063" t="s">
        <v>3120</v>
      </c>
      <c r="F1063" t="s">
        <v>53</v>
      </c>
      <c r="G1063" t="s">
        <v>98</v>
      </c>
      <c r="H1063" t="s">
        <v>38</v>
      </c>
      <c r="I1063" t="s">
        <v>3372</v>
      </c>
      <c r="J1063">
        <v>78.59</v>
      </c>
      <c r="K1063" t="s">
        <v>27</v>
      </c>
      <c r="L1063" t="s">
        <v>75</v>
      </c>
      <c r="M1063" s="1">
        <v>44067.78125</v>
      </c>
      <c r="N1063">
        <v>78</v>
      </c>
      <c r="O1063" t="s">
        <v>24</v>
      </c>
      <c r="P1063" t="s">
        <v>55</v>
      </c>
      <c r="Q1063" t="s">
        <v>3121</v>
      </c>
      <c r="R1063">
        <f t="shared" si="112"/>
        <v>65900464</v>
      </c>
      <c r="S1063" t="str" cm="1">
        <f t="array" ref="S1063">IF(C1063="",IFERROR(INDEX($C$2:$C$1166,MATCH(MAX(COUNTIF($C$2:$C$1166,$C$2:$C$1166)),COUNTIF($C$2:$C$1166,$C$2:$C$1166),0)),"Unknown"),C1063)</f>
        <v>Amir Thomas</v>
      </c>
      <c r="T1063" s="4" t="str" cm="1">
        <f t="array" ref="T1063">IF(D1063="",IFERROR(INDEX($D$2:$D$1000,MATCH(MAX(COUNTIF($D$2:$D$1166,$D$2:$D$1166)),COUNTIF($D$2:$D$1166,$D$2:$D$1166),0)),"Unknown"),D1063)</f>
        <v>William Wilson</v>
      </c>
      <c r="U1063" t="str">
        <f t="shared" si="113"/>
        <v>AED</v>
      </c>
      <c r="V1063" s="7" t="str">
        <f t="shared" si="113"/>
        <v>JPY</v>
      </c>
      <c r="W1063" s="7" t="str">
        <f t="shared" si="114"/>
        <v>Brazil</v>
      </c>
      <c r="X1063" s="7" t="str">
        <f t="shared" si="114"/>
        <v>UK</v>
      </c>
      <c r="Y1063" s="7" t="str" cm="1">
        <f t="array" ref="Y1063">IF(H1063="",IFERROR(INDEX($H$2:$H$1166,MATCH(MAX(COUNTIF($H$2:$H$1166,$H$2:$H$1166)),COUNTIF($H$2:$H$1166,$H$2:$H$1166),0)),"Unknown"),H1063)</f>
        <v>Pending</v>
      </c>
      <c r="Z1063" s="7" t="str">
        <f t="shared" si="115"/>
        <v>Outer-Transaction</v>
      </c>
      <c r="AA1063" s="7">
        <f>IF(J1063="",AVERAGE($J:$J),J1063)</f>
        <v>78.59</v>
      </c>
      <c r="AB1063" s="7">
        <f>IF(N1063="",AVERAGE($N:$N),N1063)</f>
        <v>78</v>
      </c>
      <c r="AC1063" s="7">
        <f t="shared" si="116"/>
        <v>2020</v>
      </c>
      <c r="AD1063" s="7">
        <f t="shared" si="117"/>
        <v>8</v>
      </c>
      <c r="AE1063" s="7">
        <f>COUNTIF(A:A,A1063)</f>
        <v>1</v>
      </c>
      <c r="AF1063" s="7" t="str">
        <f t="shared" si="118"/>
        <v/>
      </c>
    </row>
    <row r="1064" spans="1:32">
      <c r="A1064" t="s">
        <v>3122</v>
      </c>
      <c r="B1064">
        <v>50368134</v>
      </c>
      <c r="C1064" t="s">
        <v>208</v>
      </c>
      <c r="D1064" t="s">
        <v>1349</v>
      </c>
      <c r="F1064" t="s">
        <v>22</v>
      </c>
      <c r="G1064" t="s">
        <v>393</v>
      </c>
      <c r="H1064" t="s">
        <v>25</v>
      </c>
      <c r="I1064" t="s">
        <v>3378</v>
      </c>
      <c r="J1064">
        <v>14917.95</v>
      </c>
      <c r="K1064" t="s">
        <v>86</v>
      </c>
      <c r="L1064" t="s">
        <v>48</v>
      </c>
      <c r="M1064" s="1">
        <v>44975.681250000001</v>
      </c>
      <c r="N1064">
        <v>60</v>
      </c>
      <c r="O1064" t="s">
        <v>93</v>
      </c>
      <c r="P1064" t="s">
        <v>93</v>
      </c>
      <c r="Q1064" t="s">
        <v>3123</v>
      </c>
      <c r="R1064">
        <f t="shared" si="112"/>
        <v>50368134</v>
      </c>
      <c r="S1064" t="str" cm="1">
        <f t="array" ref="S1064">IF(C1064="",IFERROR(INDEX($C$2:$C$1166,MATCH(MAX(COUNTIF($C$2:$C$1166,$C$2:$C$1166)),COUNTIF($C$2:$C$1166,$C$2:$C$1166),0)),"Unknown"),C1064)</f>
        <v>Elizabeth Malik</v>
      </c>
      <c r="T1064" s="4" t="str" cm="1">
        <f t="array" ref="T1064">IF(D1064="",IFERROR(INDEX($D$2:$D$1000,MATCH(MAX(COUNTIF($D$2:$D$1166,$D$2:$D$1166)),COUNTIF($D$2:$D$1166,$D$2:$D$1166),0)),"Unknown"),D1064)</f>
        <v>Fatima Wilson</v>
      </c>
      <c r="U1064" t="str">
        <f t="shared" si="113"/>
        <v>BRL</v>
      </c>
      <c r="V1064" s="7" t="str">
        <f t="shared" si="113"/>
        <v>cad</v>
      </c>
      <c r="W1064" s="7" t="str">
        <f t="shared" si="114"/>
        <v>USA</v>
      </c>
      <c r="X1064" s="7" t="str">
        <f t="shared" si="114"/>
        <v>USA</v>
      </c>
      <c r="Y1064" s="7" t="str" cm="1">
        <f t="array" ref="Y1064">IF(H1064="",IFERROR(INDEX($H$2:$H$1166,MATCH(MAX(COUNTIF($H$2:$H$1166,$H$2:$H$1166)),COUNTIF($H$2:$H$1166,$H$2:$H$1166),0)),"Unknown"),H1064)</f>
        <v>KYC</v>
      </c>
      <c r="Z1064" s="7" t="str">
        <f t="shared" si="115"/>
        <v>Inter-Transaction</v>
      </c>
      <c r="AA1064" s="7">
        <f>IF(J1064="",AVERAGE($J:$J),J1064)</f>
        <v>14917.95</v>
      </c>
      <c r="AB1064" s="7">
        <f>IF(N1064="",AVERAGE($N:$N),N1064)</f>
        <v>60</v>
      </c>
      <c r="AC1064" s="7">
        <f t="shared" si="116"/>
        <v>2023</v>
      </c>
      <c r="AD1064" s="7">
        <f t="shared" si="117"/>
        <v>2</v>
      </c>
      <c r="AE1064" s="7">
        <f>COUNTIF(A:A,A1064)</f>
        <v>1</v>
      </c>
      <c r="AF1064" s="7" t="str">
        <f t="shared" si="118"/>
        <v/>
      </c>
    </row>
    <row r="1065" spans="1:32">
      <c r="A1065" t="s">
        <v>3124</v>
      </c>
      <c r="B1065">
        <v>91001528</v>
      </c>
      <c r="C1065" t="s">
        <v>183</v>
      </c>
      <c r="D1065" t="s">
        <v>690</v>
      </c>
      <c r="F1065" t="s">
        <v>44</v>
      </c>
      <c r="G1065" t="s">
        <v>121</v>
      </c>
      <c r="I1065" t="s">
        <v>3378</v>
      </c>
      <c r="J1065">
        <v>10007.65</v>
      </c>
      <c r="K1065" t="s">
        <v>86</v>
      </c>
      <c r="L1065" t="s">
        <v>48</v>
      </c>
      <c r="M1065" s="1">
        <v>46384.574999999997</v>
      </c>
      <c r="N1065">
        <v>59</v>
      </c>
      <c r="O1065" t="s">
        <v>62</v>
      </c>
      <c r="P1065" t="s">
        <v>23</v>
      </c>
      <c r="Q1065" t="s">
        <v>3125</v>
      </c>
      <c r="R1065">
        <f t="shared" si="112"/>
        <v>91001528</v>
      </c>
      <c r="S1065" t="str" cm="1">
        <f t="array" ref="S1065">IF(C1065="",IFERROR(INDEX($C$2:$C$1166,MATCH(MAX(COUNTIF($C$2:$C$1166,$C$2:$C$1166)),COUNTIF($C$2:$C$1166,$C$2:$C$1166),0)),"Unknown"),C1065)</f>
        <v>Jean-Pierre Miller</v>
      </c>
      <c r="T1065" s="4" t="str" cm="1">
        <f t="array" ref="T1065">IF(D1065="",IFERROR(INDEX($D$2:$D$1000,MATCH(MAX(COUNTIF($D$2:$D$1166,$D$2:$D$1166)),COUNTIF($D$2:$D$1166,$D$2:$D$1166),0)),"Unknown"),D1065)</f>
        <v>Christopher Johnson</v>
      </c>
      <c r="U1065" t="str">
        <f t="shared" si="113"/>
        <v>SGD</v>
      </c>
      <c r="V1065" s="7" t="str">
        <f t="shared" si="113"/>
        <v>INR</v>
      </c>
      <c r="W1065" s="7" t="str">
        <f t="shared" si="114"/>
        <v>Australia</v>
      </c>
      <c r="X1065" s="7" t="str">
        <f t="shared" si="114"/>
        <v>France</v>
      </c>
      <c r="Y1065" s="7" t="str" cm="1">
        <f t="array" ref="Y1065">IF(H1065="",IFERROR(INDEX($H$2:$H$1166,MATCH(MAX(COUNTIF($H$2:$H$1166,$H$2:$H$1166)),COUNTIF($H$2:$H$1166,$H$2:$H$1166),0)),"Unknown"),H1065)</f>
        <v>Pending</v>
      </c>
      <c r="Z1065" s="7" t="str">
        <f t="shared" si="115"/>
        <v>Inter-Transaction</v>
      </c>
      <c r="AA1065" s="7">
        <f>IF(J1065="",AVERAGE($J:$J),J1065)</f>
        <v>10007.65</v>
      </c>
      <c r="AB1065" s="7">
        <f>IF(N1065="",AVERAGE($N:$N),N1065)</f>
        <v>59</v>
      </c>
      <c r="AC1065" s="7">
        <f t="shared" si="116"/>
        <v>2026</v>
      </c>
      <c r="AD1065" s="7">
        <f t="shared" si="117"/>
        <v>12</v>
      </c>
      <c r="AE1065" s="7">
        <f>COUNTIF(A:A,A1065)</f>
        <v>1</v>
      </c>
      <c r="AF1065" s="7" t="str">
        <f t="shared" si="118"/>
        <v/>
      </c>
    </row>
    <row r="1066" spans="1:32">
      <c r="A1066" t="s">
        <v>3126</v>
      </c>
      <c r="B1066">
        <v>95365934</v>
      </c>
      <c r="C1066" t="s">
        <v>2421</v>
      </c>
      <c r="D1066" t="s">
        <v>809</v>
      </c>
      <c r="F1066" t="s">
        <v>98</v>
      </c>
      <c r="G1066" t="s">
        <v>35</v>
      </c>
      <c r="H1066" t="s">
        <v>103</v>
      </c>
      <c r="I1066" t="s">
        <v>3374</v>
      </c>
      <c r="J1066">
        <v>10303.1</v>
      </c>
      <c r="K1066" t="s">
        <v>47</v>
      </c>
      <c r="L1066" t="s">
        <v>48</v>
      </c>
      <c r="M1066" s="1">
        <v>44597.571527777778</v>
      </c>
      <c r="N1066">
        <v>42</v>
      </c>
      <c r="O1066" t="s">
        <v>62</v>
      </c>
      <c r="P1066" t="s">
        <v>23</v>
      </c>
      <c r="Q1066" t="s">
        <v>3127</v>
      </c>
      <c r="R1066">
        <f t="shared" si="112"/>
        <v>95365934</v>
      </c>
      <c r="S1066" t="str" cm="1">
        <f t="array" ref="S1066">IF(C1066="",IFERROR(INDEX($C$2:$C$1166,MATCH(MAX(COUNTIF($C$2:$C$1166,$C$2:$C$1166)),COUNTIF($C$2:$C$1166,$C$2:$C$1166),0)),"Unknown"),C1066)</f>
        <v>John Martinez</v>
      </c>
      <c r="T1066" s="4" t="str" cm="1">
        <f t="array" ref="T1066">IF(D1066="",IFERROR(INDEX($D$2:$D$1000,MATCH(MAX(COUNTIF($D$2:$D$1166,$D$2:$D$1166)),COUNTIF($D$2:$D$1166,$D$2:$D$1166),0)),"Unknown"),D1066)</f>
        <v>Richard Smith</v>
      </c>
      <c r="U1066" t="str">
        <f t="shared" si="113"/>
        <v>JPY</v>
      </c>
      <c r="V1066" s="7" t="str">
        <f t="shared" si="113"/>
        <v>EUR</v>
      </c>
      <c r="W1066" s="7" t="str">
        <f t="shared" si="114"/>
        <v>Australia</v>
      </c>
      <c r="X1066" s="7" t="str">
        <f t="shared" si="114"/>
        <v>France</v>
      </c>
      <c r="Y1066" s="7" t="str" cm="1">
        <f t="array" ref="Y1066">IF(H1066="",IFERROR(INDEX($H$2:$H$1166,MATCH(MAX(COUNTIF($H$2:$H$1166,$H$2:$H$1166)),COUNTIF($H$2:$H$1166,$H$2:$H$1166),0)),"Unknown"),H1066)</f>
        <v>Verified</v>
      </c>
      <c r="Z1066" s="7" t="str">
        <f t="shared" si="115"/>
        <v>External</v>
      </c>
      <c r="AA1066" s="7">
        <f>IF(J1066="",AVERAGE($J:$J),J1066)</f>
        <v>10303.1</v>
      </c>
      <c r="AB1066" s="7">
        <f>IF(N1066="",AVERAGE($N:$N),N1066)</f>
        <v>42</v>
      </c>
      <c r="AC1066" s="7">
        <f t="shared" si="116"/>
        <v>2022</v>
      </c>
      <c r="AD1066" s="7">
        <f t="shared" si="117"/>
        <v>2</v>
      </c>
      <c r="AE1066" s="7">
        <f>COUNTIF(A:A,A1066)</f>
        <v>1</v>
      </c>
      <c r="AF1066" s="7" t="str">
        <f t="shared" si="118"/>
        <v/>
      </c>
    </row>
    <row r="1067" spans="1:32">
      <c r="A1067" t="s">
        <v>3128</v>
      </c>
      <c r="B1067">
        <v>42078118</v>
      </c>
      <c r="C1067" t="s">
        <v>330</v>
      </c>
      <c r="D1067" t="s">
        <v>1549</v>
      </c>
      <c r="F1067" t="s">
        <v>21</v>
      </c>
      <c r="G1067" t="s">
        <v>92</v>
      </c>
      <c r="I1067" t="s">
        <v>3372</v>
      </c>
      <c r="J1067">
        <v>13592.6</v>
      </c>
      <c r="K1067" t="s">
        <v>57</v>
      </c>
      <c r="L1067" t="s">
        <v>28</v>
      </c>
      <c r="M1067" s="1">
        <v>44821.647222222222</v>
      </c>
      <c r="N1067">
        <v>56</v>
      </c>
      <c r="O1067" t="s">
        <v>24</v>
      </c>
      <c r="P1067" t="s">
        <v>24</v>
      </c>
      <c r="Q1067" t="s">
        <v>3129</v>
      </c>
      <c r="R1067">
        <f t="shared" si="112"/>
        <v>42078118</v>
      </c>
      <c r="S1067" t="str" cm="1">
        <f t="array" ref="S1067">IF(C1067="",IFERROR(INDEX($C$2:$C$1166,MATCH(MAX(COUNTIF($C$2:$C$1166,$C$2:$C$1166)),COUNTIF($C$2:$C$1166,$C$2:$C$1166),0)),"Unknown"),C1067)</f>
        <v>Marta Lopez</v>
      </c>
      <c r="T1067" s="4" t="str" cm="1">
        <f t="array" ref="T1067">IF(D1067="",IFERROR(INDEX($D$2:$D$1000,MATCH(MAX(COUNTIF($D$2:$D$1166,$D$2:$D$1166)),COUNTIF($D$2:$D$1166,$D$2:$D$1166),0)),"Unknown"),D1067)</f>
        <v>Christopher Smith</v>
      </c>
      <c r="U1067" t="str">
        <f t="shared" si="113"/>
        <v>GBP</v>
      </c>
      <c r="V1067" s="7" t="str">
        <f t="shared" si="113"/>
        <v>AUD</v>
      </c>
      <c r="W1067" s="7" t="str">
        <f t="shared" si="114"/>
        <v>Brazil</v>
      </c>
      <c r="X1067" s="7" t="str">
        <f t="shared" si="114"/>
        <v>Brazil</v>
      </c>
      <c r="Y1067" s="7" t="str" cm="1">
        <f t="array" ref="Y1067">IF(H1067="",IFERROR(INDEX($H$2:$H$1166,MATCH(MAX(COUNTIF($H$2:$H$1166,$H$2:$H$1166)),COUNTIF($H$2:$H$1166,$H$2:$H$1166),0)),"Unknown"),H1067)</f>
        <v>Pending</v>
      </c>
      <c r="Z1067" s="7" t="str">
        <f t="shared" si="115"/>
        <v>Outer-Transaction</v>
      </c>
      <c r="AA1067" s="7">
        <f>IF(J1067="",AVERAGE($J:$J),J1067)</f>
        <v>13592.6</v>
      </c>
      <c r="AB1067" s="7">
        <f>IF(N1067="",AVERAGE($N:$N),N1067)</f>
        <v>56</v>
      </c>
      <c r="AC1067" s="7">
        <f t="shared" si="116"/>
        <v>2022</v>
      </c>
      <c r="AD1067" s="7">
        <f t="shared" si="117"/>
        <v>9</v>
      </c>
      <c r="AE1067" s="7">
        <f>COUNTIF(A:A,A1067)</f>
        <v>1</v>
      </c>
      <c r="AF1067" s="7" t="str">
        <f t="shared" si="118"/>
        <v/>
      </c>
    </row>
    <row r="1068" spans="1:32">
      <c r="A1068" t="s">
        <v>3130</v>
      </c>
      <c r="B1068">
        <v>20770572</v>
      </c>
      <c r="C1068" t="s">
        <v>2241</v>
      </c>
      <c r="D1068" t="s">
        <v>2174</v>
      </c>
      <c r="F1068" t="s">
        <v>116</v>
      </c>
      <c r="G1068" t="s">
        <v>45</v>
      </c>
      <c r="H1068" t="s">
        <v>103</v>
      </c>
      <c r="I1068" t="s">
        <v>3378</v>
      </c>
      <c r="J1068">
        <v>12433.67</v>
      </c>
      <c r="K1068" t="s">
        <v>57</v>
      </c>
      <c r="L1068" t="s">
        <v>48</v>
      </c>
      <c r="M1068" s="1">
        <v>45590.525694444441</v>
      </c>
      <c r="N1068">
        <v>52</v>
      </c>
      <c r="O1068" t="s">
        <v>127</v>
      </c>
      <c r="P1068" t="s">
        <v>24</v>
      </c>
      <c r="Q1068" t="s">
        <v>3131</v>
      </c>
      <c r="R1068">
        <f t="shared" si="112"/>
        <v>20770572</v>
      </c>
      <c r="S1068" t="str" cm="1">
        <f t="array" ref="S1068">IF(C1068="",IFERROR(INDEX($C$2:$C$1166,MATCH(MAX(COUNTIF($C$2:$C$1166,$C$2:$C$1166)),COUNTIF($C$2:$C$1166,$C$2:$C$1166),0)),"Unknown"),C1068)</f>
        <v>David Nair</v>
      </c>
      <c r="T1068" s="4" t="str" cm="1">
        <f t="array" ref="T1068">IF(D1068="",IFERROR(INDEX($D$2:$D$1000,MATCH(MAX(COUNTIF($D$2:$D$1166,$D$2:$D$1166)),COUNTIF($D$2:$D$1166,$D$2:$D$1166),0)),"Unknown"),D1068)</f>
        <v>Jean-Pierre Wilson</v>
      </c>
      <c r="U1068" t="str">
        <f t="shared" si="113"/>
        <v>CHF</v>
      </c>
      <c r="V1068" s="7" t="str">
        <f t="shared" si="113"/>
        <v>ZAR</v>
      </c>
      <c r="W1068" s="7" t="str">
        <f t="shared" si="114"/>
        <v>Canada</v>
      </c>
      <c r="X1068" s="7" t="str">
        <f t="shared" si="114"/>
        <v>Brazil</v>
      </c>
      <c r="Y1068" s="7" t="str" cm="1">
        <f t="array" ref="Y1068">IF(H1068="",IFERROR(INDEX($H$2:$H$1166,MATCH(MAX(COUNTIF($H$2:$H$1166,$H$2:$H$1166)),COUNTIF($H$2:$H$1166,$H$2:$H$1166),0)),"Unknown"),H1068)</f>
        <v>Verified</v>
      </c>
      <c r="Z1068" s="7" t="str">
        <f t="shared" si="115"/>
        <v>Inter-Transaction</v>
      </c>
      <c r="AA1068" s="7">
        <f>IF(J1068="",AVERAGE($J:$J),J1068)</f>
        <v>12433.67</v>
      </c>
      <c r="AB1068" s="7">
        <f>IF(N1068="",AVERAGE($N:$N),N1068)</f>
        <v>52</v>
      </c>
      <c r="AC1068" s="7">
        <f t="shared" si="116"/>
        <v>2024</v>
      </c>
      <c r="AD1068" s="7">
        <f t="shared" si="117"/>
        <v>10</v>
      </c>
      <c r="AE1068" s="7">
        <f>COUNTIF(A:A,A1068)</f>
        <v>1</v>
      </c>
      <c r="AF1068" s="7" t="str">
        <f t="shared" si="118"/>
        <v/>
      </c>
    </row>
    <row r="1069" spans="1:32">
      <c r="A1069" t="s">
        <v>3132</v>
      </c>
      <c r="B1069">
        <v>43212275</v>
      </c>
      <c r="C1069" t="s">
        <v>142</v>
      </c>
      <c r="D1069" t="s">
        <v>2169</v>
      </c>
      <c r="F1069" t="s">
        <v>21</v>
      </c>
      <c r="G1069" t="s">
        <v>35</v>
      </c>
      <c r="I1069" t="s">
        <v>3371</v>
      </c>
      <c r="J1069">
        <v>11418.15</v>
      </c>
      <c r="K1069" t="s">
        <v>57</v>
      </c>
      <c r="L1069" t="s">
        <v>28</v>
      </c>
      <c r="M1069" s="1">
        <v>46151.674305555556</v>
      </c>
      <c r="N1069">
        <v>20</v>
      </c>
      <c r="O1069" t="s">
        <v>37</v>
      </c>
      <c r="P1069" t="s">
        <v>62</v>
      </c>
      <c r="Q1069" t="s">
        <v>3133</v>
      </c>
      <c r="R1069">
        <f t="shared" si="112"/>
        <v>43212275</v>
      </c>
      <c r="S1069" t="str" cm="1">
        <f t="array" ref="S1069">IF(C1069="",IFERROR(INDEX($C$2:$C$1166,MATCH(MAX(COUNTIF($C$2:$C$1166,$C$2:$C$1166)),COUNTIF($C$2:$C$1166,$C$2:$C$1166),0)),"Unknown"),C1069)</f>
        <v>Thomas Rodriguez</v>
      </c>
      <c r="T1069" s="4" t="str" cm="1">
        <f t="array" ref="T1069">IF(D1069="",IFERROR(INDEX($D$2:$D$1000,MATCH(MAX(COUNTIF($D$2:$D$1166,$D$2:$D$1166)),COUNTIF($D$2:$D$1166,$D$2:$D$1166),0)),"Unknown"),D1069)</f>
        <v>Joseph Brown</v>
      </c>
      <c r="U1069" t="str">
        <f t="shared" si="113"/>
        <v>GBP</v>
      </c>
      <c r="V1069" s="7" t="str">
        <f t="shared" si="113"/>
        <v>EUR</v>
      </c>
      <c r="W1069" s="7" t="str">
        <f t="shared" si="114"/>
        <v>South Africa</v>
      </c>
      <c r="X1069" s="7" t="str">
        <f t="shared" si="114"/>
        <v>Australia</v>
      </c>
      <c r="Y1069" s="7" t="str" cm="1">
        <f t="array" ref="Y1069">IF(H1069="",IFERROR(INDEX($H$2:$H$1166,MATCH(MAX(COUNTIF($H$2:$H$1166,$H$2:$H$1166)),COUNTIF($H$2:$H$1166,$H$2:$H$1166),0)),"Unknown"),H1069)</f>
        <v>Pending</v>
      </c>
      <c r="Z1069" s="7" t="str">
        <f t="shared" si="115"/>
        <v>Outer-Transaction</v>
      </c>
      <c r="AA1069" s="7">
        <f>IF(J1069="",AVERAGE($J:$J),J1069)</f>
        <v>11418.15</v>
      </c>
      <c r="AB1069" s="7">
        <f>IF(N1069="",AVERAGE($N:$N),N1069)</f>
        <v>20</v>
      </c>
      <c r="AC1069" s="7">
        <f t="shared" si="116"/>
        <v>2026</v>
      </c>
      <c r="AD1069" s="7">
        <f t="shared" si="117"/>
        <v>5</v>
      </c>
      <c r="AE1069" s="7">
        <f>COUNTIF(A:A,A1069)</f>
        <v>1</v>
      </c>
      <c r="AF1069" s="7" t="str">
        <f t="shared" si="118"/>
        <v/>
      </c>
    </row>
    <row r="1070" spans="1:32">
      <c r="A1070" t="s">
        <v>3134</v>
      </c>
      <c r="B1070">
        <v>89075105</v>
      </c>
      <c r="C1070" t="s">
        <v>922</v>
      </c>
      <c r="D1070" t="s">
        <v>2387</v>
      </c>
      <c r="F1070" t="s">
        <v>35</v>
      </c>
      <c r="G1070" t="s">
        <v>116</v>
      </c>
      <c r="H1070" t="s">
        <v>103</v>
      </c>
      <c r="I1070" t="s">
        <v>3377</v>
      </c>
      <c r="J1070">
        <v>6543.04</v>
      </c>
      <c r="K1070" t="s">
        <v>39</v>
      </c>
      <c r="L1070" t="s">
        <v>28</v>
      </c>
      <c r="M1070" s="1">
        <v>46110.951388888891</v>
      </c>
      <c r="N1070">
        <v>61</v>
      </c>
      <c r="O1070" t="s">
        <v>36</v>
      </c>
      <c r="P1070" t="s">
        <v>23</v>
      </c>
      <c r="Q1070" t="s">
        <v>3135</v>
      </c>
      <c r="R1070">
        <f t="shared" si="112"/>
        <v>89075105</v>
      </c>
      <c r="S1070" t="str" cm="1">
        <f t="array" ref="S1070">IF(C1070="",IFERROR(INDEX($C$2:$C$1166,MATCH(MAX(COUNTIF($C$2:$C$1166,$C$2:$C$1166)),COUNTIF($C$2:$C$1166,$C$2:$C$1166),0)),"Unknown"),C1070)</f>
        <v>Nancy Souza</v>
      </c>
      <c r="T1070" s="4" t="str" cm="1">
        <f t="array" ref="T1070">IF(D1070="",IFERROR(INDEX($D$2:$D$1000,MATCH(MAX(COUNTIF($D$2:$D$1166,$D$2:$D$1166)),COUNTIF($D$2:$D$1166,$D$2:$D$1166),0)),"Unknown"),D1070)</f>
        <v>Mary Wilson</v>
      </c>
      <c r="U1070" t="str">
        <f t="shared" si="113"/>
        <v>EUR</v>
      </c>
      <c r="V1070" s="7" t="str">
        <f t="shared" si="113"/>
        <v>CHF</v>
      </c>
      <c r="W1070" s="7" t="str">
        <f t="shared" si="114"/>
        <v>Germany</v>
      </c>
      <c r="X1070" s="7" t="str">
        <f t="shared" si="114"/>
        <v>France</v>
      </c>
      <c r="Y1070" s="7" t="str" cm="1">
        <f t="array" ref="Y1070">IF(H1070="",IFERROR(INDEX($H$2:$H$1166,MATCH(MAX(COUNTIF($H$2:$H$1166,$H$2:$H$1166)),COUNTIF($H$2:$H$1166,$H$2:$H$1166),0)),"Unknown"),H1070)</f>
        <v>Verified</v>
      </c>
      <c r="Z1070" s="7" t="str">
        <f t="shared" si="115"/>
        <v>Inter-Transaction</v>
      </c>
      <c r="AA1070" s="7">
        <f>IF(J1070="",AVERAGE($J:$J),J1070)</f>
        <v>6543.04</v>
      </c>
      <c r="AB1070" s="7">
        <f>IF(N1070="",AVERAGE($N:$N),N1070)</f>
        <v>61</v>
      </c>
      <c r="AC1070" s="7">
        <f t="shared" si="116"/>
        <v>2026</v>
      </c>
      <c r="AD1070" s="7">
        <f t="shared" si="117"/>
        <v>3</v>
      </c>
      <c r="AE1070" s="7">
        <f>COUNTIF(A:A,A1070)</f>
        <v>1</v>
      </c>
      <c r="AF1070" s="7" t="str">
        <f t="shared" si="118"/>
        <v/>
      </c>
    </row>
    <row r="1071" spans="1:32">
      <c r="A1071" t="s">
        <v>3136</v>
      </c>
      <c r="B1071">
        <v>66206761</v>
      </c>
      <c r="C1071" t="s">
        <v>239</v>
      </c>
      <c r="D1071" t="s">
        <v>3137</v>
      </c>
      <c r="F1071" t="s">
        <v>21</v>
      </c>
      <c r="G1071" t="s">
        <v>121</v>
      </c>
      <c r="H1071" t="s">
        <v>25</v>
      </c>
      <c r="I1071" t="s">
        <v>3378</v>
      </c>
      <c r="J1071">
        <v>7536.21</v>
      </c>
      <c r="K1071" t="s">
        <v>86</v>
      </c>
      <c r="L1071" t="s">
        <v>75</v>
      </c>
      <c r="M1071" s="1">
        <v>44326.234722222223</v>
      </c>
      <c r="N1071">
        <v>68</v>
      </c>
      <c r="O1071" t="s">
        <v>23</v>
      </c>
      <c r="P1071" t="s">
        <v>68</v>
      </c>
      <c r="Q1071" t="s">
        <v>3138</v>
      </c>
      <c r="R1071">
        <f t="shared" si="112"/>
        <v>66206761</v>
      </c>
      <c r="S1071" t="str" cm="1">
        <f t="array" ref="S1071">IF(C1071="",IFERROR(INDEX($C$2:$C$1166,MATCH(MAX(COUNTIF($C$2:$C$1166,$C$2:$C$1166)),COUNTIF($C$2:$C$1166,$C$2:$C$1166),0)),"Unknown"),C1071)</f>
        <v>Thomas Davis</v>
      </c>
      <c r="T1071" s="4" t="str" cm="1">
        <f t="array" ref="T1071">IF(D1071="",IFERROR(INDEX($D$2:$D$1000,MATCH(MAX(COUNTIF($D$2:$D$1166,$D$2:$D$1166)),COUNTIF($D$2:$D$1166,$D$2:$D$1166),0)),"Unknown"),D1071)</f>
        <v>Marta Silva</v>
      </c>
      <c r="U1071" t="str">
        <f t="shared" si="113"/>
        <v>GBP</v>
      </c>
      <c r="V1071" s="7" t="str">
        <f t="shared" si="113"/>
        <v>INR</v>
      </c>
      <c r="W1071" s="7" t="str">
        <f t="shared" si="114"/>
        <v>France</v>
      </c>
      <c r="X1071" s="7" t="str">
        <f t="shared" si="114"/>
        <v>UAE</v>
      </c>
      <c r="Y1071" s="7" t="str" cm="1">
        <f t="array" ref="Y1071">IF(H1071="",IFERROR(INDEX($H$2:$H$1166,MATCH(MAX(COUNTIF($H$2:$H$1166,$H$2:$H$1166)),COUNTIF($H$2:$H$1166,$H$2:$H$1166),0)),"Unknown"),H1071)</f>
        <v>KYC</v>
      </c>
      <c r="Z1071" s="7" t="str">
        <f t="shared" si="115"/>
        <v>Inter-Transaction</v>
      </c>
      <c r="AA1071" s="7">
        <f>IF(J1071="",AVERAGE($J:$J),J1071)</f>
        <v>7536.21</v>
      </c>
      <c r="AB1071" s="7">
        <f>IF(N1071="",AVERAGE($N:$N),N1071)</f>
        <v>68</v>
      </c>
      <c r="AC1071" s="7">
        <f t="shared" si="116"/>
        <v>2021</v>
      </c>
      <c r="AD1071" s="7">
        <f t="shared" si="117"/>
        <v>5</v>
      </c>
      <c r="AE1071" s="7">
        <f>COUNTIF(A:A,A1071)</f>
        <v>1</v>
      </c>
      <c r="AF1071" s="7" t="str">
        <f t="shared" si="118"/>
        <v/>
      </c>
    </row>
    <row r="1072" spans="1:32">
      <c r="A1072" t="s">
        <v>3139</v>
      </c>
      <c r="B1072">
        <v>33582622</v>
      </c>
      <c r="C1072" t="s">
        <v>2366</v>
      </c>
      <c r="D1072" t="s">
        <v>574</v>
      </c>
      <c r="F1072" t="s">
        <v>21</v>
      </c>
      <c r="G1072" t="s">
        <v>44</v>
      </c>
      <c r="H1072" t="s">
        <v>25</v>
      </c>
      <c r="I1072" t="s">
        <v>3374</v>
      </c>
      <c r="J1072">
        <v>4975.22</v>
      </c>
      <c r="K1072" t="s">
        <v>27</v>
      </c>
      <c r="L1072" t="s">
        <v>28</v>
      </c>
      <c r="M1072" s="1">
        <v>44878.022222222222</v>
      </c>
      <c r="N1072">
        <v>29</v>
      </c>
      <c r="O1072" t="s">
        <v>62</v>
      </c>
      <c r="P1072" t="s">
        <v>68</v>
      </c>
      <c r="Q1072" t="s">
        <v>3140</v>
      </c>
      <c r="R1072">
        <f t="shared" si="112"/>
        <v>33582622</v>
      </c>
      <c r="S1072" t="str" cm="1">
        <f t="array" ref="S1072">IF(C1072="",IFERROR(INDEX($C$2:$C$1166,MATCH(MAX(COUNTIF($C$2:$C$1166,$C$2:$C$1166)),COUNTIF($C$2:$C$1166,$C$2:$C$1166),0)),"Unknown"),C1072)</f>
        <v>Lucas Al-Sayed</v>
      </c>
      <c r="T1072" s="4" t="str" cm="1">
        <f t="array" ref="T1072">IF(D1072="",IFERROR(INDEX($D$2:$D$1000,MATCH(MAX(COUNTIF($D$2:$D$1166,$D$2:$D$1166)),COUNTIF($D$2:$D$1166,$D$2:$D$1166),0)),"Unknown"),D1072)</f>
        <v>Elizabeth Brown</v>
      </c>
      <c r="U1072" t="str">
        <f t="shared" si="113"/>
        <v>GBP</v>
      </c>
      <c r="V1072" s="7" t="str">
        <f t="shared" si="113"/>
        <v>SGD</v>
      </c>
      <c r="W1072" s="7" t="str">
        <f t="shared" si="114"/>
        <v>Australia</v>
      </c>
      <c r="X1072" s="7" t="str">
        <f t="shared" si="114"/>
        <v>UAE</v>
      </c>
      <c r="Y1072" s="7" t="str" cm="1">
        <f t="array" ref="Y1072">IF(H1072="",IFERROR(INDEX($H$2:$H$1166,MATCH(MAX(COUNTIF($H$2:$H$1166,$H$2:$H$1166)),COUNTIF($H$2:$H$1166,$H$2:$H$1166),0)),"Unknown"),H1072)</f>
        <v>KYC</v>
      </c>
      <c r="Z1072" s="7" t="str">
        <f t="shared" si="115"/>
        <v>External</v>
      </c>
      <c r="AA1072" s="7">
        <f>IF(J1072="",AVERAGE($J:$J),J1072)</f>
        <v>4975.22</v>
      </c>
      <c r="AB1072" s="7">
        <f>IF(N1072="",AVERAGE($N:$N),N1072)</f>
        <v>29</v>
      </c>
      <c r="AC1072" s="7">
        <f t="shared" si="116"/>
        <v>2022</v>
      </c>
      <c r="AD1072" s="7">
        <f t="shared" si="117"/>
        <v>11</v>
      </c>
      <c r="AE1072" s="7">
        <f>COUNTIF(A:A,A1072)</f>
        <v>1</v>
      </c>
      <c r="AF1072" s="7" t="str">
        <f t="shared" si="118"/>
        <v/>
      </c>
    </row>
    <row r="1073" spans="1:32">
      <c r="A1073" t="s">
        <v>3141</v>
      </c>
      <c r="B1073">
        <v>92548875</v>
      </c>
      <c r="C1073" t="s">
        <v>311</v>
      </c>
      <c r="D1073" t="s">
        <v>533</v>
      </c>
      <c r="F1073" t="s">
        <v>80</v>
      </c>
      <c r="G1073" t="s">
        <v>45</v>
      </c>
      <c r="I1073" t="s">
        <v>3377</v>
      </c>
      <c r="J1073">
        <v>4817.1899999999996</v>
      </c>
      <c r="K1073" t="s">
        <v>39</v>
      </c>
      <c r="L1073" t="s">
        <v>48</v>
      </c>
      <c r="M1073" s="1">
        <v>45557.170138888891</v>
      </c>
      <c r="N1073">
        <v>36</v>
      </c>
      <c r="O1073" t="s">
        <v>24</v>
      </c>
      <c r="P1073" t="s">
        <v>36</v>
      </c>
      <c r="Q1073" t="s">
        <v>3142</v>
      </c>
      <c r="R1073">
        <f t="shared" si="112"/>
        <v>92548875</v>
      </c>
      <c r="S1073" t="str" cm="1">
        <f t="array" ref="S1073">IF(C1073="",IFERROR(INDEX($C$2:$C$1166,MATCH(MAX(COUNTIF($C$2:$C$1166,$C$2:$C$1166)),COUNTIF($C$2:$C$1166,$C$2:$C$1166),0)),"Unknown"),C1073)</f>
        <v>Susan Davis</v>
      </c>
      <c r="T1073" s="4" t="str" cm="1">
        <f t="array" ref="T1073">IF(D1073="",IFERROR(INDEX($D$2:$D$1000,MATCH(MAX(COUNTIF($D$2:$D$1166,$D$2:$D$1166)),COUNTIF($D$2:$D$1166,$D$2:$D$1166),0)),"Unknown"),D1073)</f>
        <v>Priya Silva</v>
      </c>
      <c r="U1073" t="str">
        <f t="shared" si="113"/>
        <v>USD</v>
      </c>
      <c r="V1073" s="7" t="str">
        <f t="shared" si="113"/>
        <v>ZAR</v>
      </c>
      <c r="W1073" s="7" t="str">
        <f t="shared" si="114"/>
        <v>Brazil</v>
      </c>
      <c r="X1073" s="7" t="str">
        <f t="shared" si="114"/>
        <v>Germany</v>
      </c>
      <c r="Y1073" s="7" t="str" cm="1">
        <f t="array" ref="Y1073">IF(H1073="",IFERROR(INDEX($H$2:$H$1166,MATCH(MAX(COUNTIF($H$2:$H$1166,$H$2:$H$1166)),COUNTIF($H$2:$H$1166,$H$2:$H$1166),0)),"Unknown"),H1073)</f>
        <v>Pending</v>
      </c>
      <c r="Z1073" s="7" t="str">
        <f t="shared" si="115"/>
        <v>Inter-Transaction</v>
      </c>
      <c r="AA1073" s="7">
        <f>IF(J1073="",AVERAGE($J:$J),J1073)</f>
        <v>4817.1899999999996</v>
      </c>
      <c r="AB1073" s="7">
        <f>IF(N1073="",AVERAGE($N:$N),N1073)</f>
        <v>36</v>
      </c>
      <c r="AC1073" s="7">
        <f t="shared" si="116"/>
        <v>2024</v>
      </c>
      <c r="AD1073" s="7">
        <f t="shared" si="117"/>
        <v>9</v>
      </c>
      <c r="AE1073" s="7">
        <f>COUNTIF(A:A,A1073)</f>
        <v>1</v>
      </c>
      <c r="AF1073" s="7" t="str">
        <f t="shared" si="118"/>
        <v/>
      </c>
    </row>
    <row r="1074" spans="1:32">
      <c r="A1074" t="s">
        <v>3143</v>
      </c>
      <c r="B1074">
        <v>38672861</v>
      </c>
      <c r="C1074" t="s">
        <v>640</v>
      </c>
      <c r="D1074" t="s">
        <v>125</v>
      </c>
      <c r="F1074" t="s">
        <v>21</v>
      </c>
      <c r="G1074" t="s">
        <v>45</v>
      </c>
      <c r="H1074" t="s">
        <v>74</v>
      </c>
      <c r="I1074" t="s">
        <v>3371</v>
      </c>
      <c r="J1074">
        <v>1478.27</v>
      </c>
      <c r="K1074" t="s">
        <v>27</v>
      </c>
      <c r="L1074" t="s">
        <v>48</v>
      </c>
      <c r="M1074" s="1">
        <v>46380.645833333336</v>
      </c>
      <c r="N1074">
        <v>61</v>
      </c>
      <c r="O1074" t="s">
        <v>24</v>
      </c>
      <c r="P1074" t="s">
        <v>23</v>
      </c>
      <c r="Q1074" t="s">
        <v>3144</v>
      </c>
      <c r="R1074">
        <f t="shared" si="112"/>
        <v>38672861</v>
      </c>
      <c r="S1074" t="str" cm="1">
        <f t="array" ref="S1074">IF(C1074="",IFERROR(INDEX($C$2:$C$1166,MATCH(MAX(COUNTIF($C$2:$C$1166,$C$2:$C$1166)),COUNTIF($C$2:$C$1166,$C$2:$C$1166),0)),"Unknown"),C1074)</f>
        <v>Zayn Garcia</v>
      </c>
      <c r="T1074" s="4" t="str" cm="1">
        <f t="array" ref="T1074">IF(D1074="",IFERROR(INDEX($D$2:$D$1000,MATCH(MAX(COUNTIF($D$2:$D$1166,$D$2:$D$1166)),COUNTIF($D$2:$D$1166,$D$2:$D$1166),0)),"Unknown"),D1074)</f>
        <v>Charles Brown</v>
      </c>
      <c r="U1074" t="str">
        <f t="shared" si="113"/>
        <v>GBP</v>
      </c>
      <c r="V1074" s="7" t="str">
        <f t="shared" si="113"/>
        <v>ZAR</v>
      </c>
      <c r="W1074" s="7" t="str">
        <f t="shared" si="114"/>
        <v>Brazil</v>
      </c>
      <c r="X1074" s="7" t="str">
        <f t="shared" si="114"/>
        <v>France</v>
      </c>
      <c r="Y1074" s="7" t="str" cm="1">
        <f t="array" ref="Y1074">IF(H1074="",IFERROR(INDEX($H$2:$H$1166,MATCH(MAX(COUNTIF($H$2:$H$1166,$H$2:$H$1166)),COUNTIF($H$2:$H$1166,$H$2:$H$1166),0)),"Unknown"),H1074)</f>
        <v>Non-KYC</v>
      </c>
      <c r="Z1074" s="7" t="str">
        <f t="shared" si="115"/>
        <v>Outer-Transaction</v>
      </c>
      <c r="AA1074" s="7">
        <f>IF(J1074="",AVERAGE($J:$J),J1074)</f>
        <v>1478.27</v>
      </c>
      <c r="AB1074" s="7">
        <f>IF(N1074="",AVERAGE($N:$N),N1074)</f>
        <v>61</v>
      </c>
      <c r="AC1074" s="7">
        <f t="shared" si="116"/>
        <v>2026</v>
      </c>
      <c r="AD1074" s="7">
        <f t="shared" si="117"/>
        <v>12</v>
      </c>
      <c r="AE1074" s="7">
        <f>COUNTIF(A:A,A1074)</f>
        <v>1</v>
      </c>
      <c r="AF1074" s="7" t="str">
        <f t="shared" si="118"/>
        <v/>
      </c>
    </row>
    <row r="1075" spans="1:32">
      <c r="A1075" t="s">
        <v>3145</v>
      </c>
      <c r="C1075" t="s">
        <v>995</v>
      </c>
      <c r="F1075" t="s">
        <v>44</v>
      </c>
      <c r="G1075" t="s">
        <v>80</v>
      </c>
      <c r="H1075" t="s">
        <v>25</v>
      </c>
      <c r="I1075" t="s">
        <v>3378</v>
      </c>
      <c r="J1075">
        <v>12952.2</v>
      </c>
      <c r="K1075" t="s">
        <v>86</v>
      </c>
      <c r="L1075" t="s">
        <v>75</v>
      </c>
      <c r="M1075" s="1">
        <v>45903.65625</v>
      </c>
      <c r="N1075">
        <v>76</v>
      </c>
      <c r="O1075" t="s">
        <v>37</v>
      </c>
      <c r="P1075" t="s">
        <v>93</v>
      </c>
      <c r="Q1075" t="s">
        <v>3146</v>
      </c>
      <c r="R1075">
        <f t="shared" si="112"/>
        <v>0</v>
      </c>
      <c r="S1075" t="str" cm="1">
        <f t="array" ref="S1075">IF(C1075="",IFERROR(INDEX($C$2:$C$1166,MATCH(MAX(COUNTIF($C$2:$C$1166,$C$2:$C$1166)),COUNTIF($C$2:$C$1166,$C$2:$C$1166),0)),"Unknown"),C1075)</f>
        <v>Susan Jones</v>
      </c>
      <c r="T1075" s="4" t="str" cm="1">
        <f t="array" ref="T1075">IF(D1075="",IFERROR(INDEX($D$2:$D$1000,MATCH(MAX(COUNTIF($D$2:$D$1166,$D$2:$D$1166)),COUNTIF($D$2:$D$1166,$D$2:$D$1166),0)),"Unknown"),D1075)</f>
        <v>Patricia Smith</v>
      </c>
      <c r="U1075" t="str">
        <f t="shared" si="113"/>
        <v>SGD</v>
      </c>
      <c r="V1075" s="7" t="str">
        <f t="shared" si="113"/>
        <v>USD</v>
      </c>
      <c r="W1075" s="7" t="str">
        <f t="shared" si="114"/>
        <v>South Africa</v>
      </c>
      <c r="X1075" s="7" t="str">
        <f t="shared" si="114"/>
        <v>USA</v>
      </c>
      <c r="Y1075" s="7" t="str" cm="1">
        <f t="array" ref="Y1075">IF(H1075="",IFERROR(INDEX($H$2:$H$1166,MATCH(MAX(COUNTIF($H$2:$H$1166,$H$2:$H$1166)),COUNTIF($H$2:$H$1166,$H$2:$H$1166),0)),"Unknown"),H1075)</f>
        <v>KYC</v>
      </c>
      <c r="Z1075" s="7" t="str">
        <f t="shared" si="115"/>
        <v>Inter-Transaction</v>
      </c>
      <c r="AA1075" s="7">
        <f>IF(J1075="",AVERAGE($J:$J),J1075)</f>
        <v>12952.2</v>
      </c>
      <c r="AB1075" s="7">
        <f>IF(N1075="",AVERAGE($N:$N),N1075)</f>
        <v>76</v>
      </c>
      <c r="AC1075" s="7">
        <f t="shared" si="116"/>
        <v>2025</v>
      </c>
      <c r="AD1075" s="7">
        <f t="shared" si="117"/>
        <v>9</v>
      </c>
      <c r="AE1075" s="7">
        <f>COUNTIF(A:A,A1075)</f>
        <v>1</v>
      </c>
      <c r="AF1075" s="7" t="str">
        <f t="shared" si="118"/>
        <v/>
      </c>
    </row>
    <row r="1076" spans="1:32">
      <c r="A1076" t="s">
        <v>3147</v>
      </c>
      <c r="B1076">
        <v>42753932</v>
      </c>
      <c r="C1076" t="s">
        <v>1905</v>
      </c>
      <c r="D1076" t="s">
        <v>1192</v>
      </c>
      <c r="F1076" t="s">
        <v>121</v>
      </c>
      <c r="G1076" t="s">
        <v>22</v>
      </c>
      <c r="H1076" t="s">
        <v>56</v>
      </c>
      <c r="I1076" t="s">
        <v>3372</v>
      </c>
      <c r="J1076">
        <v>11420.87</v>
      </c>
      <c r="K1076" t="s">
        <v>86</v>
      </c>
      <c r="L1076" t="s">
        <v>48</v>
      </c>
      <c r="M1076" s="1">
        <v>46166.008333333331</v>
      </c>
      <c r="N1076">
        <v>66</v>
      </c>
      <c r="O1076" t="s">
        <v>37</v>
      </c>
      <c r="P1076" t="s">
        <v>93</v>
      </c>
      <c r="Q1076" t="s">
        <v>3148</v>
      </c>
      <c r="R1076">
        <f t="shared" si="112"/>
        <v>42753932</v>
      </c>
      <c r="S1076" t="str" cm="1">
        <f t="array" ref="S1076">IF(C1076="",IFERROR(INDEX($C$2:$C$1166,MATCH(MAX(COUNTIF($C$2:$C$1166,$C$2:$C$1166)),COUNTIF($C$2:$C$1166,$C$2:$C$1166),0)),"Unknown"),C1076)</f>
        <v>Karen Thomas</v>
      </c>
      <c r="T1076" s="4" t="str" cm="1">
        <f t="array" ref="T1076">IF(D1076="",IFERROR(INDEX($D$2:$D$1000,MATCH(MAX(COUNTIF($D$2:$D$1166,$D$2:$D$1166)),COUNTIF($D$2:$D$1166,$D$2:$D$1166),0)),"Unknown"),D1076)</f>
        <v>Karen Martin</v>
      </c>
      <c r="U1076" t="str">
        <f t="shared" si="113"/>
        <v>INR</v>
      </c>
      <c r="V1076" s="7" t="str">
        <f t="shared" si="113"/>
        <v>BRL</v>
      </c>
      <c r="W1076" s="7" t="str">
        <f t="shared" si="114"/>
        <v>South Africa</v>
      </c>
      <c r="X1076" s="7" t="str">
        <f t="shared" si="114"/>
        <v>USA</v>
      </c>
      <c r="Y1076" s="7" t="str" cm="1">
        <f t="array" ref="Y1076">IF(H1076="",IFERROR(INDEX($H$2:$H$1166,MATCH(MAX(COUNTIF($H$2:$H$1166,$H$2:$H$1166)),COUNTIF($H$2:$H$1166,$H$2:$H$1166),0)),"Unknown"),H1076)</f>
        <v>Unverified</v>
      </c>
      <c r="Z1076" s="7" t="str">
        <f t="shared" si="115"/>
        <v>Outer-Transaction</v>
      </c>
      <c r="AA1076" s="7">
        <f>IF(J1076="",AVERAGE($J:$J),J1076)</f>
        <v>11420.87</v>
      </c>
      <c r="AB1076" s="7">
        <f>IF(N1076="",AVERAGE($N:$N),N1076)</f>
        <v>66</v>
      </c>
      <c r="AC1076" s="7">
        <f t="shared" si="116"/>
        <v>2026</v>
      </c>
      <c r="AD1076" s="7">
        <f t="shared" si="117"/>
        <v>5</v>
      </c>
      <c r="AE1076" s="7">
        <f>COUNTIF(A:A,A1076)</f>
        <v>1</v>
      </c>
      <c r="AF1076" s="7" t="str">
        <f t="shared" si="118"/>
        <v/>
      </c>
    </row>
    <row r="1077" spans="1:32">
      <c r="A1077" t="s">
        <v>3149</v>
      </c>
      <c r="B1077">
        <v>49942852</v>
      </c>
      <c r="C1077" t="s">
        <v>278</v>
      </c>
      <c r="D1077" t="s">
        <v>111</v>
      </c>
      <c r="G1077" t="s">
        <v>160</v>
      </c>
      <c r="H1077" t="s">
        <v>74</v>
      </c>
      <c r="I1077" t="s">
        <v>3372</v>
      </c>
      <c r="J1077">
        <v>2596.12</v>
      </c>
      <c r="K1077" t="s">
        <v>86</v>
      </c>
      <c r="L1077" t="s">
        <v>75</v>
      </c>
      <c r="M1077" s="1">
        <v>44168.79791666667</v>
      </c>
      <c r="N1077">
        <v>78</v>
      </c>
      <c r="O1077" t="s">
        <v>55</v>
      </c>
      <c r="P1077" t="s">
        <v>54</v>
      </c>
      <c r="Q1077" t="s">
        <v>3150</v>
      </c>
      <c r="R1077">
        <f t="shared" si="112"/>
        <v>49942852</v>
      </c>
      <c r="S1077" t="str" cm="1">
        <f t="array" ref="S1077">IF(C1077="",IFERROR(INDEX($C$2:$C$1166,MATCH(MAX(COUNTIF($C$2:$C$1166,$C$2:$C$1166)),COUNTIF($C$2:$C$1166,$C$2:$C$1166),0)),"Unknown"),C1077)</f>
        <v>Sanjay Williams</v>
      </c>
      <c r="T1077" s="4" t="str" cm="1">
        <f t="array" ref="T1077">IF(D1077="",IFERROR(INDEX($D$2:$D$1000,MATCH(MAX(COUNTIF($D$2:$D$1166,$D$2:$D$1166)),COUNTIF($D$2:$D$1166,$D$2:$D$1166),0)),"Unknown"),D1077)</f>
        <v>Karen Rostova</v>
      </c>
      <c r="U1077" t="str">
        <f t="shared" si="113"/>
        <v/>
      </c>
      <c r="V1077" s="7" t="str">
        <f t="shared" si="113"/>
        <v>aud</v>
      </c>
      <c r="W1077" s="7" t="str">
        <f t="shared" si="114"/>
        <v>UK</v>
      </c>
      <c r="X1077" s="7" t="str">
        <f t="shared" si="114"/>
        <v>India</v>
      </c>
      <c r="Y1077" s="7" t="str" cm="1">
        <f t="array" ref="Y1077">IF(H1077="",IFERROR(INDEX($H$2:$H$1166,MATCH(MAX(COUNTIF($H$2:$H$1166,$H$2:$H$1166)),COUNTIF($H$2:$H$1166,$H$2:$H$1166),0)),"Unknown"),H1077)</f>
        <v>Non-KYC</v>
      </c>
      <c r="Z1077" s="7" t="str">
        <f t="shared" si="115"/>
        <v>Outer-Transaction</v>
      </c>
      <c r="AA1077" s="7">
        <f>IF(J1077="",AVERAGE($J:$J),J1077)</f>
        <v>2596.12</v>
      </c>
      <c r="AB1077" s="7">
        <f>IF(N1077="",AVERAGE($N:$N),N1077)</f>
        <v>78</v>
      </c>
      <c r="AC1077" s="7">
        <f t="shared" si="116"/>
        <v>2020</v>
      </c>
      <c r="AD1077" s="7">
        <f t="shared" si="117"/>
        <v>12</v>
      </c>
      <c r="AE1077" s="7">
        <f>COUNTIF(A:A,A1077)</f>
        <v>1</v>
      </c>
      <c r="AF1077" s="7" t="str">
        <f t="shared" si="118"/>
        <v/>
      </c>
    </row>
    <row r="1078" spans="1:32">
      <c r="A1078" t="s">
        <v>3151</v>
      </c>
      <c r="B1078">
        <v>98252710</v>
      </c>
      <c r="C1078" t="s">
        <v>865</v>
      </c>
      <c r="D1078" t="s">
        <v>2461</v>
      </c>
      <c r="F1078" t="s">
        <v>80</v>
      </c>
      <c r="G1078" t="s">
        <v>294</v>
      </c>
      <c r="H1078" t="s">
        <v>25</v>
      </c>
      <c r="I1078" t="s">
        <v>3374</v>
      </c>
      <c r="J1078">
        <v>11698.23</v>
      </c>
      <c r="K1078" t="s">
        <v>39</v>
      </c>
      <c r="L1078" t="s">
        <v>48</v>
      </c>
      <c r="M1078" s="1">
        <v>45768.964583333334</v>
      </c>
      <c r="N1078">
        <v>34</v>
      </c>
      <c r="O1078" t="s">
        <v>55</v>
      </c>
      <c r="P1078" t="s">
        <v>55</v>
      </c>
      <c r="Q1078" t="s">
        <v>3152</v>
      </c>
      <c r="R1078">
        <f t="shared" si="112"/>
        <v>98252710</v>
      </c>
      <c r="S1078" t="str" cm="1">
        <f t="array" ref="S1078">IF(C1078="",IFERROR(INDEX($C$2:$C$1166,MATCH(MAX(COUNTIF($C$2:$C$1166,$C$2:$C$1166)),COUNTIF($C$2:$C$1166,$C$2:$C$1166),0)),"Unknown"),C1078)</f>
        <v>Karen Garcia</v>
      </c>
      <c r="T1078" s="4" t="str" cm="1">
        <f t="array" ref="T1078">IF(D1078="",IFERROR(INDEX($D$2:$D$1000,MATCH(MAX(COUNTIF($D$2:$D$1166,$D$2:$D$1166)),COUNTIF($D$2:$D$1166,$D$2:$D$1166),0)),"Unknown"),D1078)</f>
        <v>Susan Silva</v>
      </c>
      <c r="U1078" t="str">
        <f t="shared" si="113"/>
        <v>USD</v>
      </c>
      <c r="V1078" s="7" t="str">
        <f t="shared" si="113"/>
        <v>jpy</v>
      </c>
      <c r="W1078" s="7" t="str">
        <f t="shared" si="114"/>
        <v>UK</v>
      </c>
      <c r="X1078" s="7" t="str">
        <f t="shared" si="114"/>
        <v>UK</v>
      </c>
      <c r="Y1078" s="7" t="str" cm="1">
        <f t="array" ref="Y1078">IF(H1078="",IFERROR(INDEX($H$2:$H$1166,MATCH(MAX(COUNTIF($H$2:$H$1166,$H$2:$H$1166)),COUNTIF($H$2:$H$1166,$H$2:$H$1166),0)),"Unknown"),H1078)</f>
        <v>KYC</v>
      </c>
      <c r="Z1078" s="7" t="str">
        <f t="shared" si="115"/>
        <v>External</v>
      </c>
      <c r="AA1078" s="7">
        <f>IF(J1078="",AVERAGE($J:$J),J1078)</f>
        <v>11698.23</v>
      </c>
      <c r="AB1078" s="7">
        <f>IF(N1078="",AVERAGE($N:$N),N1078)</f>
        <v>34</v>
      </c>
      <c r="AC1078" s="7">
        <f t="shared" si="116"/>
        <v>2025</v>
      </c>
      <c r="AD1078" s="7">
        <f t="shared" si="117"/>
        <v>4</v>
      </c>
      <c r="AE1078" s="7">
        <f>COUNTIF(A:A,A1078)</f>
        <v>1</v>
      </c>
      <c r="AF1078" s="7" t="str">
        <f t="shared" si="118"/>
        <v/>
      </c>
    </row>
    <row r="1079" spans="1:32">
      <c r="A1079" t="s">
        <v>3153</v>
      </c>
      <c r="B1079">
        <v>61053150</v>
      </c>
      <c r="C1079" t="s">
        <v>3154</v>
      </c>
      <c r="D1079" t="s">
        <v>1578</v>
      </c>
      <c r="F1079" t="s">
        <v>22</v>
      </c>
      <c r="G1079" t="s">
        <v>53</v>
      </c>
      <c r="H1079" t="s">
        <v>25</v>
      </c>
      <c r="I1079" t="s">
        <v>3378</v>
      </c>
      <c r="J1079">
        <v>10484.25</v>
      </c>
      <c r="K1079" t="s">
        <v>86</v>
      </c>
      <c r="L1079" t="s">
        <v>28</v>
      </c>
      <c r="M1079" s="1">
        <v>45648.354166666664</v>
      </c>
      <c r="N1079">
        <v>74</v>
      </c>
      <c r="O1079" t="s">
        <v>127</v>
      </c>
      <c r="P1079" t="s">
        <v>37</v>
      </c>
      <c r="Q1079" t="s">
        <v>3155</v>
      </c>
      <c r="R1079">
        <f t="shared" si="112"/>
        <v>61053150</v>
      </c>
      <c r="S1079" t="str" cm="1">
        <f t="array" ref="S1079">IF(C1079="",IFERROR(INDEX($C$2:$C$1166,MATCH(MAX(COUNTIF($C$2:$C$1166,$C$2:$C$1166)),COUNTIF($C$2:$C$1166,$C$2:$C$1166),0)),"Unknown"),C1079)</f>
        <v xml:space="preserve">  NANCY SMITH </v>
      </c>
      <c r="T1079" s="4" t="str" cm="1">
        <f t="array" ref="T1079">IF(D1079="",IFERROR(INDEX($D$2:$D$1000,MATCH(MAX(COUNTIF($D$2:$D$1166,$D$2:$D$1166)),COUNTIF($D$2:$D$1166,$D$2:$D$1166),0)),"Unknown"),D1079)</f>
        <v>Thomas Al-Sayed</v>
      </c>
      <c r="U1079" t="str">
        <f t="shared" si="113"/>
        <v>BRL</v>
      </c>
      <c r="V1079" s="7" t="str">
        <f t="shared" si="113"/>
        <v>AED</v>
      </c>
      <c r="W1079" s="7" t="str">
        <f t="shared" si="114"/>
        <v>Canada</v>
      </c>
      <c r="X1079" s="7" t="str">
        <f t="shared" si="114"/>
        <v>South Africa</v>
      </c>
      <c r="Y1079" s="7" t="str" cm="1">
        <f t="array" ref="Y1079">IF(H1079="",IFERROR(INDEX($H$2:$H$1166,MATCH(MAX(COUNTIF($H$2:$H$1166,$H$2:$H$1166)),COUNTIF($H$2:$H$1166,$H$2:$H$1166),0)),"Unknown"),H1079)</f>
        <v>KYC</v>
      </c>
      <c r="Z1079" s="7" t="str">
        <f t="shared" si="115"/>
        <v>Inter-Transaction</v>
      </c>
      <c r="AA1079" s="7">
        <f>IF(J1079="",AVERAGE($J:$J),J1079)</f>
        <v>10484.25</v>
      </c>
      <c r="AB1079" s="7">
        <f>IF(N1079="",AVERAGE($N:$N),N1079)</f>
        <v>74</v>
      </c>
      <c r="AC1079" s="7">
        <f t="shared" si="116"/>
        <v>2024</v>
      </c>
      <c r="AD1079" s="7">
        <f t="shared" si="117"/>
        <v>12</v>
      </c>
      <c r="AE1079" s="7">
        <f>COUNTIF(A:A,A1079)</f>
        <v>1</v>
      </c>
      <c r="AF1079" s="7" t="str">
        <f t="shared" si="118"/>
        <v/>
      </c>
    </row>
    <row r="1080" spans="1:32">
      <c r="A1080" t="s">
        <v>3156</v>
      </c>
      <c r="B1080">
        <v>81555890</v>
      </c>
      <c r="C1080" t="s">
        <v>2130</v>
      </c>
      <c r="D1080" t="s">
        <v>3157</v>
      </c>
      <c r="F1080" t="s">
        <v>44</v>
      </c>
      <c r="G1080" t="s">
        <v>80</v>
      </c>
      <c r="H1080" t="s">
        <v>38</v>
      </c>
      <c r="I1080" t="s">
        <v>3378</v>
      </c>
      <c r="J1080">
        <v>11980.23</v>
      </c>
      <c r="K1080" t="s">
        <v>57</v>
      </c>
      <c r="L1080" t="s">
        <v>75</v>
      </c>
      <c r="M1080" s="1">
        <v>43967.501388888886</v>
      </c>
      <c r="N1080">
        <v>72</v>
      </c>
      <c r="O1080" t="s">
        <v>127</v>
      </c>
      <c r="P1080" t="s">
        <v>68</v>
      </c>
      <c r="Q1080" t="s">
        <v>3158</v>
      </c>
      <c r="R1080">
        <f t="shared" si="112"/>
        <v>81555890</v>
      </c>
      <c r="S1080" t="str" cm="1">
        <f t="array" ref="S1080">IF(C1080="",IFERROR(INDEX($C$2:$C$1166,MATCH(MAX(COUNTIF($C$2:$C$1166,$C$2:$C$1166)),COUNTIF($C$2:$C$1166,$C$2:$C$1166),0)),"Unknown"),C1080)</f>
        <v>Amir Martin</v>
      </c>
      <c r="T1080" s="4" t="str" cm="1">
        <f t="array" ref="T1080">IF(D1080="",IFERROR(INDEX($D$2:$D$1000,MATCH(MAX(COUNTIF($D$2:$D$1166,$D$2:$D$1166)),COUNTIF($D$2:$D$1166,$D$2:$D$1166),0)),"Unknown"),D1080)</f>
        <v>Richard Brown</v>
      </c>
      <c r="U1080" t="str">
        <f t="shared" si="113"/>
        <v>SGD</v>
      </c>
      <c r="V1080" s="7" t="str">
        <f t="shared" si="113"/>
        <v>USD</v>
      </c>
      <c r="W1080" s="7" t="str">
        <f t="shared" si="114"/>
        <v>Canada</v>
      </c>
      <c r="X1080" s="7" t="str">
        <f t="shared" si="114"/>
        <v>UAE</v>
      </c>
      <c r="Y1080" s="7" t="str" cm="1">
        <f t="array" ref="Y1080">IF(H1080="",IFERROR(INDEX($H$2:$H$1166,MATCH(MAX(COUNTIF($H$2:$H$1166,$H$2:$H$1166)),COUNTIF($H$2:$H$1166,$H$2:$H$1166),0)),"Unknown"),H1080)</f>
        <v>Pending</v>
      </c>
      <c r="Z1080" s="7" t="str">
        <f t="shared" si="115"/>
        <v>Inter-Transaction</v>
      </c>
      <c r="AA1080" s="7">
        <f>IF(J1080="",AVERAGE($J:$J),J1080)</f>
        <v>11980.23</v>
      </c>
      <c r="AB1080" s="7">
        <f>IF(N1080="",AVERAGE($N:$N),N1080)</f>
        <v>72</v>
      </c>
      <c r="AC1080" s="7">
        <f t="shared" si="116"/>
        <v>2020</v>
      </c>
      <c r="AD1080" s="7">
        <f t="shared" si="117"/>
        <v>5</v>
      </c>
      <c r="AE1080" s="7">
        <f>COUNTIF(A:A,A1080)</f>
        <v>1</v>
      </c>
      <c r="AF1080" s="7" t="str">
        <f t="shared" si="118"/>
        <v/>
      </c>
    </row>
    <row r="1081" spans="1:32">
      <c r="A1081" t="s">
        <v>3159</v>
      </c>
      <c r="B1081">
        <v>70870360</v>
      </c>
      <c r="C1081" t="s">
        <v>1346</v>
      </c>
      <c r="D1081" t="s">
        <v>2015</v>
      </c>
      <c r="F1081" t="s">
        <v>22</v>
      </c>
      <c r="G1081" t="s">
        <v>45</v>
      </c>
      <c r="H1081" t="s">
        <v>56</v>
      </c>
      <c r="I1081" t="s">
        <v>3371</v>
      </c>
      <c r="J1081">
        <v>8773.9699999999993</v>
      </c>
      <c r="K1081" t="s">
        <v>39</v>
      </c>
      <c r="L1081" t="s">
        <v>28</v>
      </c>
      <c r="M1081" s="1">
        <v>46386.743750000001</v>
      </c>
      <c r="N1081">
        <v>64</v>
      </c>
      <c r="O1081" t="s">
        <v>93</v>
      </c>
      <c r="P1081" t="s">
        <v>24</v>
      </c>
      <c r="Q1081" t="s">
        <v>3160</v>
      </c>
      <c r="R1081">
        <f t="shared" si="112"/>
        <v>70870360</v>
      </c>
      <c r="S1081" t="str" cm="1">
        <f t="array" ref="S1081">IF(C1081="",IFERROR(INDEX($C$2:$C$1166,MATCH(MAX(COUNTIF($C$2:$C$1166,$C$2:$C$1166)),COUNTIF($C$2:$C$1166,$C$2:$C$1166),0)),"Unknown"),C1081)</f>
        <v>Jessica Thomas</v>
      </c>
      <c r="T1081" s="4" t="str" cm="1">
        <f t="array" ref="T1081">IF(D1081="",IFERROR(INDEX($D$2:$D$1000,MATCH(MAX(COUNTIF($D$2:$D$1166,$D$2:$D$1166)),COUNTIF($D$2:$D$1166,$D$2:$D$1166),0)),"Unknown"),D1081)</f>
        <v>Robert Davis</v>
      </c>
      <c r="U1081" t="str">
        <f t="shared" si="113"/>
        <v>BRL</v>
      </c>
      <c r="V1081" s="7" t="str">
        <f t="shared" si="113"/>
        <v>ZAR</v>
      </c>
      <c r="W1081" s="7" t="str">
        <f t="shared" si="114"/>
        <v>USA</v>
      </c>
      <c r="X1081" s="7" t="str">
        <f t="shared" si="114"/>
        <v>Brazil</v>
      </c>
      <c r="Y1081" s="7" t="str" cm="1">
        <f t="array" ref="Y1081">IF(H1081="",IFERROR(INDEX($H$2:$H$1166,MATCH(MAX(COUNTIF($H$2:$H$1166,$H$2:$H$1166)),COUNTIF($H$2:$H$1166,$H$2:$H$1166),0)),"Unknown"),H1081)</f>
        <v>Unverified</v>
      </c>
      <c r="Z1081" s="7" t="str">
        <f t="shared" si="115"/>
        <v>Outer-Transaction</v>
      </c>
      <c r="AA1081" s="7">
        <f>IF(J1081="",AVERAGE($J:$J),J1081)</f>
        <v>8773.9699999999993</v>
      </c>
      <c r="AB1081" s="7">
        <f>IF(N1081="",AVERAGE($N:$N),N1081)</f>
        <v>64</v>
      </c>
      <c r="AC1081" s="7">
        <f t="shared" si="116"/>
        <v>2026</v>
      </c>
      <c r="AD1081" s="7">
        <f t="shared" si="117"/>
        <v>12</v>
      </c>
      <c r="AE1081" s="7">
        <f>COUNTIF(A:A,A1081)</f>
        <v>1</v>
      </c>
      <c r="AF1081" s="7" t="str">
        <f t="shared" si="118"/>
        <v/>
      </c>
    </row>
    <row r="1082" spans="1:32">
      <c r="A1082" t="s">
        <v>3161</v>
      </c>
      <c r="B1082">
        <v>76359778</v>
      </c>
      <c r="C1082" t="s">
        <v>742</v>
      </c>
      <c r="D1082" t="s">
        <v>529</v>
      </c>
      <c r="F1082" t="s">
        <v>98</v>
      </c>
      <c r="I1082" t="s">
        <v>3374</v>
      </c>
      <c r="J1082">
        <v>11423.76</v>
      </c>
      <c r="K1082" t="s">
        <v>57</v>
      </c>
      <c r="L1082" t="s">
        <v>81</v>
      </c>
      <c r="M1082" s="1">
        <v>46105.074999999997</v>
      </c>
      <c r="N1082">
        <v>29</v>
      </c>
      <c r="O1082" t="s">
        <v>127</v>
      </c>
      <c r="P1082" t="s">
        <v>36</v>
      </c>
      <c r="Q1082" t="s">
        <v>3162</v>
      </c>
      <c r="R1082">
        <f t="shared" si="112"/>
        <v>76359778</v>
      </c>
      <c r="S1082" t="str" cm="1">
        <f t="array" ref="S1082">IF(C1082="",IFERROR(INDEX($C$2:$C$1166,MATCH(MAX(COUNTIF($C$2:$C$1166,$C$2:$C$1166)),COUNTIF($C$2:$C$1166,$C$2:$C$1166),0)),"Unknown"),C1082)</f>
        <v>William Anderson</v>
      </c>
      <c r="T1082" s="4" t="str" cm="1">
        <f t="array" ref="T1082">IF(D1082="",IFERROR(INDEX($D$2:$D$1000,MATCH(MAX(COUNTIF($D$2:$D$1166,$D$2:$D$1166)),COUNTIF($D$2:$D$1166,$D$2:$D$1166),0)),"Unknown"),D1082)</f>
        <v>Patricia Miller</v>
      </c>
      <c r="U1082" t="str">
        <f t="shared" si="113"/>
        <v>JPY</v>
      </c>
      <c r="V1082" s="7" t="str">
        <f t="shared" si="113"/>
        <v/>
      </c>
      <c r="W1082" s="7" t="str">
        <f t="shared" si="114"/>
        <v>Canada</v>
      </c>
      <c r="X1082" s="7" t="str">
        <f t="shared" si="114"/>
        <v>Germany</v>
      </c>
      <c r="Y1082" s="7" t="str" cm="1">
        <f t="array" ref="Y1082">IF(H1082="",IFERROR(INDEX($H$2:$H$1166,MATCH(MAX(COUNTIF($H$2:$H$1166,$H$2:$H$1166)),COUNTIF($H$2:$H$1166,$H$2:$H$1166),0)),"Unknown"),H1082)</f>
        <v>Pending</v>
      </c>
      <c r="Z1082" s="7" t="str">
        <f t="shared" si="115"/>
        <v>External</v>
      </c>
      <c r="AA1082" s="7">
        <f>IF(J1082="",AVERAGE($J:$J),J1082)</f>
        <v>11423.76</v>
      </c>
      <c r="AB1082" s="7">
        <f>IF(N1082="",AVERAGE($N:$N),N1082)</f>
        <v>29</v>
      </c>
      <c r="AC1082" s="7">
        <f t="shared" si="116"/>
        <v>2026</v>
      </c>
      <c r="AD1082" s="7">
        <f t="shared" si="117"/>
        <v>3</v>
      </c>
      <c r="AE1082" s="7">
        <f>COUNTIF(A:A,A1082)</f>
        <v>1</v>
      </c>
      <c r="AF1082" s="7" t="str">
        <f t="shared" si="118"/>
        <v/>
      </c>
    </row>
    <row r="1083" spans="1:32">
      <c r="A1083" t="s">
        <v>3163</v>
      </c>
      <c r="C1083" t="s">
        <v>1163</v>
      </c>
      <c r="D1083" t="s">
        <v>2917</v>
      </c>
      <c r="F1083" t="s">
        <v>45</v>
      </c>
      <c r="G1083" t="s">
        <v>53</v>
      </c>
      <c r="H1083" t="s">
        <v>38</v>
      </c>
      <c r="I1083" t="s">
        <v>3372</v>
      </c>
      <c r="J1083">
        <v>14855.35</v>
      </c>
      <c r="K1083" t="s">
        <v>39</v>
      </c>
      <c r="L1083" t="s">
        <v>48</v>
      </c>
      <c r="M1083" s="1">
        <v>44150.765277777777</v>
      </c>
      <c r="N1083">
        <v>79</v>
      </c>
      <c r="O1083" t="s">
        <v>54</v>
      </c>
      <c r="P1083" t="s">
        <v>37</v>
      </c>
      <c r="Q1083" t="s">
        <v>3164</v>
      </c>
      <c r="R1083">
        <f t="shared" si="112"/>
        <v>0</v>
      </c>
      <c r="S1083" t="str" cm="1">
        <f t="array" ref="S1083">IF(C1083="",IFERROR(INDEX($C$2:$C$1166,MATCH(MAX(COUNTIF($C$2:$C$1166,$C$2:$C$1166)),COUNTIF($C$2:$C$1166,$C$2:$C$1166),0)),"Unknown"),C1083)</f>
        <v>Robert Silva</v>
      </c>
      <c r="T1083" s="4" t="str" cm="1">
        <f t="array" ref="T1083">IF(D1083="",IFERROR(INDEX($D$2:$D$1000,MATCH(MAX(COUNTIF($D$2:$D$1166,$D$2:$D$1166)),COUNTIF($D$2:$D$1166,$D$2:$D$1166),0)),"Unknown"),D1083)</f>
        <v>Thomas Wilson</v>
      </c>
      <c r="U1083" t="str">
        <f t="shared" si="113"/>
        <v>ZAR</v>
      </c>
      <c r="V1083" s="7" t="str">
        <f t="shared" si="113"/>
        <v>AED</v>
      </c>
      <c r="W1083" s="7" t="str">
        <f t="shared" si="114"/>
        <v>India</v>
      </c>
      <c r="X1083" s="7" t="str">
        <f t="shared" si="114"/>
        <v>South Africa</v>
      </c>
      <c r="Y1083" s="7" t="str" cm="1">
        <f t="array" ref="Y1083">IF(H1083="",IFERROR(INDEX($H$2:$H$1166,MATCH(MAX(COUNTIF($H$2:$H$1166,$H$2:$H$1166)),COUNTIF($H$2:$H$1166,$H$2:$H$1166),0)),"Unknown"),H1083)</f>
        <v>Pending</v>
      </c>
      <c r="Z1083" s="7" t="str">
        <f t="shared" si="115"/>
        <v>Outer-Transaction</v>
      </c>
      <c r="AA1083" s="7">
        <f>IF(J1083="",AVERAGE($J:$J),J1083)</f>
        <v>14855.35</v>
      </c>
      <c r="AB1083" s="7">
        <f>IF(N1083="",AVERAGE($N:$N),N1083)</f>
        <v>79</v>
      </c>
      <c r="AC1083" s="7">
        <f t="shared" si="116"/>
        <v>2020</v>
      </c>
      <c r="AD1083" s="7">
        <f t="shared" si="117"/>
        <v>11</v>
      </c>
      <c r="AE1083" s="7">
        <f>COUNTIF(A:A,A1083)</f>
        <v>1</v>
      </c>
      <c r="AF1083" s="7" t="str">
        <f t="shared" si="118"/>
        <v/>
      </c>
    </row>
    <row r="1084" spans="1:32">
      <c r="A1084" t="s">
        <v>3165</v>
      </c>
      <c r="B1084">
        <v>74832029</v>
      </c>
      <c r="C1084" t="s">
        <v>3166</v>
      </c>
      <c r="D1084" t="s">
        <v>2202</v>
      </c>
      <c r="F1084" t="s">
        <v>126</v>
      </c>
      <c r="G1084" t="s">
        <v>80</v>
      </c>
      <c r="H1084" t="s">
        <v>56</v>
      </c>
      <c r="I1084" t="s">
        <v>3374</v>
      </c>
      <c r="J1084">
        <v>3412.93</v>
      </c>
      <c r="K1084" t="s">
        <v>86</v>
      </c>
      <c r="L1084" t="s">
        <v>75</v>
      </c>
      <c r="M1084" s="1">
        <v>45694.521527777775</v>
      </c>
      <c r="N1084">
        <v>25</v>
      </c>
      <c r="O1084" t="s">
        <v>37</v>
      </c>
      <c r="P1084" t="s">
        <v>127</v>
      </c>
      <c r="Q1084" t="s">
        <v>3167</v>
      </c>
      <c r="R1084">
        <f t="shared" si="112"/>
        <v>74832029</v>
      </c>
      <c r="S1084" t="str" cm="1">
        <f t="array" ref="S1084">IF(C1084="",IFERROR(INDEX($C$2:$C$1166,MATCH(MAX(COUNTIF($C$2:$C$1166,$C$2:$C$1166)),COUNTIF($C$2:$C$1166,$C$2:$C$1166),0)),"Unknown"),C1084)</f>
        <v>Priya Smith</v>
      </c>
      <c r="T1084" s="4" t="str" cm="1">
        <f t="array" ref="T1084">IF(D1084="",IFERROR(INDEX($D$2:$D$1000,MATCH(MAX(COUNTIF($D$2:$D$1166,$D$2:$D$1166)),COUNTIF($D$2:$D$1166,$D$2:$D$1166),0)),"Unknown"),D1084)</f>
        <v>William Gonzalez</v>
      </c>
      <c r="U1084" t="str">
        <f t="shared" si="113"/>
        <v>inr</v>
      </c>
      <c r="V1084" s="7" t="str">
        <f t="shared" si="113"/>
        <v>USD</v>
      </c>
      <c r="W1084" s="7" t="str">
        <f t="shared" si="114"/>
        <v>South Africa</v>
      </c>
      <c r="X1084" s="7" t="str">
        <f t="shared" si="114"/>
        <v>Canada</v>
      </c>
      <c r="Y1084" s="7" t="str" cm="1">
        <f t="array" ref="Y1084">IF(H1084="",IFERROR(INDEX($H$2:$H$1166,MATCH(MAX(COUNTIF($H$2:$H$1166,$H$2:$H$1166)),COUNTIF($H$2:$H$1166,$H$2:$H$1166),0)),"Unknown"),H1084)</f>
        <v>Unverified</v>
      </c>
      <c r="Z1084" s="7" t="str">
        <f t="shared" si="115"/>
        <v>External</v>
      </c>
      <c r="AA1084" s="7">
        <f>IF(J1084="",AVERAGE($J:$J),J1084)</f>
        <v>3412.93</v>
      </c>
      <c r="AB1084" s="7">
        <f>IF(N1084="",AVERAGE($N:$N),N1084)</f>
        <v>25</v>
      </c>
      <c r="AC1084" s="7">
        <f t="shared" si="116"/>
        <v>2025</v>
      </c>
      <c r="AD1084" s="7">
        <f t="shared" si="117"/>
        <v>2</v>
      </c>
      <c r="AE1084" s="7">
        <f>COUNTIF(A:A,A1084)</f>
        <v>1</v>
      </c>
      <c r="AF1084" s="7" t="str">
        <f t="shared" si="118"/>
        <v/>
      </c>
    </row>
    <row r="1085" spans="1:32">
      <c r="A1085" t="s">
        <v>3168</v>
      </c>
      <c r="B1085">
        <v>17737798</v>
      </c>
      <c r="C1085" t="s">
        <v>3169</v>
      </c>
      <c r="D1085" t="s">
        <v>1135</v>
      </c>
      <c r="F1085" t="s">
        <v>112</v>
      </c>
      <c r="G1085" t="s">
        <v>53</v>
      </c>
      <c r="H1085" t="s">
        <v>56</v>
      </c>
      <c r="I1085" t="s">
        <v>3371</v>
      </c>
      <c r="J1085">
        <v>1932.95</v>
      </c>
      <c r="K1085" t="s">
        <v>47</v>
      </c>
      <c r="L1085" t="s">
        <v>75</v>
      </c>
      <c r="M1085" s="1">
        <v>44746.522222222222</v>
      </c>
      <c r="N1085">
        <v>38</v>
      </c>
      <c r="O1085" t="s">
        <v>23</v>
      </c>
      <c r="P1085" t="s">
        <v>36</v>
      </c>
      <c r="Q1085" t="s">
        <v>3170</v>
      </c>
      <c r="R1085">
        <f t="shared" si="112"/>
        <v>17737798</v>
      </c>
      <c r="S1085" t="str" cm="1">
        <f t="array" ref="S1085">IF(C1085="",IFERROR(INDEX($C$2:$C$1166,MATCH(MAX(COUNTIF($C$2:$C$1166,$C$2:$C$1166)),COUNTIF($C$2:$C$1166,$C$2:$C$1166),0)),"Unknown"),C1085)</f>
        <v>Joseph Hernandez</v>
      </c>
      <c r="T1085" s="4" t="str" cm="1">
        <f t="array" ref="T1085">IF(D1085="",IFERROR(INDEX($D$2:$D$1000,MATCH(MAX(COUNTIF($D$2:$D$1166,$D$2:$D$1166)),COUNTIF($D$2:$D$1166,$D$2:$D$1166),0)),"Unknown"),D1085)</f>
        <v>Nancy Davis</v>
      </c>
      <c r="U1085" t="str">
        <f t="shared" si="113"/>
        <v>usd</v>
      </c>
      <c r="V1085" s="7" t="str">
        <f t="shared" si="113"/>
        <v>AED</v>
      </c>
      <c r="W1085" s="7" t="str">
        <f t="shared" si="114"/>
        <v>France</v>
      </c>
      <c r="X1085" s="7" t="str">
        <f t="shared" si="114"/>
        <v>Germany</v>
      </c>
      <c r="Y1085" s="7" t="str" cm="1">
        <f t="array" ref="Y1085">IF(H1085="",IFERROR(INDEX($H$2:$H$1166,MATCH(MAX(COUNTIF($H$2:$H$1166,$H$2:$H$1166)),COUNTIF($H$2:$H$1166,$H$2:$H$1166),0)),"Unknown"),H1085)</f>
        <v>Unverified</v>
      </c>
      <c r="Z1085" s="7" t="str">
        <f t="shared" si="115"/>
        <v>Outer-Transaction</v>
      </c>
      <c r="AA1085" s="7">
        <f>IF(J1085="",AVERAGE($J:$J),J1085)</f>
        <v>1932.95</v>
      </c>
      <c r="AB1085" s="7">
        <f>IF(N1085="",AVERAGE($N:$N),N1085)</f>
        <v>38</v>
      </c>
      <c r="AC1085" s="7">
        <f t="shared" si="116"/>
        <v>2022</v>
      </c>
      <c r="AD1085" s="7">
        <f t="shared" si="117"/>
        <v>7</v>
      </c>
      <c r="AE1085" s="7">
        <f>COUNTIF(A:A,A1085)</f>
        <v>1</v>
      </c>
      <c r="AF1085" s="7" t="str">
        <f t="shared" si="118"/>
        <v/>
      </c>
    </row>
    <row r="1086" spans="1:32">
      <c r="A1086" t="s">
        <v>3171</v>
      </c>
      <c r="B1086">
        <v>97510445</v>
      </c>
      <c r="C1086" t="s">
        <v>3172</v>
      </c>
      <c r="D1086" t="s">
        <v>593</v>
      </c>
      <c r="F1086" t="s">
        <v>44</v>
      </c>
      <c r="G1086" t="s">
        <v>98</v>
      </c>
      <c r="H1086" t="s">
        <v>56</v>
      </c>
      <c r="I1086" t="s">
        <v>3378</v>
      </c>
      <c r="J1086">
        <v>8728.7099999999991</v>
      </c>
      <c r="K1086" t="s">
        <v>39</v>
      </c>
      <c r="L1086" t="s">
        <v>28</v>
      </c>
      <c r="M1086" s="1">
        <v>45036.063888888886</v>
      </c>
      <c r="N1086">
        <v>42</v>
      </c>
      <c r="O1086" t="s">
        <v>54</v>
      </c>
      <c r="P1086" t="s">
        <v>127</v>
      </c>
      <c r="Q1086" t="s">
        <v>3173</v>
      </c>
      <c r="R1086">
        <f t="shared" si="112"/>
        <v>97510445</v>
      </c>
      <c r="S1086" t="str" cm="1">
        <f t="array" ref="S1086">IF(C1086="",IFERROR(INDEX($C$2:$C$1166,MATCH(MAX(COUNTIF($C$2:$C$1166,$C$2:$C$1166)),COUNTIF($C$2:$C$1166,$C$2:$C$1166),0)),"Unknown"),C1086)</f>
        <v>Mary Malik</v>
      </c>
      <c r="T1086" s="4" t="str" cm="1">
        <f t="array" ref="T1086">IF(D1086="",IFERROR(INDEX($D$2:$D$1000,MATCH(MAX(COUNTIF($D$2:$D$1166,$D$2:$D$1166)),COUNTIF($D$2:$D$1166,$D$2:$D$1166),0)),"Unknown"),D1086)</f>
        <v>Amir Thomas</v>
      </c>
      <c r="U1086" t="str">
        <f t="shared" si="113"/>
        <v>SGD</v>
      </c>
      <c r="V1086" s="7" t="str">
        <f t="shared" si="113"/>
        <v>JPY</v>
      </c>
      <c r="W1086" s="7" t="str">
        <f t="shared" si="114"/>
        <v>India</v>
      </c>
      <c r="X1086" s="7" t="str">
        <f t="shared" si="114"/>
        <v>Canada</v>
      </c>
      <c r="Y1086" s="7" t="str" cm="1">
        <f t="array" ref="Y1086">IF(H1086="",IFERROR(INDEX($H$2:$H$1166,MATCH(MAX(COUNTIF($H$2:$H$1166,$H$2:$H$1166)),COUNTIF($H$2:$H$1166,$H$2:$H$1166),0)),"Unknown"),H1086)</f>
        <v>Unverified</v>
      </c>
      <c r="Z1086" s="7" t="str">
        <f t="shared" si="115"/>
        <v>Inter-Transaction</v>
      </c>
      <c r="AA1086" s="7">
        <f>IF(J1086="",AVERAGE($J:$J),J1086)</f>
        <v>8728.7099999999991</v>
      </c>
      <c r="AB1086" s="7">
        <f>IF(N1086="",AVERAGE($N:$N),N1086)</f>
        <v>42</v>
      </c>
      <c r="AC1086" s="7">
        <f t="shared" si="116"/>
        <v>2023</v>
      </c>
      <c r="AD1086" s="7">
        <f t="shared" si="117"/>
        <v>4</v>
      </c>
      <c r="AE1086" s="7">
        <f>COUNTIF(A:A,A1086)</f>
        <v>1</v>
      </c>
      <c r="AF1086" s="7" t="str">
        <f t="shared" si="118"/>
        <v/>
      </c>
    </row>
    <row r="1087" spans="1:32">
      <c r="A1087" t="s">
        <v>3174</v>
      </c>
      <c r="B1087">
        <v>66037099</v>
      </c>
      <c r="C1087" t="s">
        <v>338</v>
      </c>
      <c r="D1087" t="s">
        <v>146</v>
      </c>
      <c r="F1087" t="s">
        <v>98</v>
      </c>
      <c r="G1087" t="s">
        <v>45</v>
      </c>
      <c r="I1087" t="s">
        <v>3374</v>
      </c>
      <c r="J1087">
        <v>12813.8</v>
      </c>
      <c r="K1087" t="s">
        <v>57</v>
      </c>
      <c r="L1087" t="s">
        <v>81</v>
      </c>
      <c r="M1087" s="1">
        <v>45728.961111111108</v>
      </c>
      <c r="N1087">
        <v>29</v>
      </c>
      <c r="O1087" t="s">
        <v>36</v>
      </c>
      <c r="P1087" t="s">
        <v>23</v>
      </c>
      <c r="Q1087" t="s">
        <v>2222</v>
      </c>
      <c r="R1087">
        <f t="shared" si="112"/>
        <v>66037099</v>
      </c>
      <c r="S1087" t="str" cm="1">
        <f t="array" ref="S1087">IF(C1087="",IFERROR(INDEX($C$2:$C$1166,MATCH(MAX(COUNTIF($C$2:$C$1166,$C$2:$C$1166)),COUNTIF($C$2:$C$1166,$C$2:$C$1166),0)),"Unknown"),C1087)</f>
        <v>Susan Taylor</v>
      </c>
      <c r="T1087" s="4" t="str" cm="1">
        <f t="array" ref="T1087">IF(D1087="",IFERROR(INDEX($D$2:$D$1000,MATCH(MAX(COUNTIF($D$2:$D$1166,$D$2:$D$1166)),COUNTIF($D$2:$D$1166,$D$2:$D$1166),0)),"Unknown"),D1087)</f>
        <v>Fatima Brown</v>
      </c>
      <c r="U1087" t="str">
        <f t="shared" si="113"/>
        <v>JPY</v>
      </c>
      <c r="V1087" s="7" t="str">
        <f t="shared" si="113"/>
        <v>ZAR</v>
      </c>
      <c r="W1087" s="7" t="str">
        <f t="shared" si="114"/>
        <v>Germany</v>
      </c>
      <c r="X1087" s="7" t="str">
        <f t="shared" si="114"/>
        <v>France</v>
      </c>
      <c r="Y1087" s="7" t="str" cm="1">
        <f t="array" ref="Y1087">IF(H1087="",IFERROR(INDEX($H$2:$H$1166,MATCH(MAX(COUNTIF($H$2:$H$1166,$H$2:$H$1166)),COUNTIF($H$2:$H$1166,$H$2:$H$1166),0)),"Unknown"),H1087)</f>
        <v>Pending</v>
      </c>
      <c r="Z1087" s="7" t="str">
        <f t="shared" si="115"/>
        <v>External</v>
      </c>
      <c r="AA1087" s="7">
        <f>IF(J1087="",AVERAGE($J:$J),J1087)</f>
        <v>12813.8</v>
      </c>
      <c r="AB1087" s="7">
        <f>IF(N1087="",AVERAGE($N:$N),N1087)</f>
        <v>29</v>
      </c>
      <c r="AC1087" s="7">
        <f t="shared" si="116"/>
        <v>2025</v>
      </c>
      <c r="AD1087" s="7">
        <f t="shared" si="117"/>
        <v>3</v>
      </c>
      <c r="AE1087" s="7">
        <f>COUNTIF(A:A,A1087)</f>
        <v>1</v>
      </c>
      <c r="AF1087" s="7" t="str">
        <f t="shared" si="118"/>
        <v/>
      </c>
    </row>
    <row r="1088" spans="1:32">
      <c r="A1088" t="s">
        <v>3175</v>
      </c>
      <c r="B1088">
        <v>33891892</v>
      </c>
      <c r="C1088" t="s">
        <v>346</v>
      </c>
      <c r="D1088" t="s">
        <v>2174</v>
      </c>
      <c r="F1088" t="s">
        <v>116</v>
      </c>
      <c r="G1088" t="s">
        <v>53</v>
      </c>
      <c r="H1088" t="s">
        <v>74</v>
      </c>
      <c r="I1088" t="s">
        <v>3376</v>
      </c>
      <c r="J1088">
        <v>12795.65</v>
      </c>
      <c r="K1088" t="s">
        <v>27</v>
      </c>
      <c r="L1088" t="s">
        <v>28</v>
      </c>
      <c r="M1088" s="1">
        <v>45964.959722222222</v>
      </c>
      <c r="N1088">
        <v>32</v>
      </c>
      <c r="O1088" t="s">
        <v>24</v>
      </c>
      <c r="P1088" t="s">
        <v>127</v>
      </c>
      <c r="Q1088" t="s">
        <v>3176</v>
      </c>
      <c r="R1088">
        <f t="shared" si="112"/>
        <v>33891892</v>
      </c>
      <c r="S1088" t="str" cm="1">
        <f t="array" ref="S1088">IF(C1088="",IFERROR(INDEX($C$2:$C$1166,MATCH(MAX(COUNTIF($C$2:$C$1166,$C$2:$C$1166)),COUNTIF($C$2:$C$1166,$C$2:$C$1166),0)),"Unknown"),C1088)</f>
        <v>Fatima Malik</v>
      </c>
      <c r="T1088" s="4" t="str" cm="1">
        <f t="array" ref="T1088">IF(D1088="",IFERROR(INDEX($D$2:$D$1000,MATCH(MAX(COUNTIF($D$2:$D$1166,$D$2:$D$1166)),COUNTIF($D$2:$D$1166,$D$2:$D$1166),0)),"Unknown"),D1088)</f>
        <v>Jean-Pierre Wilson</v>
      </c>
      <c r="U1088" t="str">
        <f t="shared" si="113"/>
        <v>CHF</v>
      </c>
      <c r="V1088" s="7" t="str">
        <f t="shared" si="113"/>
        <v>AED</v>
      </c>
      <c r="W1088" s="7" t="str">
        <f t="shared" si="114"/>
        <v>Brazil</v>
      </c>
      <c r="X1088" s="7" t="str">
        <f t="shared" si="114"/>
        <v>Canada</v>
      </c>
      <c r="Y1088" s="7" t="str" cm="1">
        <f t="array" ref="Y1088">IF(H1088="",IFERROR(INDEX($H$2:$H$1166,MATCH(MAX(COUNTIF($H$2:$H$1166,$H$2:$H$1166)),COUNTIF($H$2:$H$1166,$H$2:$H$1166),0)),"Unknown"),H1088)</f>
        <v>Non-KYC</v>
      </c>
      <c r="Z1088" s="7" t="str">
        <f t="shared" si="115"/>
        <v>Internal</v>
      </c>
      <c r="AA1088" s="7">
        <f>IF(J1088="",AVERAGE($J:$J),J1088)</f>
        <v>12795.65</v>
      </c>
      <c r="AB1088" s="7">
        <f>IF(N1088="",AVERAGE($N:$N),N1088)</f>
        <v>32</v>
      </c>
      <c r="AC1088" s="7">
        <f t="shared" si="116"/>
        <v>2025</v>
      </c>
      <c r="AD1088" s="7">
        <f t="shared" si="117"/>
        <v>11</v>
      </c>
      <c r="AE1088" s="7">
        <f>COUNTIF(A:A,A1088)</f>
        <v>1</v>
      </c>
      <c r="AF1088" s="7" t="str">
        <f t="shared" si="118"/>
        <v/>
      </c>
    </row>
    <row r="1089" spans="1:32">
      <c r="A1089" t="s">
        <v>3177</v>
      </c>
      <c r="B1089">
        <v>76270221</v>
      </c>
      <c r="C1089" t="s">
        <v>1499</v>
      </c>
      <c r="D1089" t="s">
        <v>1073</v>
      </c>
      <c r="F1089" t="s">
        <v>35</v>
      </c>
      <c r="G1089" t="s">
        <v>92</v>
      </c>
      <c r="H1089" t="s">
        <v>74</v>
      </c>
      <c r="I1089" t="s">
        <v>3377</v>
      </c>
      <c r="J1089">
        <v>7058.39</v>
      </c>
      <c r="K1089" t="s">
        <v>27</v>
      </c>
      <c r="L1089" t="s">
        <v>75</v>
      </c>
      <c r="M1089" s="1">
        <v>44756.265972222223</v>
      </c>
      <c r="N1089">
        <v>76</v>
      </c>
      <c r="O1089" t="s">
        <v>127</v>
      </c>
      <c r="P1089" t="s">
        <v>127</v>
      </c>
      <c r="Q1089" t="s">
        <v>3178</v>
      </c>
      <c r="R1089">
        <f t="shared" si="112"/>
        <v>76270221</v>
      </c>
      <c r="S1089" t="str" cm="1">
        <f t="array" ref="S1089">IF(C1089="",IFERROR(INDEX($C$2:$C$1166,MATCH(MAX(COUNTIF($C$2:$C$1166,$C$2:$C$1166)),COUNTIF($C$2:$C$1166,$C$2:$C$1166),0)),"Unknown"),C1089)</f>
        <v>Susan Miller</v>
      </c>
      <c r="T1089" s="4" t="str" cm="1">
        <f t="array" ref="T1089">IF(D1089="",IFERROR(INDEX($D$2:$D$1000,MATCH(MAX(COUNTIF($D$2:$D$1166,$D$2:$D$1166)),COUNTIF($D$2:$D$1166,$D$2:$D$1166),0)),"Unknown"),D1089)</f>
        <v>Lucas Velez</v>
      </c>
      <c r="U1089" t="str">
        <f t="shared" si="113"/>
        <v>EUR</v>
      </c>
      <c r="V1089" s="7" t="str">
        <f t="shared" si="113"/>
        <v>AUD</v>
      </c>
      <c r="W1089" s="7" t="str">
        <f t="shared" si="114"/>
        <v>Canada</v>
      </c>
      <c r="X1089" s="7" t="str">
        <f t="shared" si="114"/>
        <v>Canada</v>
      </c>
      <c r="Y1089" s="7" t="str" cm="1">
        <f t="array" ref="Y1089">IF(H1089="",IFERROR(INDEX($H$2:$H$1166,MATCH(MAX(COUNTIF($H$2:$H$1166,$H$2:$H$1166)),COUNTIF($H$2:$H$1166,$H$2:$H$1166),0)),"Unknown"),H1089)</f>
        <v>Non-KYC</v>
      </c>
      <c r="Z1089" s="7" t="str">
        <f t="shared" si="115"/>
        <v>Inter-Transaction</v>
      </c>
      <c r="AA1089" s="7">
        <f>IF(J1089="",AVERAGE($J:$J),J1089)</f>
        <v>7058.39</v>
      </c>
      <c r="AB1089" s="7">
        <f>IF(N1089="",AVERAGE($N:$N),N1089)</f>
        <v>76</v>
      </c>
      <c r="AC1089" s="7">
        <f t="shared" si="116"/>
        <v>2022</v>
      </c>
      <c r="AD1089" s="7">
        <f t="shared" si="117"/>
        <v>7</v>
      </c>
      <c r="AE1089" s="7">
        <f>COUNTIF(A:A,A1089)</f>
        <v>1</v>
      </c>
      <c r="AF1089" s="7" t="str">
        <f t="shared" si="118"/>
        <v/>
      </c>
    </row>
    <row r="1090" spans="1:32">
      <c r="A1090" t="s">
        <v>3179</v>
      </c>
      <c r="B1090">
        <v>90715400</v>
      </c>
      <c r="C1090" t="s">
        <v>1683</v>
      </c>
      <c r="D1090" t="s">
        <v>3180</v>
      </c>
      <c r="F1090" t="s">
        <v>34</v>
      </c>
      <c r="G1090" t="s">
        <v>98</v>
      </c>
      <c r="H1090" t="s">
        <v>38</v>
      </c>
      <c r="I1090" t="s">
        <v>3376</v>
      </c>
      <c r="J1090">
        <v>8226.9</v>
      </c>
      <c r="K1090" t="s">
        <v>86</v>
      </c>
      <c r="L1090" t="s">
        <v>48</v>
      </c>
      <c r="M1090" s="1">
        <v>45931.905555555553</v>
      </c>
      <c r="N1090">
        <v>43</v>
      </c>
      <c r="O1090" t="s">
        <v>24</v>
      </c>
      <c r="P1090" t="s">
        <v>62</v>
      </c>
      <c r="Q1090" t="s">
        <v>3181</v>
      </c>
      <c r="R1090">
        <f t="shared" ref="R1090:R1153" si="119">IF(B1090="",0,B1090)</f>
        <v>90715400</v>
      </c>
      <c r="S1090" t="str" cm="1">
        <f t="array" ref="S1090">IF(C1090="",IFERROR(INDEX($C$2:$C$1166,MATCH(MAX(COUNTIF($C$2:$C$1166,$C$2:$C$1166)),COUNTIF($C$2:$C$1166,$C$2:$C$1166),0)),"Unknown"),C1090)</f>
        <v>Susan Al-Sayed</v>
      </c>
      <c r="T1090" s="4" t="str" cm="1">
        <f t="array" ref="T1090">IF(D1090="",IFERROR(INDEX($D$2:$D$1000,MATCH(MAX(COUNTIF($D$2:$D$1166,$D$2:$D$1166)),COUNTIF($D$2:$D$1166,$D$2:$D$1166),0)),"Unknown"),D1090)</f>
        <v>Barbara Lopez</v>
      </c>
      <c r="U1090" t="str">
        <f t="shared" ref="U1090:V1153" si="120">TRIM(F1090)</f>
        <v>CAD</v>
      </c>
      <c r="V1090" s="7" t="str">
        <f t="shared" si="120"/>
        <v>JPY</v>
      </c>
      <c r="W1090" s="7" t="str">
        <f t="shared" ref="W1090:X1153" si="121">TRIM(O1090)</f>
        <v>Brazil</v>
      </c>
      <c r="X1090" s="7" t="str">
        <f t="shared" si="121"/>
        <v>Australia</v>
      </c>
      <c r="Y1090" s="7" t="str" cm="1">
        <f t="array" ref="Y1090">IF(H1090="",IFERROR(INDEX($H$2:$H$1166,MATCH(MAX(COUNTIF($H$2:$H$1166,$H$2:$H$1166)),COUNTIF($H$2:$H$1166,$H$2:$H$1166),0)),"Unknown"),H1090)</f>
        <v>Pending</v>
      </c>
      <c r="Z1090" s="7" t="str">
        <f t="shared" ref="Z1090:Z1153" si="122">PROPER(I1090)</f>
        <v>Internal</v>
      </c>
      <c r="AA1090" s="7">
        <f>IF(J1090="",AVERAGE($J:$J),J1090)</f>
        <v>8226.9</v>
      </c>
      <c r="AB1090" s="7">
        <f>IF(N1090="",AVERAGE($N:$N),N1090)</f>
        <v>43</v>
      </c>
      <c r="AC1090" s="7">
        <f t="shared" ref="AC1090:AC1153" si="123">YEAR(M1090)</f>
        <v>2025</v>
      </c>
      <c r="AD1090" s="7">
        <f t="shared" ref="AD1090:AD1153" si="124">MONTH(M1090)</f>
        <v>10</v>
      </c>
      <c r="AE1090" s="7">
        <f>COUNTIF(A:A,A1090)</f>
        <v>1</v>
      </c>
      <c r="AF1090" s="7" t="str">
        <f t="shared" ref="AF1090:AF1153" si="125">IF(E1090="","",IF(OR(E1090="Yes",E1090="Y",E1090="TRUE",E1090=1),"Yes","No"))</f>
        <v/>
      </c>
    </row>
    <row r="1091" spans="1:32">
      <c r="A1091" t="s">
        <v>3182</v>
      </c>
      <c r="B1091">
        <v>68780031</v>
      </c>
      <c r="C1091" t="s">
        <v>2088</v>
      </c>
      <c r="D1091" t="s">
        <v>735</v>
      </c>
      <c r="F1091" t="s">
        <v>22</v>
      </c>
      <c r="G1091" t="s">
        <v>91</v>
      </c>
      <c r="H1091" t="s">
        <v>103</v>
      </c>
      <c r="I1091" t="s">
        <v>3372</v>
      </c>
      <c r="J1091">
        <v>13016.02</v>
      </c>
      <c r="K1091" t="s">
        <v>47</v>
      </c>
      <c r="L1091" t="s">
        <v>28</v>
      </c>
      <c r="M1091" s="1">
        <v>45089.936805555553</v>
      </c>
      <c r="N1091">
        <v>43</v>
      </c>
      <c r="O1091" t="s">
        <v>62</v>
      </c>
      <c r="P1091" t="s">
        <v>62</v>
      </c>
      <c r="Q1091" t="s">
        <v>3183</v>
      </c>
      <c r="R1091">
        <f t="shared" si="119"/>
        <v>68780031</v>
      </c>
      <c r="S1091" t="str" cm="1">
        <f t="array" ref="S1091">IF(C1091="",IFERROR(INDEX($C$2:$C$1166,MATCH(MAX(COUNTIF($C$2:$C$1166,$C$2:$C$1166)),COUNTIF($C$2:$C$1166,$C$2:$C$1166),0)),"Unknown"),C1091)</f>
        <v>Lucas Rodriguez</v>
      </c>
      <c r="T1091" s="4" t="str" cm="1">
        <f t="array" ref="T1091">IF(D1091="",IFERROR(INDEX($D$2:$D$1000,MATCH(MAX(COUNTIF($D$2:$D$1166,$D$2:$D$1166)),COUNTIF($D$2:$D$1166,$D$2:$D$1166),0)),"Unknown"),D1091)</f>
        <v>Robert Khan</v>
      </c>
      <c r="U1091" t="str">
        <f t="shared" si="120"/>
        <v>BRL</v>
      </c>
      <c r="V1091" s="7" t="str">
        <f t="shared" si="120"/>
        <v>gbp</v>
      </c>
      <c r="W1091" s="7" t="str">
        <f t="shared" si="121"/>
        <v>Australia</v>
      </c>
      <c r="X1091" s="7" t="str">
        <f t="shared" si="121"/>
        <v>Australia</v>
      </c>
      <c r="Y1091" s="7" t="str" cm="1">
        <f t="array" ref="Y1091">IF(H1091="",IFERROR(INDEX($H$2:$H$1166,MATCH(MAX(COUNTIF($H$2:$H$1166,$H$2:$H$1166)),COUNTIF($H$2:$H$1166,$H$2:$H$1166),0)),"Unknown"),H1091)</f>
        <v>Verified</v>
      </c>
      <c r="Z1091" s="7" t="str">
        <f t="shared" si="122"/>
        <v>Outer-Transaction</v>
      </c>
      <c r="AA1091" s="7">
        <f>IF(J1091="",AVERAGE($J:$J),J1091)</f>
        <v>13016.02</v>
      </c>
      <c r="AB1091" s="7">
        <f>IF(N1091="",AVERAGE($N:$N),N1091)</f>
        <v>43</v>
      </c>
      <c r="AC1091" s="7">
        <f t="shared" si="123"/>
        <v>2023</v>
      </c>
      <c r="AD1091" s="7">
        <f t="shared" si="124"/>
        <v>6</v>
      </c>
      <c r="AE1091" s="7">
        <f>COUNTIF(A:A,A1091)</f>
        <v>1</v>
      </c>
      <c r="AF1091" s="7" t="str">
        <f t="shared" si="125"/>
        <v/>
      </c>
    </row>
    <row r="1092" spans="1:32">
      <c r="A1092" t="s">
        <v>3184</v>
      </c>
      <c r="B1092">
        <v>44656091</v>
      </c>
      <c r="C1092" t="s">
        <v>3185</v>
      </c>
      <c r="D1092" t="s">
        <v>2273</v>
      </c>
      <c r="F1092" t="s">
        <v>53</v>
      </c>
      <c r="G1092" t="s">
        <v>34</v>
      </c>
      <c r="H1092" t="s">
        <v>56</v>
      </c>
      <c r="I1092" t="s">
        <v>3376</v>
      </c>
      <c r="J1092">
        <v>6005.14</v>
      </c>
      <c r="K1092" t="s">
        <v>57</v>
      </c>
      <c r="L1092" t="s">
        <v>28</v>
      </c>
      <c r="M1092" s="1">
        <v>45813.729861111111</v>
      </c>
      <c r="N1092">
        <v>64</v>
      </c>
      <c r="O1092" t="s">
        <v>93</v>
      </c>
      <c r="P1092" t="s">
        <v>62</v>
      </c>
      <c r="Q1092" t="s">
        <v>3186</v>
      </c>
      <c r="R1092">
        <f t="shared" si="119"/>
        <v>44656091</v>
      </c>
      <c r="S1092" t="str" cm="1">
        <f t="array" ref="S1092">IF(C1092="",IFERROR(INDEX($C$2:$C$1166,MATCH(MAX(COUNTIF($C$2:$C$1166,$C$2:$C$1166)),COUNTIF($C$2:$C$1166,$C$2:$C$1166),0)),"Unknown"),C1092)</f>
        <v xml:space="preserve">  PATRICIA KHAN </v>
      </c>
      <c r="T1092" s="4" t="str" cm="1">
        <f t="array" ref="T1092">IF(D1092="",IFERROR(INDEX($D$2:$D$1000,MATCH(MAX(COUNTIF($D$2:$D$1166,$D$2:$D$1166)),COUNTIF($D$2:$D$1166,$D$2:$D$1166),0)),"Unknown"),D1092)</f>
        <v>William Al-Sayed</v>
      </c>
      <c r="U1092" t="str">
        <f t="shared" si="120"/>
        <v>AED</v>
      </c>
      <c r="V1092" s="7" t="str">
        <f t="shared" si="120"/>
        <v>CAD</v>
      </c>
      <c r="W1092" s="7" t="str">
        <f t="shared" si="121"/>
        <v>USA</v>
      </c>
      <c r="X1092" s="7" t="str">
        <f t="shared" si="121"/>
        <v>Australia</v>
      </c>
      <c r="Y1092" s="7" t="str" cm="1">
        <f t="array" ref="Y1092">IF(H1092="",IFERROR(INDEX($H$2:$H$1166,MATCH(MAX(COUNTIF($H$2:$H$1166,$H$2:$H$1166)),COUNTIF($H$2:$H$1166,$H$2:$H$1166),0)),"Unknown"),H1092)</f>
        <v>Unverified</v>
      </c>
      <c r="Z1092" s="7" t="str">
        <f t="shared" si="122"/>
        <v>Internal</v>
      </c>
      <c r="AA1092" s="7">
        <f>IF(J1092="",AVERAGE($J:$J),J1092)</f>
        <v>6005.14</v>
      </c>
      <c r="AB1092" s="7">
        <f>IF(N1092="",AVERAGE($N:$N),N1092)</f>
        <v>64</v>
      </c>
      <c r="AC1092" s="7">
        <f t="shared" si="123"/>
        <v>2025</v>
      </c>
      <c r="AD1092" s="7">
        <f t="shared" si="124"/>
        <v>6</v>
      </c>
      <c r="AE1092" s="7">
        <f>COUNTIF(A:A,A1092)</f>
        <v>1</v>
      </c>
      <c r="AF1092" s="7" t="str">
        <f t="shared" si="125"/>
        <v/>
      </c>
    </row>
    <row r="1093" spans="1:32">
      <c r="A1093" t="s">
        <v>3187</v>
      </c>
      <c r="B1093">
        <v>14309791</v>
      </c>
      <c r="C1093" t="s">
        <v>682</v>
      </c>
      <c r="D1093" t="s">
        <v>1002</v>
      </c>
      <c r="F1093" t="s">
        <v>22</v>
      </c>
      <c r="G1093" t="s">
        <v>35</v>
      </c>
      <c r="H1093" t="s">
        <v>25</v>
      </c>
      <c r="I1093" t="s">
        <v>3372</v>
      </c>
      <c r="J1093">
        <v>6012.9</v>
      </c>
      <c r="K1093" t="s">
        <v>86</v>
      </c>
      <c r="L1093" t="s">
        <v>28</v>
      </c>
      <c r="M1093" s="1">
        <v>44263.994444444441</v>
      </c>
      <c r="N1093">
        <v>49</v>
      </c>
      <c r="O1093" t="s">
        <v>62</v>
      </c>
      <c r="P1093" t="s">
        <v>23</v>
      </c>
      <c r="Q1093" t="s">
        <v>3188</v>
      </c>
      <c r="R1093">
        <f t="shared" si="119"/>
        <v>14309791</v>
      </c>
      <c r="S1093" t="str" cm="1">
        <f t="array" ref="S1093">IF(C1093="",IFERROR(INDEX($C$2:$C$1166,MATCH(MAX(COUNTIF($C$2:$C$1166,$C$2:$C$1166)),COUNTIF($C$2:$C$1166,$C$2:$C$1166),0)),"Unknown"),C1093)</f>
        <v>Karen Al-Sayed</v>
      </c>
      <c r="T1093" s="4" t="str" cm="1">
        <f t="array" ref="T1093">IF(D1093="",IFERROR(INDEX($D$2:$D$1000,MATCH(MAX(COUNTIF($D$2:$D$1166,$D$2:$D$1166)),COUNTIF($D$2:$D$1166,$D$2:$D$1166),0)),"Unknown"),D1093)</f>
        <v>Nancy Martin</v>
      </c>
      <c r="U1093" t="str">
        <f t="shared" si="120"/>
        <v>BRL</v>
      </c>
      <c r="V1093" s="7" t="str">
        <f t="shared" si="120"/>
        <v>EUR</v>
      </c>
      <c r="W1093" s="7" t="str">
        <f t="shared" si="121"/>
        <v>Australia</v>
      </c>
      <c r="X1093" s="7" t="str">
        <f t="shared" si="121"/>
        <v>France</v>
      </c>
      <c r="Y1093" s="7" t="str" cm="1">
        <f t="array" ref="Y1093">IF(H1093="",IFERROR(INDEX($H$2:$H$1166,MATCH(MAX(COUNTIF($H$2:$H$1166,$H$2:$H$1166)),COUNTIF($H$2:$H$1166,$H$2:$H$1166),0)),"Unknown"),H1093)</f>
        <v>KYC</v>
      </c>
      <c r="Z1093" s="7" t="str">
        <f t="shared" si="122"/>
        <v>Outer-Transaction</v>
      </c>
      <c r="AA1093" s="7">
        <f>IF(J1093="",AVERAGE($J:$J),J1093)</f>
        <v>6012.9</v>
      </c>
      <c r="AB1093" s="7">
        <f>IF(N1093="",AVERAGE($N:$N),N1093)</f>
        <v>49</v>
      </c>
      <c r="AC1093" s="7">
        <f t="shared" si="123"/>
        <v>2021</v>
      </c>
      <c r="AD1093" s="7">
        <f t="shared" si="124"/>
        <v>3</v>
      </c>
      <c r="AE1093" s="7">
        <f>COUNTIF(A:A,A1093)</f>
        <v>1</v>
      </c>
      <c r="AF1093" s="7" t="str">
        <f t="shared" si="125"/>
        <v/>
      </c>
    </row>
    <row r="1094" spans="1:32">
      <c r="A1094" t="s">
        <v>3189</v>
      </c>
      <c r="B1094">
        <v>40381915</v>
      </c>
      <c r="C1094" t="s">
        <v>216</v>
      </c>
      <c r="D1094" t="s">
        <v>3190</v>
      </c>
      <c r="G1094" t="s">
        <v>21</v>
      </c>
      <c r="H1094" t="s">
        <v>38</v>
      </c>
      <c r="I1094" t="s">
        <v>3376</v>
      </c>
      <c r="J1094">
        <v>13194.59</v>
      </c>
      <c r="K1094" t="s">
        <v>47</v>
      </c>
      <c r="L1094" t="s">
        <v>28</v>
      </c>
      <c r="M1094" s="1">
        <v>44829.272222222222</v>
      </c>
      <c r="N1094">
        <v>27</v>
      </c>
      <c r="O1094" t="s">
        <v>93</v>
      </c>
      <c r="P1094" t="s">
        <v>37</v>
      </c>
      <c r="Q1094" t="s">
        <v>3191</v>
      </c>
      <c r="R1094">
        <f t="shared" si="119"/>
        <v>40381915</v>
      </c>
      <c r="S1094" t="str" cm="1">
        <f t="array" ref="S1094">IF(C1094="",IFERROR(INDEX($C$2:$C$1166,MATCH(MAX(COUNTIF($C$2:$C$1166,$C$2:$C$1166)),COUNTIF($C$2:$C$1166,$C$2:$C$1166),0)),"Unknown"),C1094)</f>
        <v>Elena Martinez</v>
      </c>
      <c r="T1094" s="4" t="str" cm="1">
        <f t="array" ref="T1094">IF(D1094="",IFERROR(INDEX($D$2:$D$1000,MATCH(MAX(COUNTIF($D$2:$D$1166,$D$2:$D$1166)),COUNTIF($D$2:$D$1166,$D$2:$D$1166),0)),"Unknown"),D1094)</f>
        <v>John Rostova</v>
      </c>
      <c r="U1094" t="str">
        <f t="shared" si="120"/>
        <v/>
      </c>
      <c r="V1094" s="7" t="str">
        <f t="shared" si="120"/>
        <v>GBP</v>
      </c>
      <c r="W1094" s="7" t="str">
        <f t="shared" si="121"/>
        <v>USA</v>
      </c>
      <c r="X1094" s="7" t="str">
        <f t="shared" si="121"/>
        <v>South Africa</v>
      </c>
      <c r="Y1094" s="7" t="str" cm="1">
        <f t="array" ref="Y1094">IF(H1094="",IFERROR(INDEX($H$2:$H$1166,MATCH(MAX(COUNTIF($H$2:$H$1166,$H$2:$H$1166)),COUNTIF($H$2:$H$1166,$H$2:$H$1166),0)),"Unknown"),H1094)</f>
        <v>Pending</v>
      </c>
      <c r="Z1094" s="7" t="str">
        <f t="shared" si="122"/>
        <v>Internal</v>
      </c>
      <c r="AA1094" s="7">
        <f>IF(J1094="",AVERAGE($J:$J),J1094)</f>
        <v>13194.59</v>
      </c>
      <c r="AB1094" s="7">
        <f>IF(N1094="",AVERAGE($N:$N),N1094)</f>
        <v>27</v>
      </c>
      <c r="AC1094" s="7">
        <f t="shared" si="123"/>
        <v>2022</v>
      </c>
      <c r="AD1094" s="7">
        <f t="shared" si="124"/>
        <v>9</v>
      </c>
      <c r="AE1094" s="7">
        <f>COUNTIF(A:A,A1094)</f>
        <v>1</v>
      </c>
      <c r="AF1094" s="7" t="str">
        <f t="shared" si="125"/>
        <v/>
      </c>
    </row>
    <row r="1095" spans="1:32">
      <c r="A1095" t="s">
        <v>3192</v>
      </c>
      <c r="B1095">
        <v>23405403</v>
      </c>
      <c r="C1095" t="s">
        <v>1472</v>
      </c>
      <c r="D1095" t="s">
        <v>573</v>
      </c>
      <c r="F1095" t="s">
        <v>53</v>
      </c>
      <c r="G1095" t="s">
        <v>98</v>
      </c>
      <c r="H1095" t="s">
        <v>103</v>
      </c>
      <c r="I1095" t="s">
        <v>3371</v>
      </c>
      <c r="J1095">
        <v>12129.56</v>
      </c>
      <c r="K1095" t="s">
        <v>57</v>
      </c>
      <c r="L1095" t="s">
        <v>28</v>
      </c>
      <c r="M1095" s="1">
        <v>45978.2</v>
      </c>
      <c r="N1095">
        <v>33</v>
      </c>
      <c r="O1095" t="s">
        <v>55</v>
      </c>
      <c r="P1095" t="s">
        <v>36</v>
      </c>
      <c r="Q1095" t="s">
        <v>3193</v>
      </c>
      <c r="R1095">
        <f t="shared" si="119"/>
        <v>23405403</v>
      </c>
      <c r="S1095" t="str" cm="1">
        <f t="array" ref="S1095">IF(C1095="",IFERROR(INDEX($C$2:$C$1166,MATCH(MAX(COUNTIF($C$2:$C$1166,$C$2:$C$1166)),COUNTIF($C$2:$C$1166,$C$2:$C$1166),0)),"Unknown"),C1095)</f>
        <v>Sanjay Silva</v>
      </c>
      <c r="T1095" s="4" t="str" cm="1">
        <f t="array" ref="T1095">IF(D1095="",IFERROR(INDEX($D$2:$D$1000,MATCH(MAX(COUNTIF($D$2:$D$1166,$D$2:$D$1166)),COUNTIF($D$2:$D$1166,$D$2:$D$1166),0)),"Unknown"),D1095)</f>
        <v>Barbara Martinez</v>
      </c>
      <c r="U1095" t="str">
        <f t="shared" si="120"/>
        <v>AED</v>
      </c>
      <c r="V1095" s="7" t="str">
        <f t="shared" si="120"/>
        <v>JPY</v>
      </c>
      <c r="W1095" s="7" t="str">
        <f t="shared" si="121"/>
        <v>UK</v>
      </c>
      <c r="X1095" s="7" t="str">
        <f t="shared" si="121"/>
        <v>Germany</v>
      </c>
      <c r="Y1095" s="7" t="str" cm="1">
        <f t="array" ref="Y1095">IF(H1095="",IFERROR(INDEX($H$2:$H$1166,MATCH(MAX(COUNTIF($H$2:$H$1166,$H$2:$H$1166)),COUNTIF($H$2:$H$1166,$H$2:$H$1166),0)),"Unknown"),H1095)</f>
        <v>Verified</v>
      </c>
      <c r="Z1095" s="7" t="str">
        <f t="shared" si="122"/>
        <v>Outer-Transaction</v>
      </c>
      <c r="AA1095" s="7">
        <f>IF(J1095="",AVERAGE($J:$J),J1095)</f>
        <v>12129.56</v>
      </c>
      <c r="AB1095" s="7">
        <f>IF(N1095="",AVERAGE($N:$N),N1095)</f>
        <v>33</v>
      </c>
      <c r="AC1095" s="7">
        <f t="shared" si="123"/>
        <v>2025</v>
      </c>
      <c r="AD1095" s="7">
        <f t="shared" si="124"/>
        <v>11</v>
      </c>
      <c r="AE1095" s="7">
        <f>COUNTIF(A:A,A1095)</f>
        <v>1</v>
      </c>
      <c r="AF1095" s="7" t="str">
        <f t="shared" si="125"/>
        <v/>
      </c>
    </row>
    <row r="1096" spans="1:32">
      <c r="A1096" t="s">
        <v>3194</v>
      </c>
      <c r="B1096">
        <v>55145882</v>
      </c>
      <c r="C1096" t="s">
        <v>3195</v>
      </c>
      <c r="D1096" t="s">
        <v>3196</v>
      </c>
      <c r="F1096" t="s">
        <v>53</v>
      </c>
      <c r="G1096" t="s">
        <v>35</v>
      </c>
      <c r="H1096" t="s">
        <v>74</v>
      </c>
      <c r="I1096" t="s">
        <v>3372</v>
      </c>
      <c r="J1096">
        <v>593.58000000000004</v>
      </c>
      <c r="K1096" t="s">
        <v>57</v>
      </c>
      <c r="L1096" t="s">
        <v>48</v>
      </c>
      <c r="M1096" s="1">
        <v>44820.301388888889</v>
      </c>
      <c r="N1096">
        <v>34</v>
      </c>
      <c r="O1096" t="s">
        <v>24</v>
      </c>
      <c r="P1096" t="s">
        <v>36</v>
      </c>
      <c r="Q1096" t="s">
        <v>3197</v>
      </c>
      <c r="R1096">
        <f t="shared" si="119"/>
        <v>55145882</v>
      </c>
      <c r="S1096" t="str" cm="1">
        <f t="array" ref="S1096">IF(C1096="",IFERROR(INDEX($C$2:$C$1166,MATCH(MAX(COUNTIF($C$2:$C$1166,$C$2:$C$1166)),COUNTIF($C$2:$C$1166,$C$2:$C$1166),0)),"Unknown"),C1096)</f>
        <v>Jessica Rodriguez</v>
      </c>
      <c r="T1096" s="4" t="str" cm="1">
        <f t="array" ref="T1096">IF(D1096="",IFERROR(INDEX($D$2:$D$1000,MATCH(MAX(COUNTIF($D$2:$D$1166,$D$2:$D$1166)),COUNTIF($D$2:$D$1166,$D$2:$D$1166),0)),"Unknown"),D1096)</f>
        <v xml:space="preserve"> john martin   </v>
      </c>
      <c r="U1096" t="str">
        <f t="shared" si="120"/>
        <v>AED</v>
      </c>
      <c r="V1096" s="7" t="str">
        <f t="shared" si="120"/>
        <v>EUR</v>
      </c>
      <c r="W1096" s="7" t="str">
        <f t="shared" si="121"/>
        <v>Brazil</v>
      </c>
      <c r="X1096" s="7" t="str">
        <f t="shared" si="121"/>
        <v>Germany</v>
      </c>
      <c r="Y1096" s="7" t="str" cm="1">
        <f t="array" ref="Y1096">IF(H1096="",IFERROR(INDEX($H$2:$H$1166,MATCH(MAX(COUNTIF($H$2:$H$1166,$H$2:$H$1166)),COUNTIF($H$2:$H$1166,$H$2:$H$1166),0)),"Unknown"),H1096)</f>
        <v>Non-KYC</v>
      </c>
      <c r="Z1096" s="7" t="str">
        <f t="shared" si="122"/>
        <v>Outer-Transaction</v>
      </c>
      <c r="AA1096" s="7">
        <f>IF(J1096="",AVERAGE($J:$J),J1096)</f>
        <v>593.58000000000004</v>
      </c>
      <c r="AB1096" s="7">
        <f>IF(N1096="",AVERAGE($N:$N),N1096)</f>
        <v>34</v>
      </c>
      <c r="AC1096" s="7">
        <f t="shared" si="123"/>
        <v>2022</v>
      </c>
      <c r="AD1096" s="7">
        <f t="shared" si="124"/>
        <v>9</v>
      </c>
      <c r="AE1096" s="7">
        <f>COUNTIF(A:A,A1096)</f>
        <v>1</v>
      </c>
      <c r="AF1096" s="7" t="str">
        <f t="shared" si="125"/>
        <v/>
      </c>
    </row>
    <row r="1097" spans="1:32">
      <c r="A1097" t="s">
        <v>3198</v>
      </c>
      <c r="B1097">
        <v>19475654</v>
      </c>
      <c r="C1097" t="s">
        <v>3199</v>
      </c>
      <c r="D1097" t="s">
        <v>2451</v>
      </c>
      <c r="F1097" t="s">
        <v>116</v>
      </c>
      <c r="G1097" t="s">
        <v>53</v>
      </c>
      <c r="H1097" t="s">
        <v>74</v>
      </c>
      <c r="I1097" t="s">
        <v>3372</v>
      </c>
      <c r="J1097">
        <v>5739.64</v>
      </c>
      <c r="K1097" t="s">
        <v>39</v>
      </c>
      <c r="L1097" t="s">
        <v>81</v>
      </c>
      <c r="M1097" s="1">
        <v>44429.793749999997</v>
      </c>
      <c r="N1097">
        <v>40</v>
      </c>
      <c r="O1097" t="s">
        <v>93</v>
      </c>
      <c r="P1097" t="s">
        <v>24</v>
      </c>
      <c r="Q1097" t="s">
        <v>3200</v>
      </c>
      <c r="R1097">
        <f t="shared" si="119"/>
        <v>19475654</v>
      </c>
      <c r="S1097" t="str" cm="1">
        <f t="array" ref="S1097">IF(C1097="",IFERROR(INDEX($C$2:$C$1166,MATCH(MAX(COUNTIF($C$2:$C$1166,$C$2:$C$1166)),COUNTIF($C$2:$C$1166,$C$2:$C$1166),0)),"Unknown"),C1097)</f>
        <v xml:space="preserve">  JOHN NAIR </v>
      </c>
      <c r="T1097" s="4" t="str" cm="1">
        <f t="array" ref="T1097">IF(D1097="",IFERROR(INDEX($D$2:$D$1000,MATCH(MAX(COUNTIF($D$2:$D$1166,$D$2:$D$1166)),COUNTIF($D$2:$D$1166,$D$2:$D$1166),0)),"Unknown"),D1097)</f>
        <v>William Hernandez</v>
      </c>
      <c r="U1097" t="str">
        <f t="shared" si="120"/>
        <v>CHF</v>
      </c>
      <c r="V1097" s="7" t="str">
        <f t="shared" si="120"/>
        <v>AED</v>
      </c>
      <c r="W1097" s="7" t="str">
        <f t="shared" si="121"/>
        <v>USA</v>
      </c>
      <c r="X1097" s="7" t="str">
        <f t="shared" si="121"/>
        <v>Brazil</v>
      </c>
      <c r="Y1097" s="7" t="str" cm="1">
        <f t="array" ref="Y1097">IF(H1097="",IFERROR(INDEX($H$2:$H$1166,MATCH(MAX(COUNTIF($H$2:$H$1166,$H$2:$H$1166)),COUNTIF($H$2:$H$1166,$H$2:$H$1166),0)),"Unknown"),H1097)</f>
        <v>Non-KYC</v>
      </c>
      <c r="Z1097" s="7" t="str">
        <f t="shared" si="122"/>
        <v>Outer-Transaction</v>
      </c>
      <c r="AA1097" s="7">
        <f>IF(J1097="",AVERAGE($J:$J),J1097)</f>
        <v>5739.64</v>
      </c>
      <c r="AB1097" s="7">
        <f>IF(N1097="",AVERAGE($N:$N),N1097)</f>
        <v>40</v>
      </c>
      <c r="AC1097" s="7">
        <f t="shared" si="123"/>
        <v>2021</v>
      </c>
      <c r="AD1097" s="7">
        <f t="shared" si="124"/>
        <v>8</v>
      </c>
      <c r="AE1097" s="7">
        <f>COUNTIF(A:A,A1097)</f>
        <v>1</v>
      </c>
      <c r="AF1097" s="7" t="str">
        <f t="shared" si="125"/>
        <v/>
      </c>
    </row>
    <row r="1098" spans="1:32">
      <c r="A1098" t="s">
        <v>3201</v>
      </c>
      <c r="B1098">
        <v>18781194</v>
      </c>
      <c r="C1098" t="s">
        <v>685</v>
      </c>
      <c r="D1098" t="s">
        <v>1593</v>
      </c>
      <c r="F1098" t="s">
        <v>1084</v>
      </c>
      <c r="G1098" t="s">
        <v>45</v>
      </c>
      <c r="I1098" t="s">
        <v>3374</v>
      </c>
      <c r="J1098">
        <v>12881.34</v>
      </c>
      <c r="K1098" t="s">
        <v>57</v>
      </c>
      <c r="L1098" t="s">
        <v>28</v>
      </c>
      <c r="M1098" s="1">
        <v>46281.044444444444</v>
      </c>
      <c r="N1098">
        <v>43</v>
      </c>
      <c r="O1098" t="s">
        <v>68</v>
      </c>
      <c r="P1098" t="s">
        <v>62</v>
      </c>
      <c r="Q1098" t="s">
        <v>3202</v>
      </c>
      <c r="R1098">
        <f t="shared" si="119"/>
        <v>18781194</v>
      </c>
      <c r="S1098" t="str" cm="1">
        <f t="array" ref="S1098">IF(C1098="",IFERROR(INDEX($C$2:$C$1166,MATCH(MAX(COUNTIF($C$2:$C$1166,$C$2:$C$1166)),COUNTIF($C$2:$C$1166,$C$2:$C$1166),0)),"Unknown"),C1098)</f>
        <v>Sanjay Khan</v>
      </c>
      <c r="T1098" s="4" t="str" cm="1">
        <f t="array" ref="T1098">IF(D1098="",IFERROR(INDEX($D$2:$D$1000,MATCH(MAX(COUNTIF($D$2:$D$1166,$D$2:$D$1166)),COUNTIF($D$2:$D$1166,$D$2:$D$1166),0)),"Unknown"),D1098)</f>
        <v>Karen Silva</v>
      </c>
      <c r="U1098" t="str">
        <f t="shared" si="120"/>
        <v>chf</v>
      </c>
      <c r="V1098" s="7" t="str">
        <f t="shared" si="120"/>
        <v>ZAR</v>
      </c>
      <c r="W1098" s="7" t="str">
        <f t="shared" si="121"/>
        <v>UAE</v>
      </c>
      <c r="X1098" s="7" t="str">
        <f t="shared" si="121"/>
        <v>Australia</v>
      </c>
      <c r="Y1098" s="7" t="str" cm="1">
        <f t="array" ref="Y1098">IF(H1098="",IFERROR(INDEX($H$2:$H$1166,MATCH(MAX(COUNTIF($H$2:$H$1166,$H$2:$H$1166)),COUNTIF($H$2:$H$1166,$H$2:$H$1166),0)),"Unknown"),H1098)</f>
        <v>Pending</v>
      </c>
      <c r="Z1098" s="7" t="str">
        <f t="shared" si="122"/>
        <v>External</v>
      </c>
      <c r="AA1098" s="7">
        <f>IF(J1098="",AVERAGE($J:$J),J1098)</f>
        <v>12881.34</v>
      </c>
      <c r="AB1098" s="7">
        <f>IF(N1098="",AVERAGE($N:$N),N1098)</f>
        <v>43</v>
      </c>
      <c r="AC1098" s="7">
        <f t="shared" si="123"/>
        <v>2026</v>
      </c>
      <c r="AD1098" s="7">
        <f t="shared" si="124"/>
        <v>9</v>
      </c>
      <c r="AE1098" s="7">
        <f>COUNTIF(A:A,A1098)</f>
        <v>1</v>
      </c>
      <c r="AF1098" s="7" t="str">
        <f t="shared" si="125"/>
        <v/>
      </c>
    </row>
    <row r="1099" spans="1:32">
      <c r="A1099" t="s">
        <v>3203</v>
      </c>
      <c r="B1099">
        <v>82316237</v>
      </c>
      <c r="C1099" t="s">
        <v>1135</v>
      </c>
      <c r="D1099" t="s">
        <v>604</v>
      </c>
      <c r="F1099" t="s">
        <v>34</v>
      </c>
      <c r="G1099" t="s">
        <v>35</v>
      </c>
      <c r="H1099" t="s">
        <v>25</v>
      </c>
      <c r="I1099" t="s">
        <v>3376</v>
      </c>
      <c r="J1099">
        <v>6525.52</v>
      </c>
      <c r="K1099" t="s">
        <v>57</v>
      </c>
      <c r="L1099" t="s">
        <v>75</v>
      </c>
      <c r="M1099" s="1">
        <v>44226.038888888892</v>
      </c>
      <c r="N1099">
        <v>24</v>
      </c>
      <c r="O1099" t="s">
        <v>54</v>
      </c>
      <c r="P1099" t="s">
        <v>23</v>
      </c>
      <c r="Q1099" t="s">
        <v>3204</v>
      </c>
      <c r="R1099">
        <f t="shared" si="119"/>
        <v>82316237</v>
      </c>
      <c r="S1099" t="str" cm="1">
        <f t="array" ref="S1099">IF(C1099="",IFERROR(INDEX($C$2:$C$1166,MATCH(MAX(COUNTIF($C$2:$C$1166,$C$2:$C$1166)),COUNTIF($C$2:$C$1166,$C$2:$C$1166),0)),"Unknown"),C1099)</f>
        <v>Nancy Davis</v>
      </c>
      <c r="T1099" s="4" t="str" cm="1">
        <f t="array" ref="T1099">IF(D1099="",IFERROR(INDEX($D$2:$D$1000,MATCH(MAX(COUNTIF($D$2:$D$1166,$D$2:$D$1166)),COUNTIF($D$2:$D$1166,$D$2:$D$1166),0)),"Unknown"),D1099)</f>
        <v>Elizabeth Rodriguez</v>
      </c>
      <c r="U1099" t="str">
        <f t="shared" si="120"/>
        <v>CAD</v>
      </c>
      <c r="V1099" s="7" t="str">
        <f t="shared" si="120"/>
        <v>EUR</v>
      </c>
      <c r="W1099" s="7" t="str">
        <f t="shared" si="121"/>
        <v>India</v>
      </c>
      <c r="X1099" s="7" t="str">
        <f t="shared" si="121"/>
        <v>France</v>
      </c>
      <c r="Y1099" s="7" t="str" cm="1">
        <f t="array" ref="Y1099">IF(H1099="",IFERROR(INDEX($H$2:$H$1166,MATCH(MAX(COUNTIF($H$2:$H$1166,$H$2:$H$1166)),COUNTIF($H$2:$H$1166,$H$2:$H$1166),0)),"Unknown"),H1099)</f>
        <v>KYC</v>
      </c>
      <c r="Z1099" s="7" t="str">
        <f t="shared" si="122"/>
        <v>Internal</v>
      </c>
      <c r="AA1099" s="7">
        <f>IF(J1099="",AVERAGE($J:$J),J1099)</f>
        <v>6525.52</v>
      </c>
      <c r="AB1099" s="7">
        <f>IF(N1099="",AVERAGE($N:$N),N1099)</f>
        <v>24</v>
      </c>
      <c r="AC1099" s="7">
        <f t="shared" si="123"/>
        <v>2021</v>
      </c>
      <c r="AD1099" s="7">
        <f t="shared" si="124"/>
        <v>1</v>
      </c>
      <c r="AE1099" s="7">
        <f>COUNTIF(A:A,A1099)</f>
        <v>1</v>
      </c>
      <c r="AF1099" s="7" t="str">
        <f t="shared" si="125"/>
        <v/>
      </c>
    </row>
    <row r="1100" spans="1:32">
      <c r="A1100" t="s">
        <v>3205</v>
      </c>
      <c r="B1100">
        <v>70366677</v>
      </c>
      <c r="C1100" t="s">
        <v>267</v>
      </c>
      <c r="D1100" t="s">
        <v>3206</v>
      </c>
      <c r="F1100" t="s">
        <v>116</v>
      </c>
      <c r="G1100" t="s">
        <v>34</v>
      </c>
      <c r="H1100" t="s">
        <v>38</v>
      </c>
      <c r="I1100" t="s">
        <v>3378</v>
      </c>
      <c r="J1100">
        <v>9135.59</v>
      </c>
      <c r="K1100" t="s">
        <v>39</v>
      </c>
      <c r="L1100" t="s">
        <v>28</v>
      </c>
      <c r="M1100" s="1">
        <v>44245.192361111112</v>
      </c>
      <c r="N1100">
        <v>31</v>
      </c>
      <c r="O1100" t="s">
        <v>93</v>
      </c>
      <c r="P1100" t="s">
        <v>24</v>
      </c>
      <c r="Q1100" t="s">
        <v>3207</v>
      </c>
      <c r="R1100">
        <f t="shared" si="119"/>
        <v>70366677</v>
      </c>
      <c r="S1100" t="str" cm="1">
        <f t="array" ref="S1100">IF(C1100="",IFERROR(INDEX($C$2:$C$1166,MATCH(MAX(COUNTIF($C$2:$C$1166,$C$2:$C$1166)),COUNTIF($C$2:$C$1166,$C$2:$C$1166),0)),"Unknown"),C1100)</f>
        <v>David Miller</v>
      </c>
      <c r="T1100" s="4" t="str" cm="1">
        <f t="array" ref="T1100">IF(D1100="",IFERROR(INDEX($D$2:$D$1000,MATCH(MAX(COUNTIF($D$2:$D$1166,$D$2:$D$1166)),COUNTIF($D$2:$D$1166,$D$2:$D$1166),0)),"Unknown"),D1100)</f>
        <v>Richard Khan</v>
      </c>
      <c r="U1100" t="str">
        <f t="shared" si="120"/>
        <v>CHF</v>
      </c>
      <c r="V1100" s="7" t="str">
        <f t="shared" si="120"/>
        <v>CAD</v>
      </c>
      <c r="W1100" s="7" t="str">
        <f t="shared" si="121"/>
        <v>USA</v>
      </c>
      <c r="X1100" s="7" t="str">
        <f t="shared" si="121"/>
        <v>Brazil</v>
      </c>
      <c r="Y1100" s="7" t="str" cm="1">
        <f t="array" ref="Y1100">IF(H1100="",IFERROR(INDEX($H$2:$H$1166,MATCH(MAX(COUNTIF($H$2:$H$1166,$H$2:$H$1166)),COUNTIF($H$2:$H$1166,$H$2:$H$1166),0)),"Unknown"),H1100)</f>
        <v>Pending</v>
      </c>
      <c r="Z1100" s="7" t="str">
        <f t="shared" si="122"/>
        <v>Inter-Transaction</v>
      </c>
      <c r="AA1100" s="7">
        <f>IF(J1100="",AVERAGE($J:$J),J1100)</f>
        <v>9135.59</v>
      </c>
      <c r="AB1100" s="7">
        <f>IF(N1100="",AVERAGE($N:$N),N1100)</f>
        <v>31</v>
      </c>
      <c r="AC1100" s="7">
        <f t="shared" si="123"/>
        <v>2021</v>
      </c>
      <c r="AD1100" s="7">
        <f t="shared" si="124"/>
        <v>2</v>
      </c>
      <c r="AE1100" s="7">
        <f>COUNTIF(A:A,A1100)</f>
        <v>1</v>
      </c>
      <c r="AF1100" s="7" t="str">
        <f t="shared" si="125"/>
        <v/>
      </c>
    </row>
    <row r="1101" spans="1:32">
      <c r="A1101" t="s">
        <v>3208</v>
      </c>
      <c r="B1101">
        <v>73125832</v>
      </c>
      <c r="C1101" t="s">
        <v>3169</v>
      </c>
      <c r="D1101" t="s">
        <v>969</v>
      </c>
      <c r="F1101" t="s">
        <v>98</v>
      </c>
      <c r="G1101" t="s">
        <v>98</v>
      </c>
      <c r="H1101" t="s">
        <v>38</v>
      </c>
      <c r="I1101" t="s">
        <v>3376</v>
      </c>
      <c r="J1101">
        <v>14243.6</v>
      </c>
      <c r="K1101" t="s">
        <v>47</v>
      </c>
      <c r="L1101" t="s">
        <v>75</v>
      </c>
      <c r="M1101" s="1">
        <v>44769.081250000003</v>
      </c>
      <c r="N1101">
        <v>24</v>
      </c>
      <c r="O1101" t="s">
        <v>93</v>
      </c>
      <c r="P1101" t="s">
        <v>55</v>
      </c>
      <c r="Q1101" t="s">
        <v>3209</v>
      </c>
      <c r="R1101">
        <f t="shared" si="119"/>
        <v>73125832</v>
      </c>
      <c r="S1101" t="str" cm="1">
        <f t="array" ref="S1101">IF(C1101="",IFERROR(INDEX($C$2:$C$1166,MATCH(MAX(COUNTIF($C$2:$C$1166,$C$2:$C$1166)),COUNTIF($C$2:$C$1166,$C$2:$C$1166),0)),"Unknown"),C1101)</f>
        <v>Joseph Hernandez</v>
      </c>
      <c r="T1101" s="4" t="str" cm="1">
        <f t="array" ref="T1101">IF(D1101="",IFERROR(INDEX($D$2:$D$1000,MATCH(MAX(COUNTIF($D$2:$D$1166,$D$2:$D$1166)),COUNTIF($D$2:$D$1166,$D$2:$D$1166),0)),"Unknown"),D1101)</f>
        <v>Mary Rodriguez</v>
      </c>
      <c r="U1101" t="str">
        <f t="shared" si="120"/>
        <v>JPY</v>
      </c>
      <c r="V1101" s="7" t="str">
        <f t="shared" si="120"/>
        <v>JPY</v>
      </c>
      <c r="W1101" s="7" t="str">
        <f t="shared" si="121"/>
        <v>USA</v>
      </c>
      <c r="X1101" s="7" t="str">
        <f t="shared" si="121"/>
        <v>UK</v>
      </c>
      <c r="Y1101" s="7" t="str" cm="1">
        <f t="array" ref="Y1101">IF(H1101="",IFERROR(INDEX($H$2:$H$1166,MATCH(MAX(COUNTIF($H$2:$H$1166,$H$2:$H$1166)),COUNTIF($H$2:$H$1166,$H$2:$H$1166),0)),"Unknown"),H1101)</f>
        <v>Pending</v>
      </c>
      <c r="Z1101" s="7" t="str">
        <f t="shared" si="122"/>
        <v>Internal</v>
      </c>
      <c r="AA1101" s="7">
        <f>IF(J1101="",AVERAGE($J:$J),J1101)</f>
        <v>14243.6</v>
      </c>
      <c r="AB1101" s="7">
        <f>IF(N1101="",AVERAGE($N:$N),N1101)</f>
        <v>24</v>
      </c>
      <c r="AC1101" s="7">
        <f t="shared" si="123"/>
        <v>2022</v>
      </c>
      <c r="AD1101" s="7">
        <f t="shared" si="124"/>
        <v>7</v>
      </c>
      <c r="AE1101" s="7">
        <f>COUNTIF(A:A,A1101)</f>
        <v>1</v>
      </c>
      <c r="AF1101" s="7" t="str">
        <f t="shared" si="125"/>
        <v/>
      </c>
    </row>
    <row r="1102" spans="1:32">
      <c r="A1102" t="s">
        <v>3210</v>
      </c>
      <c r="B1102">
        <v>92046026</v>
      </c>
      <c r="C1102" t="s">
        <v>343</v>
      </c>
      <c r="D1102" t="s">
        <v>2108</v>
      </c>
      <c r="F1102" t="s">
        <v>35</v>
      </c>
      <c r="G1102" t="s">
        <v>686</v>
      </c>
      <c r="H1102" t="s">
        <v>38</v>
      </c>
      <c r="I1102" t="s">
        <v>3377</v>
      </c>
      <c r="J1102">
        <v>1284.2</v>
      </c>
      <c r="K1102" t="s">
        <v>57</v>
      </c>
      <c r="L1102" t="s">
        <v>81</v>
      </c>
      <c r="M1102" s="1">
        <v>45467.002083333333</v>
      </c>
      <c r="N1102">
        <v>26</v>
      </c>
      <c r="O1102" t="s">
        <v>54</v>
      </c>
      <c r="P1102" t="s">
        <v>24</v>
      </c>
      <c r="Q1102" t="s">
        <v>3211</v>
      </c>
      <c r="R1102">
        <f t="shared" si="119"/>
        <v>92046026</v>
      </c>
      <c r="S1102" t="str" cm="1">
        <f t="array" ref="S1102">IF(C1102="",IFERROR(INDEX($C$2:$C$1166,MATCH(MAX(COUNTIF($C$2:$C$1166,$C$2:$C$1166)),COUNTIF($C$2:$C$1166,$C$2:$C$1166),0)),"Unknown"),C1102)</f>
        <v>Christopher Rodriguez</v>
      </c>
      <c r="T1102" s="4" t="str" cm="1">
        <f t="array" ref="T1102">IF(D1102="",IFERROR(INDEX($D$2:$D$1000,MATCH(MAX(COUNTIF($D$2:$D$1166,$D$2:$D$1166)),COUNTIF($D$2:$D$1166,$D$2:$D$1166),0)),"Unknown"),D1102)</f>
        <v>Thomas Smith</v>
      </c>
      <c r="U1102" t="str">
        <f t="shared" si="120"/>
        <v>EUR</v>
      </c>
      <c r="V1102" s="7" t="str">
        <f t="shared" si="120"/>
        <v>sgd</v>
      </c>
      <c r="W1102" s="7" t="str">
        <f t="shared" si="121"/>
        <v>India</v>
      </c>
      <c r="X1102" s="7" t="str">
        <f t="shared" si="121"/>
        <v>Brazil</v>
      </c>
      <c r="Y1102" s="7" t="str" cm="1">
        <f t="array" ref="Y1102">IF(H1102="",IFERROR(INDEX($H$2:$H$1166,MATCH(MAX(COUNTIF($H$2:$H$1166,$H$2:$H$1166)),COUNTIF($H$2:$H$1166,$H$2:$H$1166),0)),"Unknown"),H1102)</f>
        <v>Pending</v>
      </c>
      <c r="Z1102" s="7" t="str">
        <f t="shared" si="122"/>
        <v>Inter-Transaction</v>
      </c>
      <c r="AA1102" s="7">
        <f>IF(J1102="",AVERAGE($J:$J),J1102)</f>
        <v>1284.2</v>
      </c>
      <c r="AB1102" s="7">
        <f>IF(N1102="",AVERAGE($N:$N),N1102)</f>
        <v>26</v>
      </c>
      <c r="AC1102" s="7">
        <f t="shared" si="123"/>
        <v>2024</v>
      </c>
      <c r="AD1102" s="7">
        <f t="shared" si="124"/>
        <v>6</v>
      </c>
      <c r="AE1102" s="7">
        <f>COUNTIF(A:A,A1102)</f>
        <v>1</v>
      </c>
      <c r="AF1102" s="7" t="str">
        <f t="shared" si="125"/>
        <v/>
      </c>
    </row>
    <row r="1103" spans="1:32">
      <c r="A1103" t="s">
        <v>3212</v>
      </c>
      <c r="B1103">
        <v>70133687</v>
      </c>
      <c r="C1103" t="s">
        <v>500</v>
      </c>
      <c r="D1103" t="s">
        <v>179</v>
      </c>
      <c r="F1103" t="s">
        <v>92</v>
      </c>
      <c r="G1103" t="s">
        <v>92</v>
      </c>
      <c r="H1103" t="s">
        <v>25</v>
      </c>
      <c r="I1103" t="s">
        <v>3374</v>
      </c>
      <c r="J1103">
        <v>1447.87</v>
      </c>
      <c r="K1103" t="s">
        <v>39</v>
      </c>
      <c r="L1103" t="s">
        <v>75</v>
      </c>
      <c r="M1103" s="1">
        <v>46341.286805555559</v>
      </c>
      <c r="N1103">
        <v>65</v>
      </c>
      <c r="O1103" t="s">
        <v>24</v>
      </c>
      <c r="P1103" t="s">
        <v>37</v>
      </c>
      <c r="Q1103" t="s">
        <v>3213</v>
      </c>
      <c r="R1103">
        <f t="shared" si="119"/>
        <v>70133687</v>
      </c>
      <c r="S1103" t="str" cm="1">
        <f t="array" ref="S1103">IF(C1103="",IFERROR(INDEX($C$2:$C$1166,MATCH(MAX(COUNTIF($C$2:$C$1166,$C$2:$C$1166)),COUNTIF($C$2:$C$1166,$C$2:$C$1166),0)),"Unknown"),C1103)</f>
        <v>Patricia Hernandez</v>
      </c>
      <c r="T1103" s="4" t="str" cm="1">
        <f t="array" ref="T1103">IF(D1103="",IFERROR(INDEX($D$2:$D$1000,MATCH(MAX(COUNTIF($D$2:$D$1166,$D$2:$D$1166)),COUNTIF($D$2:$D$1166,$D$2:$D$1166),0)),"Unknown"),D1103)</f>
        <v>Joseph Thomas</v>
      </c>
      <c r="U1103" t="str">
        <f t="shared" si="120"/>
        <v>AUD</v>
      </c>
      <c r="V1103" s="7" t="str">
        <f t="shared" si="120"/>
        <v>AUD</v>
      </c>
      <c r="W1103" s="7" t="str">
        <f t="shared" si="121"/>
        <v>Brazil</v>
      </c>
      <c r="X1103" s="7" t="str">
        <f t="shared" si="121"/>
        <v>South Africa</v>
      </c>
      <c r="Y1103" s="7" t="str" cm="1">
        <f t="array" ref="Y1103">IF(H1103="",IFERROR(INDEX($H$2:$H$1166,MATCH(MAX(COUNTIF($H$2:$H$1166,$H$2:$H$1166)),COUNTIF($H$2:$H$1166,$H$2:$H$1166),0)),"Unknown"),H1103)</f>
        <v>KYC</v>
      </c>
      <c r="Z1103" s="7" t="str">
        <f t="shared" si="122"/>
        <v>External</v>
      </c>
      <c r="AA1103" s="7">
        <f>IF(J1103="",AVERAGE($J:$J),J1103)</f>
        <v>1447.87</v>
      </c>
      <c r="AB1103" s="7">
        <f>IF(N1103="",AVERAGE($N:$N),N1103)</f>
        <v>65</v>
      </c>
      <c r="AC1103" s="7">
        <f t="shared" si="123"/>
        <v>2026</v>
      </c>
      <c r="AD1103" s="7">
        <f t="shared" si="124"/>
        <v>11</v>
      </c>
      <c r="AE1103" s="7">
        <f>COUNTIF(A:A,A1103)</f>
        <v>1</v>
      </c>
      <c r="AF1103" s="7" t="str">
        <f t="shared" si="125"/>
        <v/>
      </c>
    </row>
    <row r="1104" spans="1:32">
      <c r="A1104" t="s">
        <v>3214</v>
      </c>
      <c r="B1104">
        <v>95853878</v>
      </c>
      <c r="C1104" t="s">
        <v>3215</v>
      </c>
      <c r="D1104" t="s">
        <v>929</v>
      </c>
      <c r="F1104" t="s">
        <v>53</v>
      </c>
      <c r="G1104" t="s">
        <v>34</v>
      </c>
      <c r="H1104" t="s">
        <v>38</v>
      </c>
      <c r="I1104" t="s">
        <v>3371</v>
      </c>
      <c r="J1104">
        <v>7272.24</v>
      </c>
      <c r="K1104" t="s">
        <v>57</v>
      </c>
      <c r="L1104" t="s">
        <v>28</v>
      </c>
      <c r="M1104" s="1">
        <v>44371.022222222222</v>
      </c>
      <c r="N1104">
        <v>76</v>
      </c>
      <c r="O1104" t="s">
        <v>24</v>
      </c>
      <c r="P1104" t="s">
        <v>68</v>
      </c>
      <c r="Q1104" t="s">
        <v>3216</v>
      </c>
      <c r="R1104">
        <f t="shared" si="119"/>
        <v>95853878</v>
      </c>
      <c r="S1104" t="str" cm="1">
        <f t="array" ref="S1104">IF(C1104="",IFERROR(INDEX($C$2:$C$1166,MATCH(MAX(COUNTIF($C$2:$C$1166,$C$2:$C$1166)),COUNTIF($C$2:$C$1166,$C$2:$C$1166),0)),"Unknown"),C1104)</f>
        <v>Jessica Jackson</v>
      </c>
      <c r="T1104" s="4" t="str" cm="1">
        <f t="array" ref="T1104">IF(D1104="",IFERROR(INDEX($D$2:$D$1000,MATCH(MAX(COUNTIF($D$2:$D$1166,$D$2:$D$1166)),COUNTIF($D$2:$D$1166,$D$2:$D$1166),0)),"Unknown"),D1104)</f>
        <v>Charles Hernandez</v>
      </c>
      <c r="U1104" t="str">
        <f t="shared" si="120"/>
        <v>AED</v>
      </c>
      <c r="V1104" s="7" t="str">
        <f t="shared" si="120"/>
        <v>CAD</v>
      </c>
      <c r="W1104" s="7" t="str">
        <f t="shared" si="121"/>
        <v>Brazil</v>
      </c>
      <c r="X1104" s="7" t="str">
        <f t="shared" si="121"/>
        <v>UAE</v>
      </c>
      <c r="Y1104" s="7" t="str" cm="1">
        <f t="array" ref="Y1104">IF(H1104="",IFERROR(INDEX($H$2:$H$1166,MATCH(MAX(COUNTIF($H$2:$H$1166,$H$2:$H$1166)),COUNTIF($H$2:$H$1166,$H$2:$H$1166),0)),"Unknown"),H1104)</f>
        <v>Pending</v>
      </c>
      <c r="Z1104" s="7" t="str">
        <f t="shared" si="122"/>
        <v>Outer-Transaction</v>
      </c>
      <c r="AA1104" s="7">
        <f>IF(J1104="",AVERAGE($J:$J),J1104)</f>
        <v>7272.24</v>
      </c>
      <c r="AB1104" s="7">
        <f>IF(N1104="",AVERAGE($N:$N),N1104)</f>
        <v>76</v>
      </c>
      <c r="AC1104" s="7">
        <f t="shared" si="123"/>
        <v>2021</v>
      </c>
      <c r="AD1104" s="7">
        <f t="shared" si="124"/>
        <v>6</v>
      </c>
      <c r="AE1104" s="7">
        <f>COUNTIF(A:A,A1104)</f>
        <v>1</v>
      </c>
      <c r="AF1104" s="7" t="str">
        <f t="shared" si="125"/>
        <v/>
      </c>
    </row>
    <row r="1105" spans="1:32">
      <c r="A1105" t="s">
        <v>3217</v>
      </c>
      <c r="B1105">
        <v>88896855</v>
      </c>
      <c r="C1105" t="s">
        <v>2224</v>
      </c>
      <c r="D1105" t="s">
        <v>3218</v>
      </c>
      <c r="F1105" t="s">
        <v>53</v>
      </c>
      <c r="G1105" t="s">
        <v>80</v>
      </c>
      <c r="H1105" t="s">
        <v>103</v>
      </c>
      <c r="I1105" t="s">
        <v>3374</v>
      </c>
      <c r="J1105">
        <v>14984.89</v>
      </c>
      <c r="K1105" t="s">
        <v>39</v>
      </c>
      <c r="L1105" t="s">
        <v>48</v>
      </c>
      <c r="M1105" s="1">
        <v>45480.304861111108</v>
      </c>
      <c r="N1105">
        <v>56</v>
      </c>
      <c r="O1105" t="s">
        <v>54</v>
      </c>
      <c r="P1105" t="s">
        <v>127</v>
      </c>
      <c r="Q1105" t="s">
        <v>3219</v>
      </c>
      <c r="R1105">
        <f t="shared" si="119"/>
        <v>88896855</v>
      </c>
      <c r="S1105" t="str" cm="1">
        <f t="array" ref="S1105">IF(C1105="",IFERROR(INDEX($C$2:$C$1166,MATCH(MAX(COUNTIF($C$2:$C$1166,$C$2:$C$1166)),COUNTIF($C$2:$C$1166,$C$2:$C$1166),0)),"Unknown"),C1105)</f>
        <v>Linda Volkov</v>
      </c>
      <c r="T1105" s="4" t="str" cm="1">
        <f t="array" ref="T1105">IF(D1105="",IFERROR(INDEX($D$2:$D$1000,MATCH(MAX(COUNTIF($D$2:$D$1166,$D$2:$D$1166)),COUNTIF($D$2:$D$1166,$D$2:$D$1166),0)),"Unknown"),D1105)</f>
        <v>Richard Silva</v>
      </c>
      <c r="U1105" t="str">
        <f t="shared" si="120"/>
        <v>AED</v>
      </c>
      <c r="V1105" s="7" t="str">
        <f t="shared" si="120"/>
        <v>USD</v>
      </c>
      <c r="W1105" s="7" t="str">
        <f t="shared" si="121"/>
        <v>India</v>
      </c>
      <c r="X1105" s="7" t="str">
        <f t="shared" si="121"/>
        <v>Canada</v>
      </c>
      <c r="Y1105" s="7" t="str" cm="1">
        <f t="array" ref="Y1105">IF(H1105="",IFERROR(INDEX($H$2:$H$1166,MATCH(MAX(COUNTIF($H$2:$H$1166,$H$2:$H$1166)),COUNTIF($H$2:$H$1166,$H$2:$H$1166),0)),"Unknown"),H1105)</f>
        <v>Verified</v>
      </c>
      <c r="Z1105" s="7" t="str">
        <f t="shared" si="122"/>
        <v>External</v>
      </c>
      <c r="AA1105" s="7">
        <f>IF(J1105="",AVERAGE($J:$J),J1105)</f>
        <v>14984.89</v>
      </c>
      <c r="AB1105" s="7">
        <f>IF(N1105="",AVERAGE($N:$N),N1105)</f>
        <v>56</v>
      </c>
      <c r="AC1105" s="7">
        <f t="shared" si="123"/>
        <v>2024</v>
      </c>
      <c r="AD1105" s="7">
        <f t="shared" si="124"/>
        <v>7</v>
      </c>
      <c r="AE1105" s="7">
        <f>COUNTIF(A:A,A1105)</f>
        <v>1</v>
      </c>
      <c r="AF1105" s="7" t="str">
        <f t="shared" si="125"/>
        <v/>
      </c>
    </row>
    <row r="1106" spans="1:32">
      <c r="A1106" t="s">
        <v>3220</v>
      </c>
      <c r="B1106">
        <v>42815403</v>
      </c>
      <c r="C1106" t="s">
        <v>3221</v>
      </c>
      <c r="D1106" t="s">
        <v>2550</v>
      </c>
      <c r="F1106" t="s">
        <v>80</v>
      </c>
      <c r="G1106" t="s">
        <v>45</v>
      </c>
      <c r="I1106" t="s">
        <v>3377</v>
      </c>
      <c r="J1106">
        <v>12753.81</v>
      </c>
      <c r="K1106" t="s">
        <v>47</v>
      </c>
      <c r="L1106" t="s">
        <v>81</v>
      </c>
      <c r="M1106" s="1">
        <v>45776.638888888891</v>
      </c>
      <c r="N1106">
        <v>35</v>
      </c>
      <c r="O1106" t="s">
        <v>62</v>
      </c>
      <c r="P1106" t="s">
        <v>62</v>
      </c>
      <c r="Q1106" t="s">
        <v>3222</v>
      </c>
      <c r="R1106">
        <f t="shared" si="119"/>
        <v>42815403</v>
      </c>
      <c r="S1106" t="str" cm="1">
        <f t="array" ref="S1106">IF(C1106="",IFERROR(INDEX($C$2:$C$1166,MATCH(MAX(COUNTIF($C$2:$C$1166,$C$2:$C$1166)),COUNTIF($C$2:$C$1166,$C$2:$C$1166),0)),"Unknown"),C1106)</f>
        <v xml:space="preserve">  JEAN-PIERRE AL-SAYED </v>
      </c>
      <c r="T1106" s="4" t="str" cm="1">
        <f t="array" ref="T1106">IF(D1106="",IFERROR(INDEX($D$2:$D$1000,MATCH(MAX(COUNTIF($D$2:$D$1166,$D$2:$D$1166)),COUNTIF($D$2:$D$1166,$D$2:$D$1166),0)),"Unknown"),D1106)</f>
        <v>Jessica Malik</v>
      </c>
      <c r="U1106" t="str">
        <f t="shared" si="120"/>
        <v>USD</v>
      </c>
      <c r="V1106" s="7" t="str">
        <f t="shared" si="120"/>
        <v>ZAR</v>
      </c>
      <c r="W1106" s="7" t="str">
        <f t="shared" si="121"/>
        <v>Australia</v>
      </c>
      <c r="X1106" s="7" t="str">
        <f t="shared" si="121"/>
        <v>Australia</v>
      </c>
      <c r="Y1106" s="7" t="str" cm="1">
        <f t="array" ref="Y1106">IF(H1106="",IFERROR(INDEX($H$2:$H$1166,MATCH(MAX(COUNTIF($H$2:$H$1166,$H$2:$H$1166)),COUNTIF($H$2:$H$1166,$H$2:$H$1166),0)),"Unknown"),H1106)</f>
        <v>Pending</v>
      </c>
      <c r="Z1106" s="7" t="str">
        <f t="shared" si="122"/>
        <v>Inter-Transaction</v>
      </c>
      <c r="AA1106" s="7">
        <f>IF(J1106="",AVERAGE($J:$J),J1106)</f>
        <v>12753.81</v>
      </c>
      <c r="AB1106" s="7">
        <f>IF(N1106="",AVERAGE($N:$N),N1106)</f>
        <v>35</v>
      </c>
      <c r="AC1106" s="7">
        <f t="shared" si="123"/>
        <v>2025</v>
      </c>
      <c r="AD1106" s="7">
        <f t="shared" si="124"/>
        <v>4</v>
      </c>
      <c r="AE1106" s="7">
        <f>COUNTIF(A:A,A1106)</f>
        <v>1</v>
      </c>
      <c r="AF1106" s="7" t="str">
        <f t="shared" si="125"/>
        <v/>
      </c>
    </row>
    <row r="1107" spans="1:32">
      <c r="A1107" t="s">
        <v>3223</v>
      </c>
      <c r="B1107">
        <v>59509360</v>
      </c>
      <c r="C1107" t="s">
        <v>1865</v>
      </c>
      <c r="D1107" t="s">
        <v>3224</v>
      </c>
      <c r="F1107" t="s">
        <v>44</v>
      </c>
      <c r="G1107" t="s">
        <v>393</v>
      </c>
      <c r="H1107" t="s">
        <v>74</v>
      </c>
      <c r="I1107" t="s">
        <v>3377</v>
      </c>
      <c r="J1107">
        <v>14180.86</v>
      </c>
      <c r="K1107" t="s">
        <v>39</v>
      </c>
      <c r="L1107" t="s">
        <v>48</v>
      </c>
      <c r="M1107" s="1">
        <v>43914.537499999999</v>
      </c>
      <c r="N1107">
        <v>76</v>
      </c>
      <c r="O1107" t="s">
        <v>68</v>
      </c>
      <c r="P1107" t="s">
        <v>68</v>
      </c>
      <c r="Q1107" t="s">
        <v>3225</v>
      </c>
      <c r="R1107">
        <f t="shared" si="119"/>
        <v>59509360</v>
      </c>
      <c r="S1107" t="str" cm="1">
        <f t="array" ref="S1107">IF(C1107="",IFERROR(INDEX($C$2:$C$1166,MATCH(MAX(COUNTIF($C$2:$C$1166,$C$2:$C$1166)),COUNTIF($C$2:$C$1166,$C$2:$C$1166),0)),"Unknown"),C1107)</f>
        <v>Michael Souza</v>
      </c>
      <c r="T1107" s="4" t="str" cm="1">
        <f t="array" ref="T1107">IF(D1107="",IFERROR(INDEX($D$2:$D$1000,MATCH(MAX(COUNTIF($D$2:$D$1166,$D$2:$D$1166)),COUNTIF($D$2:$D$1166,$D$2:$D$1166),0)),"Unknown"),D1107)</f>
        <v>Zayn Volkov</v>
      </c>
      <c r="U1107" t="str">
        <f t="shared" si="120"/>
        <v>SGD</v>
      </c>
      <c r="V1107" s="7" t="str">
        <f t="shared" si="120"/>
        <v>cad</v>
      </c>
      <c r="W1107" s="7" t="str">
        <f t="shared" si="121"/>
        <v>UAE</v>
      </c>
      <c r="X1107" s="7" t="str">
        <f t="shared" si="121"/>
        <v>UAE</v>
      </c>
      <c r="Y1107" s="7" t="str" cm="1">
        <f t="array" ref="Y1107">IF(H1107="",IFERROR(INDEX($H$2:$H$1166,MATCH(MAX(COUNTIF($H$2:$H$1166,$H$2:$H$1166)),COUNTIF($H$2:$H$1166,$H$2:$H$1166),0)),"Unknown"),H1107)</f>
        <v>Non-KYC</v>
      </c>
      <c r="Z1107" s="7" t="str">
        <f t="shared" si="122"/>
        <v>Inter-Transaction</v>
      </c>
      <c r="AA1107" s="7">
        <f>IF(J1107="",AVERAGE($J:$J),J1107)</f>
        <v>14180.86</v>
      </c>
      <c r="AB1107" s="7">
        <f>IF(N1107="",AVERAGE($N:$N),N1107)</f>
        <v>76</v>
      </c>
      <c r="AC1107" s="7">
        <f t="shared" si="123"/>
        <v>2020</v>
      </c>
      <c r="AD1107" s="7">
        <f t="shared" si="124"/>
        <v>3</v>
      </c>
      <c r="AE1107" s="7">
        <f>COUNTIF(A:A,A1107)</f>
        <v>2</v>
      </c>
      <c r="AF1107" s="7" t="str">
        <f t="shared" si="125"/>
        <v/>
      </c>
    </row>
    <row r="1108" spans="1:32">
      <c r="A1108" t="s">
        <v>3226</v>
      </c>
      <c r="B1108">
        <v>42830348</v>
      </c>
      <c r="C1108" t="s">
        <v>574</v>
      </c>
      <c r="D1108" t="s">
        <v>2101</v>
      </c>
      <c r="F1108" t="s">
        <v>21</v>
      </c>
      <c r="G1108" t="s">
        <v>121</v>
      </c>
      <c r="H1108" t="s">
        <v>25</v>
      </c>
      <c r="I1108" t="s">
        <v>3372</v>
      </c>
      <c r="J1108">
        <v>13243.1</v>
      </c>
      <c r="K1108" t="s">
        <v>86</v>
      </c>
      <c r="L1108" t="s">
        <v>81</v>
      </c>
      <c r="M1108" s="1">
        <v>44101.975694444445</v>
      </c>
      <c r="N1108">
        <v>34</v>
      </c>
      <c r="O1108" t="s">
        <v>23</v>
      </c>
      <c r="P1108" t="s">
        <v>24</v>
      </c>
      <c r="Q1108" t="s">
        <v>3227</v>
      </c>
      <c r="R1108">
        <f t="shared" si="119"/>
        <v>42830348</v>
      </c>
      <c r="S1108" t="str" cm="1">
        <f t="array" ref="S1108">IF(C1108="",IFERROR(INDEX($C$2:$C$1166,MATCH(MAX(COUNTIF($C$2:$C$1166,$C$2:$C$1166)),COUNTIF($C$2:$C$1166,$C$2:$C$1166),0)),"Unknown"),C1108)</f>
        <v>Elizabeth Brown</v>
      </c>
      <c r="T1108" s="4" t="str" cm="1">
        <f t="array" ref="T1108">IF(D1108="",IFERROR(INDEX($D$2:$D$1000,MATCH(MAX(COUNTIF($D$2:$D$1166,$D$2:$D$1166)),COUNTIF($D$2:$D$1166,$D$2:$D$1166),0)),"Unknown"),D1108)</f>
        <v>Karen Williams</v>
      </c>
      <c r="U1108" t="str">
        <f t="shared" si="120"/>
        <v>GBP</v>
      </c>
      <c r="V1108" s="7" t="str">
        <f t="shared" si="120"/>
        <v>INR</v>
      </c>
      <c r="W1108" s="7" t="str">
        <f t="shared" si="121"/>
        <v>France</v>
      </c>
      <c r="X1108" s="7" t="str">
        <f t="shared" si="121"/>
        <v>Brazil</v>
      </c>
      <c r="Y1108" s="7" t="str" cm="1">
        <f t="array" ref="Y1108">IF(H1108="",IFERROR(INDEX($H$2:$H$1166,MATCH(MAX(COUNTIF($H$2:$H$1166,$H$2:$H$1166)),COUNTIF($H$2:$H$1166,$H$2:$H$1166),0)),"Unknown"),H1108)</f>
        <v>KYC</v>
      </c>
      <c r="Z1108" s="7" t="str">
        <f t="shared" si="122"/>
        <v>Outer-Transaction</v>
      </c>
      <c r="AA1108" s="7">
        <f>IF(J1108="",AVERAGE($J:$J),J1108)</f>
        <v>13243.1</v>
      </c>
      <c r="AB1108" s="7">
        <f>IF(N1108="",AVERAGE($N:$N),N1108)</f>
        <v>34</v>
      </c>
      <c r="AC1108" s="7">
        <f t="shared" si="123"/>
        <v>2020</v>
      </c>
      <c r="AD1108" s="7">
        <f t="shared" si="124"/>
        <v>9</v>
      </c>
      <c r="AE1108" s="7">
        <f>COUNTIF(A:A,A1108)</f>
        <v>1</v>
      </c>
      <c r="AF1108" s="7" t="str">
        <f t="shared" si="125"/>
        <v/>
      </c>
    </row>
    <row r="1109" spans="1:32">
      <c r="A1109" t="s">
        <v>3228</v>
      </c>
      <c r="B1109">
        <v>62668823</v>
      </c>
      <c r="C1109" t="s">
        <v>1850</v>
      </c>
      <c r="D1109" t="s">
        <v>907</v>
      </c>
      <c r="F1109" t="s">
        <v>116</v>
      </c>
      <c r="G1109" t="s">
        <v>98</v>
      </c>
      <c r="H1109" t="s">
        <v>103</v>
      </c>
      <c r="I1109" t="s">
        <v>3376</v>
      </c>
      <c r="J1109">
        <v>4096.5</v>
      </c>
      <c r="K1109" t="s">
        <v>57</v>
      </c>
      <c r="L1109" t="s">
        <v>48</v>
      </c>
      <c r="M1109" s="1">
        <v>46122.928472222222</v>
      </c>
      <c r="N1109">
        <v>31</v>
      </c>
      <c r="O1109" t="s">
        <v>36</v>
      </c>
      <c r="P1109" t="s">
        <v>23</v>
      </c>
      <c r="Q1109" t="s">
        <v>3229</v>
      </c>
      <c r="R1109">
        <f t="shared" si="119"/>
        <v>62668823</v>
      </c>
      <c r="S1109" t="str" cm="1">
        <f t="array" ref="S1109">IF(C1109="",IFERROR(INDEX($C$2:$C$1166,MATCH(MAX(COUNTIF($C$2:$C$1166,$C$2:$C$1166)),COUNTIF($C$2:$C$1166,$C$2:$C$1166),0)),"Unknown"),C1109)</f>
        <v>Thomas Moore</v>
      </c>
      <c r="T1109" s="4" t="str" cm="1">
        <f t="array" ref="T1109">IF(D1109="",IFERROR(INDEX($D$2:$D$1000,MATCH(MAX(COUNTIF($D$2:$D$1166,$D$2:$D$1166)),COUNTIF($D$2:$D$1166,$D$2:$D$1166),0)),"Unknown"),D1109)</f>
        <v>Richard Rostova</v>
      </c>
      <c r="U1109" t="str">
        <f t="shared" si="120"/>
        <v>CHF</v>
      </c>
      <c r="V1109" s="7" t="str">
        <f t="shared" si="120"/>
        <v>JPY</v>
      </c>
      <c r="W1109" s="7" t="str">
        <f t="shared" si="121"/>
        <v>Germany</v>
      </c>
      <c r="X1109" s="7" t="str">
        <f t="shared" si="121"/>
        <v>France</v>
      </c>
      <c r="Y1109" s="7" t="str" cm="1">
        <f t="array" ref="Y1109">IF(H1109="",IFERROR(INDEX($H$2:$H$1166,MATCH(MAX(COUNTIF($H$2:$H$1166,$H$2:$H$1166)),COUNTIF($H$2:$H$1166,$H$2:$H$1166),0)),"Unknown"),H1109)</f>
        <v>Verified</v>
      </c>
      <c r="Z1109" s="7" t="str">
        <f t="shared" si="122"/>
        <v>Internal</v>
      </c>
      <c r="AA1109" s="7">
        <f>IF(J1109="",AVERAGE($J:$J),J1109)</f>
        <v>4096.5</v>
      </c>
      <c r="AB1109" s="7">
        <f>IF(N1109="",AVERAGE($N:$N),N1109)</f>
        <v>31</v>
      </c>
      <c r="AC1109" s="7">
        <f t="shared" si="123"/>
        <v>2026</v>
      </c>
      <c r="AD1109" s="7">
        <f t="shared" si="124"/>
        <v>4</v>
      </c>
      <c r="AE1109" s="7">
        <f>COUNTIF(A:A,A1109)</f>
        <v>1</v>
      </c>
      <c r="AF1109" s="7" t="str">
        <f t="shared" si="125"/>
        <v/>
      </c>
    </row>
    <row r="1110" spans="1:32">
      <c r="A1110" t="s">
        <v>3230</v>
      </c>
      <c r="B1110">
        <v>13690499</v>
      </c>
      <c r="C1110" t="s">
        <v>3231</v>
      </c>
      <c r="D1110" t="s">
        <v>1911</v>
      </c>
      <c r="F1110" t="s">
        <v>92</v>
      </c>
      <c r="G1110" t="s">
        <v>98</v>
      </c>
      <c r="H1110" t="s">
        <v>56</v>
      </c>
      <c r="I1110" t="s">
        <v>3372</v>
      </c>
      <c r="J1110">
        <v>5326.83</v>
      </c>
      <c r="K1110" t="s">
        <v>57</v>
      </c>
      <c r="L1110" t="s">
        <v>81</v>
      </c>
      <c r="M1110" s="1">
        <v>44218.820138888892</v>
      </c>
      <c r="N1110">
        <v>48</v>
      </c>
      <c r="O1110" t="s">
        <v>68</v>
      </c>
      <c r="P1110" t="s">
        <v>127</v>
      </c>
      <c r="Q1110" t="s">
        <v>3232</v>
      </c>
      <c r="R1110">
        <f t="shared" si="119"/>
        <v>13690499</v>
      </c>
      <c r="S1110" t="str" cm="1">
        <f t="array" ref="S1110">IF(C1110="",IFERROR(INDEX($C$2:$C$1166,MATCH(MAX(COUNTIF($C$2:$C$1166,$C$2:$C$1166)),COUNTIF($C$2:$C$1166,$C$2:$C$1166),0)),"Unknown"),C1110)</f>
        <v xml:space="preserve">  JEAN-PIERRE SILVA </v>
      </c>
      <c r="T1110" s="4" t="str" cm="1">
        <f t="array" ref="T1110">IF(D1110="",IFERROR(INDEX($D$2:$D$1000,MATCH(MAX(COUNTIF($D$2:$D$1166,$D$2:$D$1166)),COUNTIF($D$2:$D$1166,$D$2:$D$1166),0)),"Unknown"),D1110)</f>
        <v>Elizabeth Thomas</v>
      </c>
      <c r="U1110" t="str">
        <f t="shared" si="120"/>
        <v>AUD</v>
      </c>
      <c r="V1110" s="7" t="str">
        <f t="shared" si="120"/>
        <v>JPY</v>
      </c>
      <c r="W1110" s="7" t="str">
        <f t="shared" si="121"/>
        <v>UAE</v>
      </c>
      <c r="X1110" s="7" t="str">
        <f t="shared" si="121"/>
        <v>Canada</v>
      </c>
      <c r="Y1110" s="7" t="str" cm="1">
        <f t="array" ref="Y1110">IF(H1110="",IFERROR(INDEX($H$2:$H$1166,MATCH(MAX(COUNTIF($H$2:$H$1166,$H$2:$H$1166)),COUNTIF($H$2:$H$1166,$H$2:$H$1166),0)),"Unknown"),H1110)</f>
        <v>Unverified</v>
      </c>
      <c r="Z1110" s="7" t="str">
        <f t="shared" si="122"/>
        <v>Outer-Transaction</v>
      </c>
      <c r="AA1110" s="7">
        <f>IF(J1110="",AVERAGE($J:$J),J1110)</f>
        <v>5326.83</v>
      </c>
      <c r="AB1110" s="7">
        <f>IF(N1110="",AVERAGE($N:$N),N1110)</f>
        <v>48</v>
      </c>
      <c r="AC1110" s="7">
        <f t="shared" si="123"/>
        <v>2021</v>
      </c>
      <c r="AD1110" s="7">
        <f t="shared" si="124"/>
        <v>1</v>
      </c>
      <c r="AE1110" s="7">
        <f>COUNTIF(A:A,A1110)</f>
        <v>1</v>
      </c>
      <c r="AF1110" s="7" t="str">
        <f t="shared" si="125"/>
        <v/>
      </c>
    </row>
    <row r="1111" spans="1:32">
      <c r="A1111" t="s">
        <v>3233</v>
      </c>
      <c r="B1111">
        <v>88968417</v>
      </c>
      <c r="C1111" t="s">
        <v>52</v>
      </c>
      <c r="D1111" t="s">
        <v>943</v>
      </c>
      <c r="F1111" t="s">
        <v>116</v>
      </c>
      <c r="G1111" t="s">
        <v>53</v>
      </c>
      <c r="H1111" t="s">
        <v>74</v>
      </c>
      <c r="I1111" t="s">
        <v>3374</v>
      </c>
      <c r="J1111">
        <v>4364.67</v>
      </c>
      <c r="K1111" t="s">
        <v>57</v>
      </c>
      <c r="L1111" t="s">
        <v>75</v>
      </c>
      <c r="M1111" s="1">
        <v>44044.458333333336</v>
      </c>
      <c r="N1111">
        <v>41</v>
      </c>
      <c r="O1111" t="s">
        <v>24</v>
      </c>
      <c r="P1111" t="s">
        <v>36</v>
      </c>
      <c r="Q1111" t="s">
        <v>3234</v>
      </c>
      <c r="R1111">
        <f t="shared" si="119"/>
        <v>88968417</v>
      </c>
      <c r="S1111" t="str" cm="1">
        <f t="array" ref="S1111">IF(C1111="",IFERROR(INDEX($C$2:$C$1166,MATCH(MAX(COUNTIF($C$2:$C$1166,$C$2:$C$1166)),COUNTIF($C$2:$C$1166,$C$2:$C$1166),0)),"Unknown"),C1111)</f>
        <v>Mary Silva</v>
      </c>
      <c r="T1111" s="4" t="str" cm="1">
        <f t="array" ref="T1111">IF(D1111="",IFERROR(INDEX($D$2:$D$1000,MATCH(MAX(COUNTIF($D$2:$D$1166,$D$2:$D$1166)),COUNTIF($D$2:$D$1166,$D$2:$D$1166),0)),"Unknown"),D1111)</f>
        <v>Mary Nair</v>
      </c>
      <c r="U1111" t="str">
        <f t="shared" si="120"/>
        <v>CHF</v>
      </c>
      <c r="V1111" s="7" t="str">
        <f t="shared" si="120"/>
        <v>AED</v>
      </c>
      <c r="W1111" s="7" t="str">
        <f t="shared" si="121"/>
        <v>Brazil</v>
      </c>
      <c r="X1111" s="7" t="str">
        <f t="shared" si="121"/>
        <v>Germany</v>
      </c>
      <c r="Y1111" s="7" t="str" cm="1">
        <f t="array" ref="Y1111">IF(H1111="",IFERROR(INDEX($H$2:$H$1166,MATCH(MAX(COUNTIF($H$2:$H$1166,$H$2:$H$1166)),COUNTIF($H$2:$H$1166,$H$2:$H$1166),0)),"Unknown"),H1111)</f>
        <v>Non-KYC</v>
      </c>
      <c r="Z1111" s="7" t="str">
        <f t="shared" si="122"/>
        <v>External</v>
      </c>
      <c r="AA1111" s="7">
        <f>IF(J1111="",AVERAGE($J:$J),J1111)</f>
        <v>4364.67</v>
      </c>
      <c r="AB1111" s="7">
        <f>IF(N1111="",AVERAGE($N:$N),N1111)</f>
        <v>41</v>
      </c>
      <c r="AC1111" s="7">
        <f t="shared" si="123"/>
        <v>2020</v>
      </c>
      <c r="AD1111" s="7">
        <f t="shared" si="124"/>
        <v>8</v>
      </c>
      <c r="AE1111" s="7">
        <f>COUNTIF(A:A,A1111)</f>
        <v>1</v>
      </c>
      <c r="AF1111" s="7" t="str">
        <f t="shared" si="125"/>
        <v/>
      </c>
    </row>
    <row r="1112" spans="1:32">
      <c r="A1112" t="s">
        <v>3235</v>
      </c>
      <c r="B1112">
        <v>27466246</v>
      </c>
      <c r="C1112" t="s">
        <v>3103</v>
      </c>
      <c r="D1112" t="s">
        <v>943</v>
      </c>
      <c r="F1112" t="s">
        <v>45</v>
      </c>
      <c r="G1112" t="s">
        <v>80</v>
      </c>
      <c r="H1112" t="s">
        <v>25</v>
      </c>
      <c r="I1112" t="s">
        <v>3377</v>
      </c>
      <c r="J1112">
        <v>908.35</v>
      </c>
      <c r="K1112" t="s">
        <v>47</v>
      </c>
      <c r="L1112" t="s">
        <v>75</v>
      </c>
      <c r="M1112" s="1">
        <v>43889.380555555559</v>
      </c>
      <c r="N1112">
        <v>77</v>
      </c>
      <c r="O1112" t="s">
        <v>23</v>
      </c>
      <c r="P1112" t="s">
        <v>93</v>
      </c>
      <c r="Q1112" t="s">
        <v>3236</v>
      </c>
      <c r="R1112">
        <f t="shared" si="119"/>
        <v>27466246</v>
      </c>
      <c r="S1112" t="str" cm="1">
        <f t="array" ref="S1112">IF(C1112="",IFERROR(INDEX($C$2:$C$1166,MATCH(MAX(COUNTIF($C$2:$C$1166,$C$2:$C$1166)),COUNTIF($C$2:$C$1166,$C$2:$C$1166),0)),"Unknown"),C1112)</f>
        <v>Jessica Wilson</v>
      </c>
      <c r="T1112" s="4" t="str" cm="1">
        <f t="array" ref="T1112">IF(D1112="",IFERROR(INDEX($D$2:$D$1000,MATCH(MAX(COUNTIF($D$2:$D$1166,$D$2:$D$1166)),COUNTIF($D$2:$D$1166,$D$2:$D$1166),0)),"Unknown"),D1112)</f>
        <v>Mary Nair</v>
      </c>
      <c r="U1112" t="str">
        <f t="shared" si="120"/>
        <v>ZAR</v>
      </c>
      <c r="V1112" s="7" t="str">
        <f t="shared" si="120"/>
        <v>USD</v>
      </c>
      <c r="W1112" s="7" t="str">
        <f t="shared" si="121"/>
        <v>France</v>
      </c>
      <c r="X1112" s="7" t="str">
        <f t="shared" si="121"/>
        <v>USA</v>
      </c>
      <c r="Y1112" s="7" t="str" cm="1">
        <f t="array" ref="Y1112">IF(H1112="",IFERROR(INDEX($H$2:$H$1166,MATCH(MAX(COUNTIF($H$2:$H$1166,$H$2:$H$1166)),COUNTIF($H$2:$H$1166,$H$2:$H$1166),0)),"Unknown"),H1112)</f>
        <v>KYC</v>
      </c>
      <c r="Z1112" s="7" t="str">
        <f t="shared" si="122"/>
        <v>Inter-Transaction</v>
      </c>
      <c r="AA1112" s="7">
        <f>IF(J1112="",AVERAGE($J:$J),J1112)</f>
        <v>908.35</v>
      </c>
      <c r="AB1112" s="7">
        <f>IF(N1112="",AVERAGE($N:$N),N1112)</f>
        <v>77</v>
      </c>
      <c r="AC1112" s="7">
        <f t="shared" si="123"/>
        <v>2020</v>
      </c>
      <c r="AD1112" s="7">
        <f t="shared" si="124"/>
        <v>2</v>
      </c>
      <c r="AE1112" s="7">
        <f>COUNTIF(A:A,A1112)</f>
        <v>1</v>
      </c>
      <c r="AF1112" s="7" t="str">
        <f t="shared" si="125"/>
        <v/>
      </c>
    </row>
    <row r="1113" spans="1:32">
      <c r="A1113" t="s">
        <v>3237</v>
      </c>
      <c r="B1113">
        <v>20784367</v>
      </c>
      <c r="C1113" t="s">
        <v>416</v>
      </c>
      <c r="D1113" t="s">
        <v>1864</v>
      </c>
      <c r="F1113" t="s">
        <v>98</v>
      </c>
      <c r="G1113" t="s">
        <v>121</v>
      </c>
      <c r="I1113" t="s">
        <v>3378</v>
      </c>
      <c r="J1113">
        <v>7061.05</v>
      </c>
      <c r="K1113" t="s">
        <v>39</v>
      </c>
      <c r="L1113" t="s">
        <v>28</v>
      </c>
      <c r="M1113" s="1">
        <v>45456.124305555553</v>
      </c>
      <c r="N1113">
        <v>62</v>
      </c>
      <c r="O1113" t="s">
        <v>55</v>
      </c>
      <c r="P1113" t="s">
        <v>127</v>
      </c>
      <c r="Q1113" t="s">
        <v>3238</v>
      </c>
      <c r="R1113">
        <f t="shared" si="119"/>
        <v>20784367</v>
      </c>
      <c r="S1113" t="str" cm="1">
        <f t="array" ref="S1113">IF(C1113="",IFERROR(INDEX($C$2:$C$1166,MATCH(MAX(COUNTIF($C$2:$C$1166,$C$2:$C$1166)),COUNTIF($C$2:$C$1166,$C$2:$C$1166),0)),"Unknown"),C1113)</f>
        <v>Robert Moore</v>
      </c>
      <c r="T1113" s="4" t="str" cm="1">
        <f t="array" ref="T1113">IF(D1113="",IFERROR(INDEX($D$2:$D$1000,MATCH(MAX(COUNTIF($D$2:$D$1166,$D$2:$D$1166)),COUNTIF($D$2:$D$1166,$D$2:$D$1166),0)),"Unknown"),D1113)</f>
        <v>Patricia Velez</v>
      </c>
      <c r="U1113" t="str">
        <f t="shared" si="120"/>
        <v>JPY</v>
      </c>
      <c r="V1113" s="7" t="str">
        <f t="shared" si="120"/>
        <v>INR</v>
      </c>
      <c r="W1113" s="7" t="str">
        <f t="shared" si="121"/>
        <v>UK</v>
      </c>
      <c r="X1113" s="7" t="str">
        <f t="shared" si="121"/>
        <v>Canada</v>
      </c>
      <c r="Y1113" s="7" t="str" cm="1">
        <f t="array" ref="Y1113">IF(H1113="",IFERROR(INDEX($H$2:$H$1166,MATCH(MAX(COUNTIF($H$2:$H$1166,$H$2:$H$1166)),COUNTIF($H$2:$H$1166,$H$2:$H$1166),0)),"Unknown"),H1113)</f>
        <v>Pending</v>
      </c>
      <c r="Z1113" s="7" t="str">
        <f t="shared" si="122"/>
        <v>Inter-Transaction</v>
      </c>
      <c r="AA1113" s="7">
        <f>IF(J1113="",AVERAGE($J:$J),J1113)</f>
        <v>7061.05</v>
      </c>
      <c r="AB1113" s="7">
        <f>IF(N1113="",AVERAGE($N:$N),N1113)</f>
        <v>62</v>
      </c>
      <c r="AC1113" s="7">
        <f t="shared" si="123"/>
        <v>2024</v>
      </c>
      <c r="AD1113" s="7">
        <f t="shared" si="124"/>
        <v>6</v>
      </c>
      <c r="AE1113" s="7">
        <f>COUNTIF(A:A,A1113)</f>
        <v>1</v>
      </c>
      <c r="AF1113" s="7" t="str">
        <f t="shared" si="125"/>
        <v/>
      </c>
    </row>
    <row r="1114" spans="1:32">
      <c r="A1114" t="s">
        <v>3239</v>
      </c>
      <c r="B1114">
        <v>63673036</v>
      </c>
      <c r="C1114" t="s">
        <v>84</v>
      </c>
      <c r="F1114" t="s">
        <v>98</v>
      </c>
      <c r="G1114" t="s">
        <v>21</v>
      </c>
      <c r="H1114" t="s">
        <v>38</v>
      </c>
      <c r="I1114" t="s">
        <v>3376</v>
      </c>
      <c r="J1114">
        <v>5630.16</v>
      </c>
      <c r="K1114" t="s">
        <v>27</v>
      </c>
      <c r="L1114" t="s">
        <v>28</v>
      </c>
      <c r="M1114" s="1">
        <v>44673.767361111109</v>
      </c>
      <c r="N1114">
        <v>20</v>
      </c>
      <c r="O1114" t="s">
        <v>127</v>
      </c>
      <c r="P1114" t="s">
        <v>37</v>
      </c>
      <c r="Q1114" t="s">
        <v>3240</v>
      </c>
      <c r="R1114">
        <f t="shared" si="119"/>
        <v>63673036</v>
      </c>
      <c r="S1114" t="str" cm="1">
        <f t="array" ref="S1114">IF(C1114="",IFERROR(INDEX($C$2:$C$1166,MATCH(MAX(COUNTIF($C$2:$C$1166,$C$2:$C$1166)),COUNTIF($C$2:$C$1166,$C$2:$C$1166),0)),"Unknown"),C1114)</f>
        <v>Marta Nair</v>
      </c>
      <c r="T1114" s="4" t="str" cm="1">
        <f t="array" ref="T1114">IF(D1114="",IFERROR(INDEX($D$2:$D$1000,MATCH(MAX(COUNTIF($D$2:$D$1166,$D$2:$D$1166)),COUNTIF($D$2:$D$1166,$D$2:$D$1166),0)),"Unknown"),D1114)</f>
        <v>Patricia Smith</v>
      </c>
      <c r="U1114" t="str">
        <f t="shared" si="120"/>
        <v>JPY</v>
      </c>
      <c r="V1114" s="7" t="str">
        <f t="shared" si="120"/>
        <v>GBP</v>
      </c>
      <c r="W1114" s="7" t="str">
        <f t="shared" si="121"/>
        <v>Canada</v>
      </c>
      <c r="X1114" s="7" t="str">
        <f t="shared" si="121"/>
        <v>South Africa</v>
      </c>
      <c r="Y1114" s="7" t="str" cm="1">
        <f t="array" ref="Y1114">IF(H1114="",IFERROR(INDEX($H$2:$H$1166,MATCH(MAX(COUNTIF($H$2:$H$1166,$H$2:$H$1166)),COUNTIF($H$2:$H$1166,$H$2:$H$1166),0)),"Unknown"),H1114)</f>
        <v>Pending</v>
      </c>
      <c r="Z1114" s="7" t="str">
        <f t="shared" si="122"/>
        <v>Internal</v>
      </c>
      <c r="AA1114" s="7">
        <f>IF(J1114="",AVERAGE($J:$J),J1114)</f>
        <v>5630.16</v>
      </c>
      <c r="AB1114" s="7">
        <f>IF(N1114="",AVERAGE($N:$N),N1114)</f>
        <v>20</v>
      </c>
      <c r="AC1114" s="7">
        <f t="shared" si="123"/>
        <v>2022</v>
      </c>
      <c r="AD1114" s="7">
        <f t="shared" si="124"/>
        <v>4</v>
      </c>
      <c r="AE1114" s="7">
        <f>COUNTIF(A:A,A1114)</f>
        <v>1</v>
      </c>
      <c r="AF1114" s="7" t="str">
        <f t="shared" si="125"/>
        <v/>
      </c>
    </row>
    <row r="1115" spans="1:32">
      <c r="A1115" t="s">
        <v>3241</v>
      </c>
      <c r="B1115">
        <v>48355754</v>
      </c>
      <c r="C1115" t="s">
        <v>3242</v>
      </c>
      <c r="D1115" t="s">
        <v>3243</v>
      </c>
      <c r="F1115" t="s">
        <v>45</v>
      </c>
      <c r="G1115" t="s">
        <v>121</v>
      </c>
      <c r="H1115" t="s">
        <v>25</v>
      </c>
      <c r="I1115" t="s">
        <v>3371</v>
      </c>
      <c r="J1115">
        <v>13136.3</v>
      </c>
      <c r="K1115" t="s">
        <v>27</v>
      </c>
      <c r="L1115" t="s">
        <v>81</v>
      </c>
      <c r="M1115" s="1">
        <v>45358.361805555556</v>
      </c>
      <c r="N1115">
        <v>54</v>
      </c>
      <c r="O1115" t="s">
        <v>93</v>
      </c>
      <c r="P1115" t="s">
        <v>37</v>
      </c>
      <c r="Q1115" t="s">
        <v>3244</v>
      </c>
      <c r="R1115">
        <f t="shared" si="119"/>
        <v>48355754</v>
      </c>
      <c r="S1115" t="str" cm="1">
        <f t="array" ref="S1115">IF(C1115="",IFERROR(INDEX($C$2:$C$1166,MATCH(MAX(COUNTIF($C$2:$C$1166,$C$2:$C$1166)),COUNTIF($C$2:$C$1166,$C$2:$C$1166),0)),"Unknown"),C1115)</f>
        <v xml:space="preserve">  ZAYN SMITH </v>
      </c>
      <c r="T1115" s="4" t="str" cm="1">
        <f t="array" ref="T1115">IF(D1115="",IFERROR(INDEX($D$2:$D$1000,MATCH(MAX(COUNTIF($D$2:$D$1166,$D$2:$D$1166)),COUNTIF($D$2:$D$1166,$D$2:$D$1166),0)),"Unknown"),D1115)</f>
        <v xml:space="preserve"> richard rodriguez   </v>
      </c>
      <c r="U1115" t="str">
        <f t="shared" si="120"/>
        <v>ZAR</v>
      </c>
      <c r="V1115" s="7" t="str">
        <f t="shared" si="120"/>
        <v>INR</v>
      </c>
      <c r="W1115" s="7" t="str">
        <f t="shared" si="121"/>
        <v>USA</v>
      </c>
      <c r="X1115" s="7" t="str">
        <f t="shared" si="121"/>
        <v>South Africa</v>
      </c>
      <c r="Y1115" s="7" t="str" cm="1">
        <f t="array" ref="Y1115">IF(H1115="",IFERROR(INDEX($H$2:$H$1166,MATCH(MAX(COUNTIF($H$2:$H$1166,$H$2:$H$1166)),COUNTIF($H$2:$H$1166,$H$2:$H$1166),0)),"Unknown"),H1115)</f>
        <v>KYC</v>
      </c>
      <c r="Z1115" s="7" t="str">
        <f t="shared" si="122"/>
        <v>Outer-Transaction</v>
      </c>
      <c r="AA1115" s="7">
        <f>IF(J1115="",AVERAGE($J:$J),J1115)</f>
        <v>13136.3</v>
      </c>
      <c r="AB1115" s="7">
        <f>IF(N1115="",AVERAGE($N:$N),N1115)</f>
        <v>54</v>
      </c>
      <c r="AC1115" s="7">
        <f t="shared" si="123"/>
        <v>2024</v>
      </c>
      <c r="AD1115" s="7">
        <f t="shared" si="124"/>
        <v>3</v>
      </c>
      <c r="AE1115" s="7">
        <f>COUNTIF(A:A,A1115)</f>
        <v>1</v>
      </c>
      <c r="AF1115" s="7" t="str">
        <f t="shared" si="125"/>
        <v/>
      </c>
    </row>
    <row r="1116" spans="1:32">
      <c r="A1116" t="s">
        <v>3245</v>
      </c>
      <c r="B1116">
        <v>77154863</v>
      </c>
      <c r="C1116" t="s">
        <v>570</v>
      </c>
      <c r="D1116" t="s">
        <v>1070</v>
      </c>
      <c r="F1116" t="s">
        <v>176</v>
      </c>
      <c r="G1116" t="s">
        <v>21</v>
      </c>
      <c r="I1116" t="s">
        <v>3374</v>
      </c>
      <c r="J1116">
        <v>2505.59</v>
      </c>
      <c r="K1116" t="s">
        <v>47</v>
      </c>
      <c r="L1116" t="s">
        <v>81</v>
      </c>
      <c r="M1116" s="1">
        <v>45560.760416666664</v>
      </c>
      <c r="N1116">
        <v>60</v>
      </c>
      <c r="O1116" t="s">
        <v>54</v>
      </c>
      <c r="P1116" t="s">
        <v>24</v>
      </c>
      <c r="Q1116" t="s">
        <v>3246</v>
      </c>
      <c r="R1116">
        <f t="shared" si="119"/>
        <v>77154863</v>
      </c>
      <c r="S1116" t="str" cm="1">
        <f t="array" ref="S1116">IF(C1116="",IFERROR(INDEX($C$2:$C$1166,MATCH(MAX(COUNTIF($C$2:$C$1166,$C$2:$C$1166)),COUNTIF($C$2:$C$1166,$C$2:$C$1166),0)),"Unknown"),C1116)</f>
        <v>Richard Garcia</v>
      </c>
      <c r="T1116" s="4" t="str" cm="1">
        <f t="array" ref="T1116">IF(D1116="",IFERROR(INDEX($D$2:$D$1000,MATCH(MAX(COUNTIF($D$2:$D$1166,$D$2:$D$1166)),COUNTIF($D$2:$D$1166,$D$2:$D$1166),0)),"Unknown"),D1116)</f>
        <v>David Anderson</v>
      </c>
      <c r="U1116" t="str">
        <f t="shared" si="120"/>
        <v>aed</v>
      </c>
      <c r="V1116" s="7" t="str">
        <f t="shared" si="120"/>
        <v>GBP</v>
      </c>
      <c r="W1116" s="7" t="str">
        <f t="shared" si="121"/>
        <v>India</v>
      </c>
      <c r="X1116" s="7" t="str">
        <f t="shared" si="121"/>
        <v>Brazil</v>
      </c>
      <c r="Y1116" s="7" t="str" cm="1">
        <f t="array" ref="Y1116">IF(H1116="",IFERROR(INDEX($H$2:$H$1166,MATCH(MAX(COUNTIF($H$2:$H$1166,$H$2:$H$1166)),COUNTIF($H$2:$H$1166,$H$2:$H$1166),0)),"Unknown"),H1116)</f>
        <v>Pending</v>
      </c>
      <c r="Z1116" s="7" t="str">
        <f t="shared" si="122"/>
        <v>External</v>
      </c>
      <c r="AA1116" s="7">
        <f>IF(J1116="",AVERAGE($J:$J),J1116)</f>
        <v>2505.59</v>
      </c>
      <c r="AB1116" s="7">
        <f>IF(N1116="",AVERAGE($N:$N),N1116)</f>
        <v>60</v>
      </c>
      <c r="AC1116" s="7">
        <f t="shared" si="123"/>
        <v>2024</v>
      </c>
      <c r="AD1116" s="7">
        <f t="shared" si="124"/>
        <v>9</v>
      </c>
      <c r="AE1116" s="7">
        <f>COUNTIF(A:A,A1116)</f>
        <v>1</v>
      </c>
      <c r="AF1116" s="7" t="str">
        <f t="shared" si="125"/>
        <v/>
      </c>
    </row>
    <row r="1117" spans="1:32">
      <c r="A1117" t="s">
        <v>3247</v>
      </c>
      <c r="B1117">
        <v>76692866</v>
      </c>
      <c r="C1117" t="s">
        <v>1342</v>
      </c>
      <c r="D1117" t="s">
        <v>529</v>
      </c>
      <c r="F1117" t="s">
        <v>126</v>
      </c>
      <c r="G1117" t="s">
        <v>393</v>
      </c>
      <c r="H1117" t="s">
        <v>103</v>
      </c>
      <c r="I1117" t="s">
        <v>3372</v>
      </c>
      <c r="J1117">
        <v>11588.97</v>
      </c>
      <c r="K1117" t="s">
        <v>27</v>
      </c>
      <c r="L1117" t="s">
        <v>28</v>
      </c>
      <c r="M1117" s="1">
        <v>43953.992361111108</v>
      </c>
      <c r="N1117">
        <v>57</v>
      </c>
      <c r="O1117" t="s">
        <v>54</v>
      </c>
      <c r="P1117" t="s">
        <v>55</v>
      </c>
      <c r="Q1117" t="s">
        <v>3248</v>
      </c>
      <c r="R1117">
        <f t="shared" si="119"/>
        <v>76692866</v>
      </c>
      <c r="S1117" t="str" cm="1">
        <f t="array" ref="S1117">IF(C1117="",IFERROR(INDEX($C$2:$C$1166,MATCH(MAX(COUNTIF($C$2:$C$1166,$C$2:$C$1166)),COUNTIF($C$2:$C$1166,$C$2:$C$1166),0)),"Unknown"),C1117)</f>
        <v>Sarah Martinez</v>
      </c>
      <c r="T1117" s="4" t="str" cm="1">
        <f t="array" ref="T1117">IF(D1117="",IFERROR(INDEX($D$2:$D$1000,MATCH(MAX(COUNTIF($D$2:$D$1166,$D$2:$D$1166)),COUNTIF($D$2:$D$1166,$D$2:$D$1166),0)),"Unknown"),D1117)</f>
        <v>Patricia Miller</v>
      </c>
      <c r="U1117" t="str">
        <f t="shared" si="120"/>
        <v>inr</v>
      </c>
      <c r="V1117" s="7" t="str">
        <f t="shared" si="120"/>
        <v>cad</v>
      </c>
      <c r="W1117" s="7" t="str">
        <f t="shared" si="121"/>
        <v>India</v>
      </c>
      <c r="X1117" s="7" t="str">
        <f t="shared" si="121"/>
        <v>UK</v>
      </c>
      <c r="Y1117" s="7" t="str" cm="1">
        <f t="array" ref="Y1117">IF(H1117="",IFERROR(INDEX($H$2:$H$1166,MATCH(MAX(COUNTIF($H$2:$H$1166,$H$2:$H$1166)),COUNTIF($H$2:$H$1166,$H$2:$H$1166),0)),"Unknown"),H1117)</f>
        <v>Verified</v>
      </c>
      <c r="Z1117" s="7" t="str">
        <f t="shared" si="122"/>
        <v>Outer-Transaction</v>
      </c>
      <c r="AA1117" s="7">
        <f>IF(J1117="",AVERAGE($J:$J),J1117)</f>
        <v>11588.97</v>
      </c>
      <c r="AB1117" s="7">
        <f>IF(N1117="",AVERAGE($N:$N),N1117)</f>
        <v>57</v>
      </c>
      <c r="AC1117" s="7">
        <f t="shared" si="123"/>
        <v>2020</v>
      </c>
      <c r="AD1117" s="7">
        <f t="shared" si="124"/>
        <v>5</v>
      </c>
      <c r="AE1117" s="7">
        <f>COUNTIF(A:A,A1117)</f>
        <v>1</v>
      </c>
      <c r="AF1117" s="7" t="str">
        <f t="shared" si="125"/>
        <v/>
      </c>
    </row>
    <row r="1118" spans="1:32">
      <c r="A1118" t="s">
        <v>3249</v>
      </c>
      <c r="B1118">
        <v>54005745</v>
      </c>
      <c r="C1118" t="s">
        <v>1728</v>
      </c>
      <c r="D1118" t="s">
        <v>449</v>
      </c>
      <c r="F1118" t="s">
        <v>116</v>
      </c>
      <c r="G1118" t="s">
        <v>98</v>
      </c>
      <c r="H1118" t="s">
        <v>38</v>
      </c>
      <c r="I1118" t="s">
        <v>3372</v>
      </c>
      <c r="J1118">
        <v>4961.08</v>
      </c>
      <c r="K1118" t="s">
        <v>27</v>
      </c>
      <c r="L1118" t="s">
        <v>28</v>
      </c>
      <c r="M1118" s="1">
        <v>45267.543055555558</v>
      </c>
      <c r="N1118">
        <v>72</v>
      </c>
      <c r="O1118" t="s">
        <v>93</v>
      </c>
      <c r="P1118" t="s">
        <v>37</v>
      </c>
      <c r="Q1118" t="s">
        <v>3250</v>
      </c>
      <c r="R1118">
        <f t="shared" si="119"/>
        <v>54005745</v>
      </c>
      <c r="S1118" t="str" cm="1">
        <f t="array" ref="S1118">IF(C1118="",IFERROR(INDEX($C$2:$C$1166,MATCH(MAX(COUNTIF($C$2:$C$1166,$C$2:$C$1166)),COUNTIF($C$2:$C$1166,$C$2:$C$1166),0)),"Unknown"),C1118)</f>
        <v>Richard Volkov</v>
      </c>
      <c r="T1118" s="4" t="str" cm="1">
        <f t="array" ref="T1118">IF(D1118="",IFERROR(INDEX($D$2:$D$1000,MATCH(MAX(COUNTIF($D$2:$D$1166,$D$2:$D$1166)),COUNTIF($D$2:$D$1166,$D$2:$D$1166),0)),"Unknown"),D1118)</f>
        <v>Nancy Silva</v>
      </c>
      <c r="U1118" t="str">
        <f t="shared" si="120"/>
        <v>CHF</v>
      </c>
      <c r="V1118" s="7" t="str">
        <f t="shared" si="120"/>
        <v>JPY</v>
      </c>
      <c r="W1118" s="7" t="str">
        <f t="shared" si="121"/>
        <v>USA</v>
      </c>
      <c r="X1118" s="7" t="str">
        <f t="shared" si="121"/>
        <v>South Africa</v>
      </c>
      <c r="Y1118" s="7" t="str" cm="1">
        <f t="array" ref="Y1118">IF(H1118="",IFERROR(INDEX($H$2:$H$1166,MATCH(MAX(COUNTIF($H$2:$H$1166,$H$2:$H$1166)),COUNTIF($H$2:$H$1166,$H$2:$H$1166),0)),"Unknown"),H1118)</f>
        <v>Pending</v>
      </c>
      <c r="Z1118" s="7" t="str">
        <f t="shared" si="122"/>
        <v>Outer-Transaction</v>
      </c>
      <c r="AA1118" s="7">
        <f>IF(J1118="",AVERAGE($J:$J),J1118)</f>
        <v>4961.08</v>
      </c>
      <c r="AB1118" s="7">
        <f>IF(N1118="",AVERAGE($N:$N),N1118)</f>
        <v>72</v>
      </c>
      <c r="AC1118" s="7">
        <f t="shared" si="123"/>
        <v>2023</v>
      </c>
      <c r="AD1118" s="7">
        <f t="shared" si="124"/>
        <v>12</v>
      </c>
      <c r="AE1118" s="7">
        <f>COUNTIF(A:A,A1118)</f>
        <v>1</v>
      </c>
      <c r="AF1118" s="7" t="str">
        <f t="shared" si="125"/>
        <v/>
      </c>
    </row>
    <row r="1119" spans="1:32">
      <c r="A1119" t="s">
        <v>3251</v>
      </c>
      <c r="B1119">
        <v>81470064</v>
      </c>
      <c r="C1119" t="s">
        <v>563</v>
      </c>
      <c r="D1119" t="s">
        <v>416</v>
      </c>
      <c r="F1119" t="s">
        <v>112</v>
      </c>
      <c r="G1119" t="s">
        <v>22</v>
      </c>
      <c r="H1119" t="s">
        <v>74</v>
      </c>
      <c r="I1119" t="s">
        <v>3378</v>
      </c>
      <c r="J1119">
        <v>1915.76</v>
      </c>
      <c r="K1119" t="s">
        <v>27</v>
      </c>
      <c r="L1119" t="s">
        <v>48</v>
      </c>
      <c r="M1119" s="1">
        <v>44993.063888888886</v>
      </c>
      <c r="N1119">
        <v>56</v>
      </c>
      <c r="O1119" t="s">
        <v>127</v>
      </c>
      <c r="P1119" t="s">
        <v>37</v>
      </c>
      <c r="Q1119" t="s">
        <v>3252</v>
      </c>
      <c r="R1119">
        <f t="shared" si="119"/>
        <v>81470064</v>
      </c>
      <c r="S1119" t="str" cm="1">
        <f t="array" ref="S1119">IF(C1119="",IFERROR(INDEX($C$2:$C$1166,MATCH(MAX(COUNTIF($C$2:$C$1166,$C$2:$C$1166)),COUNTIF($C$2:$C$1166,$C$2:$C$1166),0)),"Unknown"),C1119)</f>
        <v>Jean-Pierre Jackson</v>
      </c>
      <c r="T1119" s="4" t="str" cm="1">
        <f t="array" ref="T1119">IF(D1119="",IFERROR(INDEX($D$2:$D$1000,MATCH(MAX(COUNTIF($D$2:$D$1166,$D$2:$D$1166)),COUNTIF($D$2:$D$1166,$D$2:$D$1166),0)),"Unknown"),D1119)</f>
        <v>Robert Moore</v>
      </c>
      <c r="U1119" t="str">
        <f t="shared" si="120"/>
        <v>usd</v>
      </c>
      <c r="V1119" s="7" t="str">
        <f t="shared" si="120"/>
        <v>BRL</v>
      </c>
      <c r="W1119" s="7" t="str">
        <f t="shared" si="121"/>
        <v>Canada</v>
      </c>
      <c r="X1119" s="7" t="str">
        <f t="shared" si="121"/>
        <v>South Africa</v>
      </c>
      <c r="Y1119" s="7" t="str" cm="1">
        <f t="array" ref="Y1119">IF(H1119="",IFERROR(INDEX($H$2:$H$1166,MATCH(MAX(COUNTIF($H$2:$H$1166,$H$2:$H$1166)),COUNTIF($H$2:$H$1166,$H$2:$H$1166),0)),"Unknown"),H1119)</f>
        <v>Non-KYC</v>
      </c>
      <c r="Z1119" s="7" t="str">
        <f t="shared" si="122"/>
        <v>Inter-Transaction</v>
      </c>
      <c r="AA1119" s="7">
        <f>IF(J1119="",AVERAGE($J:$J),J1119)</f>
        <v>1915.76</v>
      </c>
      <c r="AB1119" s="7">
        <f>IF(N1119="",AVERAGE($N:$N),N1119)</f>
        <v>56</v>
      </c>
      <c r="AC1119" s="7">
        <f t="shared" si="123"/>
        <v>2023</v>
      </c>
      <c r="AD1119" s="7">
        <f t="shared" si="124"/>
        <v>3</v>
      </c>
      <c r="AE1119" s="7">
        <f>COUNTIF(A:A,A1119)</f>
        <v>1</v>
      </c>
      <c r="AF1119" s="7" t="str">
        <f t="shared" si="125"/>
        <v/>
      </c>
    </row>
    <row r="1120" spans="1:32">
      <c r="A1120" t="s">
        <v>3253</v>
      </c>
      <c r="B1120">
        <v>16982290</v>
      </c>
      <c r="C1120" t="s">
        <v>634</v>
      </c>
      <c r="D1120" t="s">
        <v>1353</v>
      </c>
      <c r="F1120" t="s">
        <v>35</v>
      </c>
      <c r="G1120" t="s">
        <v>98</v>
      </c>
      <c r="I1120" t="s">
        <v>3372</v>
      </c>
      <c r="J1120">
        <v>1330.93</v>
      </c>
      <c r="K1120" t="s">
        <v>47</v>
      </c>
      <c r="L1120" t="s">
        <v>28</v>
      </c>
      <c r="M1120" s="1">
        <v>46317.724305555559</v>
      </c>
      <c r="N1120">
        <v>32</v>
      </c>
      <c r="O1120" t="s">
        <v>36</v>
      </c>
      <c r="P1120" t="s">
        <v>23</v>
      </c>
      <c r="Q1120" t="s">
        <v>3254</v>
      </c>
      <c r="R1120">
        <f t="shared" si="119"/>
        <v>16982290</v>
      </c>
      <c r="S1120" t="str" cm="1">
        <f t="array" ref="S1120">IF(C1120="",IFERROR(INDEX($C$2:$C$1166,MATCH(MAX(COUNTIF($C$2:$C$1166,$C$2:$C$1166)),COUNTIF($C$2:$C$1166,$C$2:$C$1166),0)),"Unknown"),C1120)</f>
        <v>Amir Jackson</v>
      </c>
      <c r="T1120" s="4" t="str" cm="1">
        <f t="array" ref="T1120">IF(D1120="",IFERROR(INDEX($D$2:$D$1000,MATCH(MAX(COUNTIF($D$2:$D$1166,$D$2:$D$1166)),COUNTIF($D$2:$D$1166,$D$2:$D$1166),0)),"Unknown"),D1120)</f>
        <v>Fatima Souza</v>
      </c>
      <c r="U1120" t="str">
        <f t="shared" si="120"/>
        <v>EUR</v>
      </c>
      <c r="V1120" s="7" t="str">
        <f t="shared" si="120"/>
        <v>JPY</v>
      </c>
      <c r="W1120" s="7" t="str">
        <f t="shared" si="121"/>
        <v>Germany</v>
      </c>
      <c r="X1120" s="7" t="str">
        <f t="shared" si="121"/>
        <v>France</v>
      </c>
      <c r="Y1120" s="7" t="str" cm="1">
        <f t="array" ref="Y1120">IF(H1120="",IFERROR(INDEX($H$2:$H$1166,MATCH(MAX(COUNTIF($H$2:$H$1166,$H$2:$H$1166)),COUNTIF($H$2:$H$1166,$H$2:$H$1166),0)),"Unknown"),H1120)</f>
        <v>Pending</v>
      </c>
      <c r="Z1120" s="7" t="str">
        <f t="shared" si="122"/>
        <v>Outer-Transaction</v>
      </c>
      <c r="AA1120" s="7">
        <f>IF(J1120="",AVERAGE($J:$J),J1120)</f>
        <v>1330.93</v>
      </c>
      <c r="AB1120" s="7">
        <f>IF(N1120="",AVERAGE($N:$N),N1120)</f>
        <v>32</v>
      </c>
      <c r="AC1120" s="7">
        <f t="shared" si="123"/>
        <v>2026</v>
      </c>
      <c r="AD1120" s="7">
        <f t="shared" si="124"/>
        <v>10</v>
      </c>
      <c r="AE1120" s="7">
        <f>COUNTIF(A:A,A1120)</f>
        <v>1</v>
      </c>
      <c r="AF1120" s="7" t="str">
        <f t="shared" si="125"/>
        <v/>
      </c>
    </row>
    <row r="1121" spans="1:32">
      <c r="A1121" t="s">
        <v>3255</v>
      </c>
      <c r="B1121">
        <v>51246696</v>
      </c>
      <c r="C1121" t="s">
        <v>1022</v>
      </c>
      <c r="D1121" t="s">
        <v>3256</v>
      </c>
      <c r="F1121" t="s">
        <v>45</v>
      </c>
      <c r="G1121" t="s">
        <v>22</v>
      </c>
      <c r="H1121" t="s">
        <v>38</v>
      </c>
      <c r="I1121" t="s">
        <v>3378</v>
      </c>
      <c r="J1121">
        <v>9958.02</v>
      </c>
      <c r="K1121" t="s">
        <v>57</v>
      </c>
      <c r="L1121" t="s">
        <v>75</v>
      </c>
      <c r="M1121" s="1">
        <v>44392.341666666667</v>
      </c>
      <c r="N1121">
        <v>21</v>
      </c>
      <c r="O1121" t="s">
        <v>127</v>
      </c>
      <c r="P1121" t="s">
        <v>24</v>
      </c>
      <c r="Q1121" t="s">
        <v>3257</v>
      </c>
      <c r="R1121">
        <f t="shared" si="119"/>
        <v>51246696</v>
      </c>
      <c r="S1121" t="str" cm="1">
        <f t="array" ref="S1121">IF(C1121="",IFERROR(INDEX($C$2:$C$1166,MATCH(MAX(COUNTIF($C$2:$C$1166,$C$2:$C$1166)),COUNTIF($C$2:$C$1166,$C$2:$C$1166),0)),"Unknown"),C1121)</f>
        <v>Barbara Smith</v>
      </c>
      <c r="T1121" s="4" t="str" cm="1">
        <f t="array" ref="T1121">IF(D1121="",IFERROR(INDEX($D$2:$D$1000,MATCH(MAX(COUNTIF($D$2:$D$1166,$D$2:$D$1166)),COUNTIF($D$2:$D$1166,$D$2:$D$1166),0)),"Unknown"),D1121)</f>
        <v>Thomas Anderson</v>
      </c>
      <c r="U1121" t="str">
        <f t="shared" si="120"/>
        <v>ZAR</v>
      </c>
      <c r="V1121" s="7" t="str">
        <f t="shared" si="120"/>
        <v>BRL</v>
      </c>
      <c r="W1121" s="7" t="str">
        <f t="shared" si="121"/>
        <v>Canada</v>
      </c>
      <c r="X1121" s="7" t="str">
        <f t="shared" si="121"/>
        <v>Brazil</v>
      </c>
      <c r="Y1121" s="7" t="str" cm="1">
        <f t="array" ref="Y1121">IF(H1121="",IFERROR(INDEX($H$2:$H$1166,MATCH(MAX(COUNTIF($H$2:$H$1166,$H$2:$H$1166)),COUNTIF($H$2:$H$1166,$H$2:$H$1166),0)),"Unknown"),H1121)</f>
        <v>Pending</v>
      </c>
      <c r="Z1121" s="7" t="str">
        <f t="shared" si="122"/>
        <v>Inter-Transaction</v>
      </c>
      <c r="AA1121" s="7">
        <f>IF(J1121="",AVERAGE($J:$J),J1121)</f>
        <v>9958.02</v>
      </c>
      <c r="AB1121" s="7">
        <f>IF(N1121="",AVERAGE($N:$N),N1121)</f>
        <v>21</v>
      </c>
      <c r="AC1121" s="7">
        <f t="shared" si="123"/>
        <v>2021</v>
      </c>
      <c r="AD1121" s="7">
        <f t="shared" si="124"/>
        <v>7</v>
      </c>
      <c r="AE1121" s="7">
        <f>COUNTIF(A:A,A1121)</f>
        <v>1</v>
      </c>
      <c r="AF1121" s="7" t="str">
        <f t="shared" si="125"/>
        <v/>
      </c>
    </row>
    <row r="1122" spans="1:32">
      <c r="A1122" t="s">
        <v>3258</v>
      </c>
      <c r="B1122">
        <v>84942046</v>
      </c>
      <c r="C1122" t="s">
        <v>3259</v>
      </c>
      <c r="D1122" t="s">
        <v>764</v>
      </c>
      <c r="F1122" t="s">
        <v>92</v>
      </c>
      <c r="G1122" t="s">
        <v>116</v>
      </c>
      <c r="H1122" t="s">
        <v>25</v>
      </c>
      <c r="I1122" t="s">
        <v>3376</v>
      </c>
      <c r="J1122">
        <v>13761.24</v>
      </c>
      <c r="K1122" t="s">
        <v>86</v>
      </c>
      <c r="L1122" t="s">
        <v>28</v>
      </c>
      <c r="M1122" s="1">
        <v>45996.04583333333</v>
      </c>
      <c r="N1122">
        <v>42</v>
      </c>
      <c r="O1122" t="s">
        <v>23</v>
      </c>
      <c r="P1122" t="s">
        <v>127</v>
      </c>
      <c r="Q1122" t="s">
        <v>3260</v>
      </c>
      <c r="R1122">
        <f t="shared" si="119"/>
        <v>84942046</v>
      </c>
      <c r="S1122" t="str" cm="1">
        <f t="array" ref="S1122">IF(C1122="",IFERROR(INDEX($C$2:$C$1166,MATCH(MAX(COUNTIF($C$2:$C$1166,$C$2:$C$1166)),COUNTIF($C$2:$C$1166,$C$2:$C$1166),0)),"Unknown"),C1122)</f>
        <v xml:space="preserve">  FATIMA GARCIA </v>
      </c>
      <c r="T1122" s="4" t="str" cm="1">
        <f t="array" ref="T1122">IF(D1122="",IFERROR(INDEX($D$2:$D$1000,MATCH(MAX(COUNTIF($D$2:$D$1166,$D$2:$D$1166)),COUNTIF($D$2:$D$1166,$D$2:$D$1166),0)),"Unknown"),D1122)</f>
        <v>Nancy Jackson</v>
      </c>
      <c r="U1122" t="str">
        <f t="shared" si="120"/>
        <v>AUD</v>
      </c>
      <c r="V1122" s="7" t="str">
        <f t="shared" si="120"/>
        <v>CHF</v>
      </c>
      <c r="W1122" s="7" t="str">
        <f t="shared" si="121"/>
        <v>France</v>
      </c>
      <c r="X1122" s="7" t="str">
        <f t="shared" si="121"/>
        <v>Canada</v>
      </c>
      <c r="Y1122" s="7" t="str" cm="1">
        <f t="array" ref="Y1122">IF(H1122="",IFERROR(INDEX($H$2:$H$1166,MATCH(MAX(COUNTIF($H$2:$H$1166,$H$2:$H$1166)),COUNTIF($H$2:$H$1166,$H$2:$H$1166),0)),"Unknown"),H1122)</f>
        <v>KYC</v>
      </c>
      <c r="Z1122" s="7" t="str">
        <f t="shared" si="122"/>
        <v>Internal</v>
      </c>
      <c r="AA1122" s="7">
        <f>IF(J1122="",AVERAGE($J:$J),J1122)</f>
        <v>13761.24</v>
      </c>
      <c r="AB1122" s="7">
        <f>IF(N1122="",AVERAGE($N:$N),N1122)</f>
        <v>42</v>
      </c>
      <c r="AC1122" s="7">
        <f t="shared" si="123"/>
        <v>2025</v>
      </c>
      <c r="AD1122" s="7">
        <f t="shared" si="124"/>
        <v>12</v>
      </c>
      <c r="AE1122" s="7">
        <f>COUNTIF(A:A,A1122)</f>
        <v>1</v>
      </c>
      <c r="AF1122" s="7" t="str">
        <f t="shared" si="125"/>
        <v/>
      </c>
    </row>
    <row r="1123" spans="1:32">
      <c r="A1123" t="s">
        <v>3261</v>
      </c>
      <c r="B1123">
        <v>80657083</v>
      </c>
      <c r="C1123" t="s">
        <v>188</v>
      </c>
      <c r="D1123" t="s">
        <v>3262</v>
      </c>
      <c r="F1123" t="s">
        <v>22</v>
      </c>
      <c r="G1123" t="s">
        <v>35</v>
      </c>
      <c r="H1123" t="s">
        <v>25</v>
      </c>
      <c r="I1123" t="s">
        <v>3374</v>
      </c>
      <c r="J1123">
        <v>12160.18</v>
      </c>
      <c r="K1123" t="s">
        <v>57</v>
      </c>
      <c r="L1123" t="s">
        <v>81</v>
      </c>
      <c r="M1123" s="1">
        <v>45568.638888888891</v>
      </c>
      <c r="N1123">
        <v>30</v>
      </c>
      <c r="O1123" t="s">
        <v>127</v>
      </c>
      <c r="P1123" t="s">
        <v>55</v>
      </c>
      <c r="Q1123" t="s">
        <v>3263</v>
      </c>
      <c r="R1123">
        <f t="shared" si="119"/>
        <v>80657083</v>
      </c>
      <c r="S1123" t="str" cm="1">
        <f t="array" ref="S1123">IF(C1123="",IFERROR(INDEX($C$2:$C$1166,MATCH(MAX(COUNTIF($C$2:$C$1166,$C$2:$C$1166)),COUNTIF($C$2:$C$1166,$C$2:$C$1166),0)),"Unknown"),C1123)</f>
        <v>Sanjay Jones</v>
      </c>
      <c r="T1123" s="4" t="str" cm="1">
        <f t="array" ref="T1123">IF(D1123="",IFERROR(INDEX($D$2:$D$1000,MATCH(MAX(COUNTIF($D$2:$D$1166,$D$2:$D$1166)),COUNTIF($D$2:$D$1166,$D$2:$D$1166),0)),"Unknown"),D1123)</f>
        <v>Linda Velez</v>
      </c>
      <c r="U1123" t="str">
        <f t="shared" si="120"/>
        <v>BRL</v>
      </c>
      <c r="V1123" s="7" t="str">
        <f t="shared" si="120"/>
        <v>EUR</v>
      </c>
      <c r="W1123" s="7" t="str">
        <f t="shared" si="121"/>
        <v>Canada</v>
      </c>
      <c r="X1123" s="7" t="str">
        <f t="shared" si="121"/>
        <v>UK</v>
      </c>
      <c r="Y1123" s="7" t="str" cm="1">
        <f t="array" ref="Y1123">IF(H1123="",IFERROR(INDEX($H$2:$H$1166,MATCH(MAX(COUNTIF($H$2:$H$1166,$H$2:$H$1166)),COUNTIF($H$2:$H$1166,$H$2:$H$1166),0)),"Unknown"),H1123)</f>
        <v>KYC</v>
      </c>
      <c r="Z1123" s="7" t="str">
        <f t="shared" si="122"/>
        <v>External</v>
      </c>
      <c r="AA1123" s="7">
        <f>IF(J1123="",AVERAGE($J:$J),J1123)</f>
        <v>12160.18</v>
      </c>
      <c r="AB1123" s="7">
        <f>IF(N1123="",AVERAGE($N:$N),N1123)</f>
        <v>30</v>
      </c>
      <c r="AC1123" s="7">
        <f t="shared" si="123"/>
        <v>2024</v>
      </c>
      <c r="AD1123" s="7">
        <f t="shared" si="124"/>
        <v>10</v>
      </c>
      <c r="AE1123" s="7">
        <f>COUNTIF(A:A,A1123)</f>
        <v>1</v>
      </c>
      <c r="AF1123" s="7" t="str">
        <f t="shared" si="125"/>
        <v/>
      </c>
    </row>
    <row r="1124" spans="1:32">
      <c r="A1124" t="s">
        <v>3264</v>
      </c>
      <c r="B1124">
        <v>46371670</v>
      </c>
      <c r="C1124" t="s">
        <v>456</v>
      </c>
      <c r="D1124" t="s">
        <v>904</v>
      </c>
      <c r="F1124" t="s">
        <v>392</v>
      </c>
      <c r="G1124" t="s">
        <v>80</v>
      </c>
      <c r="I1124" t="s">
        <v>3378</v>
      </c>
      <c r="J1124">
        <v>7389.23</v>
      </c>
      <c r="K1124" t="s">
        <v>47</v>
      </c>
      <c r="L1124" t="s">
        <v>81</v>
      </c>
      <c r="M1124" s="1">
        <v>44735.76666666667</v>
      </c>
      <c r="N1124">
        <v>50</v>
      </c>
      <c r="O1124" t="s">
        <v>23</v>
      </c>
      <c r="P1124" t="s">
        <v>68</v>
      </c>
      <c r="Q1124" t="s">
        <v>3265</v>
      </c>
      <c r="R1124">
        <f t="shared" si="119"/>
        <v>46371670</v>
      </c>
      <c r="S1124" t="str" cm="1">
        <f t="array" ref="S1124">IF(C1124="",IFERROR(INDEX($C$2:$C$1166,MATCH(MAX(COUNTIF($C$2:$C$1166,$C$2:$C$1166)),COUNTIF($C$2:$C$1166,$C$2:$C$1166),0)),"Unknown"),C1124)</f>
        <v>Sarah Jackson</v>
      </c>
      <c r="T1124" s="4" t="str" cm="1">
        <f t="array" ref="T1124">IF(D1124="",IFERROR(INDEX($D$2:$D$1000,MATCH(MAX(COUNTIF($D$2:$D$1166,$D$2:$D$1166)),COUNTIF($D$2:$D$1166,$D$2:$D$1166),0)),"Unknown"),D1124)</f>
        <v>Lucas Souza</v>
      </c>
      <c r="U1124" t="str">
        <f t="shared" si="120"/>
        <v>brl</v>
      </c>
      <c r="V1124" s="7" t="str">
        <f t="shared" si="120"/>
        <v>USD</v>
      </c>
      <c r="W1124" s="7" t="str">
        <f t="shared" si="121"/>
        <v>France</v>
      </c>
      <c r="X1124" s="7" t="str">
        <f t="shared" si="121"/>
        <v>UAE</v>
      </c>
      <c r="Y1124" s="7" t="str" cm="1">
        <f t="array" ref="Y1124">IF(H1124="",IFERROR(INDEX($H$2:$H$1166,MATCH(MAX(COUNTIF($H$2:$H$1166,$H$2:$H$1166)),COUNTIF($H$2:$H$1166,$H$2:$H$1166),0)),"Unknown"),H1124)</f>
        <v>Pending</v>
      </c>
      <c r="Z1124" s="7" t="str">
        <f t="shared" si="122"/>
        <v>Inter-Transaction</v>
      </c>
      <c r="AA1124" s="7">
        <f>IF(J1124="",AVERAGE($J:$J),J1124)</f>
        <v>7389.23</v>
      </c>
      <c r="AB1124" s="7">
        <f>IF(N1124="",AVERAGE($N:$N),N1124)</f>
        <v>50</v>
      </c>
      <c r="AC1124" s="7">
        <f t="shared" si="123"/>
        <v>2022</v>
      </c>
      <c r="AD1124" s="7">
        <f t="shared" si="124"/>
        <v>6</v>
      </c>
      <c r="AE1124" s="7">
        <f>COUNTIF(A:A,A1124)</f>
        <v>1</v>
      </c>
      <c r="AF1124" s="7" t="str">
        <f t="shared" si="125"/>
        <v/>
      </c>
    </row>
    <row r="1125" spans="1:32">
      <c r="A1125" t="s">
        <v>3266</v>
      </c>
      <c r="B1125">
        <v>55580382</v>
      </c>
      <c r="C1125" t="s">
        <v>3267</v>
      </c>
      <c r="D1125" t="s">
        <v>3268</v>
      </c>
      <c r="F1125" t="s">
        <v>121</v>
      </c>
      <c r="G1125" t="s">
        <v>98</v>
      </c>
      <c r="I1125" t="s">
        <v>3377</v>
      </c>
      <c r="J1125">
        <v>4974.43</v>
      </c>
      <c r="K1125" t="s">
        <v>27</v>
      </c>
      <c r="L1125" t="s">
        <v>28</v>
      </c>
      <c r="M1125" s="1">
        <v>44225.597916666666</v>
      </c>
      <c r="N1125">
        <v>33</v>
      </c>
      <c r="O1125" t="s">
        <v>127</v>
      </c>
      <c r="P1125" t="s">
        <v>93</v>
      </c>
      <c r="Q1125" t="s">
        <v>3269</v>
      </c>
      <c r="R1125">
        <f t="shared" si="119"/>
        <v>55580382</v>
      </c>
      <c r="S1125" t="str" cm="1">
        <f t="array" ref="S1125">IF(C1125="",IFERROR(INDEX($C$2:$C$1166,MATCH(MAX(COUNTIF($C$2:$C$1166,$C$2:$C$1166)),COUNTIF($C$2:$C$1166,$C$2:$C$1166),0)),"Unknown"),C1125)</f>
        <v>Nancy Thomas</v>
      </c>
      <c r="T1125" s="4" t="str" cm="1">
        <f t="array" ref="T1125">IF(D1125="",IFERROR(INDEX($D$2:$D$1000,MATCH(MAX(COUNTIF($D$2:$D$1166,$D$2:$D$1166)),COUNTIF($D$2:$D$1166,$D$2:$D$1166),0)),"Unknown"),D1125)</f>
        <v>Fatima Jones</v>
      </c>
      <c r="U1125" t="str">
        <f t="shared" si="120"/>
        <v>INR</v>
      </c>
      <c r="V1125" s="7" t="str">
        <f t="shared" si="120"/>
        <v>JPY</v>
      </c>
      <c r="W1125" s="7" t="str">
        <f t="shared" si="121"/>
        <v>Canada</v>
      </c>
      <c r="X1125" s="7" t="str">
        <f t="shared" si="121"/>
        <v>USA</v>
      </c>
      <c r="Y1125" s="7" t="str" cm="1">
        <f t="array" ref="Y1125">IF(H1125="",IFERROR(INDEX($H$2:$H$1166,MATCH(MAX(COUNTIF($H$2:$H$1166,$H$2:$H$1166)),COUNTIF($H$2:$H$1166,$H$2:$H$1166),0)),"Unknown"),H1125)</f>
        <v>Pending</v>
      </c>
      <c r="Z1125" s="7" t="str">
        <f t="shared" si="122"/>
        <v>Inter-Transaction</v>
      </c>
      <c r="AA1125" s="7">
        <f>IF(J1125="",AVERAGE($J:$J),J1125)</f>
        <v>4974.43</v>
      </c>
      <c r="AB1125" s="7">
        <f>IF(N1125="",AVERAGE($N:$N),N1125)</f>
        <v>33</v>
      </c>
      <c r="AC1125" s="7">
        <f t="shared" si="123"/>
        <v>2021</v>
      </c>
      <c r="AD1125" s="7">
        <f t="shared" si="124"/>
        <v>1</v>
      </c>
      <c r="AE1125" s="7">
        <f>COUNTIF(A:A,A1125)</f>
        <v>1</v>
      </c>
      <c r="AF1125" s="7" t="str">
        <f t="shared" si="125"/>
        <v/>
      </c>
    </row>
    <row r="1126" spans="1:32">
      <c r="A1126" t="s">
        <v>3270</v>
      </c>
      <c r="B1126">
        <v>34418079</v>
      </c>
      <c r="C1126" t="s">
        <v>2075</v>
      </c>
      <c r="D1126" t="s">
        <v>1076</v>
      </c>
      <c r="F1126" t="s">
        <v>53</v>
      </c>
      <c r="G1126" t="s">
        <v>44</v>
      </c>
      <c r="H1126" t="s">
        <v>25</v>
      </c>
      <c r="I1126" t="s">
        <v>3374</v>
      </c>
      <c r="J1126">
        <v>8697.7800000000007</v>
      </c>
      <c r="K1126" t="s">
        <v>57</v>
      </c>
      <c r="L1126" t="s">
        <v>28</v>
      </c>
      <c r="M1126" s="1">
        <v>45557.438888888886</v>
      </c>
      <c r="N1126">
        <v>59</v>
      </c>
      <c r="O1126" t="s">
        <v>36</v>
      </c>
      <c r="P1126" t="s">
        <v>62</v>
      </c>
      <c r="Q1126" t="s">
        <v>3271</v>
      </c>
      <c r="R1126">
        <f t="shared" si="119"/>
        <v>34418079</v>
      </c>
      <c r="S1126" t="str" cm="1">
        <f t="array" ref="S1126">IF(C1126="",IFERROR(INDEX($C$2:$C$1166,MATCH(MAX(COUNTIF($C$2:$C$1166,$C$2:$C$1166)),COUNTIF($C$2:$C$1166,$C$2:$C$1166),0)),"Unknown"),C1126)</f>
        <v>David Smith</v>
      </c>
      <c r="T1126" s="4" t="str" cm="1">
        <f t="array" ref="T1126">IF(D1126="",IFERROR(INDEX($D$2:$D$1000,MATCH(MAX(COUNTIF($D$2:$D$1166,$D$2:$D$1166)),COUNTIF($D$2:$D$1166,$D$2:$D$1166),0)),"Unknown"),D1126)</f>
        <v>Jessica Silva</v>
      </c>
      <c r="U1126" t="str">
        <f t="shared" si="120"/>
        <v>AED</v>
      </c>
      <c r="V1126" s="7" t="str">
        <f t="shared" si="120"/>
        <v>SGD</v>
      </c>
      <c r="W1126" s="7" t="str">
        <f t="shared" si="121"/>
        <v>Germany</v>
      </c>
      <c r="X1126" s="7" t="str">
        <f t="shared" si="121"/>
        <v>Australia</v>
      </c>
      <c r="Y1126" s="7" t="str" cm="1">
        <f t="array" ref="Y1126">IF(H1126="",IFERROR(INDEX($H$2:$H$1166,MATCH(MAX(COUNTIF($H$2:$H$1166,$H$2:$H$1166)),COUNTIF($H$2:$H$1166,$H$2:$H$1166),0)),"Unknown"),H1126)</f>
        <v>KYC</v>
      </c>
      <c r="Z1126" s="7" t="str">
        <f t="shared" si="122"/>
        <v>External</v>
      </c>
      <c r="AA1126" s="7">
        <f>IF(J1126="",AVERAGE($J:$J),J1126)</f>
        <v>8697.7800000000007</v>
      </c>
      <c r="AB1126" s="7">
        <f>IF(N1126="",AVERAGE($N:$N),N1126)</f>
        <v>59</v>
      </c>
      <c r="AC1126" s="7">
        <f t="shared" si="123"/>
        <v>2024</v>
      </c>
      <c r="AD1126" s="7">
        <f t="shared" si="124"/>
        <v>9</v>
      </c>
      <c r="AE1126" s="7">
        <f>COUNTIF(A:A,A1126)</f>
        <v>1</v>
      </c>
      <c r="AF1126" s="7" t="str">
        <f t="shared" si="125"/>
        <v/>
      </c>
    </row>
    <row r="1127" spans="1:32">
      <c r="A1127" t="s">
        <v>3272</v>
      </c>
      <c r="B1127">
        <v>54188355</v>
      </c>
      <c r="C1127" t="s">
        <v>685</v>
      </c>
      <c r="D1127" t="s">
        <v>1780</v>
      </c>
      <c r="F1127" t="s">
        <v>121</v>
      </c>
      <c r="G1127" t="s">
        <v>98</v>
      </c>
      <c r="H1127" t="s">
        <v>103</v>
      </c>
      <c r="I1127" t="s">
        <v>3372</v>
      </c>
      <c r="J1127">
        <v>10461.879999999999</v>
      </c>
      <c r="K1127" t="s">
        <v>27</v>
      </c>
      <c r="L1127" t="s">
        <v>48</v>
      </c>
      <c r="M1127" s="1">
        <v>45547.859722222223</v>
      </c>
      <c r="N1127">
        <v>83</v>
      </c>
      <c r="O1127" t="s">
        <v>36</v>
      </c>
      <c r="P1127" t="s">
        <v>36</v>
      </c>
      <c r="Q1127" t="s">
        <v>3273</v>
      </c>
      <c r="R1127">
        <f t="shared" si="119"/>
        <v>54188355</v>
      </c>
      <c r="S1127" t="str" cm="1">
        <f t="array" ref="S1127">IF(C1127="",IFERROR(INDEX($C$2:$C$1166,MATCH(MAX(COUNTIF($C$2:$C$1166,$C$2:$C$1166)),COUNTIF($C$2:$C$1166,$C$2:$C$1166),0)),"Unknown"),C1127)</f>
        <v>Sanjay Khan</v>
      </c>
      <c r="T1127" s="4" t="str" cm="1">
        <f t="array" ref="T1127">IF(D1127="",IFERROR(INDEX($D$2:$D$1000,MATCH(MAX(COUNTIF($D$2:$D$1166,$D$2:$D$1166)),COUNTIF($D$2:$D$1166,$D$2:$D$1166),0)),"Unknown"),D1127)</f>
        <v>Susan Wilson</v>
      </c>
      <c r="U1127" t="str">
        <f t="shared" si="120"/>
        <v>INR</v>
      </c>
      <c r="V1127" s="7" t="str">
        <f t="shared" si="120"/>
        <v>JPY</v>
      </c>
      <c r="W1127" s="7" t="str">
        <f t="shared" si="121"/>
        <v>Germany</v>
      </c>
      <c r="X1127" s="7" t="str">
        <f t="shared" si="121"/>
        <v>Germany</v>
      </c>
      <c r="Y1127" s="7" t="str" cm="1">
        <f t="array" ref="Y1127">IF(H1127="",IFERROR(INDEX($H$2:$H$1166,MATCH(MAX(COUNTIF($H$2:$H$1166,$H$2:$H$1166)),COUNTIF($H$2:$H$1166,$H$2:$H$1166),0)),"Unknown"),H1127)</f>
        <v>Verified</v>
      </c>
      <c r="Z1127" s="7" t="str">
        <f t="shared" si="122"/>
        <v>Outer-Transaction</v>
      </c>
      <c r="AA1127" s="7">
        <f>IF(J1127="",AVERAGE($J:$J),J1127)</f>
        <v>10461.879999999999</v>
      </c>
      <c r="AB1127" s="7">
        <f>IF(N1127="",AVERAGE($N:$N),N1127)</f>
        <v>83</v>
      </c>
      <c r="AC1127" s="7">
        <f t="shared" si="123"/>
        <v>2024</v>
      </c>
      <c r="AD1127" s="7">
        <f t="shared" si="124"/>
        <v>9</v>
      </c>
      <c r="AE1127" s="7">
        <f>COUNTIF(A:A,A1127)</f>
        <v>1</v>
      </c>
      <c r="AF1127" s="7" t="str">
        <f t="shared" si="125"/>
        <v/>
      </c>
    </row>
    <row r="1128" spans="1:32">
      <c r="A1128" t="s">
        <v>3274</v>
      </c>
      <c r="B1128">
        <v>21835886</v>
      </c>
      <c r="C1128" t="s">
        <v>957</v>
      </c>
      <c r="D1128" t="s">
        <v>346</v>
      </c>
      <c r="F1128" t="s">
        <v>92</v>
      </c>
      <c r="G1128" t="s">
        <v>80</v>
      </c>
      <c r="H1128" t="s">
        <v>25</v>
      </c>
      <c r="I1128" t="s">
        <v>3376</v>
      </c>
      <c r="J1128">
        <v>9234.83</v>
      </c>
      <c r="K1128" t="s">
        <v>47</v>
      </c>
      <c r="L1128" t="s">
        <v>28</v>
      </c>
      <c r="M1128" s="1">
        <v>44765.796527777777</v>
      </c>
      <c r="N1128">
        <v>72</v>
      </c>
      <c r="O1128" t="s">
        <v>24</v>
      </c>
      <c r="P1128" t="s">
        <v>37</v>
      </c>
      <c r="Q1128" t="s">
        <v>3275</v>
      </c>
      <c r="R1128">
        <f t="shared" si="119"/>
        <v>21835886</v>
      </c>
      <c r="S1128" t="str" cm="1">
        <f t="array" ref="S1128">IF(C1128="",IFERROR(INDEX($C$2:$C$1166,MATCH(MAX(COUNTIF($C$2:$C$1166,$C$2:$C$1166)),COUNTIF($C$2:$C$1166,$C$2:$C$1166),0)),"Unknown"),C1128)</f>
        <v>Patricia Silva</v>
      </c>
      <c r="T1128" s="4" t="str" cm="1">
        <f t="array" ref="T1128">IF(D1128="",IFERROR(INDEX($D$2:$D$1000,MATCH(MAX(COUNTIF($D$2:$D$1166,$D$2:$D$1166)),COUNTIF($D$2:$D$1166,$D$2:$D$1166),0)),"Unknown"),D1128)</f>
        <v>Fatima Malik</v>
      </c>
      <c r="U1128" t="str">
        <f t="shared" si="120"/>
        <v>AUD</v>
      </c>
      <c r="V1128" s="7" t="str">
        <f t="shared" si="120"/>
        <v>USD</v>
      </c>
      <c r="W1128" s="7" t="str">
        <f t="shared" si="121"/>
        <v>Brazil</v>
      </c>
      <c r="X1128" s="7" t="str">
        <f t="shared" si="121"/>
        <v>South Africa</v>
      </c>
      <c r="Y1128" s="7" t="str" cm="1">
        <f t="array" ref="Y1128">IF(H1128="",IFERROR(INDEX($H$2:$H$1166,MATCH(MAX(COUNTIF($H$2:$H$1166,$H$2:$H$1166)),COUNTIF($H$2:$H$1166,$H$2:$H$1166),0)),"Unknown"),H1128)</f>
        <v>KYC</v>
      </c>
      <c r="Z1128" s="7" t="str">
        <f t="shared" si="122"/>
        <v>Internal</v>
      </c>
      <c r="AA1128" s="7">
        <f>IF(J1128="",AVERAGE($J:$J),J1128)</f>
        <v>9234.83</v>
      </c>
      <c r="AB1128" s="7">
        <f>IF(N1128="",AVERAGE($N:$N),N1128)</f>
        <v>72</v>
      </c>
      <c r="AC1128" s="7">
        <f t="shared" si="123"/>
        <v>2022</v>
      </c>
      <c r="AD1128" s="7">
        <f t="shared" si="124"/>
        <v>7</v>
      </c>
      <c r="AE1128" s="7">
        <f>COUNTIF(A:A,A1128)</f>
        <v>1</v>
      </c>
      <c r="AF1128" s="7" t="str">
        <f t="shared" si="125"/>
        <v/>
      </c>
    </row>
    <row r="1129" spans="1:32">
      <c r="A1129" t="s">
        <v>3276</v>
      </c>
      <c r="B1129">
        <v>43003049</v>
      </c>
      <c r="C1129" t="s">
        <v>865</v>
      </c>
      <c r="D1129" t="s">
        <v>3277</v>
      </c>
      <c r="F1129" t="s">
        <v>35</v>
      </c>
      <c r="G1129" t="s">
        <v>116</v>
      </c>
      <c r="H1129" t="s">
        <v>103</v>
      </c>
      <c r="I1129" t="s">
        <v>3371</v>
      </c>
      <c r="J1129">
        <v>4621.3100000000004</v>
      </c>
      <c r="K1129" t="s">
        <v>47</v>
      </c>
      <c r="L1129" t="s">
        <v>48</v>
      </c>
      <c r="M1129" s="1">
        <v>44932.4</v>
      </c>
      <c r="N1129">
        <v>59</v>
      </c>
      <c r="O1129" t="s">
        <v>93</v>
      </c>
      <c r="P1129" t="s">
        <v>24</v>
      </c>
      <c r="Q1129" t="s">
        <v>3278</v>
      </c>
      <c r="R1129">
        <f t="shared" si="119"/>
        <v>43003049</v>
      </c>
      <c r="S1129" t="str" cm="1">
        <f t="array" ref="S1129">IF(C1129="",IFERROR(INDEX($C$2:$C$1166,MATCH(MAX(COUNTIF($C$2:$C$1166,$C$2:$C$1166)),COUNTIF($C$2:$C$1166,$C$2:$C$1166),0)),"Unknown"),C1129)</f>
        <v>Karen Garcia</v>
      </c>
      <c r="T1129" s="4" t="str" cm="1">
        <f t="array" ref="T1129">IF(D1129="",IFERROR(INDEX($D$2:$D$1000,MATCH(MAX(COUNTIF($D$2:$D$1166,$D$2:$D$1166)),COUNTIF($D$2:$D$1166,$D$2:$D$1166),0)),"Unknown"),D1129)</f>
        <v xml:space="preserve"> elena jackson   </v>
      </c>
      <c r="U1129" t="str">
        <f t="shared" si="120"/>
        <v>EUR</v>
      </c>
      <c r="V1129" s="7" t="str">
        <f t="shared" si="120"/>
        <v>CHF</v>
      </c>
      <c r="W1129" s="7" t="str">
        <f t="shared" si="121"/>
        <v>USA</v>
      </c>
      <c r="X1129" s="7" t="str">
        <f t="shared" si="121"/>
        <v>Brazil</v>
      </c>
      <c r="Y1129" s="7" t="str" cm="1">
        <f t="array" ref="Y1129">IF(H1129="",IFERROR(INDEX($H$2:$H$1166,MATCH(MAX(COUNTIF($H$2:$H$1166,$H$2:$H$1166)),COUNTIF($H$2:$H$1166,$H$2:$H$1166),0)),"Unknown"),H1129)</f>
        <v>Verified</v>
      </c>
      <c r="Z1129" s="7" t="str">
        <f t="shared" si="122"/>
        <v>Outer-Transaction</v>
      </c>
      <c r="AA1129" s="7">
        <f>IF(J1129="",AVERAGE($J:$J),J1129)</f>
        <v>4621.3100000000004</v>
      </c>
      <c r="AB1129" s="7">
        <f>IF(N1129="",AVERAGE($N:$N),N1129)</f>
        <v>59</v>
      </c>
      <c r="AC1129" s="7">
        <f t="shared" si="123"/>
        <v>2023</v>
      </c>
      <c r="AD1129" s="7">
        <f t="shared" si="124"/>
        <v>1</v>
      </c>
      <c r="AE1129" s="7">
        <f>COUNTIF(A:A,A1129)</f>
        <v>1</v>
      </c>
      <c r="AF1129" s="7" t="str">
        <f t="shared" si="125"/>
        <v/>
      </c>
    </row>
    <row r="1130" spans="1:32">
      <c r="A1130" t="s">
        <v>3279</v>
      </c>
      <c r="B1130">
        <v>62860739</v>
      </c>
      <c r="C1130" t="s">
        <v>350</v>
      </c>
      <c r="D1130" t="s">
        <v>547</v>
      </c>
      <c r="F1130" t="s">
        <v>98</v>
      </c>
      <c r="G1130" t="s">
        <v>98</v>
      </c>
      <c r="H1130" t="s">
        <v>56</v>
      </c>
      <c r="I1130" t="s">
        <v>3374</v>
      </c>
      <c r="J1130">
        <v>9915.83</v>
      </c>
      <c r="K1130" t="s">
        <v>27</v>
      </c>
      <c r="L1130" t="s">
        <v>48</v>
      </c>
      <c r="M1130" s="1">
        <v>45266.35</v>
      </c>
      <c r="N1130">
        <v>51</v>
      </c>
      <c r="O1130" t="s">
        <v>36</v>
      </c>
      <c r="P1130" t="s">
        <v>62</v>
      </c>
      <c r="Q1130" t="s">
        <v>3280</v>
      </c>
      <c r="R1130">
        <f t="shared" si="119"/>
        <v>62860739</v>
      </c>
      <c r="S1130" t="str" cm="1">
        <f t="array" ref="S1130">IF(C1130="",IFERROR(INDEX($C$2:$C$1166,MATCH(MAX(COUNTIF($C$2:$C$1166,$C$2:$C$1166)),COUNTIF($C$2:$C$1166,$C$2:$C$1166),0)),"Unknown"),C1130)</f>
        <v>Sarah Smith</v>
      </c>
      <c r="T1130" s="4" t="str" cm="1">
        <f t="array" ref="T1130">IF(D1130="",IFERROR(INDEX($D$2:$D$1000,MATCH(MAX(COUNTIF($D$2:$D$1166,$D$2:$D$1166)),COUNTIF($D$2:$D$1166,$D$2:$D$1166),0)),"Unknown"),D1130)</f>
        <v>Lucas Moore</v>
      </c>
      <c r="U1130" t="str">
        <f t="shared" si="120"/>
        <v>JPY</v>
      </c>
      <c r="V1130" s="7" t="str">
        <f t="shared" si="120"/>
        <v>JPY</v>
      </c>
      <c r="W1130" s="7" t="str">
        <f t="shared" si="121"/>
        <v>Germany</v>
      </c>
      <c r="X1130" s="7" t="str">
        <f t="shared" si="121"/>
        <v>Australia</v>
      </c>
      <c r="Y1130" s="7" t="str" cm="1">
        <f t="array" ref="Y1130">IF(H1130="",IFERROR(INDEX($H$2:$H$1166,MATCH(MAX(COUNTIF($H$2:$H$1166,$H$2:$H$1166)),COUNTIF($H$2:$H$1166,$H$2:$H$1166),0)),"Unknown"),H1130)</f>
        <v>Unverified</v>
      </c>
      <c r="Z1130" s="7" t="str">
        <f t="shared" si="122"/>
        <v>External</v>
      </c>
      <c r="AA1130" s="7">
        <f>IF(J1130="",AVERAGE($J:$J),J1130)</f>
        <v>9915.83</v>
      </c>
      <c r="AB1130" s="7">
        <f>IF(N1130="",AVERAGE($N:$N),N1130)</f>
        <v>51</v>
      </c>
      <c r="AC1130" s="7">
        <f t="shared" si="123"/>
        <v>2023</v>
      </c>
      <c r="AD1130" s="7">
        <f t="shared" si="124"/>
        <v>12</v>
      </c>
      <c r="AE1130" s="7">
        <f>COUNTIF(A:A,A1130)</f>
        <v>1</v>
      </c>
      <c r="AF1130" s="7" t="str">
        <f t="shared" si="125"/>
        <v/>
      </c>
    </row>
    <row r="1131" spans="1:32">
      <c r="A1131" t="s">
        <v>3281</v>
      </c>
      <c r="B1131">
        <v>10216145</v>
      </c>
      <c r="C1131" t="s">
        <v>277</v>
      </c>
      <c r="D1131" t="s">
        <v>1662</v>
      </c>
      <c r="F1131" t="s">
        <v>121</v>
      </c>
      <c r="G1131" t="s">
        <v>34</v>
      </c>
      <c r="H1131" t="s">
        <v>103</v>
      </c>
      <c r="I1131" t="s">
        <v>3374</v>
      </c>
      <c r="J1131">
        <v>14132.4</v>
      </c>
      <c r="K1131" t="s">
        <v>39</v>
      </c>
      <c r="L1131" t="s">
        <v>81</v>
      </c>
      <c r="M1131" s="1">
        <v>43905.000694444447</v>
      </c>
      <c r="N1131">
        <v>47</v>
      </c>
      <c r="O1131" t="s">
        <v>23</v>
      </c>
      <c r="P1131" t="s">
        <v>36</v>
      </c>
      <c r="Q1131" t="s">
        <v>3282</v>
      </c>
      <c r="R1131">
        <f t="shared" si="119"/>
        <v>10216145</v>
      </c>
      <c r="S1131" t="str" cm="1">
        <f t="array" ref="S1131">IF(C1131="",IFERROR(INDEX($C$2:$C$1166,MATCH(MAX(COUNTIF($C$2:$C$1166,$C$2:$C$1166)),COUNTIF($C$2:$C$1166,$C$2:$C$1166),0)),"Unknown"),C1131)</f>
        <v>Jean-Pierre Dubois</v>
      </c>
      <c r="T1131" s="4" t="str" cm="1">
        <f t="array" ref="T1131">IF(D1131="",IFERROR(INDEX($D$2:$D$1000,MATCH(MAX(COUNTIF($D$2:$D$1166,$D$2:$D$1166)),COUNTIF($D$2:$D$1166,$D$2:$D$1166),0)),"Unknown"),D1131)</f>
        <v>Patricia Taylor</v>
      </c>
      <c r="U1131" t="str">
        <f t="shared" si="120"/>
        <v>INR</v>
      </c>
      <c r="V1131" s="7" t="str">
        <f t="shared" si="120"/>
        <v>CAD</v>
      </c>
      <c r="W1131" s="7" t="str">
        <f t="shared" si="121"/>
        <v>France</v>
      </c>
      <c r="X1131" s="7" t="str">
        <f t="shared" si="121"/>
        <v>Germany</v>
      </c>
      <c r="Y1131" s="7" t="str" cm="1">
        <f t="array" ref="Y1131">IF(H1131="",IFERROR(INDEX($H$2:$H$1166,MATCH(MAX(COUNTIF($H$2:$H$1166,$H$2:$H$1166)),COUNTIF($H$2:$H$1166,$H$2:$H$1166),0)),"Unknown"),H1131)</f>
        <v>Verified</v>
      </c>
      <c r="Z1131" s="7" t="str">
        <f t="shared" si="122"/>
        <v>External</v>
      </c>
      <c r="AA1131" s="7">
        <f>IF(J1131="",AVERAGE($J:$J),J1131)</f>
        <v>14132.4</v>
      </c>
      <c r="AB1131" s="7">
        <f>IF(N1131="",AVERAGE($N:$N),N1131)</f>
        <v>47</v>
      </c>
      <c r="AC1131" s="7">
        <f t="shared" si="123"/>
        <v>2020</v>
      </c>
      <c r="AD1131" s="7">
        <f t="shared" si="124"/>
        <v>3</v>
      </c>
      <c r="AE1131" s="7">
        <f>COUNTIF(A:A,A1131)</f>
        <v>1</v>
      </c>
      <c r="AF1131" s="7" t="str">
        <f t="shared" si="125"/>
        <v/>
      </c>
    </row>
    <row r="1132" spans="1:32">
      <c r="A1132" t="s">
        <v>3283</v>
      </c>
      <c r="B1132">
        <v>46077835</v>
      </c>
      <c r="C1132" t="s">
        <v>490</v>
      </c>
      <c r="D1132" t="s">
        <v>3284</v>
      </c>
      <c r="F1132" t="s">
        <v>44</v>
      </c>
      <c r="G1132" t="s">
        <v>34</v>
      </c>
      <c r="H1132" t="s">
        <v>103</v>
      </c>
      <c r="I1132" t="s">
        <v>3374</v>
      </c>
      <c r="J1132">
        <v>11811.5</v>
      </c>
      <c r="K1132" t="s">
        <v>57</v>
      </c>
      <c r="L1132" t="s">
        <v>48</v>
      </c>
      <c r="M1132" s="1">
        <v>44125.78125</v>
      </c>
      <c r="N1132">
        <v>30</v>
      </c>
      <c r="O1132" t="s">
        <v>36</v>
      </c>
      <c r="P1132" t="s">
        <v>36</v>
      </c>
      <c r="Q1132" t="s">
        <v>3285</v>
      </c>
      <c r="R1132">
        <f t="shared" si="119"/>
        <v>46077835</v>
      </c>
      <c r="S1132" t="str" cm="1">
        <f t="array" ref="S1132">IF(C1132="",IFERROR(INDEX($C$2:$C$1166,MATCH(MAX(COUNTIF($C$2:$C$1166,$C$2:$C$1166)),COUNTIF($C$2:$C$1166,$C$2:$C$1166),0)),"Unknown"),C1132)</f>
        <v>Fatima Rodriguez</v>
      </c>
      <c r="T1132" s="4" t="str" cm="1">
        <f t="array" ref="T1132">IF(D1132="",IFERROR(INDEX($D$2:$D$1000,MATCH(MAX(COUNTIF($D$2:$D$1166,$D$2:$D$1166)),COUNTIF($D$2:$D$1166,$D$2:$D$1166),0)),"Unknown"),D1132)</f>
        <v>Christopher Hernandez</v>
      </c>
      <c r="U1132" t="str">
        <f t="shared" si="120"/>
        <v>SGD</v>
      </c>
      <c r="V1132" s="7" t="str">
        <f t="shared" si="120"/>
        <v>CAD</v>
      </c>
      <c r="W1132" s="7" t="str">
        <f t="shared" si="121"/>
        <v>Germany</v>
      </c>
      <c r="X1132" s="7" t="str">
        <f t="shared" si="121"/>
        <v>Germany</v>
      </c>
      <c r="Y1132" s="7" t="str" cm="1">
        <f t="array" ref="Y1132">IF(H1132="",IFERROR(INDEX($H$2:$H$1166,MATCH(MAX(COUNTIF($H$2:$H$1166,$H$2:$H$1166)),COUNTIF($H$2:$H$1166,$H$2:$H$1166),0)),"Unknown"),H1132)</f>
        <v>Verified</v>
      </c>
      <c r="Z1132" s="7" t="str">
        <f t="shared" si="122"/>
        <v>External</v>
      </c>
      <c r="AA1132" s="7">
        <f>IF(J1132="",AVERAGE($J:$J),J1132)</f>
        <v>11811.5</v>
      </c>
      <c r="AB1132" s="7">
        <f>IF(N1132="",AVERAGE($N:$N),N1132)</f>
        <v>30</v>
      </c>
      <c r="AC1132" s="7">
        <f t="shared" si="123"/>
        <v>2020</v>
      </c>
      <c r="AD1132" s="7">
        <f t="shared" si="124"/>
        <v>10</v>
      </c>
      <c r="AE1132" s="7">
        <f>COUNTIF(A:A,A1132)</f>
        <v>1</v>
      </c>
      <c r="AF1132" s="7" t="str">
        <f t="shared" si="125"/>
        <v/>
      </c>
    </row>
    <row r="1133" spans="1:32">
      <c r="A1133" t="s">
        <v>3286</v>
      </c>
      <c r="B1133">
        <v>95377710</v>
      </c>
      <c r="C1133" t="s">
        <v>135</v>
      </c>
      <c r="D1133" t="s">
        <v>387</v>
      </c>
      <c r="F1133" t="s">
        <v>21</v>
      </c>
      <c r="G1133" t="s">
        <v>92</v>
      </c>
      <c r="H1133" t="s">
        <v>38</v>
      </c>
      <c r="I1133" t="s">
        <v>3372</v>
      </c>
      <c r="J1133">
        <v>6371.77</v>
      </c>
      <c r="K1133" t="s">
        <v>57</v>
      </c>
      <c r="L1133" t="s">
        <v>48</v>
      </c>
      <c r="M1133" s="1">
        <v>43851.820138888892</v>
      </c>
      <c r="N1133">
        <v>30</v>
      </c>
      <c r="O1133" t="s">
        <v>24</v>
      </c>
      <c r="P1133" t="s">
        <v>68</v>
      </c>
      <c r="Q1133" t="s">
        <v>3287</v>
      </c>
      <c r="R1133">
        <f t="shared" si="119"/>
        <v>95377710</v>
      </c>
      <c r="S1133" t="str" cm="1">
        <f t="array" ref="S1133">IF(C1133="",IFERROR(INDEX($C$2:$C$1166,MATCH(MAX(COUNTIF($C$2:$C$1166,$C$2:$C$1166)),COUNTIF($C$2:$C$1166,$C$2:$C$1166),0)),"Unknown"),C1133)</f>
        <v>Barbara Taylor</v>
      </c>
      <c r="T1133" s="4" t="str" cm="1">
        <f t="array" ref="T1133">IF(D1133="",IFERROR(INDEX($D$2:$D$1000,MATCH(MAX(COUNTIF($D$2:$D$1166,$D$2:$D$1166)),COUNTIF($D$2:$D$1166,$D$2:$D$1166),0)),"Unknown"),D1133)</f>
        <v>Joseph Velez</v>
      </c>
      <c r="U1133" t="str">
        <f t="shared" si="120"/>
        <v>GBP</v>
      </c>
      <c r="V1133" s="7" t="str">
        <f t="shared" si="120"/>
        <v>AUD</v>
      </c>
      <c r="W1133" s="7" t="str">
        <f t="shared" si="121"/>
        <v>Brazil</v>
      </c>
      <c r="X1133" s="7" t="str">
        <f t="shared" si="121"/>
        <v>UAE</v>
      </c>
      <c r="Y1133" s="7" t="str" cm="1">
        <f t="array" ref="Y1133">IF(H1133="",IFERROR(INDEX($H$2:$H$1166,MATCH(MAX(COUNTIF($H$2:$H$1166,$H$2:$H$1166)),COUNTIF($H$2:$H$1166,$H$2:$H$1166),0)),"Unknown"),H1133)</f>
        <v>Pending</v>
      </c>
      <c r="Z1133" s="7" t="str">
        <f t="shared" si="122"/>
        <v>Outer-Transaction</v>
      </c>
      <c r="AA1133" s="7">
        <f>IF(J1133="",AVERAGE($J:$J),J1133)</f>
        <v>6371.77</v>
      </c>
      <c r="AB1133" s="7">
        <f>IF(N1133="",AVERAGE($N:$N),N1133)</f>
        <v>30</v>
      </c>
      <c r="AC1133" s="7">
        <f t="shared" si="123"/>
        <v>2020</v>
      </c>
      <c r="AD1133" s="7">
        <f t="shared" si="124"/>
        <v>1</v>
      </c>
      <c r="AE1133" s="7">
        <f>COUNTIF(A:A,A1133)</f>
        <v>2</v>
      </c>
      <c r="AF1133" s="7" t="str">
        <f t="shared" si="125"/>
        <v/>
      </c>
    </row>
    <row r="1134" spans="1:32">
      <c r="A1134" t="s">
        <v>3288</v>
      </c>
      <c r="B1134">
        <v>92057677</v>
      </c>
      <c r="C1134" t="s">
        <v>2336</v>
      </c>
      <c r="D1134" t="s">
        <v>2384</v>
      </c>
      <c r="F1134" t="s">
        <v>22</v>
      </c>
      <c r="G1134" t="s">
        <v>80</v>
      </c>
      <c r="H1134" t="s">
        <v>74</v>
      </c>
      <c r="I1134" t="s">
        <v>3377</v>
      </c>
      <c r="J1134">
        <v>12527.7</v>
      </c>
      <c r="K1134" t="s">
        <v>39</v>
      </c>
      <c r="L1134" t="s">
        <v>48</v>
      </c>
      <c r="M1134" s="1">
        <v>44869.361805555556</v>
      </c>
      <c r="N1134">
        <v>35</v>
      </c>
      <c r="O1134" t="s">
        <v>54</v>
      </c>
      <c r="P1134" t="s">
        <v>68</v>
      </c>
      <c r="Q1134" t="s">
        <v>3289</v>
      </c>
      <c r="R1134">
        <f t="shared" si="119"/>
        <v>92057677</v>
      </c>
      <c r="S1134" t="str" cm="1">
        <f t="array" ref="S1134">IF(C1134="",IFERROR(INDEX($C$2:$C$1166,MATCH(MAX(COUNTIF($C$2:$C$1166,$C$2:$C$1166)),COUNTIF($C$2:$C$1166,$C$2:$C$1166),0)),"Unknown"),C1134)</f>
        <v>Joseph Anderson</v>
      </c>
      <c r="T1134" s="4" t="str" cm="1">
        <f t="array" ref="T1134">IF(D1134="",IFERROR(INDEX($D$2:$D$1000,MATCH(MAX(COUNTIF($D$2:$D$1166,$D$2:$D$1166)),COUNTIF($D$2:$D$1166,$D$2:$D$1166),0)),"Unknown"),D1134)</f>
        <v>Charles Martin</v>
      </c>
      <c r="U1134" t="str">
        <f t="shared" si="120"/>
        <v>BRL</v>
      </c>
      <c r="V1134" s="7" t="str">
        <f t="shared" si="120"/>
        <v>USD</v>
      </c>
      <c r="W1134" s="7" t="str">
        <f t="shared" si="121"/>
        <v>India</v>
      </c>
      <c r="X1134" s="7" t="str">
        <f t="shared" si="121"/>
        <v>UAE</v>
      </c>
      <c r="Y1134" s="7" t="str" cm="1">
        <f t="array" ref="Y1134">IF(H1134="",IFERROR(INDEX($H$2:$H$1166,MATCH(MAX(COUNTIF($H$2:$H$1166,$H$2:$H$1166)),COUNTIF($H$2:$H$1166,$H$2:$H$1166),0)),"Unknown"),H1134)</f>
        <v>Non-KYC</v>
      </c>
      <c r="Z1134" s="7" t="str">
        <f t="shared" si="122"/>
        <v>Inter-Transaction</v>
      </c>
      <c r="AA1134" s="7">
        <f>IF(J1134="",AVERAGE($J:$J),J1134)</f>
        <v>12527.7</v>
      </c>
      <c r="AB1134" s="7">
        <f>IF(N1134="",AVERAGE($N:$N),N1134)</f>
        <v>35</v>
      </c>
      <c r="AC1134" s="7">
        <f t="shared" si="123"/>
        <v>2022</v>
      </c>
      <c r="AD1134" s="7">
        <f t="shared" si="124"/>
        <v>11</v>
      </c>
      <c r="AE1134" s="7">
        <f>COUNTIF(A:A,A1134)</f>
        <v>1</v>
      </c>
      <c r="AF1134" s="7" t="str">
        <f t="shared" si="125"/>
        <v/>
      </c>
    </row>
    <row r="1135" spans="1:32">
      <c r="A1135" t="s">
        <v>3290</v>
      </c>
      <c r="C1135" t="s">
        <v>3291</v>
      </c>
      <c r="D1135" t="s">
        <v>1593</v>
      </c>
      <c r="F1135" t="s">
        <v>53</v>
      </c>
      <c r="G1135" t="s">
        <v>45</v>
      </c>
      <c r="H1135" t="s">
        <v>103</v>
      </c>
      <c r="I1135" t="s">
        <v>3372</v>
      </c>
      <c r="J1135">
        <v>9827.0499999999993</v>
      </c>
      <c r="K1135" t="s">
        <v>86</v>
      </c>
      <c r="L1135" t="s">
        <v>28</v>
      </c>
      <c r="M1135" s="1">
        <v>45065.219444444447</v>
      </c>
      <c r="N1135">
        <v>49</v>
      </c>
      <c r="O1135" t="s">
        <v>23</v>
      </c>
      <c r="P1135" t="s">
        <v>68</v>
      </c>
      <c r="Q1135" t="s">
        <v>3292</v>
      </c>
      <c r="R1135">
        <f t="shared" si="119"/>
        <v>0</v>
      </c>
      <c r="S1135" t="str" cm="1">
        <f t="array" ref="S1135">IF(C1135="",IFERROR(INDEX($C$2:$C$1166,MATCH(MAX(COUNTIF($C$2:$C$1166,$C$2:$C$1166)),COUNTIF($C$2:$C$1166,$C$2:$C$1166),0)),"Unknown"),C1135)</f>
        <v xml:space="preserve">  DAVID DUBOIS </v>
      </c>
      <c r="T1135" s="4" t="str" cm="1">
        <f t="array" ref="T1135">IF(D1135="",IFERROR(INDEX($D$2:$D$1000,MATCH(MAX(COUNTIF($D$2:$D$1166,$D$2:$D$1166)),COUNTIF($D$2:$D$1166,$D$2:$D$1166),0)),"Unknown"),D1135)</f>
        <v>Karen Silva</v>
      </c>
      <c r="U1135" t="str">
        <f t="shared" si="120"/>
        <v>AED</v>
      </c>
      <c r="V1135" s="7" t="str">
        <f t="shared" si="120"/>
        <v>ZAR</v>
      </c>
      <c r="W1135" s="7" t="str">
        <f t="shared" si="121"/>
        <v>France</v>
      </c>
      <c r="X1135" s="7" t="str">
        <f t="shared" si="121"/>
        <v>UAE</v>
      </c>
      <c r="Y1135" s="7" t="str" cm="1">
        <f t="array" ref="Y1135">IF(H1135="",IFERROR(INDEX($H$2:$H$1166,MATCH(MAX(COUNTIF($H$2:$H$1166,$H$2:$H$1166)),COUNTIF($H$2:$H$1166,$H$2:$H$1166),0)),"Unknown"),H1135)</f>
        <v>Verified</v>
      </c>
      <c r="Z1135" s="7" t="str">
        <f t="shared" si="122"/>
        <v>Outer-Transaction</v>
      </c>
      <c r="AA1135" s="7">
        <f>IF(J1135="",AVERAGE($J:$J),J1135)</f>
        <v>9827.0499999999993</v>
      </c>
      <c r="AB1135" s="7">
        <f>IF(N1135="",AVERAGE($N:$N),N1135)</f>
        <v>49</v>
      </c>
      <c r="AC1135" s="7">
        <f t="shared" si="123"/>
        <v>2023</v>
      </c>
      <c r="AD1135" s="7">
        <f t="shared" si="124"/>
        <v>5</v>
      </c>
      <c r="AE1135" s="7">
        <f>COUNTIF(A:A,A1135)</f>
        <v>1</v>
      </c>
      <c r="AF1135" s="7" t="str">
        <f t="shared" si="125"/>
        <v/>
      </c>
    </row>
    <row r="1136" spans="1:32">
      <c r="A1136" t="s">
        <v>3293</v>
      </c>
      <c r="B1136">
        <v>39416977</v>
      </c>
      <c r="C1136" t="s">
        <v>1578</v>
      </c>
      <c r="D1136" t="s">
        <v>614</v>
      </c>
      <c r="F1136" t="s">
        <v>98</v>
      </c>
      <c r="G1136" t="s">
        <v>92</v>
      </c>
      <c r="H1136" t="s">
        <v>56</v>
      </c>
      <c r="I1136" t="s">
        <v>3377</v>
      </c>
      <c r="J1136">
        <v>5182.3</v>
      </c>
      <c r="K1136" t="s">
        <v>27</v>
      </c>
      <c r="L1136" t="s">
        <v>48</v>
      </c>
      <c r="M1136" s="1">
        <v>44390.210416666669</v>
      </c>
      <c r="N1136">
        <v>56</v>
      </c>
      <c r="O1136" t="s">
        <v>24</v>
      </c>
      <c r="P1136" t="s">
        <v>54</v>
      </c>
      <c r="Q1136" t="s">
        <v>3294</v>
      </c>
      <c r="R1136">
        <f t="shared" si="119"/>
        <v>39416977</v>
      </c>
      <c r="S1136" t="str" cm="1">
        <f t="array" ref="S1136">IF(C1136="",IFERROR(INDEX($C$2:$C$1166,MATCH(MAX(COUNTIF($C$2:$C$1166,$C$2:$C$1166)),COUNTIF($C$2:$C$1166,$C$2:$C$1166),0)),"Unknown"),C1136)</f>
        <v>Thomas Al-Sayed</v>
      </c>
      <c r="T1136" s="4" t="str" cm="1">
        <f t="array" ref="T1136">IF(D1136="",IFERROR(INDEX($D$2:$D$1000,MATCH(MAX(COUNTIF($D$2:$D$1166,$D$2:$D$1166)),COUNTIF($D$2:$D$1166,$D$2:$D$1166),0)),"Unknown"),D1136)</f>
        <v>Elizabeth Lopez</v>
      </c>
      <c r="U1136" t="str">
        <f t="shared" si="120"/>
        <v>JPY</v>
      </c>
      <c r="V1136" s="7" t="str">
        <f t="shared" si="120"/>
        <v>AUD</v>
      </c>
      <c r="W1136" s="7" t="str">
        <f t="shared" si="121"/>
        <v>Brazil</v>
      </c>
      <c r="X1136" s="7" t="str">
        <f t="shared" si="121"/>
        <v>India</v>
      </c>
      <c r="Y1136" s="7" t="str" cm="1">
        <f t="array" ref="Y1136">IF(H1136="",IFERROR(INDEX($H$2:$H$1166,MATCH(MAX(COUNTIF($H$2:$H$1166,$H$2:$H$1166)),COUNTIF($H$2:$H$1166,$H$2:$H$1166),0)),"Unknown"),H1136)</f>
        <v>Unverified</v>
      </c>
      <c r="Z1136" s="7" t="str">
        <f t="shared" si="122"/>
        <v>Inter-Transaction</v>
      </c>
      <c r="AA1136" s="7">
        <f>IF(J1136="",AVERAGE($J:$J),J1136)</f>
        <v>5182.3</v>
      </c>
      <c r="AB1136" s="7">
        <f>IF(N1136="",AVERAGE($N:$N),N1136)</f>
        <v>56</v>
      </c>
      <c r="AC1136" s="7">
        <f t="shared" si="123"/>
        <v>2021</v>
      </c>
      <c r="AD1136" s="7">
        <f t="shared" si="124"/>
        <v>7</v>
      </c>
      <c r="AE1136" s="7">
        <f>COUNTIF(A:A,A1136)</f>
        <v>1</v>
      </c>
      <c r="AF1136" s="7" t="str">
        <f t="shared" si="125"/>
        <v/>
      </c>
    </row>
    <row r="1137" spans="1:32">
      <c r="A1137" t="s">
        <v>3295</v>
      </c>
      <c r="B1137">
        <v>28493340</v>
      </c>
      <c r="C1137" t="s">
        <v>1738</v>
      </c>
      <c r="D1137" t="s">
        <v>943</v>
      </c>
      <c r="F1137" t="s">
        <v>121</v>
      </c>
      <c r="G1137" t="s">
        <v>92</v>
      </c>
      <c r="I1137" t="s">
        <v>3371</v>
      </c>
      <c r="J1137">
        <v>10661.85</v>
      </c>
      <c r="K1137" t="s">
        <v>57</v>
      </c>
      <c r="L1137" t="s">
        <v>81</v>
      </c>
      <c r="M1137" s="1">
        <v>44940.793055555558</v>
      </c>
      <c r="N1137">
        <v>63</v>
      </c>
      <c r="O1137" t="s">
        <v>62</v>
      </c>
      <c r="P1137" t="s">
        <v>54</v>
      </c>
      <c r="Q1137" t="s">
        <v>3296</v>
      </c>
      <c r="R1137">
        <f t="shared" si="119"/>
        <v>28493340</v>
      </c>
      <c r="S1137" t="str" cm="1">
        <f t="array" ref="S1137">IF(C1137="",IFERROR(INDEX($C$2:$C$1166,MATCH(MAX(COUNTIF($C$2:$C$1166,$C$2:$C$1166)),COUNTIF($C$2:$C$1166,$C$2:$C$1166),0)),"Unknown"),C1137)</f>
        <v>Sarah Jones</v>
      </c>
      <c r="T1137" s="4" t="str" cm="1">
        <f t="array" ref="T1137">IF(D1137="",IFERROR(INDEX($D$2:$D$1000,MATCH(MAX(COUNTIF($D$2:$D$1166,$D$2:$D$1166)),COUNTIF($D$2:$D$1166,$D$2:$D$1166),0)),"Unknown"),D1137)</f>
        <v>Mary Nair</v>
      </c>
      <c r="U1137" t="str">
        <f t="shared" si="120"/>
        <v>INR</v>
      </c>
      <c r="V1137" s="7" t="str">
        <f t="shared" si="120"/>
        <v>AUD</v>
      </c>
      <c r="W1137" s="7" t="str">
        <f t="shared" si="121"/>
        <v>Australia</v>
      </c>
      <c r="X1137" s="7" t="str">
        <f t="shared" si="121"/>
        <v>India</v>
      </c>
      <c r="Y1137" s="7" t="str" cm="1">
        <f t="array" ref="Y1137">IF(H1137="",IFERROR(INDEX($H$2:$H$1166,MATCH(MAX(COUNTIF($H$2:$H$1166,$H$2:$H$1166)),COUNTIF($H$2:$H$1166,$H$2:$H$1166),0)),"Unknown"),H1137)</f>
        <v>Pending</v>
      </c>
      <c r="Z1137" s="7" t="str">
        <f t="shared" si="122"/>
        <v>Outer-Transaction</v>
      </c>
      <c r="AA1137" s="7">
        <f>IF(J1137="",AVERAGE($J:$J),J1137)</f>
        <v>10661.85</v>
      </c>
      <c r="AB1137" s="7">
        <f>IF(N1137="",AVERAGE($N:$N),N1137)</f>
        <v>63</v>
      </c>
      <c r="AC1137" s="7">
        <f t="shared" si="123"/>
        <v>2023</v>
      </c>
      <c r="AD1137" s="7">
        <f t="shared" si="124"/>
        <v>1</v>
      </c>
      <c r="AE1137" s="7">
        <f>COUNTIF(A:A,A1137)</f>
        <v>1</v>
      </c>
      <c r="AF1137" s="7" t="str">
        <f t="shared" si="125"/>
        <v/>
      </c>
    </row>
    <row r="1138" spans="1:32">
      <c r="A1138" t="s">
        <v>3297</v>
      </c>
      <c r="B1138">
        <v>57971671</v>
      </c>
      <c r="C1138" t="s">
        <v>2854</v>
      </c>
      <c r="D1138" t="s">
        <v>115</v>
      </c>
      <c r="F1138" t="s">
        <v>45</v>
      </c>
      <c r="G1138" t="s">
        <v>121</v>
      </c>
      <c r="H1138" t="s">
        <v>38</v>
      </c>
      <c r="I1138" t="s">
        <v>3371</v>
      </c>
      <c r="J1138">
        <v>1349.22</v>
      </c>
      <c r="K1138" t="s">
        <v>47</v>
      </c>
      <c r="L1138" t="s">
        <v>81</v>
      </c>
      <c r="M1138" s="1">
        <v>45003.951388888891</v>
      </c>
      <c r="N1138">
        <v>46</v>
      </c>
      <c r="O1138" t="s">
        <v>62</v>
      </c>
      <c r="P1138" t="s">
        <v>36</v>
      </c>
      <c r="Q1138" t="s">
        <v>3298</v>
      </c>
      <c r="R1138">
        <f t="shared" si="119"/>
        <v>57971671</v>
      </c>
      <c r="S1138" t="str" cm="1">
        <f t="array" ref="S1138">IF(C1138="",IFERROR(INDEX($C$2:$C$1166,MATCH(MAX(COUNTIF($C$2:$C$1166,$C$2:$C$1166)),COUNTIF($C$2:$C$1166,$C$2:$C$1166),0)),"Unknown"),C1138)</f>
        <v>Richard Al-Sayed</v>
      </c>
      <c r="T1138" s="4" t="str" cm="1">
        <f t="array" ref="T1138">IF(D1138="",IFERROR(INDEX($D$2:$D$1000,MATCH(MAX(COUNTIF($D$2:$D$1166,$D$2:$D$1166)),COUNTIF($D$2:$D$1166,$D$2:$D$1166),0)),"Unknown"),D1138)</f>
        <v>Carlos Malik</v>
      </c>
      <c r="U1138" t="str">
        <f t="shared" si="120"/>
        <v>ZAR</v>
      </c>
      <c r="V1138" s="7" t="str">
        <f t="shared" si="120"/>
        <v>INR</v>
      </c>
      <c r="W1138" s="7" t="str">
        <f t="shared" si="121"/>
        <v>Australia</v>
      </c>
      <c r="X1138" s="7" t="str">
        <f t="shared" si="121"/>
        <v>Germany</v>
      </c>
      <c r="Y1138" s="7" t="str" cm="1">
        <f t="array" ref="Y1138">IF(H1138="",IFERROR(INDEX($H$2:$H$1166,MATCH(MAX(COUNTIF($H$2:$H$1166,$H$2:$H$1166)),COUNTIF($H$2:$H$1166,$H$2:$H$1166),0)),"Unknown"),H1138)</f>
        <v>Pending</v>
      </c>
      <c r="Z1138" s="7" t="str">
        <f t="shared" si="122"/>
        <v>Outer-Transaction</v>
      </c>
      <c r="AA1138" s="7">
        <f>IF(J1138="",AVERAGE($J:$J),J1138)</f>
        <v>1349.22</v>
      </c>
      <c r="AB1138" s="7">
        <f>IF(N1138="",AVERAGE($N:$N),N1138)</f>
        <v>46</v>
      </c>
      <c r="AC1138" s="7">
        <f t="shared" si="123"/>
        <v>2023</v>
      </c>
      <c r="AD1138" s="7">
        <f t="shared" si="124"/>
        <v>3</v>
      </c>
      <c r="AE1138" s="7">
        <f>COUNTIF(A:A,A1138)</f>
        <v>1</v>
      </c>
      <c r="AF1138" s="7" t="str">
        <f t="shared" si="125"/>
        <v/>
      </c>
    </row>
    <row r="1139" spans="1:32">
      <c r="A1139" t="s">
        <v>3299</v>
      </c>
      <c r="B1139">
        <v>10339260</v>
      </c>
      <c r="C1139" t="s">
        <v>1850</v>
      </c>
      <c r="D1139" t="s">
        <v>1258</v>
      </c>
      <c r="F1139" t="s">
        <v>44</v>
      </c>
      <c r="G1139" t="s">
        <v>34</v>
      </c>
      <c r="H1139" t="s">
        <v>38</v>
      </c>
      <c r="I1139" t="s">
        <v>3377</v>
      </c>
      <c r="J1139">
        <v>6846.71</v>
      </c>
      <c r="K1139" t="s">
        <v>57</v>
      </c>
      <c r="L1139" t="s">
        <v>75</v>
      </c>
      <c r="M1139" s="1">
        <v>44202.725694444445</v>
      </c>
      <c r="N1139">
        <v>79</v>
      </c>
      <c r="O1139" t="s">
        <v>55</v>
      </c>
      <c r="P1139" t="s">
        <v>68</v>
      </c>
      <c r="Q1139" t="s">
        <v>3300</v>
      </c>
      <c r="R1139">
        <f t="shared" si="119"/>
        <v>10339260</v>
      </c>
      <c r="S1139" t="str" cm="1">
        <f t="array" ref="S1139">IF(C1139="",IFERROR(INDEX($C$2:$C$1166,MATCH(MAX(COUNTIF($C$2:$C$1166,$C$2:$C$1166)),COUNTIF($C$2:$C$1166,$C$2:$C$1166),0)),"Unknown"),C1139)</f>
        <v>Thomas Moore</v>
      </c>
      <c r="T1139" s="4" t="str" cm="1">
        <f t="array" ref="T1139">IF(D1139="",IFERROR(INDEX($D$2:$D$1000,MATCH(MAX(COUNTIF($D$2:$D$1166,$D$2:$D$1166)),COUNTIF($D$2:$D$1166,$D$2:$D$1166),0)),"Unknown"),D1139)</f>
        <v>Nancy Dubois</v>
      </c>
      <c r="U1139" t="str">
        <f t="shared" si="120"/>
        <v>SGD</v>
      </c>
      <c r="V1139" s="7" t="str">
        <f t="shared" si="120"/>
        <v>CAD</v>
      </c>
      <c r="W1139" s="7" t="str">
        <f t="shared" si="121"/>
        <v>UK</v>
      </c>
      <c r="X1139" s="7" t="str">
        <f t="shared" si="121"/>
        <v>UAE</v>
      </c>
      <c r="Y1139" s="7" t="str" cm="1">
        <f t="array" ref="Y1139">IF(H1139="",IFERROR(INDEX($H$2:$H$1166,MATCH(MAX(COUNTIF($H$2:$H$1166,$H$2:$H$1166)),COUNTIF($H$2:$H$1166,$H$2:$H$1166),0)),"Unknown"),H1139)</f>
        <v>Pending</v>
      </c>
      <c r="Z1139" s="7" t="str">
        <f t="shared" si="122"/>
        <v>Inter-Transaction</v>
      </c>
      <c r="AA1139" s="7">
        <f>IF(J1139="",AVERAGE($J:$J),J1139)</f>
        <v>6846.71</v>
      </c>
      <c r="AB1139" s="7">
        <f>IF(N1139="",AVERAGE($N:$N),N1139)</f>
        <v>79</v>
      </c>
      <c r="AC1139" s="7">
        <f t="shared" si="123"/>
        <v>2021</v>
      </c>
      <c r="AD1139" s="7">
        <f t="shared" si="124"/>
        <v>1</v>
      </c>
      <c r="AE1139" s="7">
        <f>COUNTIF(A:A,A1139)</f>
        <v>1</v>
      </c>
      <c r="AF1139" s="7" t="str">
        <f t="shared" si="125"/>
        <v/>
      </c>
    </row>
    <row r="1140" spans="1:32">
      <c r="A1140" t="s">
        <v>3301</v>
      </c>
      <c r="B1140">
        <v>23463414</v>
      </c>
      <c r="C1140" t="s">
        <v>3302</v>
      </c>
      <c r="D1140" t="s">
        <v>3303</v>
      </c>
      <c r="F1140" t="s">
        <v>98</v>
      </c>
      <c r="G1140" t="s">
        <v>45</v>
      </c>
      <c r="H1140" t="s">
        <v>56</v>
      </c>
      <c r="I1140" t="s">
        <v>3372</v>
      </c>
      <c r="J1140">
        <v>6521.25</v>
      </c>
      <c r="K1140" t="s">
        <v>39</v>
      </c>
      <c r="L1140" t="s">
        <v>75</v>
      </c>
      <c r="M1140" s="1">
        <v>45858.982638888891</v>
      </c>
      <c r="N1140">
        <v>79</v>
      </c>
      <c r="O1140" t="s">
        <v>127</v>
      </c>
      <c r="P1140" t="s">
        <v>23</v>
      </c>
      <c r="Q1140" t="s">
        <v>3304</v>
      </c>
      <c r="R1140">
        <f t="shared" si="119"/>
        <v>23463414</v>
      </c>
      <c r="S1140" t="str" cm="1">
        <f t="array" ref="S1140">IF(C1140="",IFERROR(INDEX($C$2:$C$1166,MATCH(MAX(COUNTIF($C$2:$C$1166,$C$2:$C$1166)),COUNTIF($C$2:$C$1166,$C$2:$C$1166),0)),"Unknown"),C1140)</f>
        <v>Jessica Souza</v>
      </c>
      <c r="T1140" s="4" t="str" cm="1">
        <f t="array" ref="T1140">IF(D1140="",IFERROR(INDEX($D$2:$D$1000,MATCH(MAX(COUNTIF($D$2:$D$1166,$D$2:$D$1166)),COUNTIF($D$2:$D$1166,$D$2:$D$1166),0)),"Unknown"),D1140)</f>
        <v>David Martin</v>
      </c>
      <c r="U1140" t="str">
        <f t="shared" si="120"/>
        <v>JPY</v>
      </c>
      <c r="V1140" s="7" t="str">
        <f t="shared" si="120"/>
        <v>ZAR</v>
      </c>
      <c r="W1140" s="7" t="str">
        <f t="shared" si="121"/>
        <v>Canada</v>
      </c>
      <c r="X1140" s="7" t="str">
        <f t="shared" si="121"/>
        <v>France</v>
      </c>
      <c r="Y1140" s="7" t="str" cm="1">
        <f t="array" ref="Y1140">IF(H1140="",IFERROR(INDEX($H$2:$H$1166,MATCH(MAX(COUNTIF($H$2:$H$1166,$H$2:$H$1166)),COUNTIF($H$2:$H$1166,$H$2:$H$1166),0)),"Unknown"),H1140)</f>
        <v>Unverified</v>
      </c>
      <c r="Z1140" s="7" t="str">
        <f t="shared" si="122"/>
        <v>Outer-Transaction</v>
      </c>
      <c r="AA1140" s="7">
        <f>IF(J1140="",AVERAGE($J:$J),J1140)</f>
        <v>6521.25</v>
      </c>
      <c r="AB1140" s="7">
        <f>IF(N1140="",AVERAGE($N:$N),N1140)</f>
        <v>79</v>
      </c>
      <c r="AC1140" s="7">
        <f t="shared" si="123"/>
        <v>2025</v>
      </c>
      <c r="AD1140" s="7">
        <f t="shared" si="124"/>
        <v>7</v>
      </c>
      <c r="AE1140" s="7">
        <f>COUNTIF(A:A,A1140)</f>
        <v>1</v>
      </c>
      <c r="AF1140" s="7" t="str">
        <f t="shared" si="125"/>
        <v/>
      </c>
    </row>
    <row r="1141" spans="1:32">
      <c r="A1141" t="s">
        <v>3305</v>
      </c>
      <c r="B1141">
        <v>51059566</v>
      </c>
      <c r="C1141" t="s">
        <v>751</v>
      </c>
      <c r="D1141" t="s">
        <v>2085</v>
      </c>
      <c r="F1141" t="s">
        <v>44</v>
      </c>
      <c r="G1141" t="s">
        <v>35</v>
      </c>
      <c r="H1141" t="s">
        <v>38</v>
      </c>
      <c r="I1141" t="s">
        <v>3378</v>
      </c>
      <c r="J1141">
        <v>11517.55</v>
      </c>
      <c r="K1141" t="s">
        <v>86</v>
      </c>
      <c r="L1141" t="s">
        <v>81</v>
      </c>
      <c r="M1141" s="1">
        <v>44648.302777777775</v>
      </c>
      <c r="N1141">
        <v>74</v>
      </c>
      <c r="O1141" t="s">
        <v>93</v>
      </c>
      <c r="P1141" t="s">
        <v>37</v>
      </c>
      <c r="Q1141" t="s">
        <v>3306</v>
      </c>
      <c r="R1141">
        <f t="shared" si="119"/>
        <v>51059566</v>
      </c>
      <c r="S1141" t="str" cm="1">
        <f t="array" ref="S1141">IF(C1141="",IFERROR(INDEX($C$2:$C$1166,MATCH(MAX(COUNTIF($C$2:$C$1166,$C$2:$C$1166)),COUNTIF($C$2:$C$1166,$C$2:$C$1166),0)),"Unknown"),C1141)</f>
        <v>Elizabeth Dubois</v>
      </c>
      <c r="T1141" s="4" t="str" cm="1">
        <f t="array" ref="T1141">IF(D1141="",IFERROR(INDEX($D$2:$D$1000,MATCH(MAX(COUNTIF($D$2:$D$1166,$D$2:$D$1166)),COUNTIF($D$2:$D$1166,$D$2:$D$1166),0)),"Unknown"),D1141)</f>
        <v>Jessica Moore</v>
      </c>
      <c r="U1141" t="str">
        <f t="shared" si="120"/>
        <v>SGD</v>
      </c>
      <c r="V1141" s="7" t="str">
        <f t="shared" si="120"/>
        <v>EUR</v>
      </c>
      <c r="W1141" s="7" t="str">
        <f t="shared" si="121"/>
        <v>USA</v>
      </c>
      <c r="X1141" s="7" t="str">
        <f t="shared" si="121"/>
        <v>South Africa</v>
      </c>
      <c r="Y1141" s="7" t="str" cm="1">
        <f t="array" ref="Y1141">IF(H1141="",IFERROR(INDEX($H$2:$H$1166,MATCH(MAX(COUNTIF($H$2:$H$1166,$H$2:$H$1166)),COUNTIF($H$2:$H$1166,$H$2:$H$1166),0)),"Unknown"),H1141)</f>
        <v>Pending</v>
      </c>
      <c r="Z1141" s="7" t="str">
        <f t="shared" si="122"/>
        <v>Inter-Transaction</v>
      </c>
      <c r="AA1141" s="7">
        <f>IF(J1141="",AVERAGE($J:$J),J1141)</f>
        <v>11517.55</v>
      </c>
      <c r="AB1141" s="7">
        <f>IF(N1141="",AVERAGE($N:$N),N1141)</f>
        <v>74</v>
      </c>
      <c r="AC1141" s="7">
        <f t="shared" si="123"/>
        <v>2022</v>
      </c>
      <c r="AD1141" s="7">
        <f t="shared" si="124"/>
        <v>3</v>
      </c>
      <c r="AE1141" s="7">
        <f>COUNTIF(A:A,A1141)</f>
        <v>1</v>
      </c>
      <c r="AF1141" s="7" t="str">
        <f t="shared" si="125"/>
        <v/>
      </c>
    </row>
    <row r="1142" spans="1:32">
      <c r="A1142" t="s">
        <v>3307</v>
      </c>
      <c r="B1142">
        <v>99119251</v>
      </c>
      <c r="C1142" t="s">
        <v>1480</v>
      </c>
      <c r="D1142" t="s">
        <v>500</v>
      </c>
      <c r="F1142" t="s">
        <v>44</v>
      </c>
      <c r="G1142" t="s">
        <v>44</v>
      </c>
      <c r="I1142" t="s">
        <v>3378</v>
      </c>
      <c r="J1142">
        <v>10416.57</v>
      </c>
      <c r="K1142" t="s">
        <v>39</v>
      </c>
      <c r="L1142" t="s">
        <v>48</v>
      </c>
      <c r="M1142" s="1">
        <v>45005.197222222225</v>
      </c>
      <c r="N1142">
        <v>33</v>
      </c>
      <c r="O1142" t="s">
        <v>37</v>
      </c>
      <c r="P1142" t="s">
        <v>62</v>
      </c>
      <c r="Q1142" t="s">
        <v>3308</v>
      </c>
      <c r="R1142">
        <f t="shared" si="119"/>
        <v>99119251</v>
      </c>
      <c r="S1142" t="str" cm="1">
        <f t="array" ref="S1142">IF(C1142="",IFERROR(INDEX($C$2:$C$1166,MATCH(MAX(COUNTIF($C$2:$C$1166,$C$2:$C$1166)),COUNTIF($C$2:$C$1166,$C$2:$C$1166),0)),"Unknown"),C1142)</f>
        <v>Mary Brown</v>
      </c>
      <c r="T1142" s="4" t="str" cm="1">
        <f t="array" ref="T1142">IF(D1142="",IFERROR(INDEX($D$2:$D$1000,MATCH(MAX(COUNTIF($D$2:$D$1166,$D$2:$D$1166)),COUNTIF($D$2:$D$1166,$D$2:$D$1166),0)),"Unknown"),D1142)</f>
        <v>Patricia Hernandez</v>
      </c>
      <c r="U1142" t="str">
        <f t="shared" si="120"/>
        <v>SGD</v>
      </c>
      <c r="V1142" s="7" t="str">
        <f t="shared" si="120"/>
        <v>SGD</v>
      </c>
      <c r="W1142" s="7" t="str">
        <f t="shared" si="121"/>
        <v>South Africa</v>
      </c>
      <c r="X1142" s="7" t="str">
        <f t="shared" si="121"/>
        <v>Australia</v>
      </c>
      <c r="Y1142" s="7" t="str" cm="1">
        <f t="array" ref="Y1142">IF(H1142="",IFERROR(INDEX($H$2:$H$1166,MATCH(MAX(COUNTIF($H$2:$H$1166,$H$2:$H$1166)),COUNTIF($H$2:$H$1166,$H$2:$H$1166),0)),"Unknown"),H1142)</f>
        <v>Pending</v>
      </c>
      <c r="Z1142" s="7" t="str">
        <f t="shared" si="122"/>
        <v>Inter-Transaction</v>
      </c>
      <c r="AA1142" s="7">
        <f>IF(J1142="",AVERAGE($J:$J),J1142)</f>
        <v>10416.57</v>
      </c>
      <c r="AB1142" s="7">
        <f>IF(N1142="",AVERAGE($N:$N),N1142)</f>
        <v>33</v>
      </c>
      <c r="AC1142" s="7">
        <f t="shared" si="123"/>
        <v>2023</v>
      </c>
      <c r="AD1142" s="7">
        <f t="shared" si="124"/>
        <v>3</v>
      </c>
      <c r="AE1142" s="7">
        <f>COUNTIF(A:A,A1142)</f>
        <v>1</v>
      </c>
      <c r="AF1142" s="7" t="str">
        <f t="shared" si="125"/>
        <v/>
      </c>
    </row>
    <row r="1143" spans="1:32">
      <c r="A1143" t="s">
        <v>3309</v>
      </c>
      <c r="B1143">
        <v>95077934</v>
      </c>
      <c r="C1143" t="s">
        <v>1342</v>
      </c>
      <c r="D1143" t="s">
        <v>1700</v>
      </c>
      <c r="F1143" t="s">
        <v>45</v>
      </c>
      <c r="G1143" t="s">
        <v>34</v>
      </c>
      <c r="H1143" t="s">
        <v>103</v>
      </c>
      <c r="I1143" t="s">
        <v>3378</v>
      </c>
      <c r="J1143">
        <v>5249.28</v>
      </c>
      <c r="K1143" t="s">
        <v>86</v>
      </c>
      <c r="L1143" t="s">
        <v>75</v>
      </c>
      <c r="M1143" s="1">
        <v>44995.018055555556</v>
      </c>
      <c r="N1143">
        <v>73</v>
      </c>
      <c r="O1143" t="s">
        <v>68</v>
      </c>
      <c r="P1143" t="s">
        <v>62</v>
      </c>
      <c r="Q1143" t="s">
        <v>3310</v>
      </c>
      <c r="R1143">
        <f t="shared" si="119"/>
        <v>95077934</v>
      </c>
      <c r="S1143" t="str" cm="1">
        <f t="array" ref="S1143">IF(C1143="",IFERROR(INDEX($C$2:$C$1166,MATCH(MAX(COUNTIF($C$2:$C$1166,$C$2:$C$1166)),COUNTIF($C$2:$C$1166,$C$2:$C$1166),0)),"Unknown"),C1143)</f>
        <v>Sarah Martinez</v>
      </c>
      <c r="T1143" s="4" t="str" cm="1">
        <f t="array" ref="T1143">IF(D1143="",IFERROR(INDEX($D$2:$D$1000,MATCH(MAX(COUNTIF($D$2:$D$1166,$D$2:$D$1166)),COUNTIF($D$2:$D$1166,$D$2:$D$1166),0)),"Unknown"),D1143)</f>
        <v>Patricia Gonzalez</v>
      </c>
      <c r="U1143" t="str">
        <f t="shared" si="120"/>
        <v>ZAR</v>
      </c>
      <c r="V1143" s="7" t="str">
        <f t="shared" si="120"/>
        <v>CAD</v>
      </c>
      <c r="W1143" s="7" t="str">
        <f t="shared" si="121"/>
        <v>UAE</v>
      </c>
      <c r="X1143" s="7" t="str">
        <f t="shared" si="121"/>
        <v>Australia</v>
      </c>
      <c r="Y1143" s="7" t="str" cm="1">
        <f t="array" ref="Y1143">IF(H1143="",IFERROR(INDEX($H$2:$H$1166,MATCH(MAX(COUNTIF($H$2:$H$1166,$H$2:$H$1166)),COUNTIF($H$2:$H$1166,$H$2:$H$1166),0)),"Unknown"),H1143)</f>
        <v>Verified</v>
      </c>
      <c r="Z1143" s="7" t="str">
        <f t="shared" si="122"/>
        <v>Inter-Transaction</v>
      </c>
      <c r="AA1143" s="7">
        <f>IF(J1143="",AVERAGE($J:$J),J1143)</f>
        <v>5249.28</v>
      </c>
      <c r="AB1143" s="7">
        <f>IF(N1143="",AVERAGE($N:$N),N1143)</f>
        <v>73</v>
      </c>
      <c r="AC1143" s="7">
        <f t="shared" si="123"/>
        <v>2023</v>
      </c>
      <c r="AD1143" s="7">
        <f t="shared" si="124"/>
        <v>3</v>
      </c>
      <c r="AE1143" s="7">
        <f>COUNTIF(A:A,A1143)</f>
        <v>1</v>
      </c>
      <c r="AF1143" s="7" t="str">
        <f t="shared" si="125"/>
        <v/>
      </c>
    </row>
    <row r="1144" spans="1:32">
      <c r="A1144" t="s">
        <v>3311</v>
      </c>
      <c r="B1144">
        <v>81256600</v>
      </c>
      <c r="C1144" t="s">
        <v>2007</v>
      </c>
      <c r="D1144" t="s">
        <v>2241</v>
      </c>
      <c r="F1144" t="s">
        <v>121</v>
      </c>
      <c r="G1144" t="s">
        <v>92</v>
      </c>
      <c r="H1144" t="s">
        <v>56</v>
      </c>
      <c r="I1144" t="s">
        <v>3377</v>
      </c>
      <c r="J1144">
        <v>4515.74</v>
      </c>
      <c r="K1144" t="s">
        <v>39</v>
      </c>
      <c r="L1144" t="s">
        <v>28</v>
      </c>
      <c r="M1144" s="1">
        <v>44923.502083333333</v>
      </c>
      <c r="N1144">
        <v>27</v>
      </c>
      <c r="O1144" t="s">
        <v>24</v>
      </c>
      <c r="P1144" t="s">
        <v>54</v>
      </c>
      <c r="Q1144" t="s">
        <v>3312</v>
      </c>
      <c r="R1144">
        <f t="shared" si="119"/>
        <v>81256600</v>
      </c>
      <c r="S1144" t="str" cm="1">
        <f t="array" ref="S1144">IF(C1144="",IFERROR(INDEX($C$2:$C$1166,MATCH(MAX(COUNTIF($C$2:$C$1166,$C$2:$C$1166)),COUNTIF($C$2:$C$1166,$C$2:$C$1166),0)),"Unknown"),C1144)</f>
        <v>Jean-Pierre Souza</v>
      </c>
      <c r="T1144" s="4" t="str" cm="1">
        <f t="array" ref="T1144">IF(D1144="",IFERROR(INDEX($D$2:$D$1000,MATCH(MAX(COUNTIF($D$2:$D$1166,$D$2:$D$1166)),COUNTIF($D$2:$D$1166,$D$2:$D$1166),0)),"Unknown"),D1144)</f>
        <v>David Nair</v>
      </c>
      <c r="U1144" t="str">
        <f t="shared" si="120"/>
        <v>INR</v>
      </c>
      <c r="V1144" s="7" t="str">
        <f t="shared" si="120"/>
        <v>AUD</v>
      </c>
      <c r="W1144" s="7" t="str">
        <f t="shared" si="121"/>
        <v>Brazil</v>
      </c>
      <c r="X1144" s="7" t="str">
        <f t="shared" si="121"/>
        <v>India</v>
      </c>
      <c r="Y1144" s="7" t="str" cm="1">
        <f t="array" ref="Y1144">IF(H1144="",IFERROR(INDEX($H$2:$H$1166,MATCH(MAX(COUNTIF($H$2:$H$1166,$H$2:$H$1166)),COUNTIF($H$2:$H$1166,$H$2:$H$1166),0)),"Unknown"),H1144)</f>
        <v>Unverified</v>
      </c>
      <c r="Z1144" s="7" t="str">
        <f t="shared" si="122"/>
        <v>Inter-Transaction</v>
      </c>
      <c r="AA1144" s="7">
        <f>IF(J1144="",AVERAGE($J:$J),J1144)</f>
        <v>4515.74</v>
      </c>
      <c r="AB1144" s="7">
        <f>IF(N1144="",AVERAGE($N:$N),N1144)</f>
        <v>27</v>
      </c>
      <c r="AC1144" s="7">
        <f t="shared" si="123"/>
        <v>2022</v>
      </c>
      <c r="AD1144" s="7">
        <f t="shared" si="124"/>
        <v>12</v>
      </c>
      <c r="AE1144" s="7">
        <f>COUNTIF(A:A,A1144)</f>
        <v>1</v>
      </c>
      <c r="AF1144" s="7" t="str">
        <f t="shared" si="125"/>
        <v/>
      </c>
    </row>
    <row r="1145" spans="1:32">
      <c r="A1145" t="s">
        <v>3313</v>
      </c>
      <c r="B1145">
        <v>89170637</v>
      </c>
      <c r="C1145" t="s">
        <v>748</v>
      </c>
      <c r="D1145" t="s">
        <v>3314</v>
      </c>
      <c r="F1145" t="s">
        <v>121</v>
      </c>
      <c r="G1145" t="s">
        <v>53</v>
      </c>
      <c r="I1145" t="s">
        <v>3371</v>
      </c>
      <c r="J1145">
        <v>7494.71</v>
      </c>
      <c r="K1145" t="s">
        <v>57</v>
      </c>
      <c r="L1145" t="s">
        <v>75</v>
      </c>
      <c r="M1145" s="1">
        <v>45114.892361111109</v>
      </c>
      <c r="N1145">
        <v>47</v>
      </c>
      <c r="O1145" t="s">
        <v>54</v>
      </c>
      <c r="P1145" t="s">
        <v>36</v>
      </c>
      <c r="Q1145" t="s">
        <v>3315</v>
      </c>
      <c r="R1145">
        <f t="shared" si="119"/>
        <v>89170637</v>
      </c>
      <c r="S1145" t="str" cm="1">
        <f t="array" ref="S1145">IF(C1145="",IFERROR(INDEX($C$2:$C$1166,MATCH(MAX(COUNTIF($C$2:$C$1166,$C$2:$C$1166)),COUNTIF($C$2:$C$1166,$C$2:$C$1166),0)),"Unknown"),C1145)</f>
        <v>Sarah Al-Sayed</v>
      </c>
      <c r="T1145" s="4" t="str" cm="1">
        <f t="array" ref="T1145">IF(D1145="",IFERROR(INDEX($D$2:$D$1000,MATCH(MAX(COUNTIF($D$2:$D$1166,$D$2:$D$1166)),COUNTIF($D$2:$D$1166,$D$2:$D$1166),0)),"Unknown"),D1145)</f>
        <v xml:space="preserve"> lucas silva   </v>
      </c>
      <c r="U1145" t="str">
        <f t="shared" si="120"/>
        <v>INR</v>
      </c>
      <c r="V1145" s="7" t="str">
        <f t="shared" si="120"/>
        <v>AED</v>
      </c>
      <c r="W1145" s="7" t="str">
        <f t="shared" si="121"/>
        <v>India</v>
      </c>
      <c r="X1145" s="7" t="str">
        <f t="shared" si="121"/>
        <v>Germany</v>
      </c>
      <c r="Y1145" s="7" t="str" cm="1">
        <f t="array" ref="Y1145">IF(H1145="",IFERROR(INDEX($H$2:$H$1166,MATCH(MAX(COUNTIF($H$2:$H$1166,$H$2:$H$1166)),COUNTIF($H$2:$H$1166,$H$2:$H$1166),0)),"Unknown"),H1145)</f>
        <v>Pending</v>
      </c>
      <c r="Z1145" s="7" t="str">
        <f t="shared" si="122"/>
        <v>Outer-Transaction</v>
      </c>
      <c r="AA1145" s="7">
        <f>IF(J1145="",AVERAGE($J:$J),J1145)</f>
        <v>7494.71</v>
      </c>
      <c r="AB1145" s="7">
        <f>IF(N1145="",AVERAGE($N:$N),N1145)</f>
        <v>47</v>
      </c>
      <c r="AC1145" s="7">
        <f t="shared" si="123"/>
        <v>2023</v>
      </c>
      <c r="AD1145" s="7">
        <f t="shared" si="124"/>
        <v>7</v>
      </c>
      <c r="AE1145" s="7">
        <f>COUNTIF(A:A,A1145)</f>
        <v>1</v>
      </c>
      <c r="AF1145" s="7" t="str">
        <f t="shared" si="125"/>
        <v/>
      </c>
    </row>
    <row r="1146" spans="1:32">
      <c r="A1146" t="s">
        <v>3316</v>
      </c>
      <c r="B1146">
        <v>14192932</v>
      </c>
      <c r="C1146" t="s">
        <v>886</v>
      </c>
      <c r="D1146" t="s">
        <v>3317</v>
      </c>
      <c r="F1146" t="s">
        <v>22</v>
      </c>
      <c r="G1146" t="s">
        <v>80</v>
      </c>
      <c r="H1146" t="s">
        <v>38</v>
      </c>
      <c r="I1146" t="s">
        <v>3372</v>
      </c>
      <c r="J1146">
        <v>10513.93</v>
      </c>
      <c r="K1146" t="s">
        <v>47</v>
      </c>
      <c r="L1146" t="s">
        <v>75</v>
      </c>
      <c r="M1146" s="1">
        <v>45842.989583333336</v>
      </c>
      <c r="N1146">
        <v>42</v>
      </c>
      <c r="O1146" t="s">
        <v>68</v>
      </c>
      <c r="P1146" t="s">
        <v>24</v>
      </c>
      <c r="Q1146" t="s">
        <v>3318</v>
      </c>
      <c r="R1146">
        <f t="shared" si="119"/>
        <v>14192932</v>
      </c>
      <c r="S1146" t="str" cm="1">
        <f t="array" ref="S1146">IF(C1146="",IFERROR(INDEX($C$2:$C$1166,MATCH(MAX(COUNTIF($C$2:$C$1166,$C$2:$C$1166)),COUNTIF($C$2:$C$1166,$C$2:$C$1166),0)),"Unknown"),C1146)</f>
        <v>Marta Malik</v>
      </c>
      <c r="T1146" s="4" t="str" cm="1">
        <f t="array" ref="T1146">IF(D1146="",IFERROR(INDEX($D$2:$D$1000,MATCH(MAX(COUNTIF($D$2:$D$1166,$D$2:$D$1166)),COUNTIF($D$2:$D$1166,$D$2:$D$1166),0)),"Unknown"),D1146)</f>
        <v xml:space="preserve"> mary dubois   </v>
      </c>
      <c r="U1146" t="str">
        <f t="shared" si="120"/>
        <v>BRL</v>
      </c>
      <c r="V1146" s="7" t="str">
        <f t="shared" si="120"/>
        <v>USD</v>
      </c>
      <c r="W1146" s="7" t="str">
        <f t="shared" si="121"/>
        <v>UAE</v>
      </c>
      <c r="X1146" s="7" t="str">
        <f t="shared" si="121"/>
        <v>Brazil</v>
      </c>
      <c r="Y1146" s="7" t="str" cm="1">
        <f t="array" ref="Y1146">IF(H1146="",IFERROR(INDEX($H$2:$H$1166,MATCH(MAX(COUNTIF($H$2:$H$1166,$H$2:$H$1166)),COUNTIF($H$2:$H$1166,$H$2:$H$1166),0)),"Unknown"),H1146)</f>
        <v>Pending</v>
      </c>
      <c r="Z1146" s="7" t="str">
        <f t="shared" si="122"/>
        <v>Outer-Transaction</v>
      </c>
      <c r="AA1146" s="7">
        <f>IF(J1146="",AVERAGE($J:$J),J1146)</f>
        <v>10513.93</v>
      </c>
      <c r="AB1146" s="7">
        <f>IF(N1146="",AVERAGE($N:$N),N1146)</f>
        <v>42</v>
      </c>
      <c r="AC1146" s="7">
        <f t="shared" si="123"/>
        <v>2025</v>
      </c>
      <c r="AD1146" s="7">
        <f t="shared" si="124"/>
        <v>7</v>
      </c>
      <c r="AE1146" s="7">
        <f>COUNTIF(A:A,A1146)</f>
        <v>1</v>
      </c>
      <c r="AF1146" s="7" t="str">
        <f t="shared" si="125"/>
        <v/>
      </c>
    </row>
    <row r="1147" spans="1:32">
      <c r="A1147" t="s">
        <v>3319</v>
      </c>
      <c r="B1147">
        <v>99198749</v>
      </c>
      <c r="C1147" t="s">
        <v>916</v>
      </c>
      <c r="D1147" t="s">
        <v>904</v>
      </c>
      <c r="F1147" t="s">
        <v>44</v>
      </c>
      <c r="G1147" t="s">
        <v>92</v>
      </c>
      <c r="H1147" t="s">
        <v>103</v>
      </c>
      <c r="I1147" t="s">
        <v>3374</v>
      </c>
      <c r="J1147">
        <v>11935.8</v>
      </c>
      <c r="K1147" t="s">
        <v>27</v>
      </c>
      <c r="L1147" t="s">
        <v>81</v>
      </c>
      <c r="M1147" s="1">
        <v>44676.10833333333</v>
      </c>
      <c r="N1147">
        <v>22</v>
      </c>
      <c r="O1147" t="s">
        <v>54</v>
      </c>
      <c r="P1147" t="s">
        <v>127</v>
      </c>
      <c r="Q1147" t="s">
        <v>3320</v>
      </c>
      <c r="R1147">
        <f t="shared" si="119"/>
        <v>99198749</v>
      </c>
      <c r="S1147" t="str" cm="1">
        <f t="array" ref="S1147">IF(C1147="",IFERROR(INDEX($C$2:$C$1166,MATCH(MAX(COUNTIF($C$2:$C$1166,$C$2:$C$1166)),COUNTIF($C$2:$C$1166,$C$2:$C$1166),0)),"Unknown"),C1147)</f>
        <v>Karen Dubois</v>
      </c>
      <c r="T1147" s="4" t="str" cm="1">
        <f t="array" ref="T1147">IF(D1147="",IFERROR(INDEX($D$2:$D$1000,MATCH(MAX(COUNTIF($D$2:$D$1166,$D$2:$D$1166)),COUNTIF($D$2:$D$1166,$D$2:$D$1166),0)),"Unknown"),D1147)</f>
        <v>Lucas Souza</v>
      </c>
      <c r="U1147" t="str">
        <f t="shared" si="120"/>
        <v>SGD</v>
      </c>
      <c r="V1147" s="7" t="str">
        <f t="shared" si="120"/>
        <v>AUD</v>
      </c>
      <c r="W1147" s="7" t="str">
        <f t="shared" si="121"/>
        <v>India</v>
      </c>
      <c r="X1147" s="7" t="str">
        <f t="shared" si="121"/>
        <v>Canada</v>
      </c>
      <c r="Y1147" s="7" t="str" cm="1">
        <f t="array" ref="Y1147">IF(H1147="",IFERROR(INDEX($H$2:$H$1166,MATCH(MAX(COUNTIF($H$2:$H$1166,$H$2:$H$1166)),COUNTIF($H$2:$H$1166,$H$2:$H$1166),0)),"Unknown"),H1147)</f>
        <v>Verified</v>
      </c>
      <c r="Z1147" s="7" t="str">
        <f t="shared" si="122"/>
        <v>External</v>
      </c>
      <c r="AA1147" s="7">
        <f>IF(J1147="",AVERAGE($J:$J),J1147)</f>
        <v>11935.8</v>
      </c>
      <c r="AB1147" s="7">
        <f>IF(N1147="",AVERAGE($N:$N),N1147)</f>
        <v>22</v>
      </c>
      <c r="AC1147" s="7">
        <f t="shared" si="123"/>
        <v>2022</v>
      </c>
      <c r="AD1147" s="7">
        <f t="shared" si="124"/>
        <v>4</v>
      </c>
      <c r="AE1147" s="7">
        <f>COUNTIF(A:A,A1147)</f>
        <v>1</v>
      </c>
      <c r="AF1147" s="7" t="str">
        <f t="shared" si="125"/>
        <v/>
      </c>
    </row>
    <row r="1148" spans="1:32">
      <c r="A1148" t="s">
        <v>3321</v>
      </c>
      <c r="B1148">
        <v>56359602</v>
      </c>
      <c r="C1148" t="s">
        <v>487</v>
      </c>
      <c r="D1148" t="s">
        <v>183</v>
      </c>
      <c r="F1148" t="s">
        <v>35</v>
      </c>
      <c r="G1148" t="s">
        <v>53</v>
      </c>
      <c r="H1148" t="s">
        <v>103</v>
      </c>
      <c r="I1148" t="s">
        <v>3376</v>
      </c>
      <c r="J1148">
        <v>3408.4</v>
      </c>
      <c r="K1148" t="s">
        <v>39</v>
      </c>
      <c r="L1148" t="s">
        <v>48</v>
      </c>
      <c r="M1148" s="1">
        <v>45822.272222222222</v>
      </c>
      <c r="N1148">
        <v>82</v>
      </c>
      <c r="O1148" t="s">
        <v>68</v>
      </c>
      <c r="P1148" t="s">
        <v>127</v>
      </c>
      <c r="Q1148" t="s">
        <v>3322</v>
      </c>
      <c r="R1148">
        <f t="shared" si="119"/>
        <v>56359602</v>
      </c>
      <c r="S1148" t="str" cm="1">
        <f t="array" ref="S1148">IF(C1148="",IFERROR(INDEX($C$2:$C$1166,MATCH(MAX(COUNTIF($C$2:$C$1166,$C$2:$C$1166)),COUNTIF($C$2:$C$1166,$C$2:$C$1166),0)),"Unknown"),C1148)</f>
        <v>Amir Brown</v>
      </c>
      <c r="T1148" s="4" t="str" cm="1">
        <f t="array" ref="T1148">IF(D1148="",IFERROR(INDEX($D$2:$D$1000,MATCH(MAX(COUNTIF($D$2:$D$1166,$D$2:$D$1166)),COUNTIF($D$2:$D$1166,$D$2:$D$1166),0)),"Unknown"),D1148)</f>
        <v>Jean-Pierre Miller</v>
      </c>
      <c r="U1148" t="str">
        <f t="shared" si="120"/>
        <v>EUR</v>
      </c>
      <c r="V1148" s="7" t="str">
        <f t="shared" si="120"/>
        <v>AED</v>
      </c>
      <c r="W1148" s="7" t="str">
        <f t="shared" si="121"/>
        <v>UAE</v>
      </c>
      <c r="X1148" s="7" t="str">
        <f t="shared" si="121"/>
        <v>Canada</v>
      </c>
      <c r="Y1148" s="7" t="str" cm="1">
        <f t="array" ref="Y1148">IF(H1148="",IFERROR(INDEX($H$2:$H$1166,MATCH(MAX(COUNTIF($H$2:$H$1166,$H$2:$H$1166)),COUNTIF($H$2:$H$1166,$H$2:$H$1166),0)),"Unknown"),H1148)</f>
        <v>Verified</v>
      </c>
      <c r="Z1148" s="7" t="str">
        <f t="shared" si="122"/>
        <v>Internal</v>
      </c>
      <c r="AA1148" s="7">
        <f>IF(J1148="",AVERAGE($J:$J),J1148)</f>
        <v>3408.4</v>
      </c>
      <c r="AB1148" s="7">
        <f>IF(N1148="",AVERAGE($N:$N),N1148)</f>
        <v>82</v>
      </c>
      <c r="AC1148" s="7">
        <f t="shared" si="123"/>
        <v>2025</v>
      </c>
      <c r="AD1148" s="7">
        <f t="shared" si="124"/>
        <v>6</v>
      </c>
      <c r="AE1148" s="7">
        <f>COUNTIF(A:A,A1148)</f>
        <v>1</v>
      </c>
      <c r="AF1148" s="7" t="str">
        <f t="shared" si="125"/>
        <v/>
      </c>
    </row>
    <row r="1149" spans="1:32">
      <c r="A1149" t="s">
        <v>3323</v>
      </c>
      <c r="B1149">
        <v>79814700</v>
      </c>
      <c r="C1149" t="s">
        <v>3324</v>
      </c>
      <c r="D1149" t="s">
        <v>1881</v>
      </c>
      <c r="F1149" t="s">
        <v>45</v>
      </c>
      <c r="G1149" t="s">
        <v>80</v>
      </c>
      <c r="I1149" t="s">
        <v>3372</v>
      </c>
      <c r="J1149">
        <v>12653.78</v>
      </c>
      <c r="K1149" t="s">
        <v>27</v>
      </c>
      <c r="L1149" t="s">
        <v>48</v>
      </c>
      <c r="M1149" s="1">
        <v>44351.924305555556</v>
      </c>
      <c r="N1149">
        <v>66</v>
      </c>
      <c r="O1149" t="s">
        <v>24</v>
      </c>
      <c r="P1149" t="s">
        <v>54</v>
      </c>
      <c r="Q1149" t="s">
        <v>3325</v>
      </c>
      <c r="R1149">
        <f t="shared" si="119"/>
        <v>79814700</v>
      </c>
      <c r="S1149" t="str" cm="1">
        <f t="array" ref="S1149">IF(C1149="",IFERROR(INDEX($C$2:$C$1166,MATCH(MAX(COUNTIF($C$2:$C$1166,$C$2:$C$1166)),COUNTIF($C$2:$C$1166,$C$2:$C$1166),0)),"Unknown"),C1149)</f>
        <v>John Miller</v>
      </c>
      <c r="T1149" s="4" t="str" cm="1">
        <f t="array" ref="T1149">IF(D1149="",IFERROR(INDEX($D$2:$D$1000,MATCH(MAX(COUNTIF($D$2:$D$1166,$D$2:$D$1166)),COUNTIF($D$2:$D$1166,$D$2:$D$1166),0)),"Unknown"),D1149)</f>
        <v>Elena Dubois</v>
      </c>
      <c r="U1149" t="str">
        <f t="shared" si="120"/>
        <v>ZAR</v>
      </c>
      <c r="V1149" s="7" t="str">
        <f t="shared" si="120"/>
        <v>USD</v>
      </c>
      <c r="W1149" s="7" t="str">
        <f t="shared" si="121"/>
        <v>Brazil</v>
      </c>
      <c r="X1149" s="7" t="str">
        <f t="shared" si="121"/>
        <v>India</v>
      </c>
      <c r="Y1149" s="7" t="str" cm="1">
        <f t="array" ref="Y1149">IF(H1149="",IFERROR(INDEX($H$2:$H$1166,MATCH(MAX(COUNTIF($H$2:$H$1166,$H$2:$H$1166)),COUNTIF($H$2:$H$1166,$H$2:$H$1166),0)),"Unknown"),H1149)</f>
        <v>Pending</v>
      </c>
      <c r="Z1149" s="7" t="str">
        <f t="shared" si="122"/>
        <v>Outer-Transaction</v>
      </c>
      <c r="AA1149" s="7">
        <f>IF(J1149="",AVERAGE($J:$J),J1149)</f>
        <v>12653.78</v>
      </c>
      <c r="AB1149" s="7">
        <f>IF(N1149="",AVERAGE($N:$N),N1149)</f>
        <v>66</v>
      </c>
      <c r="AC1149" s="7">
        <f t="shared" si="123"/>
        <v>2021</v>
      </c>
      <c r="AD1149" s="7">
        <f t="shared" si="124"/>
        <v>6</v>
      </c>
      <c r="AE1149" s="7">
        <f>COUNTIF(A:A,A1149)</f>
        <v>1</v>
      </c>
      <c r="AF1149" s="7" t="str">
        <f t="shared" si="125"/>
        <v/>
      </c>
    </row>
    <row r="1150" spans="1:32">
      <c r="A1150" t="s">
        <v>3326</v>
      </c>
      <c r="B1150">
        <v>73199846</v>
      </c>
      <c r="C1150" t="s">
        <v>2111</v>
      </c>
      <c r="D1150" t="s">
        <v>1468</v>
      </c>
      <c r="F1150" t="s">
        <v>35</v>
      </c>
      <c r="G1150" t="s">
        <v>21</v>
      </c>
      <c r="H1150" t="s">
        <v>25</v>
      </c>
      <c r="I1150" t="s">
        <v>3371</v>
      </c>
      <c r="J1150">
        <v>10086.56</v>
      </c>
      <c r="K1150" t="s">
        <v>47</v>
      </c>
      <c r="L1150" t="s">
        <v>48</v>
      </c>
      <c r="M1150" s="1">
        <v>44201.432638888888</v>
      </c>
      <c r="N1150">
        <v>20</v>
      </c>
      <c r="O1150" t="s">
        <v>37</v>
      </c>
      <c r="P1150" t="s">
        <v>24</v>
      </c>
      <c r="Q1150" t="s">
        <v>3327</v>
      </c>
      <c r="R1150">
        <f t="shared" si="119"/>
        <v>73199846</v>
      </c>
      <c r="S1150" t="str" cm="1">
        <f t="array" ref="S1150">IF(C1150="",IFERROR(INDEX($C$2:$C$1166,MATCH(MAX(COUNTIF($C$2:$C$1166,$C$2:$C$1166)),COUNTIF($C$2:$C$1166,$C$2:$C$1166),0)),"Unknown"),C1150)</f>
        <v>Lucas Jackson</v>
      </c>
      <c r="T1150" s="4" t="str" cm="1">
        <f t="array" ref="T1150">IF(D1150="",IFERROR(INDEX($D$2:$D$1000,MATCH(MAX(COUNTIF($D$2:$D$1166,$D$2:$D$1166)),COUNTIF($D$2:$D$1166,$D$2:$D$1166),0)),"Unknown"),D1150)</f>
        <v>David Rostova</v>
      </c>
      <c r="U1150" t="str">
        <f t="shared" si="120"/>
        <v>EUR</v>
      </c>
      <c r="V1150" s="7" t="str">
        <f t="shared" si="120"/>
        <v>GBP</v>
      </c>
      <c r="W1150" s="7" t="str">
        <f t="shared" si="121"/>
        <v>South Africa</v>
      </c>
      <c r="X1150" s="7" t="str">
        <f t="shared" si="121"/>
        <v>Brazil</v>
      </c>
      <c r="Y1150" s="7" t="str" cm="1">
        <f t="array" ref="Y1150">IF(H1150="",IFERROR(INDEX($H$2:$H$1166,MATCH(MAX(COUNTIF($H$2:$H$1166,$H$2:$H$1166)),COUNTIF($H$2:$H$1166,$H$2:$H$1166),0)),"Unknown"),H1150)</f>
        <v>KYC</v>
      </c>
      <c r="Z1150" s="7" t="str">
        <f t="shared" si="122"/>
        <v>Outer-Transaction</v>
      </c>
      <c r="AA1150" s="7">
        <f>IF(J1150="",AVERAGE($J:$J),J1150)</f>
        <v>10086.56</v>
      </c>
      <c r="AB1150" s="7">
        <f>IF(N1150="",AVERAGE($N:$N),N1150)</f>
        <v>20</v>
      </c>
      <c r="AC1150" s="7">
        <f t="shared" si="123"/>
        <v>2021</v>
      </c>
      <c r="AD1150" s="7">
        <f t="shared" si="124"/>
        <v>1</v>
      </c>
      <c r="AE1150" s="7">
        <f>COUNTIF(A:A,A1150)</f>
        <v>1</v>
      </c>
      <c r="AF1150" s="7" t="str">
        <f t="shared" si="125"/>
        <v/>
      </c>
    </row>
    <row r="1151" spans="1:32">
      <c r="A1151" t="s">
        <v>3328</v>
      </c>
      <c r="B1151">
        <v>96155859</v>
      </c>
      <c r="C1151" t="s">
        <v>1971</v>
      </c>
      <c r="D1151" t="s">
        <v>504</v>
      </c>
      <c r="F1151" t="s">
        <v>116</v>
      </c>
      <c r="G1151" t="s">
        <v>53</v>
      </c>
      <c r="H1151" t="s">
        <v>103</v>
      </c>
      <c r="I1151" t="s">
        <v>3372</v>
      </c>
      <c r="J1151">
        <v>13721.56</v>
      </c>
      <c r="K1151" t="s">
        <v>47</v>
      </c>
      <c r="L1151" t="s">
        <v>48</v>
      </c>
      <c r="M1151" s="1">
        <v>45273.313194444447</v>
      </c>
      <c r="N1151">
        <v>62</v>
      </c>
      <c r="O1151" t="s">
        <v>68</v>
      </c>
      <c r="P1151" t="s">
        <v>54</v>
      </c>
      <c r="Q1151" t="s">
        <v>3329</v>
      </c>
      <c r="R1151">
        <f t="shared" si="119"/>
        <v>96155859</v>
      </c>
      <c r="S1151" t="str" cm="1">
        <f t="array" ref="S1151">IF(C1151="",IFERROR(INDEX($C$2:$C$1166,MATCH(MAX(COUNTIF($C$2:$C$1166,$C$2:$C$1166)),COUNTIF($C$2:$C$1166,$C$2:$C$1166),0)),"Unknown"),C1151)</f>
        <v>Karen Jackson</v>
      </c>
      <c r="T1151" s="4" t="str" cm="1">
        <f t="array" ref="T1151">IF(D1151="",IFERROR(INDEX($D$2:$D$1000,MATCH(MAX(COUNTIF($D$2:$D$1166,$D$2:$D$1166)),COUNTIF($D$2:$D$1166,$D$2:$D$1166),0)),"Unknown"),D1151)</f>
        <v>Lucas Jones</v>
      </c>
      <c r="U1151" t="str">
        <f t="shared" si="120"/>
        <v>CHF</v>
      </c>
      <c r="V1151" s="7" t="str">
        <f t="shared" si="120"/>
        <v>AED</v>
      </c>
      <c r="W1151" s="7" t="str">
        <f t="shared" si="121"/>
        <v>UAE</v>
      </c>
      <c r="X1151" s="7" t="str">
        <f t="shared" si="121"/>
        <v>India</v>
      </c>
      <c r="Y1151" s="7" t="str" cm="1">
        <f t="array" ref="Y1151">IF(H1151="",IFERROR(INDEX($H$2:$H$1166,MATCH(MAX(COUNTIF($H$2:$H$1166,$H$2:$H$1166)),COUNTIF($H$2:$H$1166,$H$2:$H$1166),0)),"Unknown"),H1151)</f>
        <v>Verified</v>
      </c>
      <c r="Z1151" s="7" t="str">
        <f t="shared" si="122"/>
        <v>Outer-Transaction</v>
      </c>
      <c r="AA1151" s="7">
        <f>IF(J1151="",AVERAGE($J:$J),J1151)</f>
        <v>13721.56</v>
      </c>
      <c r="AB1151" s="7">
        <f>IF(N1151="",AVERAGE($N:$N),N1151)</f>
        <v>62</v>
      </c>
      <c r="AC1151" s="7">
        <f t="shared" si="123"/>
        <v>2023</v>
      </c>
      <c r="AD1151" s="7">
        <f t="shared" si="124"/>
        <v>12</v>
      </c>
      <c r="AE1151" s="7">
        <f>COUNTIF(A:A,A1151)</f>
        <v>1</v>
      </c>
      <c r="AF1151" s="7" t="str">
        <f t="shared" si="125"/>
        <v/>
      </c>
    </row>
    <row r="1152" spans="1:32">
      <c r="A1152" t="s">
        <v>2253</v>
      </c>
      <c r="B1152">
        <v>32327365</v>
      </c>
      <c r="C1152" t="s">
        <v>1002</v>
      </c>
      <c r="D1152" t="s">
        <v>1099</v>
      </c>
      <c r="F1152" t="s">
        <v>35</v>
      </c>
      <c r="G1152" t="s">
        <v>92</v>
      </c>
      <c r="I1152" t="s">
        <v>3374</v>
      </c>
      <c r="J1152">
        <v>14177.84</v>
      </c>
      <c r="K1152" t="s">
        <v>86</v>
      </c>
      <c r="L1152" t="s">
        <v>75</v>
      </c>
      <c r="M1152" s="1">
        <v>43931.249305555553</v>
      </c>
      <c r="N1152">
        <v>31</v>
      </c>
      <c r="O1152" t="s">
        <v>24</v>
      </c>
      <c r="P1152" t="s">
        <v>127</v>
      </c>
      <c r="Q1152" t="s">
        <v>3330</v>
      </c>
      <c r="R1152">
        <f t="shared" si="119"/>
        <v>32327365</v>
      </c>
      <c r="S1152" t="str" cm="1">
        <f t="array" ref="S1152">IF(C1152="",IFERROR(INDEX($C$2:$C$1166,MATCH(MAX(COUNTIF($C$2:$C$1166,$C$2:$C$1166)),COUNTIF($C$2:$C$1166,$C$2:$C$1166),0)),"Unknown"),C1152)</f>
        <v>Nancy Martin</v>
      </c>
      <c r="T1152" s="4" t="str" cm="1">
        <f t="array" ref="T1152">IF(D1152="",IFERROR(INDEX($D$2:$D$1000,MATCH(MAX(COUNTIF($D$2:$D$1166,$D$2:$D$1166)),COUNTIF($D$2:$D$1166,$D$2:$D$1166),0)),"Unknown"),D1152)</f>
        <v>Mary Anderson</v>
      </c>
      <c r="U1152" t="str">
        <f t="shared" si="120"/>
        <v>EUR</v>
      </c>
      <c r="V1152" s="7" t="str">
        <f t="shared" si="120"/>
        <v>AUD</v>
      </c>
      <c r="W1152" s="7" t="str">
        <f t="shared" si="121"/>
        <v>Brazil</v>
      </c>
      <c r="X1152" s="7" t="str">
        <f t="shared" si="121"/>
        <v>Canada</v>
      </c>
      <c r="Y1152" s="7" t="str" cm="1">
        <f t="array" ref="Y1152">IF(H1152="",IFERROR(INDEX($H$2:$H$1166,MATCH(MAX(COUNTIF($H$2:$H$1166,$H$2:$H$1166)),COUNTIF($H$2:$H$1166,$H$2:$H$1166),0)),"Unknown"),H1152)</f>
        <v>Pending</v>
      </c>
      <c r="Z1152" s="7" t="str">
        <f t="shared" si="122"/>
        <v>External</v>
      </c>
      <c r="AA1152" s="7">
        <f>IF(J1152="",AVERAGE($J:$J),J1152)</f>
        <v>14177.84</v>
      </c>
      <c r="AB1152" s="7">
        <f>IF(N1152="",AVERAGE($N:$N),N1152)</f>
        <v>31</v>
      </c>
      <c r="AC1152" s="7">
        <f t="shared" si="123"/>
        <v>2020</v>
      </c>
      <c r="AD1152" s="7">
        <f t="shared" si="124"/>
        <v>4</v>
      </c>
      <c r="AE1152" s="7">
        <f>COUNTIF(A:A,A1152)</f>
        <v>2</v>
      </c>
      <c r="AF1152" s="7" t="str">
        <f t="shared" si="125"/>
        <v/>
      </c>
    </row>
    <row r="1153" spans="1:32">
      <c r="A1153" t="s">
        <v>714</v>
      </c>
      <c r="B1153">
        <v>57365168</v>
      </c>
      <c r="C1153" t="s">
        <v>192</v>
      </c>
      <c r="D1153" t="s">
        <v>715</v>
      </c>
      <c r="F1153" t="s">
        <v>116</v>
      </c>
      <c r="G1153" t="s">
        <v>80</v>
      </c>
      <c r="H1153" t="s">
        <v>74</v>
      </c>
      <c r="I1153" t="s">
        <v>3371</v>
      </c>
      <c r="J1153">
        <v>2811.72</v>
      </c>
      <c r="K1153" t="s">
        <v>57</v>
      </c>
      <c r="L1153" t="s">
        <v>28</v>
      </c>
      <c r="M1153" s="1">
        <v>44491.897916666669</v>
      </c>
      <c r="N1153">
        <v>47</v>
      </c>
      <c r="O1153" t="s">
        <v>36</v>
      </c>
      <c r="P1153" t="s">
        <v>24</v>
      </c>
      <c r="Q1153" t="s">
        <v>3331</v>
      </c>
      <c r="R1153">
        <f t="shared" si="119"/>
        <v>57365168</v>
      </c>
      <c r="S1153" t="str" cm="1">
        <f t="array" ref="S1153">IF(C1153="",IFERROR(INDEX($C$2:$C$1166,MATCH(MAX(COUNTIF($C$2:$C$1166,$C$2:$C$1166)),COUNTIF($C$2:$C$1166,$C$2:$C$1166),0)),"Unknown"),C1153)</f>
        <v>Amir Malik</v>
      </c>
      <c r="T1153" s="4" t="str" cm="1">
        <f t="array" ref="T1153">IF(D1153="",IFERROR(INDEX($D$2:$D$1000,MATCH(MAX(COUNTIF($D$2:$D$1166,$D$2:$D$1166)),COUNTIF($D$2:$D$1166,$D$2:$D$1166),0)),"Unknown"),D1153)</f>
        <v>Susan Thomas</v>
      </c>
      <c r="U1153" t="str">
        <f t="shared" si="120"/>
        <v>CHF</v>
      </c>
      <c r="V1153" s="7" t="str">
        <f t="shared" si="120"/>
        <v>USD</v>
      </c>
      <c r="W1153" s="7" t="str">
        <f t="shared" si="121"/>
        <v>Germany</v>
      </c>
      <c r="X1153" s="7" t="str">
        <f t="shared" si="121"/>
        <v>Brazil</v>
      </c>
      <c r="Y1153" s="7" t="str" cm="1">
        <f t="array" ref="Y1153">IF(H1153="",IFERROR(INDEX($H$2:$H$1166,MATCH(MAX(COUNTIF($H$2:$H$1166,$H$2:$H$1166)),COUNTIF($H$2:$H$1166,$H$2:$H$1166),0)),"Unknown"),H1153)</f>
        <v>Non-KYC</v>
      </c>
      <c r="Z1153" s="7" t="str">
        <f t="shared" si="122"/>
        <v>Outer-Transaction</v>
      </c>
      <c r="AA1153" s="7">
        <f>IF(J1153="",AVERAGE($J:$J),J1153)</f>
        <v>2811.72</v>
      </c>
      <c r="AB1153" s="7">
        <f>IF(N1153="",AVERAGE($N:$N),N1153)</f>
        <v>47</v>
      </c>
      <c r="AC1153" s="7">
        <f t="shared" si="123"/>
        <v>2021</v>
      </c>
      <c r="AD1153" s="7">
        <f t="shared" si="124"/>
        <v>10</v>
      </c>
      <c r="AE1153" s="7">
        <f>COUNTIF(A:A,A1153)</f>
        <v>2</v>
      </c>
      <c r="AF1153" s="7" t="str">
        <f t="shared" si="125"/>
        <v/>
      </c>
    </row>
    <row r="1154" spans="1:32">
      <c r="A1154" t="s">
        <v>1527</v>
      </c>
      <c r="B1154">
        <v>73317523</v>
      </c>
      <c r="C1154" t="s">
        <v>1164</v>
      </c>
      <c r="D1154" t="s">
        <v>1265</v>
      </c>
      <c r="F1154" t="s">
        <v>98</v>
      </c>
      <c r="G1154" t="s">
        <v>45</v>
      </c>
      <c r="H1154" t="s">
        <v>38</v>
      </c>
      <c r="I1154" t="s">
        <v>3372</v>
      </c>
      <c r="J1154">
        <v>1022.87</v>
      </c>
      <c r="K1154" t="s">
        <v>86</v>
      </c>
      <c r="L1154" t="s">
        <v>48</v>
      </c>
      <c r="M1154" s="1">
        <v>45512.785416666666</v>
      </c>
      <c r="N1154">
        <v>85</v>
      </c>
      <c r="O1154" t="s">
        <v>37</v>
      </c>
      <c r="P1154" t="s">
        <v>68</v>
      </c>
      <c r="Q1154" t="s">
        <v>3332</v>
      </c>
      <c r="R1154">
        <f t="shared" ref="R1154:R1166" si="126">IF(B1154="",0,B1154)</f>
        <v>73317523</v>
      </c>
      <c r="S1154" t="str" cm="1">
        <f t="array" ref="S1154">IF(C1154="",IFERROR(INDEX($C$2:$C$1166,MATCH(MAX(COUNTIF($C$2:$C$1166,$C$2:$C$1166)),COUNTIF($C$2:$C$1166,$C$2:$C$1166),0)),"Unknown"),C1154)</f>
        <v>Nancy Velez</v>
      </c>
      <c r="T1154" s="4" t="str" cm="1">
        <f t="array" ref="T1154">IF(D1154="",IFERROR(INDEX($D$2:$D$1000,MATCH(MAX(COUNTIF($D$2:$D$1166,$D$2:$D$1166)),COUNTIF($D$2:$D$1166,$D$2:$D$1166),0)),"Unknown"),D1154)</f>
        <v>Linda Jackson</v>
      </c>
      <c r="U1154" t="str">
        <f t="shared" ref="U1154:V1166" si="127">TRIM(F1154)</f>
        <v>JPY</v>
      </c>
      <c r="V1154" s="7" t="str">
        <f t="shared" si="127"/>
        <v>ZAR</v>
      </c>
      <c r="W1154" s="7" t="str">
        <f t="shared" ref="W1154:X1166" si="128">TRIM(O1154)</f>
        <v>South Africa</v>
      </c>
      <c r="X1154" s="7" t="str">
        <f t="shared" si="128"/>
        <v>UAE</v>
      </c>
      <c r="Y1154" s="7" t="str" cm="1">
        <f t="array" ref="Y1154">IF(H1154="",IFERROR(INDEX($H$2:$H$1166,MATCH(MAX(COUNTIF($H$2:$H$1166,$H$2:$H$1166)),COUNTIF($H$2:$H$1166,$H$2:$H$1166),0)),"Unknown"),H1154)</f>
        <v>Pending</v>
      </c>
      <c r="Z1154" s="7" t="str">
        <f t="shared" ref="Z1154:Z1166" si="129">PROPER(I1154)</f>
        <v>Outer-Transaction</v>
      </c>
      <c r="AA1154" s="7">
        <f>IF(J1154="",AVERAGE($J:$J),J1154)</f>
        <v>1022.87</v>
      </c>
      <c r="AB1154" s="7">
        <f>IF(N1154="",AVERAGE($N:$N),N1154)</f>
        <v>85</v>
      </c>
      <c r="AC1154" s="7">
        <f t="shared" ref="AC1154:AC1166" si="130">YEAR(M1154)</f>
        <v>2024</v>
      </c>
      <c r="AD1154" s="7">
        <f t="shared" ref="AD1154:AD1166" si="131">MONTH(M1154)</f>
        <v>8</v>
      </c>
      <c r="AE1154" s="7">
        <f>COUNTIF(A:A,A1154)</f>
        <v>2</v>
      </c>
      <c r="AF1154" s="7" t="str">
        <f t="shared" ref="AF1154:AF1166" si="132">IF(E1154="","",IF(OR(E1154="Yes",E1154="Y",E1154="TRUE",E1154=1),"Yes","No"))</f>
        <v/>
      </c>
    </row>
    <row r="1155" spans="1:32">
      <c r="A1155" t="s">
        <v>2455</v>
      </c>
      <c r="B1155">
        <v>41717630</v>
      </c>
      <c r="C1155" t="s">
        <v>2456</v>
      </c>
      <c r="D1155" t="s">
        <v>994</v>
      </c>
      <c r="F1155" t="s">
        <v>98</v>
      </c>
      <c r="G1155" t="s">
        <v>53</v>
      </c>
      <c r="H1155" t="s">
        <v>74</v>
      </c>
      <c r="I1155" t="s">
        <v>3372</v>
      </c>
      <c r="J1155">
        <v>2625.98</v>
      </c>
      <c r="K1155" t="s">
        <v>86</v>
      </c>
      <c r="L1155" t="s">
        <v>75</v>
      </c>
      <c r="M1155" s="1">
        <v>44073.829861111109</v>
      </c>
      <c r="N1155">
        <v>35</v>
      </c>
      <c r="O1155" t="s">
        <v>23</v>
      </c>
      <c r="P1155" t="s">
        <v>36</v>
      </c>
      <c r="Q1155" t="s">
        <v>3333</v>
      </c>
      <c r="R1155">
        <f t="shared" si="126"/>
        <v>41717630</v>
      </c>
      <c r="S1155" t="str" cm="1">
        <f t="array" ref="S1155">IF(C1155="",IFERROR(INDEX($C$2:$C$1166,MATCH(MAX(COUNTIF($C$2:$C$1166,$C$2:$C$1166)),COUNTIF($C$2:$C$1166,$C$2:$C$1166),0)),"Unknown"),C1155)</f>
        <v xml:space="preserve">  JOHN THOMAS </v>
      </c>
      <c r="T1155" s="4" t="str" cm="1">
        <f t="array" ref="T1155">IF(D1155="",IFERROR(INDEX($D$2:$D$1000,MATCH(MAX(COUNTIF($D$2:$D$1166,$D$2:$D$1166)),COUNTIF($D$2:$D$1166,$D$2:$D$1166),0)),"Unknown"),D1155)</f>
        <v>Marta Hernandez</v>
      </c>
      <c r="U1155" t="str">
        <f t="shared" si="127"/>
        <v>JPY</v>
      </c>
      <c r="V1155" s="7" t="str">
        <f t="shared" si="127"/>
        <v>AED</v>
      </c>
      <c r="W1155" s="7" t="str">
        <f t="shared" si="128"/>
        <v>France</v>
      </c>
      <c r="X1155" s="7" t="str">
        <f t="shared" si="128"/>
        <v>Germany</v>
      </c>
      <c r="Y1155" s="7" t="str" cm="1">
        <f t="array" ref="Y1155">IF(H1155="",IFERROR(INDEX($H$2:$H$1166,MATCH(MAX(COUNTIF($H$2:$H$1166,$H$2:$H$1166)),COUNTIF($H$2:$H$1166,$H$2:$H$1166),0)),"Unknown"),H1155)</f>
        <v>Non-KYC</v>
      </c>
      <c r="Z1155" s="7" t="str">
        <f t="shared" si="129"/>
        <v>Outer-Transaction</v>
      </c>
      <c r="AA1155" s="7">
        <f>IF(J1155="",AVERAGE($J:$J),J1155)</f>
        <v>2625.98</v>
      </c>
      <c r="AB1155" s="7">
        <f>IF(N1155="",AVERAGE($N:$N),N1155)</f>
        <v>35</v>
      </c>
      <c r="AC1155" s="7">
        <f t="shared" si="130"/>
        <v>2020</v>
      </c>
      <c r="AD1155" s="7">
        <f t="shared" si="131"/>
        <v>8</v>
      </c>
      <c r="AE1155" s="7">
        <f>COUNTIF(A:A,A1155)</f>
        <v>2</v>
      </c>
      <c r="AF1155" s="7" t="str">
        <f t="shared" si="132"/>
        <v/>
      </c>
    </row>
    <row r="1156" spans="1:32">
      <c r="A1156" t="s">
        <v>2795</v>
      </c>
      <c r="B1156">
        <v>71242137</v>
      </c>
      <c r="C1156" t="s">
        <v>943</v>
      </c>
      <c r="D1156" t="s">
        <v>1039</v>
      </c>
      <c r="F1156" t="s">
        <v>92</v>
      </c>
      <c r="G1156" t="s">
        <v>121</v>
      </c>
      <c r="H1156" t="s">
        <v>56</v>
      </c>
      <c r="I1156" t="s">
        <v>3374</v>
      </c>
      <c r="J1156">
        <v>9767.9</v>
      </c>
      <c r="K1156" t="s">
        <v>57</v>
      </c>
      <c r="L1156" t="s">
        <v>75</v>
      </c>
      <c r="M1156" s="1">
        <v>44342.563888888886</v>
      </c>
      <c r="N1156">
        <v>79</v>
      </c>
      <c r="O1156" t="s">
        <v>54</v>
      </c>
      <c r="P1156" t="s">
        <v>62</v>
      </c>
      <c r="Q1156" t="s">
        <v>3334</v>
      </c>
      <c r="R1156">
        <f t="shared" si="126"/>
        <v>71242137</v>
      </c>
      <c r="S1156" t="str" cm="1">
        <f t="array" ref="S1156">IF(C1156="",IFERROR(INDEX($C$2:$C$1166,MATCH(MAX(COUNTIF($C$2:$C$1166,$C$2:$C$1166)),COUNTIF($C$2:$C$1166,$C$2:$C$1166),0)),"Unknown"),C1156)</f>
        <v>Mary Nair</v>
      </c>
      <c r="T1156" s="4" t="str" cm="1">
        <f t="array" ref="T1156">IF(D1156="",IFERROR(INDEX($D$2:$D$1000,MATCH(MAX(COUNTIF($D$2:$D$1166,$D$2:$D$1166)),COUNTIF($D$2:$D$1166,$D$2:$D$1166),0)),"Unknown"),D1156)</f>
        <v>Jean-Pierre Silva</v>
      </c>
      <c r="U1156" t="str">
        <f t="shared" si="127"/>
        <v>AUD</v>
      </c>
      <c r="V1156" s="7" t="str">
        <f t="shared" si="127"/>
        <v>INR</v>
      </c>
      <c r="W1156" s="7" t="str">
        <f t="shared" si="128"/>
        <v>India</v>
      </c>
      <c r="X1156" s="7" t="str">
        <f t="shared" si="128"/>
        <v>Australia</v>
      </c>
      <c r="Y1156" s="7" t="str" cm="1">
        <f t="array" ref="Y1156">IF(H1156="",IFERROR(INDEX($H$2:$H$1166,MATCH(MAX(COUNTIF($H$2:$H$1166,$H$2:$H$1166)),COUNTIF($H$2:$H$1166,$H$2:$H$1166),0)),"Unknown"),H1156)</f>
        <v>Unverified</v>
      </c>
      <c r="Z1156" s="7" t="str">
        <f t="shared" si="129"/>
        <v>External</v>
      </c>
      <c r="AA1156" s="7">
        <f>IF(J1156="",AVERAGE($J:$J),J1156)</f>
        <v>9767.9</v>
      </c>
      <c r="AB1156" s="7">
        <f>IF(N1156="",AVERAGE($N:$N),N1156)</f>
        <v>79</v>
      </c>
      <c r="AC1156" s="7">
        <f t="shared" si="130"/>
        <v>2021</v>
      </c>
      <c r="AD1156" s="7">
        <f t="shared" si="131"/>
        <v>5</v>
      </c>
      <c r="AE1156" s="7">
        <f>COUNTIF(A:A,A1156)</f>
        <v>2</v>
      </c>
      <c r="AF1156" s="7" t="str">
        <f t="shared" si="132"/>
        <v/>
      </c>
    </row>
    <row r="1157" spans="1:32">
      <c r="A1157" t="s">
        <v>1374</v>
      </c>
      <c r="B1157">
        <v>29882943</v>
      </c>
      <c r="C1157" t="s">
        <v>1375</v>
      </c>
      <c r="D1157" t="s">
        <v>150</v>
      </c>
      <c r="F1157" t="s">
        <v>80</v>
      </c>
      <c r="G1157" t="s">
        <v>45</v>
      </c>
      <c r="I1157" t="s">
        <v>3376</v>
      </c>
      <c r="J1157">
        <v>14583.56</v>
      </c>
      <c r="K1157" t="s">
        <v>57</v>
      </c>
      <c r="L1157" t="s">
        <v>28</v>
      </c>
      <c r="M1157" s="1">
        <v>46104.385416666664</v>
      </c>
      <c r="N1157">
        <v>54</v>
      </c>
      <c r="O1157" t="s">
        <v>62</v>
      </c>
      <c r="P1157" t="s">
        <v>23</v>
      </c>
      <c r="Q1157" t="s">
        <v>3335</v>
      </c>
      <c r="R1157">
        <f t="shared" si="126"/>
        <v>29882943</v>
      </c>
      <c r="S1157" t="str" cm="1">
        <f t="array" ref="S1157">IF(C1157="",IFERROR(INDEX($C$2:$C$1166,MATCH(MAX(COUNTIF($C$2:$C$1166,$C$2:$C$1166)),COUNTIF($C$2:$C$1166,$C$2:$C$1166),0)),"Unknown"),C1157)</f>
        <v>Carlos Rodriguez</v>
      </c>
      <c r="T1157" s="4" t="str" cm="1">
        <f t="array" ref="T1157">IF(D1157="",IFERROR(INDEX($D$2:$D$1000,MATCH(MAX(COUNTIF($D$2:$D$1166,$D$2:$D$1166)),COUNTIF($D$2:$D$1166,$D$2:$D$1166),0)),"Unknown"),D1157)</f>
        <v>Priya Jones</v>
      </c>
      <c r="U1157" t="str">
        <f t="shared" si="127"/>
        <v>USD</v>
      </c>
      <c r="V1157" s="7" t="str">
        <f t="shared" si="127"/>
        <v>ZAR</v>
      </c>
      <c r="W1157" s="7" t="str">
        <f t="shared" si="128"/>
        <v>Australia</v>
      </c>
      <c r="X1157" s="7" t="str">
        <f t="shared" si="128"/>
        <v>France</v>
      </c>
      <c r="Y1157" s="7" t="str" cm="1">
        <f t="array" ref="Y1157">IF(H1157="",IFERROR(INDEX($H$2:$H$1166,MATCH(MAX(COUNTIF($H$2:$H$1166,$H$2:$H$1166)),COUNTIF($H$2:$H$1166,$H$2:$H$1166),0)),"Unknown"),H1157)</f>
        <v>Pending</v>
      </c>
      <c r="Z1157" s="7" t="str">
        <f t="shared" si="129"/>
        <v>Internal</v>
      </c>
      <c r="AA1157" s="7">
        <f>IF(J1157="",AVERAGE($J:$J),J1157)</f>
        <v>14583.56</v>
      </c>
      <c r="AB1157" s="7">
        <f>IF(N1157="",AVERAGE($N:$N),N1157)</f>
        <v>54</v>
      </c>
      <c r="AC1157" s="7">
        <f t="shared" si="130"/>
        <v>2026</v>
      </c>
      <c r="AD1157" s="7">
        <f t="shared" si="131"/>
        <v>3</v>
      </c>
      <c r="AE1157" s="7">
        <f>COUNTIF(A:A,A1157)</f>
        <v>2</v>
      </c>
      <c r="AF1157" s="7" t="str">
        <f t="shared" si="132"/>
        <v/>
      </c>
    </row>
    <row r="1158" spans="1:32">
      <c r="A1158" t="s">
        <v>3084</v>
      </c>
      <c r="B1158">
        <v>72911386</v>
      </c>
      <c r="C1158" t="s">
        <v>2208</v>
      </c>
      <c r="D1158" t="s">
        <v>1091</v>
      </c>
      <c r="F1158" t="s">
        <v>121</v>
      </c>
      <c r="G1158" t="s">
        <v>121</v>
      </c>
      <c r="H1158" t="s">
        <v>38</v>
      </c>
      <c r="I1158" t="s">
        <v>3371</v>
      </c>
      <c r="J1158">
        <v>1625.88</v>
      </c>
      <c r="K1158" t="s">
        <v>27</v>
      </c>
      <c r="L1158" t="s">
        <v>81</v>
      </c>
      <c r="M1158" s="1">
        <v>45372.143055555556</v>
      </c>
      <c r="N1158">
        <v>42</v>
      </c>
      <c r="O1158" t="s">
        <v>127</v>
      </c>
      <c r="P1158" t="s">
        <v>55</v>
      </c>
      <c r="Q1158" t="s">
        <v>3336</v>
      </c>
      <c r="R1158">
        <f t="shared" si="126"/>
        <v>72911386</v>
      </c>
      <c r="S1158" t="str" cm="1">
        <f t="array" ref="S1158">IF(C1158="",IFERROR(INDEX($C$2:$C$1166,MATCH(MAX(COUNTIF($C$2:$C$1166,$C$2:$C$1166)),COUNTIF($C$2:$C$1166,$C$2:$C$1166),0)),"Unknown"),C1158)</f>
        <v>Priya Hernandez</v>
      </c>
      <c r="T1158" s="4" t="str" cm="1">
        <f t="array" ref="T1158">IF(D1158="",IFERROR(INDEX($D$2:$D$1000,MATCH(MAX(COUNTIF($D$2:$D$1166,$D$2:$D$1166)),COUNTIF($D$2:$D$1166,$D$2:$D$1166),0)),"Unknown"),D1158)</f>
        <v>Nancy Anderson</v>
      </c>
      <c r="U1158" t="str">
        <f t="shared" si="127"/>
        <v>INR</v>
      </c>
      <c r="V1158" s="7" t="str">
        <f t="shared" si="127"/>
        <v>INR</v>
      </c>
      <c r="W1158" s="7" t="str">
        <f t="shared" si="128"/>
        <v>Canada</v>
      </c>
      <c r="X1158" s="7" t="str">
        <f t="shared" si="128"/>
        <v>UK</v>
      </c>
      <c r="Y1158" s="7" t="str" cm="1">
        <f t="array" ref="Y1158">IF(H1158="",IFERROR(INDEX($H$2:$H$1166,MATCH(MAX(COUNTIF($H$2:$H$1166,$H$2:$H$1166)),COUNTIF($H$2:$H$1166,$H$2:$H$1166),0)),"Unknown"),H1158)</f>
        <v>Pending</v>
      </c>
      <c r="Z1158" s="7" t="str">
        <f t="shared" si="129"/>
        <v>Outer-Transaction</v>
      </c>
      <c r="AA1158" s="7">
        <f>IF(J1158="",AVERAGE($J:$J),J1158)</f>
        <v>1625.88</v>
      </c>
      <c r="AB1158" s="7">
        <f>IF(N1158="",AVERAGE($N:$N),N1158)</f>
        <v>42</v>
      </c>
      <c r="AC1158" s="7">
        <f t="shared" si="130"/>
        <v>2024</v>
      </c>
      <c r="AD1158" s="7">
        <f t="shared" si="131"/>
        <v>3</v>
      </c>
      <c r="AE1158" s="7">
        <f>COUNTIF(A:A,A1158)</f>
        <v>2</v>
      </c>
      <c r="AF1158" s="7" t="str">
        <f t="shared" si="132"/>
        <v/>
      </c>
    </row>
    <row r="1159" spans="1:32">
      <c r="A1159" t="s">
        <v>210</v>
      </c>
      <c r="B1159">
        <v>65026398</v>
      </c>
      <c r="C1159" t="s">
        <v>211</v>
      </c>
      <c r="D1159" t="s">
        <v>212</v>
      </c>
      <c r="F1159" t="s">
        <v>53</v>
      </c>
      <c r="G1159" t="s">
        <v>34</v>
      </c>
      <c r="H1159" t="s">
        <v>38</v>
      </c>
      <c r="I1159" t="s">
        <v>3372</v>
      </c>
      <c r="J1159">
        <v>14312.55</v>
      </c>
      <c r="K1159" t="s">
        <v>39</v>
      </c>
      <c r="L1159" t="s">
        <v>28</v>
      </c>
      <c r="M1159" s="1">
        <v>46092.427083333336</v>
      </c>
      <c r="N1159">
        <v>65</v>
      </c>
      <c r="O1159" t="s">
        <v>62</v>
      </c>
      <c r="P1159" t="s">
        <v>36</v>
      </c>
      <c r="Q1159" t="s">
        <v>3337</v>
      </c>
      <c r="R1159">
        <f t="shared" si="126"/>
        <v>65026398</v>
      </c>
      <c r="S1159" t="str" cm="1">
        <f t="array" ref="S1159">IF(C1159="",IFERROR(INDEX($C$2:$C$1166,MATCH(MAX(COUNTIF($C$2:$C$1166,$C$2:$C$1166)),COUNTIF($C$2:$C$1166,$C$2:$C$1166),0)),"Unknown"),C1159)</f>
        <v>Zayn Nair</v>
      </c>
      <c r="T1159" s="4" t="str" cm="1">
        <f t="array" ref="T1159">IF(D1159="",IFERROR(INDEX($D$2:$D$1000,MATCH(MAX(COUNTIF($D$2:$D$1166,$D$2:$D$1166)),COUNTIF($D$2:$D$1166,$D$2:$D$1166),0)),"Unknown"),D1159)</f>
        <v>Michael Williams</v>
      </c>
      <c r="U1159" t="str">
        <f t="shared" si="127"/>
        <v>AED</v>
      </c>
      <c r="V1159" s="7" t="str">
        <f t="shared" si="127"/>
        <v>CAD</v>
      </c>
      <c r="W1159" s="7" t="str">
        <f t="shared" si="128"/>
        <v>Australia</v>
      </c>
      <c r="X1159" s="7" t="str">
        <f t="shared" si="128"/>
        <v>Germany</v>
      </c>
      <c r="Y1159" s="7" t="str" cm="1">
        <f t="array" ref="Y1159">IF(H1159="",IFERROR(INDEX($H$2:$H$1166,MATCH(MAX(COUNTIF($H$2:$H$1166,$H$2:$H$1166)),COUNTIF($H$2:$H$1166,$H$2:$H$1166),0)),"Unknown"),H1159)</f>
        <v>Pending</v>
      </c>
      <c r="Z1159" s="7" t="str">
        <f t="shared" si="129"/>
        <v>Outer-Transaction</v>
      </c>
      <c r="AA1159" s="7">
        <f>IF(J1159="",AVERAGE($J:$J),J1159)</f>
        <v>14312.55</v>
      </c>
      <c r="AB1159" s="7">
        <f>IF(N1159="",AVERAGE($N:$N),N1159)</f>
        <v>65</v>
      </c>
      <c r="AC1159" s="7">
        <f t="shared" si="130"/>
        <v>2026</v>
      </c>
      <c r="AD1159" s="7">
        <f t="shared" si="131"/>
        <v>3</v>
      </c>
      <c r="AE1159" s="7">
        <f>COUNTIF(A:A,A1159)</f>
        <v>2</v>
      </c>
      <c r="AF1159" s="7" t="str">
        <f t="shared" si="132"/>
        <v/>
      </c>
    </row>
    <row r="1160" spans="1:32">
      <c r="A1160" t="s">
        <v>2230</v>
      </c>
      <c r="B1160">
        <v>31684442</v>
      </c>
      <c r="C1160" t="s">
        <v>1762</v>
      </c>
      <c r="D1160" t="s">
        <v>409</v>
      </c>
      <c r="F1160" t="s">
        <v>116</v>
      </c>
      <c r="G1160" t="s">
        <v>34</v>
      </c>
      <c r="I1160" t="s">
        <v>3377</v>
      </c>
      <c r="J1160">
        <v>2715.1</v>
      </c>
      <c r="K1160" t="s">
        <v>39</v>
      </c>
      <c r="L1160" t="s">
        <v>81</v>
      </c>
      <c r="M1160" s="1">
        <v>45945.813888888886</v>
      </c>
      <c r="N1160">
        <v>82</v>
      </c>
      <c r="O1160" t="s">
        <v>37</v>
      </c>
      <c r="P1160" t="s">
        <v>68</v>
      </c>
      <c r="Q1160" t="s">
        <v>3338</v>
      </c>
      <c r="R1160">
        <f t="shared" si="126"/>
        <v>31684442</v>
      </c>
      <c r="S1160" t="str" cm="1">
        <f t="array" ref="S1160">IF(C1160="",IFERROR(INDEX($C$2:$C$1166,MATCH(MAX(COUNTIF($C$2:$C$1166,$C$2:$C$1166)),COUNTIF($C$2:$C$1166,$C$2:$C$1166),0)),"Unknown"),C1160)</f>
        <v>Lucas Gonzalez</v>
      </c>
      <c r="T1160" s="4" t="str" cm="1">
        <f t="array" ref="T1160">IF(D1160="",IFERROR(INDEX($D$2:$D$1000,MATCH(MAX(COUNTIF($D$2:$D$1166,$D$2:$D$1166)),COUNTIF($D$2:$D$1166,$D$2:$D$1166),0)),"Unknown"),D1160)</f>
        <v>Barbara Davis</v>
      </c>
      <c r="U1160" t="str">
        <f t="shared" si="127"/>
        <v>CHF</v>
      </c>
      <c r="V1160" s="7" t="str">
        <f t="shared" si="127"/>
        <v>CAD</v>
      </c>
      <c r="W1160" s="7" t="str">
        <f t="shared" si="128"/>
        <v>South Africa</v>
      </c>
      <c r="X1160" s="7" t="str">
        <f t="shared" si="128"/>
        <v>UAE</v>
      </c>
      <c r="Y1160" s="7" t="str" cm="1">
        <f t="array" ref="Y1160">IF(H1160="",IFERROR(INDEX($H$2:$H$1166,MATCH(MAX(COUNTIF($H$2:$H$1166,$H$2:$H$1166)),COUNTIF($H$2:$H$1166,$H$2:$H$1166),0)),"Unknown"),H1160)</f>
        <v>Pending</v>
      </c>
      <c r="Z1160" s="7" t="str">
        <f t="shared" si="129"/>
        <v>Inter-Transaction</v>
      </c>
      <c r="AA1160" s="7">
        <f>IF(J1160="",AVERAGE($J:$J),J1160)</f>
        <v>2715.1</v>
      </c>
      <c r="AB1160" s="7">
        <f>IF(N1160="",AVERAGE($N:$N),N1160)</f>
        <v>82</v>
      </c>
      <c r="AC1160" s="7">
        <f t="shared" si="130"/>
        <v>2025</v>
      </c>
      <c r="AD1160" s="7">
        <f t="shared" si="131"/>
        <v>10</v>
      </c>
      <c r="AE1160" s="7">
        <f>COUNTIF(A:A,A1160)</f>
        <v>2</v>
      </c>
      <c r="AF1160" s="7" t="str">
        <f t="shared" si="132"/>
        <v/>
      </c>
    </row>
    <row r="1161" spans="1:32">
      <c r="A1161" t="s">
        <v>1111</v>
      </c>
      <c r="B1161">
        <v>76481027</v>
      </c>
      <c r="C1161" t="s">
        <v>285</v>
      </c>
      <c r="D1161" t="s">
        <v>869</v>
      </c>
      <c r="F1161" t="s">
        <v>686</v>
      </c>
      <c r="G1161" t="s">
        <v>92</v>
      </c>
      <c r="H1161" t="s">
        <v>103</v>
      </c>
      <c r="I1161" t="s">
        <v>3371</v>
      </c>
      <c r="J1161">
        <v>7851.15</v>
      </c>
      <c r="K1161" t="s">
        <v>57</v>
      </c>
      <c r="L1161" t="s">
        <v>28</v>
      </c>
      <c r="M1161" s="1">
        <v>44226.637499999997</v>
      </c>
      <c r="N1161">
        <v>70</v>
      </c>
      <c r="O1161" t="s">
        <v>23</v>
      </c>
      <c r="P1161" t="s">
        <v>127</v>
      </c>
      <c r="Q1161" t="s">
        <v>3339</v>
      </c>
      <c r="R1161">
        <f t="shared" si="126"/>
        <v>76481027</v>
      </c>
      <c r="S1161" t="str" cm="1">
        <f t="array" ref="S1161">IF(C1161="",IFERROR(INDEX($C$2:$C$1166,MATCH(MAX(COUNTIF($C$2:$C$1166,$C$2:$C$1166)),COUNTIF($C$2:$C$1166,$C$2:$C$1166),0)),"Unknown"),C1161)</f>
        <v>Charles Nair</v>
      </c>
      <c r="T1161" s="4" t="str" cm="1">
        <f t="array" ref="T1161">IF(D1161="",IFERROR(INDEX($D$2:$D$1000,MATCH(MAX(COUNTIF($D$2:$D$1166,$D$2:$D$1166)),COUNTIF($D$2:$D$1166,$D$2:$D$1166),0)),"Unknown"),D1161)</f>
        <v>Sanjay Taylor</v>
      </c>
      <c r="U1161" t="str">
        <f t="shared" si="127"/>
        <v>sgd</v>
      </c>
      <c r="V1161" s="7" t="str">
        <f t="shared" si="127"/>
        <v>AUD</v>
      </c>
      <c r="W1161" s="7" t="str">
        <f t="shared" si="128"/>
        <v>France</v>
      </c>
      <c r="X1161" s="7" t="str">
        <f t="shared" si="128"/>
        <v>Canada</v>
      </c>
      <c r="Y1161" s="7" t="str" cm="1">
        <f t="array" ref="Y1161">IF(H1161="",IFERROR(INDEX($H$2:$H$1166,MATCH(MAX(COUNTIF($H$2:$H$1166,$H$2:$H$1166)),COUNTIF($H$2:$H$1166,$H$2:$H$1166),0)),"Unknown"),H1161)</f>
        <v>Verified</v>
      </c>
      <c r="Z1161" s="7" t="str">
        <f t="shared" si="129"/>
        <v>Outer-Transaction</v>
      </c>
      <c r="AA1161" s="7">
        <f>IF(J1161="",AVERAGE($J:$J),J1161)</f>
        <v>7851.15</v>
      </c>
      <c r="AB1161" s="7">
        <f>IF(N1161="",AVERAGE($N:$N),N1161)</f>
        <v>70</v>
      </c>
      <c r="AC1161" s="7">
        <f t="shared" si="130"/>
        <v>2021</v>
      </c>
      <c r="AD1161" s="7">
        <f t="shared" si="131"/>
        <v>1</v>
      </c>
      <c r="AE1161" s="7">
        <f>COUNTIF(A:A,A1161)</f>
        <v>2</v>
      </c>
      <c r="AF1161" s="7" t="str">
        <f t="shared" si="132"/>
        <v/>
      </c>
    </row>
    <row r="1162" spans="1:32">
      <c r="A1162" t="s">
        <v>513</v>
      </c>
      <c r="B1162">
        <v>99399687</v>
      </c>
      <c r="C1162" t="s">
        <v>232</v>
      </c>
      <c r="D1162" t="s">
        <v>514</v>
      </c>
      <c r="F1162" t="s">
        <v>22</v>
      </c>
      <c r="G1162" t="s">
        <v>21</v>
      </c>
      <c r="I1162" t="s">
        <v>3378</v>
      </c>
      <c r="J1162">
        <v>2512.77</v>
      </c>
      <c r="K1162" t="s">
        <v>47</v>
      </c>
      <c r="L1162" t="s">
        <v>75</v>
      </c>
      <c r="M1162" s="1">
        <v>44442.847916666666</v>
      </c>
      <c r="N1162">
        <v>32</v>
      </c>
      <c r="O1162" t="s">
        <v>54</v>
      </c>
      <c r="P1162" t="s">
        <v>68</v>
      </c>
      <c r="Q1162" t="s">
        <v>3340</v>
      </c>
      <c r="R1162">
        <f t="shared" si="126"/>
        <v>99399687</v>
      </c>
      <c r="S1162" t="str" cm="1">
        <f t="array" ref="S1162">IF(C1162="",IFERROR(INDEX($C$2:$C$1166,MATCH(MAX(COUNTIF($C$2:$C$1166,$C$2:$C$1166)),COUNTIF($C$2:$C$1166,$C$2:$C$1166),0)),"Unknown"),C1162)</f>
        <v>Fatima Velez</v>
      </c>
      <c r="T1162" s="4" t="str" cm="1">
        <f t="array" ref="T1162">IF(D1162="",IFERROR(INDEX($D$2:$D$1000,MATCH(MAX(COUNTIF($D$2:$D$1166,$D$2:$D$1166)),COUNTIF($D$2:$D$1166,$D$2:$D$1166),0)),"Unknown"),D1162)</f>
        <v>Fatima Garcia</v>
      </c>
      <c r="U1162" t="str">
        <f t="shared" si="127"/>
        <v>BRL</v>
      </c>
      <c r="V1162" s="7" t="str">
        <f t="shared" si="127"/>
        <v>GBP</v>
      </c>
      <c r="W1162" s="7" t="str">
        <f t="shared" si="128"/>
        <v>India</v>
      </c>
      <c r="X1162" s="7" t="str">
        <f t="shared" si="128"/>
        <v>UAE</v>
      </c>
      <c r="Y1162" s="7" t="str" cm="1">
        <f t="array" ref="Y1162">IF(H1162="",IFERROR(INDEX($H$2:$H$1166,MATCH(MAX(COUNTIF($H$2:$H$1166,$H$2:$H$1166)),COUNTIF($H$2:$H$1166,$H$2:$H$1166),0)),"Unknown"),H1162)</f>
        <v>Pending</v>
      </c>
      <c r="Z1162" s="7" t="str">
        <f t="shared" si="129"/>
        <v>Inter-Transaction</v>
      </c>
      <c r="AA1162" s="7">
        <f>IF(J1162="",AVERAGE($J:$J),J1162)</f>
        <v>2512.77</v>
      </c>
      <c r="AB1162" s="7">
        <f>IF(N1162="",AVERAGE($N:$N),N1162)</f>
        <v>32</v>
      </c>
      <c r="AC1162" s="7">
        <f t="shared" si="130"/>
        <v>2021</v>
      </c>
      <c r="AD1162" s="7">
        <f t="shared" si="131"/>
        <v>9</v>
      </c>
      <c r="AE1162" s="7">
        <f>COUNTIF(A:A,A1162)</f>
        <v>2</v>
      </c>
      <c r="AF1162" s="7" t="str">
        <f t="shared" si="132"/>
        <v/>
      </c>
    </row>
    <row r="1163" spans="1:32">
      <c r="A1163" t="s">
        <v>1487</v>
      </c>
      <c r="B1163">
        <v>24384568</v>
      </c>
      <c r="C1163" t="s">
        <v>146</v>
      </c>
      <c r="D1163" t="s">
        <v>79</v>
      </c>
      <c r="F1163" t="s">
        <v>91</v>
      </c>
      <c r="G1163" t="s">
        <v>53</v>
      </c>
      <c r="H1163" t="s">
        <v>25</v>
      </c>
      <c r="I1163" t="s">
        <v>3378</v>
      </c>
      <c r="J1163">
        <v>6477.79</v>
      </c>
      <c r="K1163" t="s">
        <v>47</v>
      </c>
      <c r="L1163" t="s">
        <v>81</v>
      </c>
      <c r="M1163" s="1">
        <v>45091.338888888888</v>
      </c>
      <c r="N1163">
        <v>66</v>
      </c>
      <c r="O1163" t="s">
        <v>23</v>
      </c>
      <c r="P1163" t="s">
        <v>54</v>
      </c>
      <c r="Q1163" t="s">
        <v>3341</v>
      </c>
      <c r="R1163">
        <f t="shared" si="126"/>
        <v>24384568</v>
      </c>
      <c r="S1163" t="str" cm="1">
        <f t="array" ref="S1163">IF(C1163="",IFERROR(INDEX($C$2:$C$1166,MATCH(MAX(COUNTIF($C$2:$C$1166,$C$2:$C$1166)),COUNTIF($C$2:$C$1166,$C$2:$C$1166),0)),"Unknown"),C1163)</f>
        <v>Fatima Brown</v>
      </c>
      <c r="T1163" s="4" t="str" cm="1">
        <f t="array" ref="T1163">IF(D1163="",IFERROR(INDEX($D$2:$D$1000,MATCH(MAX(COUNTIF($D$2:$D$1166,$D$2:$D$1166)),COUNTIF($D$2:$D$1166,$D$2:$D$1166),0)),"Unknown"),D1163)</f>
        <v>Elizabeth Smith</v>
      </c>
      <c r="U1163" t="str">
        <f t="shared" si="127"/>
        <v>gbp</v>
      </c>
      <c r="V1163" s="7" t="str">
        <f t="shared" si="127"/>
        <v>AED</v>
      </c>
      <c r="W1163" s="7" t="str">
        <f t="shared" si="128"/>
        <v>France</v>
      </c>
      <c r="X1163" s="7" t="str">
        <f t="shared" si="128"/>
        <v>India</v>
      </c>
      <c r="Y1163" s="7" t="str" cm="1">
        <f t="array" ref="Y1163">IF(H1163="",IFERROR(INDEX($H$2:$H$1166,MATCH(MAX(COUNTIF($H$2:$H$1166,$H$2:$H$1166)),COUNTIF($H$2:$H$1166,$H$2:$H$1166),0)),"Unknown"),H1163)</f>
        <v>KYC</v>
      </c>
      <c r="Z1163" s="7" t="str">
        <f t="shared" si="129"/>
        <v>Inter-Transaction</v>
      </c>
      <c r="AA1163" s="7">
        <f>IF(J1163="",AVERAGE($J:$J),J1163)</f>
        <v>6477.79</v>
      </c>
      <c r="AB1163" s="7">
        <f>IF(N1163="",AVERAGE($N:$N),N1163)</f>
        <v>66</v>
      </c>
      <c r="AC1163" s="7">
        <f t="shared" si="130"/>
        <v>2023</v>
      </c>
      <c r="AD1163" s="7">
        <f t="shared" si="131"/>
        <v>6</v>
      </c>
      <c r="AE1163" s="7">
        <f>COUNTIF(A:A,A1163)</f>
        <v>2</v>
      </c>
      <c r="AF1163" s="7" t="str">
        <f t="shared" si="132"/>
        <v/>
      </c>
    </row>
    <row r="1164" spans="1:32">
      <c r="A1164" t="s">
        <v>3286</v>
      </c>
      <c r="B1164">
        <v>95377710</v>
      </c>
      <c r="C1164" t="s">
        <v>135</v>
      </c>
      <c r="D1164" t="s">
        <v>387</v>
      </c>
      <c r="F1164" t="s">
        <v>21</v>
      </c>
      <c r="G1164" t="s">
        <v>92</v>
      </c>
      <c r="H1164" t="s">
        <v>38</v>
      </c>
      <c r="I1164" t="s">
        <v>3372</v>
      </c>
      <c r="J1164">
        <v>6371.77</v>
      </c>
      <c r="K1164" t="s">
        <v>57</v>
      </c>
      <c r="L1164" t="s">
        <v>48</v>
      </c>
      <c r="M1164" s="1">
        <v>45688.351388888892</v>
      </c>
      <c r="N1164">
        <v>85</v>
      </c>
      <c r="O1164" t="s">
        <v>68</v>
      </c>
      <c r="P1164" t="s">
        <v>24</v>
      </c>
      <c r="Q1164" t="s">
        <v>3342</v>
      </c>
      <c r="R1164">
        <f t="shared" si="126"/>
        <v>95377710</v>
      </c>
      <c r="S1164" t="str" cm="1">
        <f t="array" ref="S1164">IF(C1164="",IFERROR(INDEX($C$2:$C$1166,MATCH(MAX(COUNTIF($C$2:$C$1166,$C$2:$C$1166)),COUNTIF($C$2:$C$1166,$C$2:$C$1166),0)),"Unknown"),C1164)</f>
        <v>Barbara Taylor</v>
      </c>
      <c r="T1164" s="4" t="str" cm="1">
        <f t="array" ref="T1164">IF(D1164="",IFERROR(INDEX($D$2:$D$1000,MATCH(MAX(COUNTIF($D$2:$D$1166,$D$2:$D$1166)),COUNTIF($D$2:$D$1166,$D$2:$D$1166),0)),"Unknown"),D1164)</f>
        <v>Joseph Velez</v>
      </c>
      <c r="U1164" t="str">
        <f t="shared" si="127"/>
        <v>GBP</v>
      </c>
      <c r="V1164" s="7" t="str">
        <f t="shared" si="127"/>
        <v>AUD</v>
      </c>
      <c r="W1164" s="7" t="str">
        <f t="shared" si="128"/>
        <v>UAE</v>
      </c>
      <c r="X1164" s="7" t="str">
        <f t="shared" si="128"/>
        <v>Brazil</v>
      </c>
      <c r="Y1164" s="7" t="str" cm="1">
        <f t="array" ref="Y1164">IF(H1164="",IFERROR(INDEX($H$2:$H$1166,MATCH(MAX(COUNTIF($H$2:$H$1166,$H$2:$H$1166)),COUNTIF($H$2:$H$1166,$H$2:$H$1166),0)),"Unknown"),H1164)</f>
        <v>Pending</v>
      </c>
      <c r="Z1164" s="7" t="str">
        <f t="shared" si="129"/>
        <v>Outer-Transaction</v>
      </c>
      <c r="AA1164" s="7">
        <f>IF(J1164="",AVERAGE($J:$J),J1164)</f>
        <v>6371.77</v>
      </c>
      <c r="AB1164" s="7">
        <f>IF(N1164="",AVERAGE($N:$N),N1164)</f>
        <v>85</v>
      </c>
      <c r="AC1164" s="7">
        <f t="shared" si="130"/>
        <v>2025</v>
      </c>
      <c r="AD1164" s="7">
        <f t="shared" si="131"/>
        <v>1</v>
      </c>
      <c r="AE1164" s="7">
        <f>COUNTIF(A:A,A1164)</f>
        <v>2</v>
      </c>
      <c r="AF1164" s="7" t="str">
        <f t="shared" si="132"/>
        <v/>
      </c>
    </row>
    <row r="1165" spans="1:32">
      <c r="A1165" t="s">
        <v>3223</v>
      </c>
      <c r="B1165">
        <v>59509360</v>
      </c>
      <c r="C1165" t="s">
        <v>1865</v>
      </c>
      <c r="D1165" t="s">
        <v>3224</v>
      </c>
      <c r="F1165" t="s">
        <v>44</v>
      </c>
      <c r="G1165" t="s">
        <v>393</v>
      </c>
      <c r="H1165" t="s">
        <v>74</v>
      </c>
      <c r="I1165" t="s">
        <v>3377</v>
      </c>
      <c r="J1165">
        <v>14180.86</v>
      </c>
      <c r="K1165" t="s">
        <v>39</v>
      </c>
      <c r="L1165" t="s">
        <v>48</v>
      </c>
      <c r="M1165" s="1">
        <v>44600.696527777778</v>
      </c>
      <c r="N1165">
        <v>29</v>
      </c>
      <c r="O1165" t="s">
        <v>54</v>
      </c>
      <c r="P1165" t="s">
        <v>62</v>
      </c>
      <c r="Q1165" t="s">
        <v>3343</v>
      </c>
      <c r="R1165">
        <f t="shared" si="126"/>
        <v>59509360</v>
      </c>
      <c r="S1165" t="str" cm="1">
        <f t="array" ref="S1165">IF(C1165="",IFERROR(INDEX($C$2:$C$1166,MATCH(MAX(COUNTIF($C$2:$C$1166,$C$2:$C$1166)),COUNTIF($C$2:$C$1166,$C$2:$C$1166),0)),"Unknown"),C1165)</f>
        <v>Michael Souza</v>
      </c>
      <c r="T1165" s="4" t="str" cm="1">
        <f t="array" ref="T1165">IF(D1165="",IFERROR(INDEX($D$2:$D$1000,MATCH(MAX(COUNTIF($D$2:$D$1166,$D$2:$D$1166)),COUNTIF($D$2:$D$1166,$D$2:$D$1166),0)),"Unknown"),D1165)</f>
        <v>Zayn Volkov</v>
      </c>
      <c r="U1165" t="str">
        <f t="shared" si="127"/>
        <v>SGD</v>
      </c>
      <c r="V1165" s="7" t="str">
        <f t="shared" si="127"/>
        <v>cad</v>
      </c>
      <c r="W1165" s="7" t="str">
        <f t="shared" si="128"/>
        <v>India</v>
      </c>
      <c r="X1165" s="7" t="str">
        <f t="shared" si="128"/>
        <v>Australia</v>
      </c>
      <c r="Y1165" s="7" t="str" cm="1">
        <f t="array" ref="Y1165">IF(H1165="",IFERROR(INDEX($H$2:$H$1166,MATCH(MAX(COUNTIF($H$2:$H$1166,$H$2:$H$1166)),COUNTIF($H$2:$H$1166,$H$2:$H$1166),0)),"Unknown"),H1165)</f>
        <v>Non-KYC</v>
      </c>
      <c r="Z1165" s="7" t="str">
        <f t="shared" si="129"/>
        <v>Inter-Transaction</v>
      </c>
      <c r="AA1165" s="7">
        <f>IF(J1165="",AVERAGE($J:$J),J1165)</f>
        <v>14180.86</v>
      </c>
      <c r="AB1165" s="7">
        <f>IF(N1165="",AVERAGE($N:$N),N1165)</f>
        <v>29</v>
      </c>
      <c r="AC1165" s="7">
        <f t="shared" si="130"/>
        <v>2022</v>
      </c>
      <c r="AD1165" s="7">
        <f t="shared" si="131"/>
        <v>2</v>
      </c>
      <c r="AE1165" s="7">
        <f>COUNTIF(A:A,A1165)</f>
        <v>2</v>
      </c>
      <c r="AF1165" s="7" t="str">
        <f t="shared" si="132"/>
        <v/>
      </c>
    </row>
    <row r="1166" spans="1:32">
      <c r="A1166" t="s">
        <v>813</v>
      </c>
      <c r="B1166">
        <v>15527388</v>
      </c>
      <c r="C1166" t="s">
        <v>814</v>
      </c>
      <c r="D1166" t="s">
        <v>815</v>
      </c>
      <c r="F1166" t="s">
        <v>22</v>
      </c>
      <c r="G1166" t="s">
        <v>121</v>
      </c>
      <c r="H1166" t="s">
        <v>38</v>
      </c>
      <c r="I1166" t="s">
        <v>3376</v>
      </c>
      <c r="J1166">
        <v>1360.34</v>
      </c>
      <c r="K1166" t="s">
        <v>39</v>
      </c>
      <c r="L1166" t="s">
        <v>75</v>
      </c>
      <c r="M1166" s="1">
        <v>45253.504861111112</v>
      </c>
      <c r="N1166">
        <v>76</v>
      </c>
      <c r="O1166" t="s">
        <v>68</v>
      </c>
      <c r="P1166" t="s">
        <v>37</v>
      </c>
      <c r="Q1166" t="s">
        <v>3344</v>
      </c>
      <c r="R1166">
        <f t="shared" si="126"/>
        <v>15527388</v>
      </c>
      <c r="S1166" t="str" cm="1">
        <f t="array" ref="S1166">IF(C1166="",IFERROR(INDEX($C$2:$C$1166,MATCH(MAX(COUNTIF($C$2:$C$1166,$C$2:$C$1166)),COUNTIF($C$2:$C$1166,$C$2:$C$1166),0)),"Unknown"),C1166)</f>
        <v>Richard Moore</v>
      </c>
      <c r="T1166" s="4" t="str" cm="1">
        <f t="array" ref="T1166">IF(D1166="",IFERROR(INDEX($D$2:$D$1000,MATCH(MAX(COUNTIF($D$2:$D$1166,$D$2:$D$1166)),COUNTIF($D$2:$D$1166,$D$2:$D$1166),0)),"Unknown"),D1166)</f>
        <v>Christopher Jones</v>
      </c>
      <c r="U1166" t="str">
        <f t="shared" si="127"/>
        <v>BRL</v>
      </c>
      <c r="V1166" s="7" t="str">
        <f t="shared" si="127"/>
        <v>INR</v>
      </c>
      <c r="W1166" s="7" t="str">
        <f t="shared" si="128"/>
        <v>UAE</v>
      </c>
      <c r="X1166" s="7" t="str">
        <f t="shared" si="128"/>
        <v>South Africa</v>
      </c>
      <c r="Y1166" s="7" t="str" cm="1">
        <f t="array" ref="Y1166">IF(H1166="",IFERROR(INDEX($H$2:$H$1166,MATCH(MAX(COUNTIF($H$2:$H$1166,$H$2:$H$1166)),COUNTIF($H$2:$H$1166,$H$2:$H$1166),0)),"Unknown"),H1166)</f>
        <v>Pending</v>
      </c>
      <c r="Z1166" s="7" t="str">
        <f t="shared" si="129"/>
        <v>Internal</v>
      </c>
      <c r="AA1166" s="7">
        <f>IF(J1166="",AVERAGE($J:$J),J1166)</f>
        <v>1360.34</v>
      </c>
      <c r="AB1166" s="7">
        <f>IF(N1166="",AVERAGE($N:$N),N1166)</f>
        <v>76</v>
      </c>
      <c r="AC1166" s="7">
        <f t="shared" si="130"/>
        <v>2023</v>
      </c>
      <c r="AD1166" s="7">
        <f t="shared" si="131"/>
        <v>11</v>
      </c>
      <c r="AE1166" s="7">
        <f>COUNTIF(A:A,A1166)</f>
        <v>2</v>
      </c>
      <c r="AF1166" s="7" t="str">
        <f t="shared" si="132"/>
        <v/>
      </c>
    </row>
    <row r="1168" spans="1:32">
      <c r="A1168" s="2" t="s">
        <v>3345</v>
      </c>
    </row>
    <row r="1169" spans="1:2">
      <c r="A1169" s="3" t="s">
        <v>3346</v>
      </c>
      <c r="B1169">
        <f>COUNTA(A1:A1166)</f>
        <v>1166</v>
      </c>
    </row>
    <row r="1170" spans="1:2">
      <c r="A1170" s="3" t="s">
        <v>3347</v>
      </c>
      <c r="B1170">
        <f>SUM(J1:J1166)</f>
        <v>8722753.1600000039</v>
      </c>
    </row>
    <row r="1171" spans="1:2">
      <c r="A1171" s="3" t="s">
        <v>3348</v>
      </c>
      <c r="B1171">
        <f>AVERAGE(J1:J1166)</f>
        <v>7487.3417682403469</v>
      </c>
    </row>
    <row r="1172" spans="1:2">
      <c r="A1172" s="3" t="s">
        <v>3349</v>
      </c>
      <c r="B1172">
        <f>COUNTIF(L:L,"High")</f>
        <v>280</v>
      </c>
    </row>
    <row r="1173" spans="1:2">
      <c r="A1173" s="3" t="s">
        <v>3350</v>
      </c>
      <c r="B1173">
        <f>COUNTIF(H:H,"Verified")</f>
        <v>176</v>
      </c>
    </row>
    <row r="1174" spans="1:2">
      <c r="A1174" s="3" t="s">
        <v>3351</v>
      </c>
      <c r="B1174" t="e">
        <f>COUNTIF(#REF!,"Yes")</f>
        <v>#REF!</v>
      </c>
    </row>
    <row r="1175" spans="1:2">
      <c r="A1175" s="3" t="s">
        <v>3352</v>
      </c>
      <c r="B1175">
        <f>AVERAGE(N:N)</f>
        <v>51.068669527896994</v>
      </c>
    </row>
    <row r="1176" spans="1:2">
      <c r="A1176" s="3" t="s">
        <v>3353</v>
      </c>
      <c r="B1176">
        <f>COUNTIF(K:K,"Web Portal")</f>
        <v>249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E0A21-A4D6-45EA-A3C0-0907D56629BB}">
  <dimension ref="A1:AE1176"/>
  <sheetViews>
    <sheetView topLeftCell="A1163" workbookViewId="0">
      <selection activeCell="E474" sqref="E474:E1166"/>
    </sheetView>
  </sheetViews>
  <sheetFormatPr defaultRowHeight="15"/>
  <cols>
    <col min="1" max="1" width="26.140625" bestFit="1" customWidth="1"/>
    <col min="2" max="2" width="9.5703125" bestFit="1" customWidth="1"/>
    <col min="3" max="3" width="24.42578125" bestFit="1" customWidth="1"/>
    <col min="4" max="4" width="21.42578125" bestFit="1" customWidth="1"/>
    <col min="5" max="5" width="13.85546875" bestFit="1" customWidth="1"/>
    <col min="6" max="6" width="17.85546875" bestFit="1" customWidth="1"/>
    <col min="7" max="7" width="19.28515625" bestFit="1" customWidth="1"/>
    <col min="8" max="8" width="12.5703125" bestFit="1" customWidth="1"/>
    <col min="9" max="9" width="18.28515625" bestFit="1" customWidth="1"/>
    <col min="10" max="10" width="10.42578125" bestFit="1" customWidth="1"/>
    <col min="11" max="11" width="14.42578125" bestFit="1" customWidth="1"/>
    <col min="12" max="12" width="13" bestFit="1" customWidth="1"/>
    <col min="13" max="13" width="16.5703125" bestFit="1" customWidth="1"/>
    <col min="14" max="14" width="13.28515625" bestFit="1" customWidth="1"/>
    <col min="15" max="15" width="17" bestFit="1" customWidth="1"/>
    <col min="16" max="16" width="18.42578125" bestFit="1" customWidth="1"/>
    <col min="17" max="17" width="23.85546875" bestFit="1" customWidth="1"/>
    <col min="18" max="18" width="14.7109375" bestFit="1" customWidth="1"/>
    <col min="19" max="19" width="16.140625" bestFit="1" customWidth="1"/>
    <col min="20" max="20" width="18.85546875" bestFit="1" customWidth="1"/>
    <col min="21" max="21" width="20.28515625" bestFit="1" customWidth="1"/>
    <col min="22" max="22" width="18" bestFit="1" customWidth="1"/>
    <col min="23" max="24" width="19.42578125" bestFit="1" customWidth="1"/>
    <col min="25" max="25" width="11.42578125" bestFit="1" customWidth="1"/>
    <col min="27" max="27" width="14.140625" bestFit="1" customWidth="1"/>
    <col min="29" max="29" width="15.28515625" bestFit="1" customWidth="1"/>
  </cols>
  <sheetData>
    <row r="1" spans="1:31">
      <c r="A1" t="s">
        <v>0</v>
      </c>
      <c r="B1" t="s">
        <v>1</v>
      </c>
      <c r="C1" t="s">
        <v>3354</v>
      </c>
      <c r="D1" t="s">
        <v>3355</v>
      </c>
      <c r="E1" t="s">
        <v>3379</v>
      </c>
      <c r="F1" t="s">
        <v>5</v>
      </c>
      <c r="G1" t="s">
        <v>3356</v>
      </c>
      <c r="H1" t="s">
        <v>3357</v>
      </c>
      <c r="I1" t="s">
        <v>3358</v>
      </c>
      <c r="J1" t="s">
        <v>11</v>
      </c>
      <c r="K1" t="s">
        <v>13</v>
      </c>
      <c r="L1" t="s">
        <v>14</v>
      </c>
      <c r="M1" t="s">
        <v>15</v>
      </c>
      <c r="N1" t="s">
        <v>3359</v>
      </c>
      <c r="O1" t="s">
        <v>3360</v>
      </c>
      <c r="P1" t="s">
        <v>3361</v>
      </c>
      <c r="Q1" t="s">
        <v>16</v>
      </c>
      <c r="R1" s="5" t="s">
        <v>2</v>
      </c>
      <c r="S1" s="5" t="s">
        <v>3</v>
      </c>
      <c r="T1" s="6" t="s">
        <v>3363</v>
      </c>
      <c r="U1" s="6" t="s">
        <v>6</v>
      </c>
      <c r="V1" s="6" t="s">
        <v>7</v>
      </c>
      <c r="W1" s="6" t="s">
        <v>8</v>
      </c>
      <c r="X1" s="6" t="s">
        <v>10</v>
      </c>
      <c r="Y1" s="6" t="s">
        <v>3364</v>
      </c>
      <c r="Z1" s="6" t="s">
        <v>3365</v>
      </c>
      <c r="AA1" s="6" t="s">
        <v>3366</v>
      </c>
      <c r="AB1" s="6" t="s">
        <v>3367</v>
      </c>
      <c r="AC1" s="6" t="s">
        <v>3368</v>
      </c>
      <c r="AD1" s="6" t="s">
        <v>4</v>
      </c>
      <c r="AE1" s="6" t="s">
        <v>3380</v>
      </c>
    </row>
    <row r="2" spans="1:31">
      <c r="A2" t="s">
        <v>17</v>
      </c>
      <c r="B2">
        <v>95822412</v>
      </c>
      <c r="C2" t="s">
        <v>18</v>
      </c>
      <c r="D2" t="s">
        <v>3370</v>
      </c>
      <c r="E2" t="s">
        <v>20</v>
      </c>
      <c r="F2" t="s">
        <v>21</v>
      </c>
      <c r="G2" t="s">
        <v>22</v>
      </c>
      <c r="H2" t="s">
        <v>25</v>
      </c>
      <c r="I2" t="s">
        <v>3371</v>
      </c>
      <c r="J2">
        <v>3497.59</v>
      </c>
      <c r="K2" t="s">
        <v>27</v>
      </c>
      <c r="L2" t="s">
        <v>28</v>
      </c>
      <c r="M2" s="1">
        <v>44037.936111111114</v>
      </c>
      <c r="N2">
        <v>69</v>
      </c>
      <c r="O2" t="s">
        <v>23</v>
      </c>
      <c r="P2" t="s">
        <v>24</v>
      </c>
      <c r="Q2" t="s">
        <v>29</v>
      </c>
      <c r="R2" t="str">
        <f t="shared" ref="R2:R65" si="0">TRIM(C2)</f>
        <v>Patricia Smith</v>
      </c>
      <c r="S2" s="4" t="str">
        <f t="shared" ref="S2:S65" si="1">PROPER(D2)</f>
        <v xml:space="preserve"> Fatima Rodriguez   </v>
      </c>
      <c r="T2" t="str">
        <f t="shared" ref="T2:T65" si="2">TRIM(F2)</f>
        <v>GBP</v>
      </c>
      <c r="U2" s="7" t="str">
        <f t="shared" ref="U2:U65" si="3">TRIM(G2)</f>
        <v>BRL</v>
      </c>
      <c r="V2" s="7" t="str">
        <f t="shared" ref="V2:V65" si="4">TRIM(O2)</f>
        <v>France</v>
      </c>
      <c r="W2" s="7" t="str">
        <f t="shared" ref="W2:W65" si="5">TRIM(P2)</f>
        <v>Brazil</v>
      </c>
      <c r="X2" s="7" t="str">
        <f t="shared" ref="X2:X65" si="6">PROPER(I2)</f>
        <v>Outer-Transaction</v>
      </c>
      <c r="Y2" s="7">
        <f>IF(J2="",AVERAGE($J:$J),J2)</f>
        <v>3497.59</v>
      </c>
      <c r="Z2" s="7">
        <f t="shared" ref="Z2:Z65" si="7">IF(N2="",AVERAGE($N:$N),N2)</f>
        <v>69</v>
      </c>
      <c r="AA2" s="7">
        <f t="shared" ref="AA2:AA65" si="8">YEAR(M2)</f>
        <v>2020</v>
      </c>
      <c r="AB2" s="7">
        <f t="shared" ref="AB2:AB65" si="9">MONTH(M2)</f>
        <v>7</v>
      </c>
      <c r="AC2" s="7">
        <f>COUNTIF(A:A,A2)</f>
        <v>1</v>
      </c>
      <c r="AD2" s="7" t="str">
        <f t="shared" ref="AD2:AD65" si="10">IF(C2="YES","Yes","No")</f>
        <v>No</v>
      </c>
      <c r="AE2" s="7" t="str">
        <f t="shared" ref="AE2:AE65" si="11">IF(L2="HIGH","High Risk","Normal")</f>
        <v>Normal</v>
      </c>
    </row>
    <row r="3" spans="1:31">
      <c r="A3" t="s">
        <v>30</v>
      </c>
      <c r="B3">
        <v>31429110</v>
      </c>
      <c r="C3" t="s">
        <v>31</v>
      </c>
      <c r="D3" t="s">
        <v>32</v>
      </c>
      <c r="E3" t="s">
        <v>20</v>
      </c>
      <c r="F3" t="s">
        <v>34</v>
      </c>
      <c r="G3" t="s">
        <v>35</v>
      </c>
      <c r="I3" t="s">
        <v>3372</v>
      </c>
      <c r="J3">
        <v>8048.06</v>
      </c>
      <c r="K3" t="s">
        <v>39</v>
      </c>
      <c r="L3" t="s">
        <v>28</v>
      </c>
      <c r="M3" s="1">
        <v>46029.688194444447</v>
      </c>
      <c r="N3">
        <v>32</v>
      </c>
      <c r="O3" t="s">
        <v>36</v>
      </c>
      <c r="P3" t="s">
        <v>37</v>
      </c>
      <c r="Q3" t="s">
        <v>40</v>
      </c>
      <c r="R3" t="str">
        <f t="shared" si="0"/>
        <v>Elena Wilson</v>
      </c>
      <c r="S3" t="str">
        <f t="shared" si="1"/>
        <v>Richard Rodriguez</v>
      </c>
      <c r="T3" t="str">
        <f t="shared" si="2"/>
        <v>CAD</v>
      </c>
      <c r="U3" s="7" t="str">
        <f t="shared" si="3"/>
        <v>EUR</v>
      </c>
      <c r="V3" s="7" t="str">
        <f t="shared" si="4"/>
        <v>Germany</v>
      </c>
      <c r="W3" s="7" t="str">
        <f t="shared" si="5"/>
        <v>South Africa</v>
      </c>
      <c r="X3" s="7" t="str">
        <f t="shared" si="6"/>
        <v>Outer-Transaction</v>
      </c>
      <c r="Y3" s="7">
        <f t="shared" ref="Y2:Y65" si="12">IF(J3="",AVERAGE($J:$J),J3)</f>
        <v>8048.06</v>
      </c>
      <c r="Z3" s="7">
        <f t="shared" si="7"/>
        <v>32</v>
      </c>
      <c r="AA3" s="7">
        <f t="shared" si="8"/>
        <v>2026</v>
      </c>
      <c r="AB3" s="7">
        <f t="shared" si="9"/>
        <v>1</v>
      </c>
      <c r="AC3" s="7">
        <f t="shared" ref="AC2:AC65" si="13">COUNTIF(A:A,A3)</f>
        <v>1</v>
      </c>
      <c r="AD3" s="7" t="str">
        <f t="shared" si="10"/>
        <v>No</v>
      </c>
      <c r="AE3" s="7" t="str">
        <f t="shared" si="11"/>
        <v>Normal</v>
      </c>
    </row>
    <row r="4" spans="1:31">
      <c r="A4" t="s">
        <v>41</v>
      </c>
      <c r="B4">
        <v>20709497</v>
      </c>
      <c r="C4" t="s">
        <v>42</v>
      </c>
      <c r="D4" t="s">
        <v>43</v>
      </c>
      <c r="E4" t="s">
        <v>20</v>
      </c>
      <c r="F4" t="s">
        <v>44</v>
      </c>
      <c r="G4" t="s">
        <v>45</v>
      </c>
      <c r="I4" t="s">
        <v>3374</v>
      </c>
      <c r="J4">
        <v>1080.32</v>
      </c>
      <c r="K4" t="s">
        <v>47</v>
      </c>
      <c r="L4" t="s">
        <v>48</v>
      </c>
      <c r="M4" s="1">
        <v>43995.270138888889</v>
      </c>
      <c r="N4">
        <v>78</v>
      </c>
      <c r="O4" t="s">
        <v>36</v>
      </c>
      <c r="P4" t="s">
        <v>24</v>
      </c>
      <c r="Q4" t="s">
        <v>49</v>
      </c>
      <c r="R4" t="str">
        <f t="shared" si="0"/>
        <v>Zayn Davis</v>
      </c>
      <c r="S4" t="str">
        <f t="shared" si="1"/>
        <v>Zayn Brown</v>
      </c>
      <c r="T4" t="str">
        <f t="shared" si="2"/>
        <v>SGD</v>
      </c>
      <c r="U4" s="7" t="str">
        <f t="shared" si="3"/>
        <v>ZAR</v>
      </c>
      <c r="V4" s="7" t="str">
        <f t="shared" si="4"/>
        <v>Germany</v>
      </c>
      <c r="W4" s="7" t="str">
        <f t="shared" si="5"/>
        <v>Brazil</v>
      </c>
      <c r="X4" s="7" t="str">
        <f t="shared" si="6"/>
        <v>External</v>
      </c>
      <c r="Y4" s="7">
        <f t="shared" si="12"/>
        <v>1080.32</v>
      </c>
      <c r="Z4" s="7">
        <f t="shared" si="7"/>
        <v>78</v>
      </c>
      <c r="AA4" s="7">
        <f t="shared" si="8"/>
        <v>2020</v>
      </c>
      <c r="AB4" s="7">
        <f t="shared" si="9"/>
        <v>6</v>
      </c>
      <c r="AC4" s="7">
        <f t="shared" si="13"/>
        <v>1</v>
      </c>
      <c r="AD4" s="7" t="str">
        <f t="shared" si="10"/>
        <v>No</v>
      </c>
      <c r="AE4" s="7" t="str">
        <f t="shared" si="11"/>
        <v>Normal</v>
      </c>
    </row>
    <row r="5" spans="1:31">
      <c r="A5" t="s">
        <v>50</v>
      </c>
      <c r="B5">
        <v>17507864</v>
      </c>
      <c r="C5" t="s">
        <v>51</v>
      </c>
      <c r="D5" t="s">
        <v>52</v>
      </c>
      <c r="E5" t="s">
        <v>20</v>
      </c>
      <c r="F5" t="s">
        <v>53</v>
      </c>
      <c r="G5" t="s">
        <v>35</v>
      </c>
      <c r="H5" t="s">
        <v>56</v>
      </c>
      <c r="I5" t="s">
        <v>3374</v>
      </c>
      <c r="J5">
        <v>6888.19</v>
      </c>
      <c r="K5" t="s">
        <v>57</v>
      </c>
      <c r="L5" t="s">
        <v>48</v>
      </c>
      <c r="M5" s="1">
        <v>45829.571527777778</v>
      </c>
      <c r="N5">
        <v>38</v>
      </c>
      <c r="O5" t="s">
        <v>54</v>
      </c>
      <c r="P5" t="s">
        <v>55</v>
      </c>
      <c r="Q5" t="s">
        <v>58</v>
      </c>
      <c r="R5" t="str">
        <f t="shared" si="0"/>
        <v>Elizabeth Khan</v>
      </c>
      <c r="S5" t="str">
        <f t="shared" si="1"/>
        <v>Mary Silva</v>
      </c>
      <c r="T5" t="str">
        <f t="shared" si="2"/>
        <v>AED</v>
      </c>
      <c r="U5" s="7" t="str">
        <f t="shared" si="3"/>
        <v>EUR</v>
      </c>
      <c r="V5" s="7" t="str">
        <f t="shared" si="4"/>
        <v>India</v>
      </c>
      <c r="W5" s="7" t="str">
        <f t="shared" si="5"/>
        <v>UK</v>
      </c>
      <c r="X5" s="7" t="str">
        <f t="shared" si="6"/>
        <v>External</v>
      </c>
      <c r="Y5" s="7">
        <f t="shared" si="12"/>
        <v>6888.19</v>
      </c>
      <c r="Z5" s="7">
        <f t="shared" si="7"/>
        <v>38</v>
      </c>
      <c r="AA5" s="7">
        <f t="shared" si="8"/>
        <v>2025</v>
      </c>
      <c r="AB5" s="7">
        <f t="shared" si="9"/>
        <v>6</v>
      </c>
      <c r="AC5" s="7">
        <f t="shared" si="13"/>
        <v>1</v>
      </c>
      <c r="AD5" s="7" t="str">
        <f t="shared" si="10"/>
        <v>No</v>
      </c>
      <c r="AE5" s="7" t="str">
        <f t="shared" si="11"/>
        <v>Normal</v>
      </c>
    </row>
    <row r="6" spans="1:31">
      <c r="A6" t="s">
        <v>59</v>
      </c>
      <c r="B6">
        <v>28566572</v>
      </c>
      <c r="C6" t="s">
        <v>60</v>
      </c>
      <c r="D6" t="s">
        <v>61</v>
      </c>
      <c r="E6" t="s">
        <v>20</v>
      </c>
      <c r="F6" t="s">
        <v>35</v>
      </c>
      <c r="G6" t="s">
        <v>21</v>
      </c>
      <c r="H6" t="s">
        <v>56</v>
      </c>
      <c r="I6" t="s">
        <v>3376</v>
      </c>
      <c r="J6">
        <v>3778.7</v>
      </c>
      <c r="K6" t="s">
        <v>27</v>
      </c>
      <c r="L6" t="s">
        <v>28</v>
      </c>
      <c r="M6" s="1">
        <v>45915.688194444447</v>
      </c>
      <c r="N6">
        <v>41</v>
      </c>
      <c r="O6" t="s">
        <v>62</v>
      </c>
      <c r="P6" t="s">
        <v>23</v>
      </c>
      <c r="Q6" t="s">
        <v>64</v>
      </c>
      <c r="R6" t="str">
        <f t="shared" si="0"/>
        <v>CHARLES THOMAS</v>
      </c>
      <c r="S6" t="str">
        <f t="shared" si="1"/>
        <v>Robert Dubois</v>
      </c>
      <c r="T6" t="str">
        <f t="shared" si="2"/>
        <v>EUR</v>
      </c>
      <c r="U6" s="7" t="str">
        <f t="shared" si="3"/>
        <v>GBP</v>
      </c>
      <c r="V6" s="7" t="str">
        <f t="shared" si="4"/>
        <v>Australia</v>
      </c>
      <c r="W6" s="7" t="str">
        <f t="shared" si="5"/>
        <v>France</v>
      </c>
      <c r="X6" s="7" t="str">
        <f t="shared" si="6"/>
        <v>Internal</v>
      </c>
      <c r="Y6" s="7">
        <f t="shared" si="12"/>
        <v>3778.7</v>
      </c>
      <c r="Z6" s="7">
        <f t="shared" si="7"/>
        <v>41</v>
      </c>
      <c r="AA6" s="7">
        <f t="shared" si="8"/>
        <v>2025</v>
      </c>
      <c r="AB6" s="7">
        <f t="shared" si="9"/>
        <v>9</v>
      </c>
      <c r="AC6" s="7">
        <f t="shared" si="13"/>
        <v>1</v>
      </c>
      <c r="AD6" s="7" t="str">
        <f t="shared" si="10"/>
        <v>No</v>
      </c>
      <c r="AE6" s="7" t="str">
        <f t="shared" si="11"/>
        <v>Normal</v>
      </c>
    </row>
    <row r="7" spans="1:31">
      <c r="A7" t="s">
        <v>65</v>
      </c>
      <c r="B7">
        <v>45351479</v>
      </c>
      <c r="C7" t="s">
        <v>66</v>
      </c>
      <c r="D7" t="s">
        <v>67</v>
      </c>
      <c r="E7">
        <v>0</v>
      </c>
      <c r="F7" t="s">
        <v>45</v>
      </c>
      <c r="G7" t="s">
        <v>53</v>
      </c>
      <c r="H7" t="s">
        <v>38</v>
      </c>
      <c r="I7" t="s">
        <v>3377</v>
      </c>
      <c r="J7">
        <v>8988.18</v>
      </c>
      <c r="K7" t="s">
        <v>39</v>
      </c>
      <c r="L7" t="s">
        <v>28</v>
      </c>
      <c r="M7" s="1">
        <v>44163.545138888891</v>
      </c>
      <c r="N7">
        <v>20</v>
      </c>
      <c r="O7" t="s">
        <v>37</v>
      </c>
      <c r="P7" t="s">
        <v>68</v>
      </c>
      <c r="Q7" t="s">
        <v>70</v>
      </c>
      <c r="R7" t="str">
        <f t="shared" si="0"/>
        <v>Charles Dubois</v>
      </c>
      <c r="S7" t="str">
        <f t="shared" si="1"/>
        <v>Linda Taylor</v>
      </c>
      <c r="T7" t="str">
        <f t="shared" si="2"/>
        <v>ZAR</v>
      </c>
      <c r="U7" s="7" t="str">
        <f t="shared" si="3"/>
        <v>AED</v>
      </c>
      <c r="V7" s="7" t="str">
        <f t="shared" si="4"/>
        <v>South Africa</v>
      </c>
      <c r="W7" s="7" t="str">
        <f t="shared" si="5"/>
        <v>UAE</v>
      </c>
      <c r="X7" s="7" t="str">
        <f t="shared" si="6"/>
        <v>Inter-Transaction</v>
      </c>
      <c r="Y7" s="7">
        <f t="shared" si="12"/>
        <v>8988.18</v>
      </c>
      <c r="Z7" s="7">
        <f t="shared" si="7"/>
        <v>20</v>
      </c>
      <c r="AA7" s="7">
        <f t="shared" si="8"/>
        <v>2020</v>
      </c>
      <c r="AB7" s="7">
        <f t="shared" si="9"/>
        <v>11</v>
      </c>
      <c r="AC7" s="7">
        <f t="shared" si="13"/>
        <v>1</v>
      </c>
      <c r="AD7" s="7" t="str">
        <f t="shared" si="10"/>
        <v>No</v>
      </c>
      <c r="AE7" s="7" t="str">
        <f t="shared" si="11"/>
        <v>Normal</v>
      </c>
    </row>
    <row r="8" spans="1:31">
      <c r="A8" t="s">
        <v>71</v>
      </c>
      <c r="B8">
        <v>75228535</v>
      </c>
      <c r="C8" t="s">
        <v>72</v>
      </c>
      <c r="D8" t="s">
        <v>73</v>
      </c>
      <c r="E8" t="s">
        <v>3375</v>
      </c>
      <c r="F8" t="s">
        <v>21</v>
      </c>
      <c r="G8" t="s">
        <v>45</v>
      </c>
      <c r="H8" t="s">
        <v>74</v>
      </c>
      <c r="I8" t="s">
        <v>3376</v>
      </c>
      <c r="J8">
        <v>11331.43</v>
      </c>
      <c r="K8" t="s">
        <v>47</v>
      </c>
      <c r="L8" t="s">
        <v>75</v>
      </c>
      <c r="M8" s="1">
        <v>44233.765972222223</v>
      </c>
      <c r="N8">
        <v>39</v>
      </c>
      <c r="O8" t="s">
        <v>37</v>
      </c>
      <c r="P8" t="s">
        <v>36</v>
      </c>
      <c r="Q8" t="s">
        <v>76</v>
      </c>
      <c r="R8" t="str">
        <f t="shared" si="0"/>
        <v>Amir Williams</v>
      </c>
      <c r="S8" t="str">
        <f t="shared" si="1"/>
        <v>Jean-Pierre Moore</v>
      </c>
      <c r="T8" t="str">
        <f t="shared" si="2"/>
        <v>GBP</v>
      </c>
      <c r="U8" s="7" t="str">
        <f t="shared" si="3"/>
        <v>ZAR</v>
      </c>
      <c r="V8" s="7" t="str">
        <f t="shared" si="4"/>
        <v>South Africa</v>
      </c>
      <c r="W8" s="7" t="str">
        <f t="shared" si="5"/>
        <v>Germany</v>
      </c>
      <c r="X8" s="7" t="str">
        <f t="shared" si="6"/>
        <v>Internal</v>
      </c>
      <c r="Y8" s="7">
        <f t="shared" si="12"/>
        <v>11331.43</v>
      </c>
      <c r="Z8" s="7">
        <f t="shared" si="7"/>
        <v>39</v>
      </c>
      <c r="AA8" s="7">
        <f t="shared" si="8"/>
        <v>2021</v>
      </c>
      <c r="AB8" s="7">
        <f t="shared" si="9"/>
        <v>2</v>
      </c>
      <c r="AC8" s="7">
        <f t="shared" si="13"/>
        <v>1</v>
      </c>
      <c r="AD8" s="7" t="str">
        <f t="shared" si="10"/>
        <v>No</v>
      </c>
      <c r="AE8" s="7" t="str">
        <f t="shared" si="11"/>
        <v>High Risk</v>
      </c>
    </row>
    <row r="9" spans="1:31">
      <c r="A9" t="s">
        <v>77</v>
      </c>
      <c r="B9">
        <v>84346088</v>
      </c>
      <c r="C9" t="s">
        <v>78</v>
      </c>
      <c r="D9" t="s">
        <v>79</v>
      </c>
      <c r="E9" t="s">
        <v>20</v>
      </c>
      <c r="F9" t="s">
        <v>45</v>
      </c>
      <c r="G9" t="s">
        <v>80</v>
      </c>
      <c r="I9" t="s">
        <v>3372</v>
      </c>
      <c r="J9">
        <v>3221.41</v>
      </c>
      <c r="K9" t="s">
        <v>47</v>
      </c>
      <c r="L9" t="s">
        <v>81</v>
      </c>
      <c r="M9" s="1">
        <v>44244.226388888892</v>
      </c>
      <c r="N9">
        <v>70</v>
      </c>
      <c r="O9" t="s">
        <v>55</v>
      </c>
      <c r="P9" t="s">
        <v>24</v>
      </c>
      <c r="Q9" t="s">
        <v>82</v>
      </c>
      <c r="R9" t="str">
        <f t="shared" si="0"/>
        <v>Elizabeth Jackson</v>
      </c>
      <c r="S9" t="str">
        <f t="shared" si="1"/>
        <v>Elizabeth Smith</v>
      </c>
      <c r="T9" t="str">
        <f t="shared" si="2"/>
        <v>ZAR</v>
      </c>
      <c r="U9" s="7" t="str">
        <f t="shared" si="3"/>
        <v>USD</v>
      </c>
      <c r="V9" s="7" t="str">
        <f t="shared" si="4"/>
        <v>UK</v>
      </c>
      <c r="W9" s="7" t="str">
        <f t="shared" si="5"/>
        <v>Brazil</v>
      </c>
      <c r="X9" s="7" t="str">
        <f t="shared" si="6"/>
        <v>Outer-Transaction</v>
      </c>
      <c r="Y9" s="7">
        <f t="shared" si="12"/>
        <v>3221.41</v>
      </c>
      <c r="Z9" s="7">
        <f t="shared" si="7"/>
        <v>70</v>
      </c>
      <c r="AA9" s="7">
        <f t="shared" si="8"/>
        <v>2021</v>
      </c>
      <c r="AB9" s="7">
        <f t="shared" si="9"/>
        <v>2</v>
      </c>
      <c r="AC9" s="7">
        <f t="shared" si="13"/>
        <v>1</v>
      </c>
      <c r="AD9" s="7" t="str">
        <f t="shared" si="10"/>
        <v>No</v>
      </c>
      <c r="AE9" s="7" t="str">
        <f t="shared" si="11"/>
        <v>Normal</v>
      </c>
    </row>
    <row r="10" spans="1:31">
      <c r="A10" t="s">
        <v>83</v>
      </c>
      <c r="B10">
        <v>17270733</v>
      </c>
      <c r="C10" t="s">
        <v>84</v>
      </c>
      <c r="D10" t="s">
        <v>85</v>
      </c>
      <c r="E10" t="s">
        <v>20</v>
      </c>
      <c r="F10" t="s">
        <v>22</v>
      </c>
      <c r="G10" t="s">
        <v>34</v>
      </c>
      <c r="H10" t="s">
        <v>74</v>
      </c>
      <c r="I10" t="s">
        <v>3378</v>
      </c>
      <c r="J10">
        <v>6944.79</v>
      </c>
      <c r="K10" t="s">
        <v>86</v>
      </c>
      <c r="L10" t="s">
        <v>81</v>
      </c>
      <c r="M10" s="1">
        <v>43875.724305555559</v>
      </c>
      <c r="N10">
        <v>19</v>
      </c>
      <c r="O10" t="s">
        <v>68</v>
      </c>
      <c r="P10" t="s">
        <v>55</v>
      </c>
      <c r="Q10" t="s">
        <v>87</v>
      </c>
      <c r="R10" t="str">
        <f t="shared" si="0"/>
        <v>Marta Nair</v>
      </c>
      <c r="S10" t="str">
        <f t="shared" si="1"/>
        <v>Sanjay Brown</v>
      </c>
      <c r="T10" t="str">
        <f t="shared" si="2"/>
        <v>BRL</v>
      </c>
      <c r="U10" s="7" t="str">
        <f t="shared" si="3"/>
        <v>CAD</v>
      </c>
      <c r="V10" s="7" t="str">
        <f t="shared" si="4"/>
        <v>UAE</v>
      </c>
      <c r="W10" s="7" t="str">
        <f t="shared" si="5"/>
        <v>UK</v>
      </c>
      <c r="X10" s="7" t="str">
        <f t="shared" si="6"/>
        <v>Inter-Transaction</v>
      </c>
      <c r="Y10" s="7">
        <f t="shared" si="12"/>
        <v>6944.79</v>
      </c>
      <c r="Z10" s="7">
        <f t="shared" si="7"/>
        <v>19</v>
      </c>
      <c r="AA10" s="7">
        <f t="shared" si="8"/>
        <v>2020</v>
      </c>
      <c r="AB10" s="7">
        <f t="shared" si="9"/>
        <v>2</v>
      </c>
      <c r="AC10" s="7">
        <f t="shared" si="13"/>
        <v>1</v>
      </c>
      <c r="AD10" s="7" t="str">
        <f t="shared" si="10"/>
        <v>No</v>
      </c>
      <c r="AE10" s="7" t="str">
        <f t="shared" si="11"/>
        <v>Normal</v>
      </c>
    </row>
    <row r="11" spans="1:31">
      <c r="A11" t="s">
        <v>88</v>
      </c>
      <c r="B11">
        <v>75181648</v>
      </c>
      <c r="C11" t="s">
        <v>89</v>
      </c>
      <c r="D11" t="s">
        <v>90</v>
      </c>
      <c r="E11">
        <v>0</v>
      </c>
      <c r="F11" t="s">
        <v>91</v>
      </c>
      <c r="G11" t="s">
        <v>92</v>
      </c>
      <c r="I11" t="s">
        <v>3374</v>
      </c>
      <c r="J11">
        <v>14931.39</v>
      </c>
      <c r="K11" t="s">
        <v>27</v>
      </c>
      <c r="L11" t="s">
        <v>81</v>
      </c>
      <c r="M11" s="1">
        <v>46084.204861111109</v>
      </c>
      <c r="N11">
        <v>47</v>
      </c>
      <c r="O11" t="s">
        <v>62</v>
      </c>
      <c r="P11" t="s">
        <v>93</v>
      </c>
      <c r="Q11" t="s">
        <v>94</v>
      </c>
      <c r="R11" t="str">
        <f t="shared" si="0"/>
        <v>Sarah Miller</v>
      </c>
      <c r="S11" t="str">
        <f t="shared" si="1"/>
        <v>Zayn Gonzalez</v>
      </c>
      <c r="T11" t="str">
        <f t="shared" si="2"/>
        <v>gbp</v>
      </c>
      <c r="U11" s="7" t="str">
        <f t="shared" si="3"/>
        <v>AUD</v>
      </c>
      <c r="V11" s="7" t="str">
        <f t="shared" si="4"/>
        <v>Australia</v>
      </c>
      <c r="W11" s="7" t="str">
        <f t="shared" si="5"/>
        <v>USA</v>
      </c>
      <c r="X11" s="7" t="str">
        <f t="shared" si="6"/>
        <v>External</v>
      </c>
      <c r="Y11" s="7">
        <f t="shared" si="12"/>
        <v>14931.39</v>
      </c>
      <c r="Z11" s="7">
        <f t="shared" si="7"/>
        <v>47</v>
      </c>
      <c r="AA11" s="7">
        <f t="shared" si="8"/>
        <v>2026</v>
      </c>
      <c r="AB11" s="7">
        <f t="shared" si="9"/>
        <v>3</v>
      </c>
      <c r="AC11" s="7">
        <f t="shared" si="13"/>
        <v>1</v>
      </c>
      <c r="AD11" s="7" t="str">
        <f t="shared" si="10"/>
        <v>No</v>
      </c>
      <c r="AE11" s="7" t="str">
        <f t="shared" si="11"/>
        <v>Normal</v>
      </c>
    </row>
    <row r="12" spans="1:31">
      <c r="A12" t="s">
        <v>95</v>
      </c>
      <c r="B12">
        <v>73993471</v>
      </c>
      <c r="C12" t="s">
        <v>96</v>
      </c>
      <c r="D12" t="s">
        <v>97</v>
      </c>
      <c r="E12" t="s">
        <v>20</v>
      </c>
      <c r="F12" t="s">
        <v>98</v>
      </c>
      <c r="G12" t="s">
        <v>99</v>
      </c>
      <c r="H12" t="s">
        <v>38</v>
      </c>
      <c r="I12" t="s">
        <v>3371</v>
      </c>
      <c r="J12">
        <v>8688</v>
      </c>
      <c r="K12" t="s">
        <v>86</v>
      </c>
      <c r="L12" t="s">
        <v>28</v>
      </c>
      <c r="M12" s="1">
        <v>43892.984027777777</v>
      </c>
      <c r="N12">
        <v>55</v>
      </c>
      <c r="O12" t="s">
        <v>24</v>
      </c>
      <c r="P12" t="s">
        <v>62</v>
      </c>
      <c r="Q12" t="s">
        <v>100</v>
      </c>
      <c r="R12" t="str">
        <f t="shared" si="0"/>
        <v>Charles Souza</v>
      </c>
      <c r="S12" t="str">
        <f t="shared" si="1"/>
        <v>Zayn Taylor</v>
      </c>
      <c r="T12" t="str">
        <f t="shared" si="2"/>
        <v>JPY</v>
      </c>
      <c r="U12" s="7" t="str">
        <f t="shared" si="3"/>
        <v>eur</v>
      </c>
      <c r="V12" s="7" t="str">
        <f t="shared" si="4"/>
        <v>Brazil</v>
      </c>
      <c r="W12" s="7" t="str">
        <f t="shared" si="5"/>
        <v>Australia</v>
      </c>
      <c r="X12" s="7" t="str">
        <f t="shared" si="6"/>
        <v>Outer-Transaction</v>
      </c>
      <c r="Y12" s="7">
        <f t="shared" si="12"/>
        <v>8688</v>
      </c>
      <c r="Z12" s="7">
        <f t="shared" si="7"/>
        <v>55</v>
      </c>
      <c r="AA12" s="7">
        <f t="shared" si="8"/>
        <v>2020</v>
      </c>
      <c r="AB12" s="7">
        <f t="shared" si="9"/>
        <v>3</v>
      </c>
      <c r="AC12" s="7">
        <f t="shared" si="13"/>
        <v>1</v>
      </c>
      <c r="AD12" s="7" t="str">
        <f t="shared" si="10"/>
        <v>No</v>
      </c>
      <c r="AE12" s="7" t="str">
        <f t="shared" si="11"/>
        <v>Normal</v>
      </c>
    </row>
    <row r="13" spans="1:31">
      <c r="A13" t="s">
        <v>101</v>
      </c>
      <c r="B13">
        <v>27566185</v>
      </c>
      <c r="C13" t="s">
        <v>84</v>
      </c>
      <c r="D13" t="s">
        <v>102</v>
      </c>
      <c r="E13" t="s">
        <v>20</v>
      </c>
      <c r="F13" t="s">
        <v>35</v>
      </c>
      <c r="G13" t="s">
        <v>80</v>
      </c>
      <c r="H13" t="s">
        <v>103</v>
      </c>
      <c r="I13" t="s">
        <v>3371</v>
      </c>
      <c r="J13">
        <v>13999.56</v>
      </c>
      <c r="K13" t="s">
        <v>86</v>
      </c>
      <c r="L13" t="s">
        <v>48</v>
      </c>
      <c r="M13" s="1">
        <v>46298.068749999999</v>
      </c>
      <c r="N13">
        <v>19</v>
      </c>
      <c r="O13" t="s">
        <v>24</v>
      </c>
      <c r="P13" t="s">
        <v>54</v>
      </c>
      <c r="Q13" t="s">
        <v>104</v>
      </c>
      <c r="R13" t="str">
        <f t="shared" si="0"/>
        <v>Marta Nair</v>
      </c>
      <c r="S13" t="str">
        <f t="shared" si="1"/>
        <v>Barbara Anderson</v>
      </c>
      <c r="T13" t="str">
        <f t="shared" si="2"/>
        <v>EUR</v>
      </c>
      <c r="U13" s="7" t="str">
        <f t="shared" si="3"/>
        <v>USD</v>
      </c>
      <c r="V13" s="7" t="str">
        <f t="shared" si="4"/>
        <v>Brazil</v>
      </c>
      <c r="W13" s="7" t="str">
        <f t="shared" si="5"/>
        <v>India</v>
      </c>
      <c r="X13" s="7" t="str">
        <f t="shared" si="6"/>
        <v>Outer-Transaction</v>
      </c>
      <c r="Y13" s="7">
        <f t="shared" si="12"/>
        <v>13999.56</v>
      </c>
      <c r="Z13" s="7">
        <f t="shared" si="7"/>
        <v>19</v>
      </c>
      <c r="AA13" s="7">
        <f t="shared" si="8"/>
        <v>2026</v>
      </c>
      <c r="AB13" s="7">
        <f t="shared" si="9"/>
        <v>10</v>
      </c>
      <c r="AC13" s="7">
        <f t="shared" si="13"/>
        <v>1</v>
      </c>
      <c r="AD13" s="7" t="str">
        <f t="shared" si="10"/>
        <v>No</v>
      </c>
      <c r="AE13" s="7" t="str">
        <f t="shared" si="11"/>
        <v>Normal</v>
      </c>
    </row>
    <row r="14" spans="1:31">
      <c r="A14" t="s">
        <v>105</v>
      </c>
      <c r="B14">
        <v>99639081</v>
      </c>
      <c r="C14" t="s">
        <v>106</v>
      </c>
      <c r="D14" t="s">
        <v>107</v>
      </c>
      <c r="E14" t="s">
        <v>20</v>
      </c>
      <c r="F14" t="s">
        <v>21</v>
      </c>
      <c r="G14" t="s">
        <v>53</v>
      </c>
      <c r="I14" t="s">
        <v>3378</v>
      </c>
      <c r="J14">
        <v>3061.92</v>
      </c>
      <c r="K14" t="s">
        <v>57</v>
      </c>
      <c r="L14" t="s">
        <v>81</v>
      </c>
      <c r="M14" s="1">
        <v>44698.593055555553</v>
      </c>
      <c r="N14">
        <v>81</v>
      </c>
      <c r="O14" t="s">
        <v>37</v>
      </c>
      <c r="P14" t="s">
        <v>55</v>
      </c>
      <c r="Q14" t="s">
        <v>108</v>
      </c>
      <c r="R14" t="str">
        <f t="shared" si="0"/>
        <v>Amir Moore</v>
      </c>
      <c r="S14" t="str">
        <f t="shared" si="1"/>
        <v>Barbara Souza</v>
      </c>
      <c r="T14" t="str">
        <f t="shared" si="2"/>
        <v>GBP</v>
      </c>
      <c r="U14" s="7" t="str">
        <f t="shared" si="3"/>
        <v>AED</v>
      </c>
      <c r="V14" s="7" t="str">
        <f t="shared" si="4"/>
        <v>South Africa</v>
      </c>
      <c r="W14" s="7" t="str">
        <f t="shared" si="5"/>
        <v>UK</v>
      </c>
      <c r="X14" s="7" t="str">
        <f t="shared" si="6"/>
        <v>Inter-Transaction</v>
      </c>
      <c r="Y14" s="7">
        <f t="shared" si="12"/>
        <v>3061.92</v>
      </c>
      <c r="Z14" s="7">
        <f t="shared" si="7"/>
        <v>81</v>
      </c>
      <c r="AA14" s="7">
        <f t="shared" si="8"/>
        <v>2022</v>
      </c>
      <c r="AB14" s="7">
        <f t="shared" si="9"/>
        <v>5</v>
      </c>
      <c r="AC14" s="7">
        <f t="shared" si="13"/>
        <v>1</v>
      </c>
      <c r="AD14" s="7" t="str">
        <f t="shared" si="10"/>
        <v>No</v>
      </c>
      <c r="AE14" s="7" t="str">
        <f t="shared" si="11"/>
        <v>Normal</v>
      </c>
    </row>
    <row r="15" spans="1:31">
      <c r="A15" t="s">
        <v>109</v>
      </c>
      <c r="B15">
        <v>31687165</v>
      </c>
      <c r="C15" t="s">
        <v>110</v>
      </c>
      <c r="D15" t="s">
        <v>111</v>
      </c>
      <c r="E15" t="s">
        <v>20</v>
      </c>
      <c r="F15" t="s">
        <v>112</v>
      </c>
      <c r="G15" t="s">
        <v>35</v>
      </c>
      <c r="H15" t="s">
        <v>38</v>
      </c>
      <c r="I15" t="s">
        <v>3376</v>
      </c>
      <c r="J15">
        <v>2229.9299999999998</v>
      </c>
      <c r="K15" t="s">
        <v>47</v>
      </c>
      <c r="L15" t="s">
        <v>28</v>
      </c>
      <c r="M15" s="1">
        <v>45322.431250000001</v>
      </c>
      <c r="N15">
        <v>77</v>
      </c>
      <c r="O15" t="s">
        <v>24</v>
      </c>
      <c r="P15" t="s">
        <v>37</v>
      </c>
      <c r="Q15" t="s">
        <v>113</v>
      </c>
      <c r="R15" t="str">
        <f t="shared" si="0"/>
        <v>Fatima Anderson</v>
      </c>
      <c r="S15" t="str">
        <f t="shared" si="1"/>
        <v>Karen Rostova</v>
      </c>
      <c r="T15" t="str">
        <f t="shared" si="2"/>
        <v>usd</v>
      </c>
      <c r="U15" s="7" t="str">
        <f t="shared" si="3"/>
        <v>EUR</v>
      </c>
      <c r="V15" s="7" t="str">
        <f t="shared" si="4"/>
        <v>Brazil</v>
      </c>
      <c r="W15" s="7" t="str">
        <f t="shared" si="5"/>
        <v>South Africa</v>
      </c>
      <c r="X15" s="7" t="str">
        <f t="shared" si="6"/>
        <v>Internal</v>
      </c>
      <c r="Y15" s="7">
        <f t="shared" si="12"/>
        <v>2229.9299999999998</v>
      </c>
      <c r="Z15" s="7">
        <f t="shared" si="7"/>
        <v>77</v>
      </c>
      <c r="AA15" s="7">
        <f t="shared" si="8"/>
        <v>2024</v>
      </c>
      <c r="AB15" s="7">
        <f t="shared" si="9"/>
        <v>1</v>
      </c>
      <c r="AC15" s="7">
        <f t="shared" si="13"/>
        <v>1</v>
      </c>
      <c r="AD15" s="7" t="str">
        <f t="shared" si="10"/>
        <v>No</v>
      </c>
      <c r="AE15" s="7" t="str">
        <f t="shared" si="11"/>
        <v>Normal</v>
      </c>
    </row>
    <row r="16" spans="1:31">
      <c r="A16" t="s">
        <v>114</v>
      </c>
      <c r="B16">
        <v>57469942</v>
      </c>
      <c r="C16" t="s">
        <v>73</v>
      </c>
      <c r="D16" t="s">
        <v>115</v>
      </c>
      <c r="E16" t="s">
        <v>20</v>
      </c>
      <c r="F16" t="s">
        <v>116</v>
      </c>
      <c r="G16" t="s">
        <v>22</v>
      </c>
      <c r="H16" t="s">
        <v>56</v>
      </c>
      <c r="I16" t="s">
        <v>3377</v>
      </c>
      <c r="J16">
        <v>2698.62</v>
      </c>
      <c r="K16" t="s">
        <v>57</v>
      </c>
      <c r="L16" t="s">
        <v>81</v>
      </c>
      <c r="M16" s="1">
        <v>43849.890972222223</v>
      </c>
      <c r="N16">
        <v>38</v>
      </c>
      <c r="O16" t="s">
        <v>54</v>
      </c>
      <c r="P16" t="s">
        <v>24</v>
      </c>
      <c r="Q16" t="s">
        <v>117</v>
      </c>
      <c r="R16" t="str">
        <f t="shared" si="0"/>
        <v>Jean-Pierre Moore</v>
      </c>
      <c r="S16" t="str">
        <f t="shared" si="1"/>
        <v>Carlos Malik</v>
      </c>
      <c r="T16" t="str">
        <f t="shared" si="2"/>
        <v>CHF</v>
      </c>
      <c r="U16" s="7" t="str">
        <f t="shared" si="3"/>
        <v>BRL</v>
      </c>
      <c r="V16" s="7" t="str">
        <f t="shared" si="4"/>
        <v>India</v>
      </c>
      <c r="W16" s="7" t="str">
        <f t="shared" si="5"/>
        <v>Brazil</v>
      </c>
      <c r="X16" s="7" t="str">
        <f t="shared" si="6"/>
        <v>Inter-Transaction</v>
      </c>
      <c r="Y16" s="7">
        <f t="shared" si="12"/>
        <v>2698.62</v>
      </c>
      <c r="Z16" s="7">
        <f t="shared" si="7"/>
        <v>38</v>
      </c>
      <c r="AA16" s="7">
        <f t="shared" si="8"/>
        <v>2020</v>
      </c>
      <c r="AB16" s="7">
        <f t="shared" si="9"/>
        <v>1</v>
      </c>
      <c r="AC16" s="7">
        <f t="shared" si="13"/>
        <v>1</v>
      </c>
      <c r="AD16" s="7" t="str">
        <f t="shared" si="10"/>
        <v>No</v>
      </c>
      <c r="AE16" s="7" t="str">
        <f t="shared" si="11"/>
        <v>Normal</v>
      </c>
    </row>
    <row r="17" spans="1:31">
      <c r="A17" t="s">
        <v>118</v>
      </c>
      <c r="B17">
        <v>71780854</v>
      </c>
      <c r="C17" t="s">
        <v>119</v>
      </c>
      <c r="D17" t="s">
        <v>120</v>
      </c>
      <c r="E17" t="s">
        <v>3373</v>
      </c>
      <c r="F17" t="s">
        <v>121</v>
      </c>
      <c r="G17" t="s">
        <v>80</v>
      </c>
      <c r="H17" t="s">
        <v>103</v>
      </c>
      <c r="I17" t="s">
        <v>3374</v>
      </c>
      <c r="J17">
        <v>7645.99</v>
      </c>
      <c r="K17" t="s">
        <v>27</v>
      </c>
      <c r="L17" t="s">
        <v>75</v>
      </c>
      <c r="M17" s="1">
        <v>44195.011805555558</v>
      </c>
      <c r="N17">
        <v>50</v>
      </c>
      <c r="O17" t="s">
        <v>36</v>
      </c>
      <c r="P17" t="s">
        <v>37</v>
      </c>
      <c r="Q17" t="s">
        <v>122</v>
      </c>
      <c r="R17" t="str">
        <f t="shared" si="0"/>
        <v>SUSAN MARTINEZ</v>
      </c>
      <c r="S17" t="str">
        <f t="shared" si="1"/>
        <v>Amir Silva</v>
      </c>
      <c r="T17" t="str">
        <f t="shared" si="2"/>
        <v>INR</v>
      </c>
      <c r="U17" s="7" t="str">
        <f t="shared" si="3"/>
        <v>USD</v>
      </c>
      <c r="V17" s="7" t="str">
        <f t="shared" si="4"/>
        <v>Germany</v>
      </c>
      <c r="W17" s="7" t="str">
        <f t="shared" si="5"/>
        <v>South Africa</v>
      </c>
      <c r="X17" s="7" t="str">
        <f t="shared" si="6"/>
        <v>External</v>
      </c>
      <c r="Y17" s="7">
        <f t="shared" si="12"/>
        <v>7645.99</v>
      </c>
      <c r="Z17" s="7">
        <f t="shared" si="7"/>
        <v>50</v>
      </c>
      <c r="AA17" s="7">
        <f t="shared" si="8"/>
        <v>2020</v>
      </c>
      <c r="AB17" s="7">
        <f t="shared" si="9"/>
        <v>12</v>
      </c>
      <c r="AC17" s="7">
        <f t="shared" si="13"/>
        <v>1</v>
      </c>
      <c r="AD17" s="7" t="str">
        <f t="shared" si="10"/>
        <v>No</v>
      </c>
      <c r="AE17" s="7" t="str">
        <f t="shared" si="11"/>
        <v>High Risk</v>
      </c>
    </row>
    <row r="18" spans="1:31">
      <c r="A18" t="s">
        <v>123</v>
      </c>
      <c r="B18">
        <v>52101056</v>
      </c>
      <c r="C18" t="s">
        <v>124</v>
      </c>
      <c r="D18" t="s">
        <v>125</v>
      </c>
      <c r="E18" t="s">
        <v>20</v>
      </c>
      <c r="F18" t="s">
        <v>116</v>
      </c>
      <c r="G18" t="s">
        <v>126</v>
      </c>
      <c r="I18" t="s">
        <v>3374</v>
      </c>
      <c r="J18">
        <v>11058.2</v>
      </c>
      <c r="K18" t="s">
        <v>47</v>
      </c>
      <c r="L18" t="s">
        <v>75</v>
      </c>
      <c r="M18" s="1">
        <v>46306.46597222222</v>
      </c>
      <c r="N18">
        <v>75</v>
      </c>
      <c r="O18" t="s">
        <v>127</v>
      </c>
      <c r="P18" t="s">
        <v>62</v>
      </c>
      <c r="Q18" t="s">
        <v>128</v>
      </c>
      <c r="R18" t="str">
        <f t="shared" si="0"/>
        <v>Jessica Martin</v>
      </c>
      <c r="S18" t="str">
        <f t="shared" si="1"/>
        <v>Charles Brown</v>
      </c>
      <c r="T18" t="str">
        <f t="shared" si="2"/>
        <v>CHF</v>
      </c>
      <c r="U18" s="7" t="str">
        <f t="shared" si="3"/>
        <v>inr</v>
      </c>
      <c r="V18" s="7" t="str">
        <f t="shared" si="4"/>
        <v>Canada</v>
      </c>
      <c r="W18" s="7" t="str">
        <f t="shared" si="5"/>
        <v>Australia</v>
      </c>
      <c r="X18" s="7" t="str">
        <f t="shared" si="6"/>
        <v>External</v>
      </c>
      <c r="Y18" s="7">
        <f t="shared" si="12"/>
        <v>11058.2</v>
      </c>
      <c r="Z18" s="7">
        <f t="shared" si="7"/>
        <v>75</v>
      </c>
      <c r="AA18" s="7">
        <f t="shared" si="8"/>
        <v>2026</v>
      </c>
      <c r="AB18" s="7">
        <f t="shared" si="9"/>
        <v>10</v>
      </c>
      <c r="AC18" s="7">
        <f t="shared" si="13"/>
        <v>1</v>
      </c>
      <c r="AD18" s="7" t="str">
        <f t="shared" si="10"/>
        <v>No</v>
      </c>
      <c r="AE18" s="7" t="str">
        <f t="shared" si="11"/>
        <v>High Risk</v>
      </c>
    </row>
    <row r="19" spans="1:31">
      <c r="A19" t="s">
        <v>129</v>
      </c>
      <c r="B19">
        <v>99508850</v>
      </c>
      <c r="C19" t="s">
        <v>130</v>
      </c>
      <c r="D19" t="s">
        <v>131</v>
      </c>
      <c r="E19" t="s">
        <v>20</v>
      </c>
      <c r="F19" t="s">
        <v>21</v>
      </c>
      <c r="G19" t="s">
        <v>121</v>
      </c>
      <c r="H19" t="s">
        <v>103</v>
      </c>
      <c r="I19" t="s">
        <v>3372</v>
      </c>
      <c r="J19">
        <v>8223.58</v>
      </c>
      <c r="K19" t="s">
        <v>86</v>
      </c>
      <c r="L19" t="s">
        <v>75</v>
      </c>
      <c r="M19" s="1">
        <v>44971.435416666667</v>
      </c>
      <c r="N19">
        <v>39</v>
      </c>
      <c r="O19" t="s">
        <v>23</v>
      </c>
      <c r="P19" t="s">
        <v>36</v>
      </c>
      <c r="Q19" t="s">
        <v>132</v>
      </c>
      <c r="R19" t="str">
        <f t="shared" si="0"/>
        <v>Jessica Hernandez</v>
      </c>
      <c r="S19" t="str">
        <f t="shared" si="1"/>
        <v>Joseph Rostova</v>
      </c>
      <c r="T19" t="str">
        <f t="shared" si="2"/>
        <v>GBP</v>
      </c>
      <c r="U19" s="7" t="str">
        <f t="shared" si="3"/>
        <v>INR</v>
      </c>
      <c r="V19" s="7" t="str">
        <f t="shared" si="4"/>
        <v>France</v>
      </c>
      <c r="W19" s="7" t="str">
        <f t="shared" si="5"/>
        <v>Germany</v>
      </c>
      <c r="X19" s="7" t="str">
        <f t="shared" si="6"/>
        <v>Outer-Transaction</v>
      </c>
      <c r="Y19" s="7">
        <f t="shared" si="12"/>
        <v>8223.58</v>
      </c>
      <c r="Z19" s="7">
        <f t="shared" si="7"/>
        <v>39</v>
      </c>
      <c r="AA19" s="7">
        <f t="shared" si="8"/>
        <v>2023</v>
      </c>
      <c r="AB19" s="7">
        <f t="shared" si="9"/>
        <v>2</v>
      </c>
      <c r="AC19" s="7">
        <f t="shared" si="13"/>
        <v>1</v>
      </c>
      <c r="AD19" s="7" t="str">
        <f t="shared" si="10"/>
        <v>No</v>
      </c>
      <c r="AE19" s="7" t="str">
        <f t="shared" si="11"/>
        <v>High Risk</v>
      </c>
    </row>
    <row r="20" spans="1:31">
      <c r="A20" t="s">
        <v>133</v>
      </c>
      <c r="B20">
        <v>32775593</v>
      </c>
      <c r="C20" t="s">
        <v>134</v>
      </c>
      <c r="D20" t="s">
        <v>135</v>
      </c>
      <c r="E20" t="s">
        <v>20</v>
      </c>
      <c r="F20" t="s">
        <v>116</v>
      </c>
      <c r="G20" t="s">
        <v>34</v>
      </c>
      <c r="H20" t="s">
        <v>74</v>
      </c>
      <c r="I20" t="s">
        <v>3377</v>
      </c>
      <c r="J20">
        <v>702.74</v>
      </c>
      <c r="K20" t="s">
        <v>39</v>
      </c>
      <c r="L20" t="s">
        <v>28</v>
      </c>
      <c r="M20" s="1">
        <v>44410.332638888889</v>
      </c>
      <c r="N20">
        <v>66</v>
      </c>
      <c r="O20" t="s">
        <v>55</v>
      </c>
      <c r="P20" t="s">
        <v>23</v>
      </c>
      <c r="Q20" t="s">
        <v>136</v>
      </c>
      <c r="R20" t="str">
        <f t="shared" si="0"/>
        <v>Marta Williams</v>
      </c>
      <c r="S20" t="str">
        <f t="shared" si="1"/>
        <v>Barbara Taylor</v>
      </c>
      <c r="T20" t="str">
        <f t="shared" si="2"/>
        <v>CHF</v>
      </c>
      <c r="U20" s="7" t="str">
        <f t="shared" si="3"/>
        <v>CAD</v>
      </c>
      <c r="V20" s="7" t="str">
        <f t="shared" si="4"/>
        <v>UK</v>
      </c>
      <c r="W20" s="7" t="str">
        <f t="shared" si="5"/>
        <v>France</v>
      </c>
      <c r="X20" s="7" t="str">
        <f t="shared" si="6"/>
        <v>Inter-Transaction</v>
      </c>
      <c r="Y20" s="7">
        <f t="shared" si="12"/>
        <v>702.74</v>
      </c>
      <c r="Z20" s="7">
        <f t="shared" si="7"/>
        <v>66</v>
      </c>
      <c r="AA20" s="7">
        <f t="shared" si="8"/>
        <v>2021</v>
      </c>
      <c r="AB20" s="7">
        <f t="shared" si="9"/>
        <v>8</v>
      </c>
      <c r="AC20" s="7">
        <f t="shared" si="13"/>
        <v>1</v>
      </c>
      <c r="AD20" s="7" t="str">
        <f t="shared" si="10"/>
        <v>No</v>
      </c>
      <c r="AE20" s="7" t="str">
        <f t="shared" si="11"/>
        <v>Normal</v>
      </c>
    </row>
    <row r="21" spans="1:31">
      <c r="A21" t="s">
        <v>137</v>
      </c>
      <c r="B21">
        <v>10744212</v>
      </c>
      <c r="C21" t="s">
        <v>138</v>
      </c>
      <c r="D21" t="s">
        <v>139</v>
      </c>
      <c r="E21" t="s">
        <v>3373</v>
      </c>
      <c r="F21" t="s">
        <v>92</v>
      </c>
      <c r="G21" t="s">
        <v>121</v>
      </c>
      <c r="H21" t="s">
        <v>25</v>
      </c>
      <c r="I21" t="s">
        <v>3372</v>
      </c>
      <c r="J21">
        <v>2008.75</v>
      </c>
      <c r="K21" t="s">
        <v>39</v>
      </c>
      <c r="L21" t="s">
        <v>75</v>
      </c>
      <c r="M21" s="1">
        <v>44376.265277777777</v>
      </c>
      <c r="N21">
        <v>76</v>
      </c>
      <c r="O21" t="s">
        <v>68</v>
      </c>
      <c r="P21" t="s">
        <v>23</v>
      </c>
      <c r="Q21" t="s">
        <v>140</v>
      </c>
      <c r="R21" t="str">
        <f t="shared" si="0"/>
        <v>CARLOS DUBOIS</v>
      </c>
      <c r="S21" t="str">
        <f t="shared" si="1"/>
        <v>Zayn Dubois</v>
      </c>
      <c r="T21" t="str">
        <f t="shared" si="2"/>
        <v>AUD</v>
      </c>
      <c r="U21" s="7" t="str">
        <f t="shared" si="3"/>
        <v>INR</v>
      </c>
      <c r="V21" s="7" t="str">
        <f t="shared" si="4"/>
        <v>UAE</v>
      </c>
      <c r="W21" s="7" t="str">
        <f t="shared" si="5"/>
        <v>France</v>
      </c>
      <c r="X21" s="7" t="str">
        <f t="shared" si="6"/>
        <v>Outer-Transaction</v>
      </c>
      <c r="Y21" s="7">
        <f t="shared" si="12"/>
        <v>2008.75</v>
      </c>
      <c r="Z21" s="7">
        <f t="shared" si="7"/>
        <v>76</v>
      </c>
      <c r="AA21" s="7">
        <f t="shared" si="8"/>
        <v>2021</v>
      </c>
      <c r="AB21" s="7">
        <f t="shared" si="9"/>
        <v>6</v>
      </c>
      <c r="AC21" s="7">
        <f t="shared" si="13"/>
        <v>1</v>
      </c>
      <c r="AD21" s="7" t="str">
        <f t="shared" si="10"/>
        <v>No</v>
      </c>
      <c r="AE21" s="7" t="str">
        <f t="shared" si="11"/>
        <v>High Risk</v>
      </c>
    </row>
    <row r="22" spans="1:31">
      <c r="A22" t="s">
        <v>141</v>
      </c>
      <c r="B22">
        <v>73709724</v>
      </c>
      <c r="C22" t="s">
        <v>142</v>
      </c>
      <c r="D22" t="s">
        <v>143</v>
      </c>
      <c r="E22" t="s">
        <v>3375</v>
      </c>
      <c r="F22" t="s">
        <v>53</v>
      </c>
      <c r="G22" t="s">
        <v>98</v>
      </c>
      <c r="H22" t="s">
        <v>103</v>
      </c>
      <c r="I22" t="s">
        <v>3378</v>
      </c>
      <c r="J22">
        <v>13396.47</v>
      </c>
      <c r="K22" t="s">
        <v>86</v>
      </c>
      <c r="L22" t="s">
        <v>48</v>
      </c>
      <c r="M22" s="1">
        <v>45560.856249999997</v>
      </c>
      <c r="N22">
        <v>59</v>
      </c>
      <c r="O22" t="s">
        <v>23</v>
      </c>
      <c r="P22" t="s">
        <v>37</v>
      </c>
      <c r="Q22" t="s">
        <v>144</v>
      </c>
      <c r="R22" t="str">
        <f t="shared" si="0"/>
        <v>Thomas Rodriguez</v>
      </c>
      <c r="S22" t="str">
        <f t="shared" si="1"/>
        <v>Jean-Pierre Davis</v>
      </c>
      <c r="T22" t="str">
        <f t="shared" si="2"/>
        <v>AED</v>
      </c>
      <c r="U22" s="7" t="str">
        <f t="shared" si="3"/>
        <v>JPY</v>
      </c>
      <c r="V22" s="7" t="str">
        <f t="shared" si="4"/>
        <v>France</v>
      </c>
      <c r="W22" s="7" t="str">
        <f t="shared" si="5"/>
        <v>South Africa</v>
      </c>
      <c r="X22" s="7" t="str">
        <f t="shared" si="6"/>
        <v>Inter-Transaction</v>
      </c>
      <c r="Y22" s="7">
        <f t="shared" si="12"/>
        <v>13396.47</v>
      </c>
      <c r="Z22" s="7">
        <f t="shared" si="7"/>
        <v>59</v>
      </c>
      <c r="AA22" s="7">
        <f t="shared" si="8"/>
        <v>2024</v>
      </c>
      <c r="AB22" s="7">
        <f t="shared" si="9"/>
        <v>9</v>
      </c>
      <c r="AC22" s="7">
        <f t="shared" si="13"/>
        <v>1</v>
      </c>
      <c r="AD22" s="7" t="str">
        <f t="shared" si="10"/>
        <v>No</v>
      </c>
      <c r="AE22" s="7" t="str">
        <f t="shared" si="11"/>
        <v>Normal</v>
      </c>
    </row>
    <row r="23" spans="1:31">
      <c r="A23" t="s">
        <v>145</v>
      </c>
      <c r="B23">
        <v>37760841</v>
      </c>
      <c r="D23" t="s">
        <v>147</v>
      </c>
      <c r="E23" t="s">
        <v>3375</v>
      </c>
      <c r="F23" t="s">
        <v>22</v>
      </c>
      <c r="G23" t="s">
        <v>80</v>
      </c>
      <c r="H23" t="s">
        <v>56</v>
      </c>
      <c r="I23" t="s">
        <v>3372</v>
      </c>
      <c r="J23">
        <v>8077.93</v>
      </c>
      <c r="K23" t="s">
        <v>27</v>
      </c>
      <c r="L23" t="s">
        <v>48</v>
      </c>
      <c r="M23" s="1">
        <v>46203.431250000001</v>
      </c>
      <c r="N23">
        <v>77</v>
      </c>
      <c r="O23" t="s">
        <v>68</v>
      </c>
      <c r="P23" t="s">
        <v>68</v>
      </c>
      <c r="Q23" t="s">
        <v>148</v>
      </c>
      <c r="R23" t="str">
        <f t="shared" si="0"/>
        <v/>
      </c>
      <c r="S23" t="str">
        <f t="shared" si="1"/>
        <v>Joseph Volkov</v>
      </c>
      <c r="T23" t="str">
        <f t="shared" si="2"/>
        <v>BRL</v>
      </c>
      <c r="U23" s="7" t="str">
        <f t="shared" si="3"/>
        <v>USD</v>
      </c>
      <c r="V23" s="7" t="str">
        <f t="shared" si="4"/>
        <v>UAE</v>
      </c>
      <c r="W23" s="7" t="str">
        <f t="shared" si="5"/>
        <v>UAE</v>
      </c>
      <c r="X23" s="7" t="str">
        <f t="shared" si="6"/>
        <v>Outer-Transaction</v>
      </c>
      <c r="Y23" s="7">
        <f t="shared" si="12"/>
        <v>8077.93</v>
      </c>
      <c r="Z23" s="7">
        <f t="shared" si="7"/>
        <v>77</v>
      </c>
      <c r="AA23" s="7">
        <f t="shared" si="8"/>
        <v>2026</v>
      </c>
      <c r="AB23" s="7">
        <f t="shared" si="9"/>
        <v>6</v>
      </c>
      <c r="AC23" s="7">
        <f t="shared" si="13"/>
        <v>1</v>
      </c>
      <c r="AD23" s="7" t="str">
        <f t="shared" si="10"/>
        <v>No</v>
      </c>
      <c r="AE23" s="7" t="str">
        <f t="shared" si="11"/>
        <v>Normal</v>
      </c>
    </row>
    <row r="24" spans="1:31">
      <c r="A24" t="s">
        <v>149</v>
      </c>
      <c r="B24">
        <v>72732043</v>
      </c>
      <c r="C24" t="s">
        <v>150</v>
      </c>
      <c r="D24" t="s">
        <v>151</v>
      </c>
      <c r="E24" t="s">
        <v>20</v>
      </c>
      <c r="F24" t="s">
        <v>92</v>
      </c>
      <c r="G24" t="s">
        <v>116</v>
      </c>
      <c r="H24" t="s">
        <v>25</v>
      </c>
      <c r="I24" t="s">
        <v>3378</v>
      </c>
      <c r="J24">
        <v>5692.77</v>
      </c>
      <c r="K24" t="s">
        <v>47</v>
      </c>
      <c r="L24" t="s">
        <v>81</v>
      </c>
      <c r="M24" s="1">
        <v>43885.398611111108</v>
      </c>
      <c r="N24">
        <v>32</v>
      </c>
      <c r="O24" t="s">
        <v>93</v>
      </c>
      <c r="P24" t="s">
        <v>36</v>
      </c>
      <c r="Q24" t="s">
        <v>152</v>
      </c>
      <c r="R24" t="str">
        <f t="shared" si="0"/>
        <v>Priya Jones</v>
      </c>
      <c r="S24" t="str">
        <f t="shared" si="1"/>
        <v>Nancy Moore</v>
      </c>
      <c r="T24" t="str">
        <f t="shared" si="2"/>
        <v>AUD</v>
      </c>
      <c r="U24" s="7" t="str">
        <f t="shared" si="3"/>
        <v>CHF</v>
      </c>
      <c r="V24" s="7" t="str">
        <f t="shared" si="4"/>
        <v>USA</v>
      </c>
      <c r="W24" s="7" t="str">
        <f t="shared" si="5"/>
        <v>Germany</v>
      </c>
      <c r="X24" s="7" t="str">
        <f t="shared" si="6"/>
        <v>Inter-Transaction</v>
      </c>
      <c r="Y24" s="7">
        <f t="shared" si="12"/>
        <v>5692.77</v>
      </c>
      <c r="Z24" s="7">
        <f t="shared" si="7"/>
        <v>32</v>
      </c>
      <c r="AA24" s="7">
        <f t="shared" si="8"/>
        <v>2020</v>
      </c>
      <c r="AB24" s="7">
        <f t="shared" si="9"/>
        <v>2</v>
      </c>
      <c r="AC24" s="7">
        <f t="shared" si="13"/>
        <v>1</v>
      </c>
      <c r="AD24" s="7" t="str">
        <f t="shared" si="10"/>
        <v>No</v>
      </c>
      <c r="AE24" s="7" t="str">
        <f t="shared" si="11"/>
        <v>Normal</v>
      </c>
    </row>
    <row r="25" spans="1:31">
      <c r="A25" t="s">
        <v>153</v>
      </c>
      <c r="B25">
        <v>82399599</v>
      </c>
      <c r="C25" t="s">
        <v>154</v>
      </c>
      <c r="D25" t="s">
        <v>155</v>
      </c>
      <c r="E25" t="s">
        <v>20</v>
      </c>
      <c r="F25" t="s">
        <v>45</v>
      </c>
      <c r="G25" t="s">
        <v>80</v>
      </c>
      <c r="H25" t="s">
        <v>74</v>
      </c>
      <c r="I25" t="s">
        <v>3372</v>
      </c>
      <c r="J25">
        <v>10045.19</v>
      </c>
      <c r="K25" t="s">
        <v>27</v>
      </c>
      <c r="L25" t="s">
        <v>48</v>
      </c>
      <c r="M25" s="1">
        <v>44608.811111111114</v>
      </c>
      <c r="N25">
        <v>79</v>
      </c>
      <c r="O25" t="s">
        <v>23</v>
      </c>
      <c r="P25" t="s">
        <v>23</v>
      </c>
      <c r="Q25" t="s">
        <v>156</v>
      </c>
      <c r="R25" t="str">
        <f t="shared" si="0"/>
        <v>MARY LOPEZ</v>
      </c>
      <c r="S25" t="str">
        <f t="shared" si="1"/>
        <v>Elizabeth Nair</v>
      </c>
      <c r="T25" t="str">
        <f t="shared" si="2"/>
        <v>ZAR</v>
      </c>
      <c r="U25" s="7" t="str">
        <f t="shared" si="3"/>
        <v>USD</v>
      </c>
      <c r="V25" s="7" t="str">
        <f t="shared" si="4"/>
        <v>France</v>
      </c>
      <c r="W25" s="7" t="str">
        <f t="shared" si="5"/>
        <v>France</v>
      </c>
      <c r="X25" s="7" t="str">
        <f t="shared" si="6"/>
        <v>Outer-Transaction</v>
      </c>
      <c r="Y25" s="7">
        <f t="shared" si="12"/>
        <v>10045.19</v>
      </c>
      <c r="Z25" s="7">
        <f t="shared" si="7"/>
        <v>79</v>
      </c>
      <c r="AA25" s="7">
        <f t="shared" si="8"/>
        <v>2022</v>
      </c>
      <c r="AB25" s="7">
        <f t="shared" si="9"/>
        <v>2</v>
      </c>
      <c r="AC25" s="7">
        <f t="shared" si="13"/>
        <v>1</v>
      </c>
      <c r="AD25" s="7" t="str">
        <f t="shared" si="10"/>
        <v>No</v>
      </c>
      <c r="AE25" s="7" t="str">
        <f t="shared" si="11"/>
        <v>Normal</v>
      </c>
    </row>
    <row r="26" spans="1:31">
      <c r="A26" t="s">
        <v>157</v>
      </c>
      <c r="B26">
        <v>51746937</v>
      </c>
      <c r="C26" t="s">
        <v>158</v>
      </c>
      <c r="D26" t="s">
        <v>159</v>
      </c>
      <c r="E26" t="s">
        <v>20</v>
      </c>
      <c r="F26" t="s">
        <v>45</v>
      </c>
      <c r="G26" t="s">
        <v>160</v>
      </c>
      <c r="H26" t="s">
        <v>25</v>
      </c>
      <c r="I26" t="s">
        <v>3374</v>
      </c>
      <c r="J26">
        <v>11589.49</v>
      </c>
      <c r="K26" t="s">
        <v>27</v>
      </c>
      <c r="L26" t="s">
        <v>28</v>
      </c>
      <c r="M26" s="1">
        <v>43872.393750000003</v>
      </c>
      <c r="N26">
        <v>79</v>
      </c>
      <c r="O26" t="s">
        <v>127</v>
      </c>
      <c r="P26" t="s">
        <v>36</v>
      </c>
      <c r="Q26" t="s">
        <v>161</v>
      </c>
      <c r="R26" t="str">
        <f t="shared" si="0"/>
        <v>Patricia Jackson</v>
      </c>
      <c r="S26" t="str">
        <f t="shared" si="1"/>
        <v>John Souza</v>
      </c>
      <c r="T26" t="str">
        <f t="shared" si="2"/>
        <v>ZAR</v>
      </c>
      <c r="U26" s="7" t="str">
        <f t="shared" si="3"/>
        <v>aud</v>
      </c>
      <c r="V26" s="7" t="str">
        <f t="shared" si="4"/>
        <v>Canada</v>
      </c>
      <c r="W26" s="7" t="str">
        <f t="shared" si="5"/>
        <v>Germany</v>
      </c>
      <c r="X26" s="7" t="str">
        <f t="shared" si="6"/>
        <v>External</v>
      </c>
      <c r="Y26" s="7">
        <f t="shared" si="12"/>
        <v>11589.49</v>
      </c>
      <c r="Z26" s="7">
        <f t="shared" si="7"/>
        <v>79</v>
      </c>
      <c r="AA26" s="7">
        <f t="shared" si="8"/>
        <v>2020</v>
      </c>
      <c r="AB26" s="7">
        <f t="shared" si="9"/>
        <v>2</v>
      </c>
      <c r="AC26" s="7">
        <f t="shared" si="13"/>
        <v>1</v>
      </c>
      <c r="AD26" s="7" t="str">
        <f t="shared" si="10"/>
        <v>No</v>
      </c>
      <c r="AE26" s="7" t="str">
        <f t="shared" si="11"/>
        <v>Normal</v>
      </c>
    </row>
    <row r="27" spans="1:31">
      <c r="A27" t="s">
        <v>162</v>
      </c>
      <c r="B27">
        <v>24165187</v>
      </c>
      <c r="C27" t="s">
        <v>163</v>
      </c>
      <c r="D27" t="s">
        <v>164</v>
      </c>
      <c r="E27" t="s">
        <v>3375</v>
      </c>
      <c r="F27" t="s">
        <v>22</v>
      </c>
      <c r="G27" t="s">
        <v>21</v>
      </c>
      <c r="H27" t="s">
        <v>38</v>
      </c>
      <c r="I27" t="s">
        <v>3372</v>
      </c>
      <c r="J27">
        <v>6978.46</v>
      </c>
      <c r="K27" t="s">
        <v>27</v>
      </c>
      <c r="L27" t="s">
        <v>75</v>
      </c>
      <c r="M27" s="1">
        <v>45151.717361111114</v>
      </c>
      <c r="N27">
        <v>64</v>
      </c>
      <c r="O27" t="s">
        <v>37</v>
      </c>
      <c r="P27" t="s">
        <v>55</v>
      </c>
      <c r="Q27" t="s">
        <v>165</v>
      </c>
      <c r="R27" t="str">
        <f t="shared" si="0"/>
        <v>Jessica Lopez</v>
      </c>
      <c r="S27" t="str">
        <f t="shared" si="1"/>
        <v>Sanjay Volkov</v>
      </c>
      <c r="T27" t="str">
        <f t="shared" si="2"/>
        <v>BRL</v>
      </c>
      <c r="U27" s="7" t="str">
        <f t="shared" si="3"/>
        <v>GBP</v>
      </c>
      <c r="V27" s="7" t="str">
        <f t="shared" si="4"/>
        <v>South Africa</v>
      </c>
      <c r="W27" s="7" t="str">
        <f t="shared" si="5"/>
        <v>UK</v>
      </c>
      <c r="X27" s="7" t="str">
        <f t="shared" si="6"/>
        <v>Outer-Transaction</v>
      </c>
      <c r="Y27" s="7">
        <f t="shared" si="12"/>
        <v>6978.46</v>
      </c>
      <c r="Z27" s="7">
        <f t="shared" si="7"/>
        <v>64</v>
      </c>
      <c r="AA27" s="7">
        <f t="shared" si="8"/>
        <v>2023</v>
      </c>
      <c r="AB27" s="7">
        <f t="shared" si="9"/>
        <v>8</v>
      </c>
      <c r="AC27" s="7">
        <f t="shared" si="13"/>
        <v>1</v>
      </c>
      <c r="AD27" s="7" t="str">
        <f t="shared" si="10"/>
        <v>No</v>
      </c>
      <c r="AE27" s="7" t="str">
        <f t="shared" si="11"/>
        <v>High Risk</v>
      </c>
    </row>
    <row r="28" spans="1:31">
      <c r="A28" t="s">
        <v>166</v>
      </c>
      <c r="B28">
        <v>55150390</v>
      </c>
      <c r="C28" t="s">
        <v>167</v>
      </c>
      <c r="D28" t="s">
        <v>168</v>
      </c>
      <c r="E28" t="s">
        <v>20</v>
      </c>
      <c r="F28" t="s">
        <v>121</v>
      </c>
      <c r="G28" t="s">
        <v>34</v>
      </c>
      <c r="H28" t="s">
        <v>25</v>
      </c>
      <c r="I28" t="s">
        <v>3376</v>
      </c>
      <c r="J28">
        <v>14221.46</v>
      </c>
      <c r="K28" t="s">
        <v>86</v>
      </c>
      <c r="L28" t="s">
        <v>48</v>
      </c>
      <c r="M28" s="1">
        <v>44061.727083333331</v>
      </c>
      <c r="N28">
        <v>79</v>
      </c>
      <c r="O28" t="s">
        <v>54</v>
      </c>
      <c r="P28" t="s">
        <v>36</v>
      </c>
      <c r="Q28" t="s">
        <v>169</v>
      </c>
      <c r="R28" t="str">
        <f t="shared" si="0"/>
        <v>John Thomas</v>
      </c>
      <c r="S28" t="str">
        <f t="shared" si="1"/>
        <v>Zayn Hernandez</v>
      </c>
      <c r="T28" t="str">
        <f t="shared" si="2"/>
        <v>INR</v>
      </c>
      <c r="U28" s="7" t="str">
        <f t="shared" si="3"/>
        <v>CAD</v>
      </c>
      <c r="V28" s="7" t="str">
        <f t="shared" si="4"/>
        <v>India</v>
      </c>
      <c r="W28" s="7" t="str">
        <f t="shared" si="5"/>
        <v>Germany</v>
      </c>
      <c r="X28" s="7" t="str">
        <f t="shared" si="6"/>
        <v>Internal</v>
      </c>
      <c r="Y28" s="7">
        <f t="shared" si="12"/>
        <v>14221.46</v>
      </c>
      <c r="Z28" s="7">
        <f t="shared" si="7"/>
        <v>79</v>
      </c>
      <c r="AA28" s="7">
        <f t="shared" si="8"/>
        <v>2020</v>
      </c>
      <c r="AB28" s="7">
        <f t="shared" si="9"/>
        <v>8</v>
      </c>
      <c r="AC28" s="7">
        <f t="shared" si="13"/>
        <v>1</v>
      </c>
      <c r="AD28" s="7" t="str">
        <f t="shared" si="10"/>
        <v>No</v>
      </c>
      <c r="AE28" s="7" t="str">
        <f t="shared" si="11"/>
        <v>Normal</v>
      </c>
    </row>
    <row r="29" spans="1:31">
      <c r="A29" t="s">
        <v>170</v>
      </c>
      <c r="B29">
        <v>39742165</v>
      </c>
      <c r="C29" t="s">
        <v>131</v>
      </c>
      <c r="D29" t="s">
        <v>171</v>
      </c>
      <c r="E29" t="s">
        <v>20</v>
      </c>
      <c r="F29" t="s">
        <v>34</v>
      </c>
      <c r="G29" t="s">
        <v>44</v>
      </c>
      <c r="H29" t="s">
        <v>56</v>
      </c>
      <c r="I29" t="s">
        <v>3378</v>
      </c>
      <c r="J29">
        <v>4606.28</v>
      </c>
      <c r="K29" t="s">
        <v>47</v>
      </c>
      <c r="L29" t="s">
        <v>28</v>
      </c>
      <c r="M29" s="1">
        <v>44283.963194444441</v>
      </c>
      <c r="N29">
        <v>68</v>
      </c>
      <c r="O29" t="s">
        <v>36</v>
      </c>
      <c r="P29" t="s">
        <v>127</v>
      </c>
      <c r="Q29" t="s">
        <v>172</v>
      </c>
      <c r="R29" t="str">
        <f t="shared" si="0"/>
        <v>Joseph Rostova</v>
      </c>
      <c r="S29" t="str">
        <f t="shared" si="1"/>
        <v>Elizabeth Martinez</v>
      </c>
      <c r="T29" t="str">
        <f t="shared" si="2"/>
        <v>CAD</v>
      </c>
      <c r="U29" s="7" t="str">
        <f t="shared" si="3"/>
        <v>SGD</v>
      </c>
      <c r="V29" s="7" t="str">
        <f t="shared" si="4"/>
        <v>Germany</v>
      </c>
      <c r="W29" s="7" t="str">
        <f t="shared" si="5"/>
        <v>Canada</v>
      </c>
      <c r="X29" s="7" t="str">
        <f t="shared" si="6"/>
        <v>Inter-Transaction</v>
      </c>
      <c r="Y29" s="7">
        <f t="shared" si="12"/>
        <v>4606.28</v>
      </c>
      <c r="Z29" s="7">
        <f t="shared" si="7"/>
        <v>68</v>
      </c>
      <c r="AA29" s="7">
        <f t="shared" si="8"/>
        <v>2021</v>
      </c>
      <c r="AB29" s="7">
        <f t="shared" si="9"/>
        <v>3</v>
      </c>
      <c r="AC29" s="7">
        <f t="shared" si="13"/>
        <v>1</v>
      </c>
      <c r="AD29" s="7" t="str">
        <f t="shared" si="10"/>
        <v>No</v>
      </c>
      <c r="AE29" s="7" t="str">
        <f t="shared" si="11"/>
        <v>Normal</v>
      </c>
    </row>
    <row r="30" spans="1:31">
      <c r="A30" t="s">
        <v>173</v>
      </c>
      <c r="B30">
        <v>89133014</v>
      </c>
      <c r="C30" t="s">
        <v>174</v>
      </c>
      <c r="D30" t="s">
        <v>175</v>
      </c>
      <c r="E30" t="b">
        <v>1</v>
      </c>
      <c r="F30" t="s">
        <v>121</v>
      </c>
      <c r="G30" t="s">
        <v>176</v>
      </c>
      <c r="H30" t="s">
        <v>25</v>
      </c>
      <c r="I30" t="s">
        <v>3376</v>
      </c>
      <c r="J30">
        <v>4389.13</v>
      </c>
      <c r="K30" t="s">
        <v>47</v>
      </c>
      <c r="L30" t="s">
        <v>81</v>
      </c>
      <c r="M30" s="1">
        <v>46272.411805555559</v>
      </c>
      <c r="N30">
        <v>72</v>
      </c>
      <c r="O30" t="s">
        <v>36</v>
      </c>
      <c r="P30" t="s">
        <v>62</v>
      </c>
      <c r="Q30" t="s">
        <v>177</v>
      </c>
      <c r="R30" t="str">
        <f t="shared" si="0"/>
        <v>Jean-Pierre Taylor</v>
      </c>
      <c r="S30" t="str">
        <f t="shared" si="1"/>
        <v>Nancy Martinez</v>
      </c>
      <c r="T30" t="str">
        <f t="shared" si="2"/>
        <v>INR</v>
      </c>
      <c r="U30" s="7" t="str">
        <f t="shared" si="3"/>
        <v>aed</v>
      </c>
      <c r="V30" s="7" t="str">
        <f t="shared" si="4"/>
        <v>Germany</v>
      </c>
      <c r="W30" s="7" t="str">
        <f t="shared" si="5"/>
        <v>Australia</v>
      </c>
      <c r="X30" s="7" t="str">
        <f t="shared" si="6"/>
        <v>Internal</v>
      </c>
      <c r="Y30" s="7">
        <f t="shared" si="12"/>
        <v>4389.13</v>
      </c>
      <c r="Z30" s="7">
        <f t="shared" si="7"/>
        <v>72</v>
      </c>
      <c r="AA30" s="7">
        <f t="shared" si="8"/>
        <v>2026</v>
      </c>
      <c r="AB30" s="7">
        <f t="shared" si="9"/>
        <v>9</v>
      </c>
      <c r="AC30" s="7">
        <f t="shared" si="13"/>
        <v>1</v>
      </c>
      <c r="AD30" s="7" t="str">
        <f t="shared" si="10"/>
        <v>No</v>
      </c>
      <c r="AE30" s="7" t="str">
        <f t="shared" si="11"/>
        <v>Normal</v>
      </c>
    </row>
    <row r="31" spans="1:31">
      <c r="A31" t="s">
        <v>178</v>
      </c>
      <c r="B31">
        <v>25312516</v>
      </c>
      <c r="C31" t="s">
        <v>72</v>
      </c>
      <c r="D31" t="s">
        <v>179</v>
      </c>
      <c r="E31" t="s">
        <v>20</v>
      </c>
      <c r="F31" t="s">
        <v>180</v>
      </c>
      <c r="G31" t="s">
        <v>45</v>
      </c>
      <c r="H31" t="s">
        <v>25</v>
      </c>
      <c r="I31" t="s">
        <v>3376</v>
      </c>
      <c r="J31">
        <v>11469.01</v>
      </c>
      <c r="K31" t="s">
        <v>27</v>
      </c>
      <c r="L31" t="s">
        <v>48</v>
      </c>
      <c r="M31" s="1">
        <v>45376.536111111112</v>
      </c>
      <c r="N31">
        <v>81</v>
      </c>
      <c r="O31" t="s">
        <v>54</v>
      </c>
      <c r="P31" t="s">
        <v>23</v>
      </c>
      <c r="Q31" t="s">
        <v>181</v>
      </c>
      <c r="R31" t="str">
        <f t="shared" si="0"/>
        <v>Amir Williams</v>
      </c>
      <c r="S31" t="str">
        <f t="shared" si="1"/>
        <v>Joseph Thomas</v>
      </c>
      <c r="T31" t="str">
        <f t="shared" si="2"/>
        <v>zar</v>
      </c>
      <c r="U31" s="7" t="str">
        <f t="shared" si="3"/>
        <v>ZAR</v>
      </c>
      <c r="V31" s="7" t="str">
        <f t="shared" si="4"/>
        <v>India</v>
      </c>
      <c r="W31" s="7" t="str">
        <f t="shared" si="5"/>
        <v>France</v>
      </c>
      <c r="X31" s="7" t="str">
        <f t="shared" si="6"/>
        <v>Internal</v>
      </c>
      <c r="Y31" s="7">
        <f t="shared" si="12"/>
        <v>11469.01</v>
      </c>
      <c r="Z31" s="7">
        <f t="shared" si="7"/>
        <v>81</v>
      </c>
      <c r="AA31" s="7">
        <f t="shared" si="8"/>
        <v>2024</v>
      </c>
      <c r="AB31" s="7">
        <f t="shared" si="9"/>
        <v>3</v>
      </c>
      <c r="AC31" s="7">
        <f t="shared" si="13"/>
        <v>1</v>
      </c>
      <c r="AD31" s="7" t="str">
        <f t="shared" si="10"/>
        <v>No</v>
      </c>
      <c r="AE31" s="7" t="str">
        <f t="shared" si="11"/>
        <v>Normal</v>
      </c>
    </row>
    <row r="32" spans="1:31">
      <c r="A32" t="s">
        <v>182</v>
      </c>
      <c r="B32">
        <v>23318904</v>
      </c>
      <c r="C32" t="s">
        <v>183</v>
      </c>
      <c r="D32" t="s">
        <v>184</v>
      </c>
      <c r="E32" t="s">
        <v>20</v>
      </c>
      <c r="F32" t="s">
        <v>35</v>
      </c>
      <c r="G32" t="s">
        <v>21</v>
      </c>
      <c r="H32" t="s">
        <v>56</v>
      </c>
      <c r="I32" t="s">
        <v>3378</v>
      </c>
      <c r="J32">
        <v>499.27</v>
      </c>
      <c r="K32" t="s">
        <v>57</v>
      </c>
      <c r="L32" t="s">
        <v>75</v>
      </c>
      <c r="M32" s="1">
        <v>45212.293749999997</v>
      </c>
      <c r="N32">
        <v>20</v>
      </c>
      <c r="O32" t="s">
        <v>62</v>
      </c>
      <c r="P32" t="s">
        <v>36</v>
      </c>
      <c r="Q32" t="s">
        <v>185</v>
      </c>
      <c r="R32" t="str">
        <f t="shared" si="0"/>
        <v>Jean-Pierre Miller</v>
      </c>
      <c r="S32" t="str">
        <f t="shared" si="1"/>
        <v>Sanjay Miller</v>
      </c>
      <c r="T32" t="str">
        <f t="shared" si="2"/>
        <v>EUR</v>
      </c>
      <c r="U32" s="7" t="str">
        <f t="shared" si="3"/>
        <v>GBP</v>
      </c>
      <c r="V32" s="7" t="str">
        <f t="shared" si="4"/>
        <v>Australia</v>
      </c>
      <c r="W32" s="7" t="str">
        <f t="shared" si="5"/>
        <v>Germany</v>
      </c>
      <c r="X32" s="7" t="str">
        <f t="shared" si="6"/>
        <v>Inter-Transaction</v>
      </c>
      <c r="Y32" s="7">
        <f t="shared" si="12"/>
        <v>499.27</v>
      </c>
      <c r="Z32" s="7">
        <f t="shared" si="7"/>
        <v>20</v>
      </c>
      <c r="AA32" s="7">
        <f t="shared" si="8"/>
        <v>2023</v>
      </c>
      <c r="AB32" s="7">
        <f t="shared" si="9"/>
        <v>10</v>
      </c>
      <c r="AC32" s="7">
        <f t="shared" si="13"/>
        <v>1</v>
      </c>
      <c r="AD32" s="7" t="str">
        <f t="shared" si="10"/>
        <v>No</v>
      </c>
      <c r="AE32" s="7" t="str">
        <f t="shared" si="11"/>
        <v>High Risk</v>
      </c>
    </row>
    <row r="33" spans="1:31">
      <c r="A33" t="s">
        <v>186</v>
      </c>
      <c r="B33">
        <v>25405014</v>
      </c>
      <c r="C33" t="s">
        <v>187</v>
      </c>
      <c r="D33" t="s">
        <v>188</v>
      </c>
      <c r="E33">
        <v>0</v>
      </c>
      <c r="F33" t="s">
        <v>91</v>
      </c>
      <c r="G33" t="s">
        <v>35</v>
      </c>
      <c r="H33" t="s">
        <v>56</v>
      </c>
      <c r="I33" t="s">
        <v>3377</v>
      </c>
      <c r="J33">
        <v>7035.78</v>
      </c>
      <c r="K33" t="s">
        <v>57</v>
      </c>
      <c r="L33" t="s">
        <v>81</v>
      </c>
      <c r="M33" s="1">
        <v>45298.12777777778</v>
      </c>
      <c r="N33">
        <v>68</v>
      </c>
      <c r="O33" t="s">
        <v>93</v>
      </c>
      <c r="P33" t="s">
        <v>37</v>
      </c>
      <c r="Q33" t="s">
        <v>189</v>
      </c>
      <c r="R33" t="str">
        <f t="shared" si="0"/>
        <v>Karen Davis</v>
      </c>
      <c r="S33" t="str">
        <f t="shared" si="1"/>
        <v>Sanjay Jones</v>
      </c>
      <c r="T33" t="str">
        <f t="shared" si="2"/>
        <v>gbp</v>
      </c>
      <c r="U33" s="7" t="str">
        <f t="shared" si="3"/>
        <v>EUR</v>
      </c>
      <c r="V33" s="7" t="str">
        <f t="shared" si="4"/>
        <v>USA</v>
      </c>
      <c r="W33" s="7" t="str">
        <f t="shared" si="5"/>
        <v>South Africa</v>
      </c>
      <c r="X33" s="7" t="str">
        <f t="shared" si="6"/>
        <v>Inter-Transaction</v>
      </c>
      <c r="Y33" s="7">
        <f t="shared" si="12"/>
        <v>7035.78</v>
      </c>
      <c r="Z33" s="7">
        <f t="shared" si="7"/>
        <v>68</v>
      </c>
      <c r="AA33" s="7">
        <f t="shared" si="8"/>
        <v>2024</v>
      </c>
      <c r="AB33" s="7">
        <f t="shared" si="9"/>
        <v>1</v>
      </c>
      <c r="AC33" s="7">
        <f t="shared" si="13"/>
        <v>1</v>
      </c>
      <c r="AD33" s="7" t="str">
        <f t="shared" si="10"/>
        <v>No</v>
      </c>
      <c r="AE33" s="7" t="str">
        <f t="shared" si="11"/>
        <v>Normal</v>
      </c>
    </row>
    <row r="34" spans="1:31">
      <c r="A34" t="s">
        <v>190</v>
      </c>
      <c r="B34">
        <v>22257687</v>
      </c>
      <c r="C34" t="s">
        <v>191</v>
      </c>
      <c r="D34" t="s">
        <v>192</v>
      </c>
      <c r="E34" t="s">
        <v>20</v>
      </c>
      <c r="F34" t="s">
        <v>80</v>
      </c>
      <c r="G34" t="s">
        <v>45</v>
      </c>
      <c r="H34" t="s">
        <v>56</v>
      </c>
      <c r="I34" t="s">
        <v>3378</v>
      </c>
      <c r="J34">
        <v>2730.52</v>
      </c>
      <c r="K34" t="s">
        <v>27</v>
      </c>
      <c r="L34" t="s">
        <v>81</v>
      </c>
      <c r="M34" s="1">
        <v>44982.033333333333</v>
      </c>
      <c r="N34">
        <v>24</v>
      </c>
      <c r="O34" t="s">
        <v>68</v>
      </c>
      <c r="P34" t="s">
        <v>93</v>
      </c>
      <c r="Q34" t="s">
        <v>193</v>
      </c>
      <c r="R34" t="str">
        <f t="shared" si="0"/>
        <v>Elizabeth Velez</v>
      </c>
      <c r="S34" t="str">
        <f t="shared" si="1"/>
        <v>Amir Malik</v>
      </c>
      <c r="T34" t="str">
        <f t="shared" si="2"/>
        <v>USD</v>
      </c>
      <c r="U34" s="7" t="str">
        <f t="shared" si="3"/>
        <v>ZAR</v>
      </c>
      <c r="V34" s="7" t="str">
        <f t="shared" si="4"/>
        <v>UAE</v>
      </c>
      <c r="W34" s="7" t="str">
        <f t="shared" si="5"/>
        <v>USA</v>
      </c>
      <c r="X34" s="7" t="str">
        <f t="shared" si="6"/>
        <v>Inter-Transaction</v>
      </c>
      <c r="Y34" s="7">
        <f t="shared" si="12"/>
        <v>2730.52</v>
      </c>
      <c r="Z34" s="7">
        <f t="shared" si="7"/>
        <v>24</v>
      </c>
      <c r="AA34" s="7">
        <f t="shared" si="8"/>
        <v>2023</v>
      </c>
      <c r="AB34" s="7">
        <f t="shared" si="9"/>
        <v>2</v>
      </c>
      <c r="AC34" s="7">
        <f t="shared" si="13"/>
        <v>1</v>
      </c>
      <c r="AD34" s="7" t="str">
        <f t="shared" si="10"/>
        <v>No</v>
      </c>
      <c r="AE34" s="7" t="str">
        <f t="shared" si="11"/>
        <v>Normal</v>
      </c>
    </row>
    <row r="35" spans="1:31">
      <c r="A35" t="s">
        <v>194</v>
      </c>
      <c r="B35">
        <v>48683937</v>
      </c>
      <c r="C35" t="s">
        <v>195</v>
      </c>
      <c r="D35" t="s">
        <v>196</v>
      </c>
      <c r="E35" t="s">
        <v>20</v>
      </c>
      <c r="F35" t="s">
        <v>44</v>
      </c>
      <c r="G35" t="s">
        <v>35</v>
      </c>
      <c r="H35" t="s">
        <v>25</v>
      </c>
      <c r="I35" t="s">
        <v>3374</v>
      </c>
      <c r="J35">
        <v>13041.82</v>
      </c>
      <c r="K35" t="s">
        <v>39</v>
      </c>
      <c r="L35" t="s">
        <v>81</v>
      </c>
      <c r="M35" s="1">
        <v>46270.061805555553</v>
      </c>
      <c r="N35">
        <v>38</v>
      </c>
      <c r="O35" t="s">
        <v>127</v>
      </c>
      <c r="P35" t="s">
        <v>127</v>
      </c>
      <c r="Q35" t="s">
        <v>197</v>
      </c>
      <c r="R35" t="str">
        <f t="shared" si="0"/>
        <v>Marta Gonzalez</v>
      </c>
      <c r="S35" t="str">
        <f t="shared" si="1"/>
        <v>Amir Dubois</v>
      </c>
      <c r="T35" t="str">
        <f t="shared" si="2"/>
        <v>SGD</v>
      </c>
      <c r="U35" s="7" t="str">
        <f t="shared" si="3"/>
        <v>EUR</v>
      </c>
      <c r="V35" s="7" t="str">
        <f t="shared" si="4"/>
        <v>Canada</v>
      </c>
      <c r="W35" s="7" t="str">
        <f t="shared" si="5"/>
        <v>Canada</v>
      </c>
      <c r="X35" s="7" t="str">
        <f t="shared" si="6"/>
        <v>External</v>
      </c>
      <c r="Y35" s="7">
        <f t="shared" si="12"/>
        <v>13041.82</v>
      </c>
      <c r="Z35" s="7">
        <f t="shared" si="7"/>
        <v>38</v>
      </c>
      <c r="AA35" s="7">
        <f t="shared" si="8"/>
        <v>2026</v>
      </c>
      <c r="AB35" s="7">
        <f t="shared" si="9"/>
        <v>9</v>
      </c>
      <c r="AC35" s="7">
        <f t="shared" si="13"/>
        <v>1</v>
      </c>
      <c r="AD35" s="7" t="str">
        <f t="shared" si="10"/>
        <v>No</v>
      </c>
      <c r="AE35" s="7" t="str">
        <f t="shared" si="11"/>
        <v>Normal</v>
      </c>
    </row>
    <row r="36" spans="1:31">
      <c r="A36" t="s">
        <v>198</v>
      </c>
      <c r="B36">
        <v>48658617</v>
      </c>
      <c r="C36" t="s">
        <v>199</v>
      </c>
      <c r="D36" t="s">
        <v>200</v>
      </c>
      <c r="E36" t="s">
        <v>20</v>
      </c>
      <c r="F36" t="s">
        <v>45</v>
      </c>
      <c r="G36" t="s">
        <v>116</v>
      </c>
      <c r="H36" t="s">
        <v>74</v>
      </c>
      <c r="I36" t="s">
        <v>3377</v>
      </c>
      <c r="J36">
        <v>6927.1</v>
      </c>
      <c r="K36" t="s">
        <v>86</v>
      </c>
      <c r="L36" t="s">
        <v>48</v>
      </c>
      <c r="M36" s="1">
        <v>45047.318055555559</v>
      </c>
      <c r="N36">
        <v>56</v>
      </c>
      <c r="O36" t="s">
        <v>24</v>
      </c>
      <c r="P36" t="s">
        <v>127</v>
      </c>
      <c r="Q36" t="s">
        <v>201</v>
      </c>
      <c r="R36" t="str">
        <f t="shared" si="0"/>
        <v>THOMAS VOLKOV</v>
      </c>
      <c r="S36" t="str">
        <f t="shared" si="1"/>
        <v>Elena Thomas</v>
      </c>
      <c r="T36" t="str">
        <f t="shared" si="2"/>
        <v>ZAR</v>
      </c>
      <c r="U36" s="7" t="str">
        <f t="shared" si="3"/>
        <v>CHF</v>
      </c>
      <c r="V36" s="7" t="str">
        <f t="shared" si="4"/>
        <v>Brazil</v>
      </c>
      <c r="W36" s="7" t="str">
        <f t="shared" si="5"/>
        <v>Canada</v>
      </c>
      <c r="X36" s="7" t="str">
        <f t="shared" si="6"/>
        <v>Inter-Transaction</v>
      </c>
      <c r="Y36" s="7">
        <f t="shared" si="12"/>
        <v>6927.1</v>
      </c>
      <c r="Z36" s="7">
        <f t="shared" si="7"/>
        <v>56</v>
      </c>
      <c r="AA36" s="7">
        <f t="shared" si="8"/>
        <v>2023</v>
      </c>
      <c r="AB36" s="7">
        <f t="shared" si="9"/>
        <v>5</v>
      </c>
      <c r="AC36" s="7">
        <f t="shared" si="13"/>
        <v>1</v>
      </c>
      <c r="AD36" s="7" t="str">
        <f t="shared" si="10"/>
        <v>No</v>
      </c>
      <c r="AE36" s="7" t="str">
        <f t="shared" si="11"/>
        <v>Normal</v>
      </c>
    </row>
    <row r="37" spans="1:31">
      <c r="A37" t="s">
        <v>202</v>
      </c>
      <c r="B37">
        <v>61484043</v>
      </c>
      <c r="C37" t="s">
        <v>203</v>
      </c>
      <c r="D37" t="s">
        <v>204</v>
      </c>
      <c r="E37" t="s">
        <v>33</v>
      </c>
      <c r="F37" t="s">
        <v>21</v>
      </c>
      <c r="G37" t="s">
        <v>35</v>
      </c>
      <c r="H37" t="s">
        <v>25</v>
      </c>
      <c r="I37" t="s">
        <v>3378</v>
      </c>
      <c r="J37">
        <v>10893.5</v>
      </c>
      <c r="K37" t="s">
        <v>27</v>
      </c>
      <c r="L37" t="s">
        <v>81</v>
      </c>
      <c r="M37" s="1">
        <v>44711.600694444445</v>
      </c>
      <c r="N37">
        <v>35</v>
      </c>
      <c r="O37" t="s">
        <v>23</v>
      </c>
      <c r="P37" t="s">
        <v>68</v>
      </c>
      <c r="Q37" t="s">
        <v>205</v>
      </c>
      <c r="R37" t="str">
        <f t="shared" si="0"/>
        <v>William Souza</v>
      </c>
      <c r="S37" t="str">
        <f t="shared" si="1"/>
        <v>Nancy Taylor</v>
      </c>
      <c r="T37" t="str">
        <f t="shared" si="2"/>
        <v>GBP</v>
      </c>
      <c r="U37" s="7" t="str">
        <f t="shared" si="3"/>
        <v>EUR</v>
      </c>
      <c r="V37" s="7" t="str">
        <f t="shared" si="4"/>
        <v>France</v>
      </c>
      <c r="W37" s="7" t="str">
        <f t="shared" si="5"/>
        <v>UAE</v>
      </c>
      <c r="X37" s="7" t="str">
        <f t="shared" si="6"/>
        <v>Inter-Transaction</v>
      </c>
      <c r="Y37" s="7">
        <f t="shared" si="12"/>
        <v>10893.5</v>
      </c>
      <c r="Z37" s="7">
        <f t="shared" si="7"/>
        <v>35</v>
      </c>
      <c r="AA37" s="7">
        <f t="shared" si="8"/>
        <v>2022</v>
      </c>
      <c r="AB37" s="7">
        <f t="shared" si="9"/>
        <v>5</v>
      </c>
      <c r="AC37" s="7">
        <f t="shared" si="13"/>
        <v>1</v>
      </c>
      <c r="AD37" s="7" t="str">
        <f t="shared" si="10"/>
        <v>No</v>
      </c>
      <c r="AE37" s="7" t="str">
        <f t="shared" si="11"/>
        <v>Normal</v>
      </c>
    </row>
    <row r="38" spans="1:31">
      <c r="A38" t="s">
        <v>206</v>
      </c>
      <c r="B38">
        <v>42051937</v>
      </c>
      <c r="C38" t="s">
        <v>207</v>
      </c>
      <c r="D38" t="s">
        <v>208</v>
      </c>
      <c r="E38" t="s">
        <v>3375</v>
      </c>
      <c r="F38" t="s">
        <v>80</v>
      </c>
      <c r="G38" t="s">
        <v>34</v>
      </c>
      <c r="I38" t="s">
        <v>3371</v>
      </c>
      <c r="J38">
        <v>7434.98</v>
      </c>
      <c r="K38" t="s">
        <v>86</v>
      </c>
      <c r="L38" t="s">
        <v>48</v>
      </c>
      <c r="M38" s="1">
        <v>43915.189583333333</v>
      </c>
      <c r="N38">
        <v>21</v>
      </c>
      <c r="O38" t="s">
        <v>93</v>
      </c>
      <c r="P38" t="s">
        <v>36</v>
      </c>
      <c r="Q38" t="s">
        <v>209</v>
      </c>
      <c r="R38" t="str">
        <f t="shared" si="0"/>
        <v>Christopher Gonzalez</v>
      </c>
      <c r="S38" t="str">
        <f t="shared" si="1"/>
        <v>Elizabeth Malik</v>
      </c>
      <c r="T38" t="str">
        <f t="shared" si="2"/>
        <v>USD</v>
      </c>
      <c r="U38" s="7" t="str">
        <f t="shared" si="3"/>
        <v>CAD</v>
      </c>
      <c r="V38" s="7" t="str">
        <f t="shared" si="4"/>
        <v>USA</v>
      </c>
      <c r="W38" s="7" t="str">
        <f t="shared" si="5"/>
        <v>Germany</v>
      </c>
      <c r="X38" s="7" t="str">
        <f t="shared" si="6"/>
        <v>Outer-Transaction</v>
      </c>
      <c r="Y38" s="7">
        <f t="shared" si="12"/>
        <v>7434.98</v>
      </c>
      <c r="Z38" s="7">
        <f t="shared" si="7"/>
        <v>21</v>
      </c>
      <c r="AA38" s="7">
        <f t="shared" si="8"/>
        <v>2020</v>
      </c>
      <c r="AB38" s="7">
        <f t="shared" si="9"/>
        <v>3</v>
      </c>
      <c r="AC38" s="7">
        <f t="shared" si="13"/>
        <v>1</v>
      </c>
      <c r="AD38" s="7" t="str">
        <f t="shared" si="10"/>
        <v>No</v>
      </c>
      <c r="AE38" s="7" t="str">
        <f t="shared" si="11"/>
        <v>Normal</v>
      </c>
    </row>
    <row r="39" spans="1:31">
      <c r="A39" t="s">
        <v>210</v>
      </c>
      <c r="B39">
        <v>65026398</v>
      </c>
      <c r="C39" t="s">
        <v>211</v>
      </c>
      <c r="D39" t="s">
        <v>212</v>
      </c>
      <c r="E39" t="s">
        <v>20</v>
      </c>
      <c r="F39" t="s">
        <v>53</v>
      </c>
      <c r="G39" t="s">
        <v>34</v>
      </c>
      <c r="H39" t="s">
        <v>38</v>
      </c>
      <c r="I39" t="s">
        <v>3372</v>
      </c>
      <c r="J39">
        <v>14312.55</v>
      </c>
      <c r="K39" t="s">
        <v>39</v>
      </c>
      <c r="L39" t="s">
        <v>28</v>
      </c>
      <c r="M39" s="1">
        <v>44884.277083333334</v>
      </c>
      <c r="N39">
        <v>77</v>
      </c>
      <c r="O39" t="s">
        <v>23</v>
      </c>
      <c r="P39" t="s">
        <v>68</v>
      </c>
      <c r="Q39" t="s">
        <v>213</v>
      </c>
      <c r="R39" t="str">
        <f t="shared" si="0"/>
        <v>Zayn Nair</v>
      </c>
      <c r="S39" t="str">
        <f t="shared" si="1"/>
        <v>Michael Williams</v>
      </c>
      <c r="T39" t="str">
        <f t="shared" si="2"/>
        <v>AED</v>
      </c>
      <c r="U39" s="7" t="str">
        <f t="shared" si="3"/>
        <v>CAD</v>
      </c>
      <c r="V39" s="7" t="str">
        <f t="shared" si="4"/>
        <v>France</v>
      </c>
      <c r="W39" s="7" t="str">
        <f t="shared" si="5"/>
        <v>UAE</v>
      </c>
      <c r="X39" s="7" t="str">
        <f t="shared" si="6"/>
        <v>Outer-Transaction</v>
      </c>
      <c r="Y39" s="7">
        <f t="shared" si="12"/>
        <v>14312.55</v>
      </c>
      <c r="Z39" s="7">
        <f t="shared" si="7"/>
        <v>77</v>
      </c>
      <c r="AA39" s="7">
        <f t="shared" si="8"/>
        <v>2022</v>
      </c>
      <c r="AB39" s="7">
        <f t="shared" si="9"/>
        <v>11</v>
      </c>
      <c r="AC39" s="7">
        <f t="shared" si="13"/>
        <v>2</v>
      </c>
      <c r="AD39" s="7" t="str">
        <f t="shared" si="10"/>
        <v>No</v>
      </c>
      <c r="AE39" s="7" t="str">
        <f t="shared" si="11"/>
        <v>Normal</v>
      </c>
    </row>
    <row r="40" spans="1:31">
      <c r="A40" t="s">
        <v>214</v>
      </c>
      <c r="B40">
        <v>23489853</v>
      </c>
      <c r="C40" t="s">
        <v>215</v>
      </c>
      <c r="D40" t="s">
        <v>216</v>
      </c>
      <c r="E40">
        <v>0</v>
      </c>
      <c r="F40" t="s">
        <v>80</v>
      </c>
      <c r="G40" t="s">
        <v>34</v>
      </c>
      <c r="H40" t="s">
        <v>38</v>
      </c>
      <c r="I40" t="s">
        <v>3374</v>
      </c>
      <c r="J40">
        <v>11889.87</v>
      </c>
      <c r="K40" t="s">
        <v>47</v>
      </c>
      <c r="L40" t="s">
        <v>48</v>
      </c>
      <c r="M40" s="1">
        <v>43879.276388888888</v>
      </c>
      <c r="N40">
        <v>31</v>
      </c>
      <c r="O40" t="s">
        <v>127</v>
      </c>
      <c r="P40" t="s">
        <v>68</v>
      </c>
      <c r="Q40" t="s">
        <v>217</v>
      </c>
      <c r="R40" t="str">
        <f t="shared" si="0"/>
        <v>Thomas Garcia</v>
      </c>
      <c r="S40" t="str">
        <f t="shared" si="1"/>
        <v>Elena Martinez</v>
      </c>
      <c r="T40" t="str">
        <f t="shared" si="2"/>
        <v>USD</v>
      </c>
      <c r="U40" s="7" t="str">
        <f t="shared" si="3"/>
        <v>CAD</v>
      </c>
      <c r="V40" s="7" t="str">
        <f t="shared" si="4"/>
        <v>Canada</v>
      </c>
      <c r="W40" s="7" t="str">
        <f t="shared" si="5"/>
        <v>UAE</v>
      </c>
      <c r="X40" s="7" t="str">
        <f t="shared" si="6"/>
        <v>External</v>
      </c>
      <c r="Y40" s="7">
        <f t="shared" si="12"/>
        <v>11889.87</v>
      </c>
      <c r="Z40" s="7">
        <f t="shared" si="7"/>
        <v>31</v>
      </c>
      <c r="AA40" s="7">
        <f t="shared" si="8"/>
        <v>2020</v>
      </c>
      <c r="AB40" s="7">
        <f t="shared" si="9"/>
        <v>2</v>
      </c>
      <c r="AC40" s="7">
        <f t="shared" si="13"/>
        <v>1</v>
      </c>
      <c r="AD40" s="7" t="str">
        <f t="shared" si="10"/>
        <v>No</v>
      </c>
      <c r="AE40" s="7" t="str">
        <f t="shared" si="11"/>
        <v>Normal</v>
      </c>
    </row>
    <row r="41" spans="1:31">
      <c r="A41" t="s">
        <v>218</v>
      </c>
      <c r="B41">
        <v>71682508</v>
      </c>
      <c r="C41" t="s">
        <v>219</v>
      </c>
      <c r="D41" t="s">
        <v>220</v>
      </c>
      <c r="E41" t="s">
        <v>3375</v>
      </c>
      <c r="F41" t="s">
        <v>53</v>
      </c>
      <c r="G41" t="s">
        <v>45</v>
      </c>
      <c r="H41" t="s">
        <v>56</v>
      </c>
      <c r="I41" t="s">
        <v>3374</v>
      </c>
      <c r="J41">
        <v>3758.97</v>
      </c>
      <c r="K41" t="s">
        <v>57</v>
      </c>
      <c r="L41" t="s">
        <v>48</v>
      </c>
      <c r="M41" s="1">
        <v>44999.577777777777</v>
      </c>
      <c r="N41">
        <v>26</v>
      </c>
      <c r="O41" t="s">
        <v>55</v>
      </c>
      <c r="P41" t="s">
        <v>93</v>
      </c>
      <c r="Q41" t="s">
        <v>221</v>
      </c>
      <c r="R41" t="str">
        <f t="shared" si="0"/>
        <v>David Velez</v>
      </c>
      <c r="S41" t="str">
        <f t="shared" si="1"/>
        <v>John Volkov</v>
      </c>
      <c r="T41" t="str">
        <f t="shared" si="2"/>
        <v>AED</v>
      </c>
      <c r="U41" s="7" t="str">
        <f t="shared" si="3"/>
        <v>ZAR</v>
      </c>
      <c r="V41" s="7" t="str">
        <f t="shared" si="4"/>
        <v>UK</v>
      </c>
      <c r="W41" s="7" t="str">
        <f t="shared" si="5"/>
        <v>USA</v>
      </c>
      <c r="X41" s="7" t="str">
        <f t="shared" si="6"/>
        <v>External</v>
      </c>
      <c r="Y41" s="7">
        <f t="shared" si="12"/>
        <v>3758.97</v>
      </c>
      <c r="Z41" s="7">
        <f t="shared" si="7"/>
        <v>26</v>
      </c>
      <c r="AA41" s="7">
        <f t="shared" si="8"/>
        <v>2023</v>
      </c>
      <c r="AB41" s="7">
        <f t="shared" si="9"/>
        <v>3</v>
      </c>
      <c r="AC41" s="7">
        <f t="shared" si="13"/>
        <v>1</v>
      </c>
      <c r="AD41" s="7" t="str">
        <f t="shared" si="10"/>
        <v>No</v>
      </c>
      <c r="AE41" s="7" t="str">
        <f t="shared" si="11"/>
        <v>Normal</v>
      </c>
    </row>
    <row r="42" spans="1:31">
      <c r="A42" t="s">
        <v>222</v>
      </c>
      <c r="B42">
        <v>98346110</v>
      </c>
      <c r="C42" t="s">
        <v>223</v>
      </c>
      <c r="D42" t="s">
        <v>224</v>
      </c>
      <c r="E42" t="s">
        <v>3373</v>
      </c>
      <c r="F42" t="s">
        <v>22</v>
      </c>
      <c r="G42" t="s">
        <v>80</v>
      </c>
      <c r="H42" t="s">
        <v>74</v>
      </c>
      <c r="I42" t="s">
        <v>3376</v>
      </c>
      <c r="J42">
        <v>12030.96</v>
      </c>
      <c r="K42" t="s">
        <v>47</v>
      </c>
      <c r="L42" t="s">
        <v>48</v>
      </c>
      <c r="M42" s="1">
        <v>43899.734027777777</v>
      </c>
      <c r="N42">
        <v>70</v>
      </c>
      <c r="O42" t="s">
        <v>55</v>
      </c>
      <c r="P42" t="s">
        <v>55</v>
      </c>
      <c r="Q42" t="s">
        <v>225</v>
      </c>
      <c r="R42" t="str">
        <f t="shared" si="0"/>
        <v>Joseph Rodriguez</v>
      </c>
      <c r="S42" t="str">
        <f t="shared" si="1"/>
        <v>John Jackson</v>
      </c>
      <c r="T42" t="str">
        <f t="shared" si="2"/>
        <v>BRL</v>
      </c>
      <c r="U42" s="7" t="str">
        <f t="shared" si="3"/>
        <v>USD</v>
      </c>
      <c r="V42" s="7" t="str">
        <f t="shared" si="4"/>
        <v>UK</v>
      </c>
      <c r="W42" s="7" t="str">
        <f t="shared" si="5"/>
        <v>UK</v>
      </c>
      <c r="X42" s="7" t="str">
        <f t="shared" si="6"/>
        <v>Internal</v>
      </c>
      <c r="Y42" s="7">
        <f t="shared" si="12"/>
        <v>12030.96</v>
      </c>
      <c r="Z42" s="7">
        <f t="shared" si="7"/>
        <v>70</v>
      </c>
      <c r="AA42" s="7">
        <f t="shared" si="8"/>
        <v>2020</v>
      </c>
      <c r="AB42" s="7">
        <f t="shared" si="9"/>
        <v>3</v>
      </c>
      <c r="AC42" s="7">
        <f t="shared" si="13"/>
        <v>1</v>
      </c>
      <c r="AD42" s="7" t="str">
        <f t="shared" si="10"/>
        <v>No</v>
      </c>
      <c r="AE42" s="7" t="str">
        <f t="shared" si="11"/>
        <v>Normal</v>
      </c>
    </row>
    <row r="43" spans="1:31">
      <c r="A43" t="s">
        <v>226</v>
      </c>
      <c r="B43">
        <v>51464269</v>
      </c>
      <c r="C43" t="s">
        <v>227</v>
      </c>
      <c r="D43" t="s">
        <v>228</v>
      </c>
      <c r="E43" t="s">
        <v>20</v>
      </c>
      <c r="F43" t="s">
        <v>21</v>
      </c>
      <c r="G43" t="s">
        <v>35</v>
      </c>
      <c r="H43" t="s">
        <v>103</v>
      </c>
      <c r="I43" t="s">
        <v>3376</v>
      </c>
      <c r="J43">
        <v>7531.9</v>
      </c>
      <c r="K43" t="s">
        <v>57</v>
      </c>
      <c r="L43" t="s">
        <v>48</v>
      </c>
      <c r="M43" s="1">
        <v>46357.15347222222</v>
      </c>
      <c r="N43">
        <v>19</v>
      </c>
      <c r="O43" t="s">
        <v>93</v>
      </c>
      <c r="P43" t="s">
        <v>36</v>
      </c>
      <c r="Q43" t="s">
        <v>229</v>
      </c>
      <c r="R43" t="str">
        <f t="shared" si="0"/>
        <v>Lucas Anderson</v>
      </c>
      <c r="S43" t="str">
        <f t="shared" si="1"/>
        <v>Mary Jackson</v>
      </c>
      <c r="T43" t="str">
        <f t="shared" si="2"/>
        <v>GBP</v>
      </c>
      <c r="U43" s="7" t="str">
        <f t="shared" si="3"/>
        <v>EUR</v>
      </c>
      <c r="V43" s="7" t="str">
        <f t="shared" si="4"/>
        <v>USA</v>
      </c>
      <c r="W43" s="7" t="str">
        <f t="shared" si="5"/>
        <v>Germany</v>
      </c>
      <c r="X43" s="7" t="str">
        <f t="shared" si="6"/>
        <v>Internal</v>
      </c>
      <c r="Y43" s="7">
        <f t="shared" si="12"/>
        <v>7531.9</v>
      </c>
      <c r="Z43" s="7">
        <f t="shared" si="7"/>
        <v>19</v>
      </c>
      <c r="AA43" s="7">
        <f t="shared" si="8"/>
        <v>2026</v>
      </c>
      <c r="AB43" s="7">
        <f t="shared" si="9"/>
        <v>12</v>
      </c>
      <c r="AC43" s="7">
        <f t="shared" si="13"/>
        <v>1</v>
      </c>
      <c r="AD43" s="7" t="str">
        <f t="shared" si="10"/>
        <v>No</v>
      </c>
      <c r="AE43" s="7" t="str">
        <f t="shared" si="11"/>
        <v>Normal</v>
      </c>
    </row>
    <row r="44" spans="1:31">
      <c r="A44" t="s">
        <v>230</v>
      </c>
      <c r="B44">
        <v>40281491</v>
      </c>
      <c r="C44" t="s">
        <v>231</v>
      </c>
      <c r="D44" t="s">
        <v>232</v>
      </c>
      <c r="E44" t="b">
        <v>1</v>
      </c>
      <c r="F44" t="s">
        <v>98</v>
      </c>
      <c r="G44" t="s">
        <v>34</v>
      </c>
      <c r="I44" t="s">
        <v>3374</v>
      </c>
      <c r="J44">
        <v>3939.8</v>
      </c>
      <c r="K44" t="s">
        <v>39</v>
      </c>
      <c r="L44" t="s">
        <v>75</v>
      </c>
      <c r="M44" s="1">
        <v>45532.738194444442</v>
      </c>
      <c r="N44">
        <v>77</v>
      </c>
      <c r="O44" t="s">
        <v>37</v>
      </c>
      <c r="P44" t="s">
        <v>24</v>
      </c>
      <c r="Q44" t="s">
        <v>233</v>
      </c>
      <c r="R44" t="str">
        <f t="shared" si="0"/>
        <v>Zayn Velez</v>
      </c>
      <c r="S44" t="str">
        <f t="shared" si="1"/>
        <v>Fatima Velez</v>
      </c>
      <c r="T44" t="str">
        <f t="shared" si="2"/>
        <v>JPY</v>
      </c>
      <c r="U44" s="7" t="str">
        <f t="shared" si="3"/>
        <v>CAD</v>
      </c>
      <c r="V44" s="7" t="str">
        <f t="shared" si="4"/>
        <v>South Africa</v>
      </c>
      <c r="W44" s="7" t="str">
        <f t="shared" si="5"/>
        <v>Brazil</v>
      </c>
      <c r="X44" s="7" t="str">
        <f t="shared" si="6"/>
        <v>External</v>
      </c>
      <c r="Y44" s="7">
        <f t="shared" si="12"/>
        <v>3939.8</v>
      </c>
      <c r="Z44" s="7">
        <f t="shared" si="7"/>
        <v>77</v>
      </c>
      <c r="AA44" s="7">
        <f t="shared" si="8"/>
        <v>2024</v>
      </c>
      <c r="AB44" s="7">
        <f t="shared" si="9"/>
        <v>8</v>
      </c>
      <c r="AC44" s="7">
        <f t="shared" si="13"/>
        <v>1</v>
      </c>
      <c r="AD44" s="7" t="str">
        <f t="shared" si="10"/>
        <v>No</v>
      </c>
      <c r="AE44" s="7" t="str">
        <f t="shared" si="11"/>
        <v>High Risk</v>
      </c>
    </row>
    <row r="45" spans="1:31">
      <c r="A45" t="s">
        <v>234</v>
      </c>
      <c r="B45">
        <v>95282470</v>
      </c>
      <c r="C45" t="s">
        <v>235</v>
      </c>
      <c r="D45" t="s">
        <v>236</v>
      </c>
      <c r="E45" t="s">
        <v>20</v>
      </c>
      <c r="F45" t="s">
        <v>92</v>
      </c>
      <c r="G45" t="s">
        <v>35</v>
      </c>
      <c r="H45" t="s">
        <v>38</v>
      </c>
      <c r="I45" t="s">
        <v>3371</v>
      </c>
      <c r="J45">
        <v>5835.8</v>
      </c>
      <c r="K45" t="s">
        <v>57</v>
      </c>
      <c r="L45" t="s">
        <v>81</v>
      </c>
      <c r="M45" s="1">
        <v>45429.64166666667</v>
      </c>
      <c r="N45">
        <v>61</v>
      </c>
      <c r="O45" t="s">
        <v>127</v>
      </c>
      <c r="P45" t="s">
        <v>23</v>
      </c>
      <c r="Q45" t="s">
        <v>237</v>
      </c>
      <c r="R45" t="str">
        <f t="shared" si="0"/>
        <v>Amir Anderson</v>
      </c>
      <c r="S45" t="str">
        <f t="shared" si="1"/>
        <v>Priya Rostova</v>
      </c>
      <c r="T45" t="str">
        <f t="shared" si="2"/>
        <v>AUD</v>
      </c>
      <c r="U45" s="7" t="str">
        <f t="shared" si="3"/>
        <v>EUR</v>
      </c>
      <c r="V45" s="7" t="str">
        <f t="shared" si="4"/>
        <v>Canada</v>
      </c>
      <c r="W45" s="7" t="str">
        <f t="shared" si="5"/>
        <v>France</v>
      </c>
      <c r="X45" s="7" t="str">
        <f t="shared" si="6"/>
        <v>Outer-Transaction</v>
      </c>
      <c r="Y45" s="7">
        <f t="shared" si="12"/>
        <v>5835.8</v>
      </c>
      <c r="Z45" s="7">
        <f t="shared" si="7"/>
        <v>61</v>
      </c>
      <c r="AA45" s="7">
        <f t="shared" si="8"/>
        <v>2024</v>
      </c>
      <c r="AB45" s="7">
        <f t="shared" si="9"/>
        <v>5</v>
      </c>
      <c r="AC45" s="7">
        <f t="shared" si="13"/>
        <v>1</v>
      </c>
      <c r="AD45" s="7" t="str">
        <f t="shared" si="10"/>
        <v>No</v>
      </c>
      <c r="AE45" s="7" t="str">
        <f t="shared" si="11"/>
        <v>Normal</v>
      </c>
    </row>
    <row r="46" spans="1:31">
      <c r="A46" t="s">
        <v>238</v>
      </c>
      <c r="B46">
        <v>69509870</v>
      </c>
      <c r="C46" t="s">
        <v>239</v>
      </c>
      <c r="D46" t="s">
        <v>240</v>
      </c>
      <c r="E46" t="s">
        <v>20</v>
      </c>
      <c r="F46" t="s">
        <v>45</v>
      </c>
      <c r="G46" t="s">
        <v>34</v>
      </c>
      <c r="H46" t="s">
        <v>25</v>
      </c>
      <c r="I46" t="s">
        <v>3372</v>
      </c>
      <c r="J46">
        <v>1384.18</v>
      </c>
      <c r="K46" t="s">
        <v>47</v>
      </c>
      <c r="L46" t="s">
        <v>28</v>
      </c>
      <c r="M46" s="1">
        <v>46025.275694444441</v>
      </c>
      <c r="N46">
        <v>25</v>
      </c>
      <c r="O46" t="s">
        <v>127</v>
      </c>
      <c r="P46" t="s">
        <v>68</v>
      </c>
      <c r="Q46" t="s">
        <v>241</v>
      </c>
      <c r="R46" t="str">
        <f t="shared" si="0"/>
        <v>Thomas Davis</v>
      </c>
      <c r="S46" t="str">
        <f t="shared" si="1"/>
        <v>Zayn Lopez</v>
      </c>
      <c r="T46" t="str">
        <f t="shared" si="2"/>
        <v>ZAR</v>
      </c>
      <c r="U46" s="7" t="str">
        <f t="shared" si="3"/>
        <v>CAD</v>
      </c>
      <c r="V46" s="7" t="str">
        <f t="shared" si="4"/>
        <v>Canada</v>
      </c>
      <c r="W46" s="7" t="str">
        <f t="shared" si="5"/>
        <v>UAE</v>
      </c>
      <c r="X46" s="7" t="str">
        <f t="shared" si="6"/>
        <v>Outer-Transaction</v>
      </c>
      <c r="Y46" s="7">
        <f t="shared" si="12"/>
        <v>1384.18</v>
      </c>
      <c r="Z46" s="7">
        <f t="shared" si="7"/>
        <v>25</v>
      </c>
      <c r="AA46" s="7">
        <f t="shared" si="8"/>
        <v>2026</v>
      </c>
      <c r="AB46" s="7">
        <f t="shared" si="9"/>
        <v>1</v>
      </c>
      <c r="AC46" s="7">
        <f t="shared" si="13"/>
        <v>1</v>
      </c>
      <c r="AD46" s="7" t="str">
        <f t="shared" si="10"/>
        <v>No</v>
      </c>
      <c r="AE46" s="7" t="str">
        <f t="shared" si="11"/>
        <v>Normal</v>
      </c>
    </row>
    <row r="47" spans="1:31">
      <c r="A47" t="s">
        <v>242</v>
      </c>
      <c r="B47">
        <v>41272553</v>
      </c>
      <c r="C47" t="s">
        <v>243</v>
      </c>
      <c r="D47" t="s">
        <v>244</v>
      </c>
      <c r="E47">
        <v>0</v>
      </c>
      <c r="F47" t="s">
        <v>80</v>
      </c>
      <c r="G47" t="s">
        <v>53</v>
      </c>
      <c r="I47" t="s">
        <v>3377</v>
      </c>
      <c r="J47">
        <v>1985.73</v>
      </c>
      <c r="K47" t="s">
        <v>57</v>
      </c>
      <c r="L47" t="s">
        <v>48</v>
      </c>
      <c r="M47" s="1">
        <v>45700.168055555558</v>
      </c>
      <c r="N47">
        <v>64</v>
      </c>
      <c r="O47" t="s">
        <v>54</v>
      </c>
      <c r="P47" t="s">
        <v>62</v>
      </c>
      <c r="Q47" t="s">
        <v>245</v>
      </c>
      <c r="R47" t="str">
        <f t="shared" si="0"/>
        <v>Richard Dubois</v>
      </c>
      <c r="S47" t="str">
        <f t="shared" si="1"/>
        <v>Michael Silva</v>
      </c>
      <c r="T47" t="str">
        <f t="shared" si="2"/>
        <v>USD</v>
      </c>
      <c r="U47" s="7" t="str">
        <f t="shared" si="3"/>
        <v>AED</v>
      </c>
      <c r="V47" s="7" t="str">
        <f t="shared" si="4"/>
        <v>India</v>
      </c>
      <c r="W47" s="7" t="str">
        <f t="shared" si="5"/>
        <v>Australia</v>
      </c>
      <c r="X47" s="7" t="str">
        <f t="shared" si="6"/>
        <v>Inter-Transaction</v>
      </c>
      <c r="Y47" s="7">
        <f t="shared" si="12"/>
        <v>1985.73</v>
      </c>
      <c r="Z47" s="7">
        <f t="shared" si="7"/>
        <v>64</v>
      </c>
      <c r="AA47" s="7">
        <f t="shared" si="8"/>
        <v>2025</v>
      </c>
      <c r="AB47" s="7">
        <f t="shared" si="9"/>
        <v>2</v>
      </c>
      <c r="AC47" s="7">
        <f t="shared" si="13"/>
        <v>1</v>
      </c>
      <c r="AD47" s="7" t="str">
        <f t="shared" si="10"/>
        <v>No</v>
      </c>
      <c r="AE47" s="7" t="str">
        <f t="shared" si="11"/>
        <v>Normal</v>
      </c>
    </row>
    <row r="48" spans="1:31">
      <c r="A48" t="s">
        <v>246</v>
      </c>
      <c r="B48">
        <v>58592048</v>
      </c>
      <c r="C48" t="s">
        <v>247</v>
      </c>
      <c r="D48" t="s">
        <v>248</v>
      </c>
      <c r="E48" t="s">
        <v>20</v>
      </c>
      <c r="F48" t="s">
        <v>116</v>
      </c>
      <c r="G48" t="s">
        <v>80</v>
      </c>
      <c r="H48" t="s">
        <v>25</v>
      </c>
      <c r="I48" t="s">
        <v>3377</v>
      </c>
      <c r="J48">
        <v>14978.82</v>
      </c>
      <c r="K48" t="s">
        <v>39</v>
      </c>
      <c r="L48" t="s">
        <v>81</v>
      </c>
      <c r="M48" s="1">
        <v>44846.479166666664</v>
      </c>
      <c r="N48">
        <v>52</v>
      </c>
      <c r="O48" t="s">
        <v>37</v>
      </c>
      <c r="P48" t="s">
        <v>54</v>
      </c>
      <c r="Q48" t="s">
        <v>249</v>
      </c>
      <c r="R48" t="str">
        <f t="shared" si="0"/>
        <v>Charles Jackson</v>
      </c>
      <c r="S48" t="str">
        <f t="shared" si="1"/>
        <v>Patricia Anderson</v>
      </c>
      <c r="T48" t="str">
        <f t="shared" si="2"/>
        <v>CHF</v>
      </c>
      <c r="U48" s="7" t="str">
        <f t="shared" si="3"/>
        <v>USD</v>
      </c>
      <c r="V48" s="7" t="str">
        <f t="shared" si="4"/>
        <v>South Africa</v>
      </c>
      <c r="W48" s="7" t="str">
        <f t="shared" si="5"/>
        <v>India</v>
      </c>
      <c r="X48" s="7" t="str">
        <f t="shared" si="6"/>
        <v>Inter-Transaction</v>
      </c>
      <c r="Y48" s="7">
        <f t="shared" si="12"/>
        <v>14978.82</v>
      </c>
      <c r="Z48" s="7">
        <f t="shared" si="7"/>
        <v>52</v>
      </c>
      <c r="AA48" s="7">
        <f t="shared" si="8"/>
        <v>2022</v>
      </c>
      <c r="AB48" s="7">
        <f t="shared" si="9"/>
        <v>10</v>
      </c>
      <c r="AC48" s="7">
        <f t="shared" si="13"/>
        <v>1</v>
      </c>
      <c r="AD48" s="7" t="str">
        <f t="shared" si="10"/>
        <v>No</v>
      </c>
      <c r="AE48" s="7" t="str">
        <f t="shared" si="11"/>
        <v>Normal</v>
      </c>
    </row>
    <row r="49" spans="1:31">
      <c r="A49" t="s">
        <v>250</v>
      </c>
      <c r="B49">
        <v>94970119</v>
      </c>
      <c r="C49" t="s">
        <v>251</v>
      </c>
      <c r="D49" t="s">
        <v>252</v>
      </c>
      <c r="E49" t="s">
        <v>20</v>
      </c>
      <c r="F49" t="s">
        <v>116</v>
      </c>
      <c r="G49" t="s">
        <v>98</v>
      </c>
      <c r="I49" t="s">
        <v>3374</v>
      </c>
      <c r="J49">
        <v>13166.82</v>
      </c>
      <c r="K49" t="s">
        <v>27</v>
      </c>
      <c r="L49" t="s">
        <v>48</v>
      </c>
      <c r="M49" s="1">
        <v>44276.611805555556</v>
      </c>
      <c r="N49">
        <v>53</v>
      </c>
      <c r="O49" t="s">
        <v>68</v>
      </c>
      <c r="P49" t="s">
        <v>62</v>
      </c>
      <c r="Q49" t="s">
        <v>253</v>
      </c>
      <c r="R49" t="str">
        <f t="shared" si="0"/>
        <v>Christopher Moore</v>
      </c>
      <c r="S49" t="str">
        <f t="shared" si="1"/>
        <v>Elena Hernandez</v>
      </c>
      <c r="T49" t="str">
        <f t="shared" si="2"/>
        <v>CHF</v>
      </c>
      <c r="U49" s="7" t="str">
        <f t="shared" si="3"/>
        <v>JPY</v>
      </c>
      <c r="V49" s="7" t="str">
        <f t="shared" si="4"/>
        <v>UAE</v>
      </c>
      <c r="W49" s="7" t="str">
        <f t="shared" si="5"/>
        <v>Australia</v>
      </c>
      <c r="X49" s="7" t="str">
        <f t="shared" si="6"/>
        <v>External</v>
      </c>
      <c r="Y49" s="7">
        <f t="shared" si="12"/>
        <v>13166.82</v>
      </c>
      <c r="Z49" s="7">
        <f t="shared" si="7"/>
        <v>53</v>
      </c>
      <c r="AA49" s="7">
        <f t="shared" si="8"/>
        <v>2021</v>
      </c>
      <c r="AB49" s="7">
        <f t="shared" si="9"/>
        <v>3</v>
      </c>
      <c r="AC49" s="7">
        <f t="shared" si="13"/>
        <v>1</v>
      </c>
      <c r="AD49" s="7" t="str">
        <f t="shared" si="10"/>
        <v>No</v>
      </c>
      <c r="AE49" s="7" t="str">
        <f t="shared" si="11"/>
        <v>Normal</v>
      </c>
    </row>
    <row r="50" spans="1:31">
      <c r="A50" t="s">
        <v>254</v>
      </c>
      <c r="B50">
        <v>99269266</v>
      </c>
      <c r="C50" t="s">
        <v>255</v>
      </c>
      <c r="D50" t="s">
        <v>256</v>
      </c>
      <c r="E50">
        <v>0</v>
      </c>
      <c r="F50" t="s">
        <v>35</v>
      </c>
      <c r="G50" t="s">
        <v>35</v>
      </c>
      <c r="H50" t="s">
        <v>38</v>
      </c>
      <c r="I50" t="s">
        <v>3377</v>
      </c>
      <c r="J50">
        <v>8801.11</v>
      </c>
      <c r="K50" t="s">
        <v>27</v>
      </c>
      <c r="L50" t="s">
        <v>75</v>
      </c>
      <c r="M50" s="1">
        <v>46099.804166666669</v>
      </c>
      <c r="N50">
        <v>67</v>
      </c>
      <c r="O50" t="s">
        <v>68</v>
      </c>
      <c r="P50" t="s">
        <v>93</v>
      </c>
      <c r="Q50" t="s">
        <v>257</v>
      </c>
      <c r="R50" t="str">
        <f t="shared" si="0"/>
        <v>David Lopez</v>
      </c>
      <c r="S50" t="str">
        <f t="shared" si="1"/>
        <v>Michael Velez</v>
      </c>
      <c r="T50" t="str">
        <f t="shared" si="2"/>
        <v>EUR</v>
      </c>
      <c r="U50" s="7" t="str">
        <f t="shared" si="3"/>
        <v>EUR</v>
      </c>
      <c r="V50" s="7" t="str">
        <f t="shared" si="4"/>
        <v>UAE</v>
      </c>
      <c r="W50" s="7" t="str">
        <f t="shared" si="5"/>
        <v>USA</v>
      </c>
      <c r="X50" s="7" t="str">
        <f t="shared" si="6"/>
        <v>Inter-Transaction</v>
      </c>
      <c r="Y50" s="7">
        <f t="shared" si="12"/>
        <v>8801.11</v>
      </c>
      <c r="Z50" s="7">
        <f t="shared" si="7"/>
        <v>67</v>
      </c>
      <c r="AA50" s="7">
        <f t="shared" si="8"/>
        <v>2026</v>
      </c>
      <c r="AB50" s="7">
        <f t="shared" si="9"/>
        <v>3</v>
      </c>
      <c r="AC50" s="7">
        <f t="shared" si="13"/>
        <v>1</v>
      </c>
      <c r="AD50" s="7" t="str">
        <f t="shared" si="10"/>
        <v>No</v>
      </c>
      <c r="AE50" s="7" t="str">
        <f t="shared" si="11"/>
        <v>High Risk</v>
      </c>
    </row>
    <row r="51" spans="1:31">
      <c r="A51" t="s">
        <v>258</v>
      </c>
      <c r="B51">
        <v>51936181</v>
      </c>
      <c r="C51" t="s">
        <v>259</v>
      </c>
      <c r="D51" t="s">
        <v>260</v>
      </c>
      <c r="E51" t="s">
        <v>20</v>
      </c>
      <c r="F51" t="s">
        <v>45</v>
      </c>
      <c r="G51" t="s">
        <v>44</v>
      </c>
      <c r="H51" t="s">
        <v>38</v>
      </c>
      <c r="I51" t="s">
        <v>3371</v>
      </c>
      <c r="J51">
        <v>12110.25</v>
      </c>
      <c r="K51" t="s">
        <v>27</v>
      </c>
      <c r="L51" t="s">
        <v>28</v>
      </c>
      <c r="M51" s="1">
        <v>45232.665972222225</v>
      </c>
      <c r="N51">
        <v>21</v>
      </c>
      <c r="O51" t="s">
        <v>24</v>
      </c>
      <c r="P51" t="s">
        <v>93</v>
      </c>
      <c r="Q51" t="s">
        <v>261</v>
      </c>
      <c r="R51" t="str">
        <f t="shared" si="0"/>
        <v>Susan Brown</v>
      </c>
      <c r="S51" t="str">
        <f t="shared" si="1"/>
        <v>Christopher Taylor</v>
      </c>
      <c r="T51" t="str">
        <f t="shared" si="2"/>
        <v>ZAR</v>
      </c>
      <c r="U51" s="7" t="str">
        <f t="shared" si="3"/>
        <v>SGD</v>
      </c>
      <c r="V51" s="7" t="str">
        <f t="shared" si="4"/>
        <v>Brazil</v>
      </c>
      <c r="W51" s="7" t="str">
        <f t="shared" si="5"/>
        <v>USA</v>
      </c>
      <c r="X51" s="7" t="str">
        <f t="shared" si="6"/>
        <v>Outer-Transaction</v>
      </c>
      <c r="Y51" s="7">
        <f t="shared" si="12"/>
        <v>12110.25</v>
      </c>
      <c r="Z51" s="7">
        <f t="shared" si="7"/>
        <v>21</v>
      </c>
      <c r="AA51" s="7">
        <f t="shared" si="8"/>
        <v>2023</v>
      </c>
      <c r="AB51" s="7">
        <f t="shared" si="9"/>
        <v>11</v>
      </c>
      <c r="AC51" s="7">
        <f t="shared" si="13"/>
        <v>1</v>
      </c>
      <c r="AD51" s="7" t="str">
        <f t="shared" si="10"/>
        <v>No</v>
      </c>
      <c r="AE51" s="7" t="str">
        <f t="shared" si="11"/>
        <v>Normal</v>
      </c>
    </row>
    <row r="52" spans="1:31">
      <c r="A52" t="s">
        <v>262</v>
      </c>
      <c r="B52">
        <v>98227303</v>
      </c>
      <c r="C52" t="s">
        <v>263</v>
      </c>
      <c r="D52" t="s">
        <v>264</v>
      </c>
      <c r="E52" t="s">
        <v>20</v>
      </c>
      <c r="F52" t="s">
        <v>80</v>
      </c>
      <c r="G52" t="s">
        <v>35</v>
      </c>
      <c r="I52" t="s">
        <v>3378</v>
      </c>
      <c r="J52">
        <v>11654.77</v>
      </c>
      <c r="K52" t="s">
        <v>27</v>
      </c>
      <c r="L52" t="s">
        <v>28</v>
      </c>
      <c r="M52" s="1">
        <v>45973.443749999999</v>
      </c>
      <c r="N52">
        <v>19</v>
      </c>
      <c r="O52" t="s">
        <v>36</v>
      </c>
      <c r="P52" t="s">
        <v>37</v>
      </c>
      <c r="Q52" t="s">
        <v>265</v>
      </c>
      <c r="R52" t="str">
        <f t="shared" si="0"/>
        <v>Joseph Williams</v>
      </c>
      <c r="S52" t="str">
        <f t="shared" si="1"/>
        <v>Michael Al-Sayed</v>
      </c>
      <c r="T52" t="str">
        <f t="shared" si="2"/>
        <v>USD</v>
      </c>
      <c r="U52" s="7" t="str">
        <f t="shared" si="3"/>
        <v>EUR</v>
      </c>
      <c r="V52" s="7" t="str">
        <f t="shared" si="4"/>
        <v>Germany</v>
      </c>
      <c r="W52" s="7" t="str">
        <f t="shared" si="5"/>
        <v>South Africa</v>
      </c>
      <c r="X52" s="7" t="str">
        <f t="shared" si="6"/>
        <v>Inter-Transaction</v>
      </c>
      <c r="Y52" s="7">
        <f t="shared" si="12"/>
        <v>11654.77</v>
      </c>
      <c r="Z52" s="7">
        <f t="shared" si="7"/>
        <v>19</v>
      </c>
      <c r="AA52" s="7">
        <f t="shared" si="8"/>
        <v>2025</v>
      </c>
      <c r="AB52" s="7">
        <f t="shared" si="9"/>
        <v>11</v>
      </c>
      <c r="AC52" s="7">
        <f t="shared" si="13"/>
        <v>1</v>
      </c>
      <c r="AD52" s="7" t="str">
        <f t="shared" si="10"/>
        <v>No</v>
      </c>
      <c r="AE52" s="7" t="str">
        <f t="shared" si="11"/>
        <v>Normal</v>
      </c>
    </row>
    <row r="53" spans="1:31">
      <c r="A53" t="s">
        <v>266</v>
      </c>
      <c r="B53">
        <v>65590800</v>
      </c>
      <c r="C53" t="s">
        <v>267</v>
      </c>
      <c r="E53" t="s">
        <v>20</v>
      </c>
      <c r="F53" t="s">
        <v>92</v>
      </c>
      <c r="G53" t="s">
        <v>35</v>
      </c>
      <c r="H53" t="s">
        <v>56</v>
      </c>
      <c r="I53" t="s">
        <v>3376</v>
      </c>
      <c r="J53">
        <v>831.18</v>
      </c>
      <c r="K53" t="s">
        <v>47</v>
      </c>
      <c r="L53" t="s">
        <v>75</v>
      </c>
      <c r="M53" s="1">
        <v>44092.098611111112</v>
      </c>
      <c r="N53">
        <v>23</v>
      </c>
      <c r="O53" t="s">
        <v>55</v>
      </c>
      <c r="P53" t="s">
        <v>55</v>
      </c>
      <c r="Q53" t="s">
        <v>268</v>
      </c>
      <c r="R53" t="str">
        <f t="shared" si="0"/>
        <v>David Miller</v>
      </c>
      <c r="S53" t="str">
        <f t="shared" si="1"/>
        <v/>
      </c>
      <c r="T53" t="str">
        <f t="shared" si="2"/>
        <v>AUD</v>
      </c>
      <c r="U53" s="7" t="str">
        <f t="shared" si="3"/>
        <v>EUR</v>
      </c>
      <c r="V53" s="7" t="str">
        <f t="shared" si="4"/>
        <v>UK</v>
      </c>
      <c r="W53" s="7" t="str">
        <f t="shared" si="5"/>
        <v>UK</v>
      </c>
      <c r="X53" s="7" t="str">
        <f t="shared" si="6"/>
        <v>Internal</v>
      </c>
      <c r="Y53" s="7">
        <f t="shared" si="12"/>
        <v>831.18</v>
      </c>
      <c r="Z53" s="7">
        <f t="shared" si="7"/>
        <v>23</v>
      </c>
      <c r="AA53" s="7">
        <f t="shared" si="8"/>
        <v>2020</v>
      </c>
      <c r="AB53" s="7">
        <f t="shared" si="9"/>
        <v>9</v>
      </c>
      <c r="AC53" s="7">
        <f t="shared" si="13"/>
        <v>1</v>
      </c>
      <c r="AD53" s="7" t="str">
        <f t="shared" si="10"/>
        <v>No</v>
      </c>
      <c r="AE53" s="7" t="str">
        <f t="shared" si="11"/>
        <v>High Risk</v>
      </c>
    </row>
    <row r="54" spans="1:31">
      <c r="A54" t="s">
        <v>269</v>
      </c>
      <c r="B54">
        <v>40884937</v>
      </c>
      <c r="C54" t="s">
        <v>270</v>
      </c>
      <c r="D54" t="s">
        <v>271</v>
      </c>
      <c r="E54" t="s">
        <v>3375</v>
      </c>
      <c r="F54" t="s">
        <v>35</v>
      </c>
      <c r="G54" t="s">
        <v>160</v>
      </c>
      <c r="H54" t="s">
        <v>38</v>
      </c>
      <c r="I54" t="s">
        <v>3372</v>
      </c>
      <c r="J54">
        <v>8605.26</v>
      </c>
      <c r="K54" t="s">
        <v>39</v>
      </c>
      <c r="L54" t="s">
        <v>75</v>
      </c>
      <c r="M54" s="1">
        <v>45679.265277777777</v>
      </c>
      <c r="N54">
        <v>71</v>
      </c>
      <c r="O54" t="s">
        <v>68</v>
      </c>
      <c r="P54" t="s">
        <v>23</v>
      </c>
      <c r="Q54" t="s">
        <v>272</v>
      </c>
      <c r="R54" t="str">
        <f t="shared" si="0"/>
        <v>Charles Moore</v>
      </c>
      <c r="S54" t="str">
        <f t="shared" si="1"/>
        <v>Amir Velez</v>
      </c>
      <c r="T54" t="str">
        <f t="shared" si="2"/>
        <v>EUR</v>
      </c>
      <c r="U54" s="7" t="str">
        <f t="shared" si="3"/>
        <v>aud</v>
      </c>
      <c r="V54" s="7" t="str">
        <f t="shared" si="4"/>
        <v>UAE</v>
      </c>
      <c r="W54" s="7" t="str">
        <f t="shared" si="5"/>
        <v>France</v>
      </c>
      <c r="X54" s="7" t="str">
        <f t="shared" si="6"/>
        <v>Outer-Transaction</v>
      </c>
      <c r="Y54" s="7">
        <f t="shared" si="12"/>
        <v>8605.26</v>
      </c>
      <c r="Z54" s="7">
        <f t="shared" si="7"/>
        <v>71</v>
      </c>
      <c r="AA54" s="7">
        <f t="shared" si="8"/>
        <v>2025</v>
      </c>
      <c r="AB54" s="7">
        <f t="shared" si="9"/>
        <v>1</v>
      </c>
      <c r="AC54" s="7">
        <f t="shared" si="13"/>
        <v>1</v>
      </c>
      <c r="AD54" s="7" t="str">
        <f t="shared" si="10"/>
        <v>No</v>
      </c>
      <c r="AE54" s="7" t="str">
        <f t="shared" si="11"/>
        <v>High Risk</v>
      </c>
    </row>
    <row r="55" spans="1:31">
      <c r="A55" t="s">
        <v>273</v>
      </c>
      <c r="B55">
        <v>68614462</v>
      </c>
      <c r="C55" t="s">
        <v>43</v>
      </c>
      <c r="D55" t="s">
        <v>274</v>
      </c>
      <c r="E55" t="s">
        <v>20</v>
      </c>
      <c r="F55" t="s">
        <v>98</v>
      </c>
      <c r="G55" t="s">
        <v>35</v>
      </c>
      <c r="H55" t="s">
        <v>38</v>
      </c>
      <c r="I55" t="s">
        <v>3374</v>
      </c>
      <c r="J55">
        <v>1719.26</v>
      </c>
      <c r="K55" t="s">
        <v>27</v>
      </c>
      <c r="L55" t="s">
        <v>48</v>
      </c>
      <c r="M55" s="1">
        <v>44727.28125</v>
      </c>
      <c r="N55">
        <v>21</v>
      </c>
      <c r="O55" t="s">
        <v>37</v>
      </c>
      <c r="P55" t="s">
        <v>68</v>
      </c>
      <c r="Q55" t="s">
        <v>275</v>
      </c>
      <c r="R55" t="str">
        <f t="shared" si="0"/>
        <v>Zayn Brown</v>
      </c>
      <c r="S55" t="str">
        <f t="shared" si="1"/>
        <v>Elizabeth Wilson</v>
      </c>
      <c r="T55" t="str">
        <f t="shared" si="2"/>
        <v>JPY</v>
      </c>
      <c r="U55" s="7" t="str">
        <f t="shared" si="3"/>
        <v>EUR</v>
      </c>
      <c r="V55" s="7" t="str">
        <f t="shared" si="4"/>
        <v>South Africa</v>
      </c>
      <c r="W55" s="7" t="str">
        <f t="shared" si="5"/>
        <v>UAE</v>
      </c>
      <c r="X55" s="7" t="str">
        <f t="shared" si="6"/>
        <v>External</v>
      </c>
      <c r="Y55" s="7">
        <f t="shared" si="12"/>
        <v>1719.26</v>
      </c>
      <c r="Z55" s="7">
        <f t="shared" si="7"/>
        <v>21</v>
      </c>
      <c r="AA55" s="7">
        <f t="shared" si="8"/>
        <v>2022</v>
      </c>
      <c r="AB55" s="7">
        <f t="shared" si="9"/>
        <v>6</v>
      </c>
      <c r="AC55" s="7">
        <f t="shared" si="13"/>
        <v>1</v>
      </c>
      <c r="AD55" s="7" t="str">
        <f t="shared" si="10"/>
        <v>No</v>
      </c>
      <c r="AE55" s="7" t="str">
        <f t="shared" si="11"/>
        <v>Normal</v>
      </c>
    </row>
    <row r="56" spans="1:31">
      <c r="A56" t="s">
        <v>276</v>
      </c>
      <c r="B56">
        <v>30517835</v>
      </c>
      <c r="C56" t="s">
        <v>277</v>
      </c>
      <c r="D56" t="s">
        <v>278</v>
      </c>
      <c r="E56" t="s">
        <v>20</v>
      </c>
      <c r="F56" t="s">
        <v>45</v>
      </c>
      <c r="G56" t="s">
        <v>44</v>
      </c>
      <c r="I56" t="s">
        <v>3374</v>
      </c>
      <c r="J56">
        <v>14798.11</v>
      </c>
      <c r="K56" t="s">
        <v>57</v>
      </c>
      <c r="L56" t="s">
        <v>75</v>
      </c>
      <c r="M56" s="1">
        <v>44925.070138888892</v>
      </c>
      <c r="N56">
        <v>71</v>
      </c>
      <c r="O56" t="s">
        <v>127</v>
      </c>
      <c r="P56" t="s">
        <v>62</v>
      </c>
      <c r="Q56" t="s">
        <v>279</v>
      </c>
      <c r="R56" t="str">
        <f t="shared" si="0"/>
        <v>Jean-Pierre Dubois</v>
      </c>
      <c r="S56" t="str">
        <f t="shared" si="1"/>
        <v>Sanjay Williams</v>
      </c>
      <c r="T56" t="str">
        <f t="shared" si="2"/>
        <v>ZAR</v>
      </c>
      <c r="U56" s="7" t="str">
        <f t="shared" si="3"/>
        <v>SGD</v>
      </c>
      <c r="V56" s="7" t="str">
        <f t="shared" si="4"/>
        <v>Canada</v>
      </c>
      <c r="W56" s="7" t="str">
        <f t="shared" si="5"/>
        <v>Australia</v>
      </c>
      <c r="X56" s="7" t="str">
        <f t="shared" si="6"/>
        <v>External</v>
      </c>
      <c r="Y56" s="7">
        <f t="shared" si="12"/>
        <v>14798.11</v>
      </c>
      <c r="Z56" s="7">
        <f t="shared" si="7"/>
        <v>71</v>
      </c>
      <c r="AA56" s="7">
        <f t="shared" si="8"/>
        <v>2022</v>
      </c>
      <c r="AB56" s="7">
        <f t="shared" si="9"/>
        <v>12</v>
      </c>
      <c r="AC56" s="7">
        <f t="shared" si="13"/>
        <v>1</v>
      </c>
      <c r="AD56" s="7" t="str">
        <f t="shared" si="10"/>
        <v>No</v>
      </c>
      <c r="AE56" s="7" t="str">
        <f t="shared" si="11"/>
        <v>High Risk</v>
      </c>
    </row>
    <row r="57" spans="1:31">
      <c r="A57" t="s">
        <v>280</v>
      </c>
      <c r="B57">
        <v>71974027</v>
      </c>
      <c r="C57" t="s">
        <v>281</v>
      </c>
      <c r="D57" t="s">
        <v>282</v>
      </c>
      <c r="E57" t="s">
        <v>3375</v>
      </c>
      <c r="F57" t="s">
        <v>35</v>
      </c>
      <c r="G57" t="s">
        <v>45</v>
      </c>
      <c r="H57" t="s">
        <v>38</v>
      </c>
      <c r="I57" t="s">
        <v>3374</v>
      </c>
      <c r="J57">
        <v>13439.19</v>
      </c>
      <c r="K57" t="s">
        <v>39</v>
      </c>
      <c r="L57" t="s">
        <v>48</v>
      </c>
      <c r="M57" s="1">
        <v>46097.789583333331</v>
      </c>
      <c r="N57">
        <v>80</v>
      </c>
      <c r="O57" t="s">
        <v>68</v>
      </c>
      <c r="P57" t="s">
        <v>54</v>
      </c>
      <c r="Q57" t="s">
        <v>283</v>
      </c>
      <c r="R57" t="str">
        <f t="shared" si="0"/>
        <v>Thomas Johnson</v>
      </c>
      <c r="S57" t="str">
        <f t="shared" si="1"/>
        <v>Mary Lopez</v>
      </c>
      <c r="T57" t="str">
        <f t="shared" si="2"/>
        <v>EUR</v>
      </c>
      <c r="U57" s="7" t="str">
        <f t="shared" si="3"/>
        <v>ZAR</v>
      </c>
      <c r="V57" s="7" t="str">
        <f t="shared" si="4"/>
        <v>UAE</v>
      </c>
      <c r="W57" s="7" t="str">
        <f t="shared" si="5"/>
        <v>India</v>
      </c>
      <c r="X57" s="7" t="str">
        <f t="shared" si="6"/>
        <v>External</v>
      </c>
      <c r="Y57" s="7">
        <f t="shared" si="12"/>
        <v>13439.19</v>
      </c>
      <c r="Z57" s="7">
        <f t="shared" si="7"/>
        <v>80</v>
      </c>
      <c r="AA57" s="7">
        <f t="shared" si="8"/>
        <v>2026</v>
      </c>
      <c r="AB57" s="7">
        <f t="shared" si="9"/>
        <v>3</v>
      </c>
      <c r="AC57" s="7">
        <f t="shared" si="13"/>
        <v>1</v>
      </c>
      <c r="AD57" s="7" t="str">
        <f t="shared" si="10"/>
        <v>No</v>
      </c>
      <c r="AE57" s="7" t="str">
        <f t="shared" si="11"/>
        <v>Normal</v>
      </c>
    </row>
    <row r="58" spans="1:31">
      <c r="A58" t="s">
        <v>284</v>
      </c>
      <c r="B58">
        <v>21318464</v>
      </c>
      <c r="C58" t="s">
        <v>285</v>
      </c>
      <c r="D58" t="s">
        <v>286</v>
      </c>
      <c r="E58" t="s">
        <v>20</v>
      </c>
      <c r="F58" t="s">
        <v>44</v>
      </c>
      <c r="G58" t="s">
        <v>44</v>
      </c>
      <c r="H58" t="s">
        <v>103</v>
      </c>
      <c r="I58" t="s">
        <v>3374</v>
      </c>
      <c r="J58">
        <v>8972.31</v>
      </c>
      <c r="K58" t="s">
        <v>57</v>
      </c>
      <c r="L58" t="s">
        <v>28</v>
      </c>
      <c r="M58" s="1">
        <v>45387.365972222222</v>
      </c>
      <c r="N58">
        <v>35</v>
      </c>
      <c r="O58" t="s">
        <v>127</v>
      </c>
      <c r="P58" t="s">
        <v>93</v>
      </c>
      <c r="Q58" t="s">
        <v>287</v>
      </c>
      <c r="R58" t="str">
        <f t="shared" si="0"/>
        <v>Charles Nair</v>
      </c>
      <c r="S58" t="str">
        <f t="shared" si="1"/>
        <v>Linda Johnson</v>
      </c>
      <c r="T58" t="str">
        <f t="shared" si="2"/>
        <v>SGD</v>
      </c>
      <c r="U58" s="7" t="str">
        <f t="shared" si="3"/>
        <v>SGD</v>
      </c>
      <c r="V58" s="7" t="str">
        <f t="shared" si="4"/>
        <v>Canada</v>
      </c>
      <c r="W58" s="7" t="str">
        <f t="shared" si="5"/>
        <v>USA</v>
      </c>
      <c r="X58" s="7" t="str">
        <f t="shared" si="6"/>
        <v>External</v>
      </c>
      <c r="Y58" s="7">
        <f t="shared" si="12"/>
        <v>8972.31</v>
      </c>
      <c r="Z58" s="7">
        <f t="shared" si="7"/>
        <v>35</v>
      </c>
      <c r="AA58" s="7">
        <f t="shared" si="8"/>
        <v>2024</v>
      </c>
      <c r="AB58" s="7">
        <f t="shared" si="9"/>
        <v>4</v>
      </c>
      <c r="AC58" s="7">
        <f t="shared" si="13"/>
        <v>1</v>
      </c>
      <c r="AD58" s="7" t="str">
        <f t="shared" si="10"/>
        <v>No</v>
      </c>
      <c r="AE58" s="7" t="str">
        <f t="shared" si="11"/>
        <v>Normal</v>
      </c>
    </row>
    <row r="59" spans="1:31">
      <c r="A59" t="s">
        <v>288</v>
      </c>
      <c r="C59" t="s">
        <v>289</v>
      </c>
      <c r="D59" t="s">
        <v>290</v>
      </c>
      <c r="E59">
        <v>0</v>
      </c>
      <c r="F59" t="s">
        <v>53</v>
      </c>
      <c r="G59" t="s">
        <v>45</v>
      </c>
      <c r="H59" t="s">
        <v>56</v>
      </c>
      <c r="I59" t="s">
        <v>3374</v>
      </c>
      <c r="J59">
        <v>11877.01</v>
      </c>
      <c r="K59" t="s">
        <v>47</v>
      </c>
      <c r="L59" t="s">
        <v>28</v>
      </c>
      <c r="M59" s="1">
        <v>43922.761805555558</v>
      </c>
      <c r="N59">
        <v>61</v>
      </c>
      <c r="O59" t="s">
        <v>68</v>
      </c>
      <c r="P59" t="s">
        <v>93</v>
      </c>
      <c r="Q59" t="s">
        <v>291</v>
      </c>
      <c r="R59" t="str">
        <f t="shared" si="0"/>
        <v>Robert Jackson</v>
      </c>
      <c r="S59" t="str">
        <f t="shared" si="1"/>
        <v>Marta Jones</v>
      </c>
      <c r="T59" t="str">
        <f t="shared" si="2"/>
        <v>AED</v>
      </c>
      <c r="U59" s="7" t="str">
        <f t="shared" si="3"/>
        <v>ZAR</v>
      </c>
      <c r="V59" s="7" t="str">
        <f t="shared" si="4"/>
        <v>UAE</v>
      </c>
      <c r="W59" s="7" t="str">
        <f t="shared" si="5"/>
        <v>USA</v>
      </c>
      <c r="X59" s="7" t="str">
        <f t="shared" si="6"/>
        <v>External</v>
      </c>
      <c r="Y59" s="7">
        <f t="shared" si="12"/>
        <v>11877.01</v>
      </c>
      <c r="Z59" s="7">
        <f t="shared" si="7"/>
        <v>61</v>
      </c>
      <c r="AA59" s="7">
        <f t="shared" si="8"/>
        <v>2020</v>
      </c>
      <c r="AB59" s="7">
        <f t="shared" si="9"/>
        <v>4</v>
      </c>
      <c r="AC59" s="7">
        <f t="shared" si="13"/>
        <v>1</v>
      </c>
      <c r="AD59" s="7" t="str">
        <f t="shared" si="10"/>
        <v>No</v>
      </c>
      <c r="AE59" s="7" t="str">
        <f t="shared" si="11"/>
        <v>Normal</v>
      </c>
    </row>
    <row r="60" spans="1:31">
      <c r="A60" t="s">
        <v>292</v>
      </c>
      <c r="B60">
        <v>28463709</v>
      </c>
      <c r="C60" t="s">
        <v>212</v>
      </c>
      <c r="D60" t="s">
        <v>293</v>
      </c>
      <c r="E60" t="s">
        <v>3375</v>
      </c>
      <c r="F60" t="s">
        <v>98</v>
      </c>
      <c r="G60" t="s">
        <v>294</v>
      </c>
      <c r="H60" t="s">
        <v>74</v>
      </c>
      <c r="I60" t="s">
        <v>3376</v>
      </c>
      <c r="J60">
        <v>5657.03</v>
      </c>
      <c r="K60" t="s">
        <v>47</v>
      </c>
      <c r="L60" t="s">
        <v>48</v>
      </c>
      <c r="M60" s="1">
        <v>43957.365972222222</v>
      </c>
      <c r="N60">
        <v>51</v>
      </c>
      <c r="O60" t="s">
        <v>55</v>
      </c>
      <c r="P60" t="s">
        <v>55</v>
      </c>
      <c r="Q60" t="s">
        <v>295</v>
      </c>
      <c r="R60" t="str">
        <f t="shared" si="0"/>
        <v>Michael Williams</v>
      </c>
      <c r="S60" t="str">
        <f t="shared" si="1"/>
        <v>Barbara Malik</v>
      </c>
      <c r="T60" t="str">
        <f t="shared" si="2"/>
        <v>JPY</v>
      </c>
      <c r="U60" s="7" t="str">
        <f t="shared" si="3"/>
        <v>jpy</v>
      </c>
      <c r="V60" s="7" t="str">
        <f t="shared" si="4"/>
        <v>UK</v>
      </c>
      <c r="W60" s="7" t="str">
        <f t="shared" si="5"/>
        <v>UK</v>
      </c>
      <c r="X60" s="7" t="str">
        <f t="shared" si="6"/>
        <v>Internal</v>
      </c>
      <c r="Y60" s="7">
        <f t="shared" si="12"/>
        <v>5657.03</v>
      </c>
      <c r="Z60" s="7">
        <f t="shared" si="7"/>
        <v>51</v>
      </c>
      <c r="AA60" s="7">
        <f t="shared" si="8"/>
        <v>2020</v>
      </c>
      <c r="AB60" s="7">
        <f t="shared" si="9"/>
        <v>5</v>
      </c>
      <c r="AC60" s="7">
        <f t="shared" si="13"/>
        <v>1</v>
      </c>
      <c r="AD60" s="7" t="str">
        <f t="shared" si="10"/>
        <v>No</v>
      </c>
      <c r="AE60" s="7" t="str">
        <f t="shared" si="11"/>
        <v>Normal</v>
      </c>
    </row>
    <row r="61" spans="1:31">
      <c r="A61" t="s">
        <v>296</v>
      </c>
      <c r="B61">
        <v>70254091</v>
      </c>
      <c r="C61" t="s">
        <v>297</v>
      </c>
      <c r="D61" t="s">
        <v>171</v>
      </c>
      <c r="E61">
        <v>1</v>
      </c>
      <c r="F61" t="s">
        <v>44</v>
      </c>
      <c r="G61" t="s">
        <v>121</v>
      </c>
      <c r="H61" t="s">
        <v>56</v>
      </c>
      <c r="I61" t="s">
        <v>3376</v>
      </c>
      <c r="J61">
        <v>7916.62</v>
      </c>
      <c r="K61" t="s">
        <v>47</v>
      </c>
      <c r="L61" t="s">
        <v>48</v>
      </c>
      <c r="M61" s="1">
        <v>43910.52847222222</v>
      </c>
      <c r="N61">
        <v>79</v>
      </c>
      <c r="O61" t="s">
        <v>23</v>
      </c>
      <c r="P61" t="s">
        <v>54</v>
      </c>
      <c r="Q61" t="s">
        <v>298</v>
      </c>
      <c r="R61" t="str">
        <f t="shared" si="0"/>
        <v>Elizabeth Moore</v>
      </c>
      <c r="S61" t="str">
        <f t="shared" si="1"/>
        <v>Elizabeth Martinez</v>
      </c>
      <c r="T61" t="str">
        <f t="shared" si="2"/>
        <v>SGD</v>
      </c>
      <c r="U61" s="7" t="str">
        <f t="shared" si="3"/>
        <v>INR</v>
      </c>
      <c r="V61" s="7" t="str">
        <f t="shared" si="4"/>
        <v>France</v>
      </c>
      <c r="W61" s="7" t="str">
        <f t="shared" si="5"/>
        <v>India</v>
      </c>
      <c r="X61" s="7" t="str">
        <f t="shared" si="6"/>
        <v>Internal</v>
      </c>
      <c r="Y61" s="7">
        <f t="shared" si="12"/>
        <v>7916.62</v>
      </c>
      <c r="Z61" s="7">
        <f t="shared" si="7"/>
        <v>79</v>
      </c>
      <c r="AA61" s="7">
        <f t="shared" si="8"/>
        <v>2020</v>
      </c>
      <c r="AB61" s="7">
        <f t="shared" si="9"/>
        <v>3</v>
      </c>
      <c r="AC61" s="7">
        <f t="shared" si="13"/>
        <v>1</v>
      </c>
      <c r="AD61" s="7" t="str">
        <f t="shared" si="10"/>
        <v>No</v>
      </c>
      <c r="AE61" s="7" t="str">
        <f t="shared" si="11"/>
        <v>Normal</v>
      </c>
    </row>
    <row r="62" spans="1:31">
      <c r="A62" t="s">
        <v>299</v>
      </c>
      <c r="B62">
        <v>48260510</v>
      </c>
      <c r="D62" t="s">
        <v>300</v>
      </c>
      <c r="E62" t="s">
        <v>20</v>
      </c>
      <c r="F62" t="s">
        <v>98</v>
      </c>
      <c r="G62" t="s">
        <v>21</v>
      </c>
      <c r="H62" t="s">
        <v>25</v>
      </c>
      <c r="I62" t="s">
        <v>3372</v>
      </c>
      <c r="J62">
        <v>808.32</v>
      </c>
      <c r="K62" t="s">
        <v>27</v>
      </c>
      <c r="L62" t="s">
        <v>75</v>
      </c>
      <c r="M62" s="1">
        <v>45678.800694444442</v>
      </c>
      <c r="N62">
        <v>31</v>
      </c>
      <c r="O62" t="s">
        <v>68</v>
      </c>
      <c r="P62" t="s">
        <v>54</v>
      </c>
      <c r="Q62" t="s">
        <v>301</v>
      </c>
      <c r="R62" t="str">
        <f t="shared" si="0"/>
        <v/>
      </c>
      <c r="S62" t="str">
        <f t="shared" si="1"/>
        <v>Linda Rodriguez</v>
      </c>
      <c r="T62" t="str">
        <f t="shared" si="2"/>
        <v>JPY</v>
      </c>
      <c r="U62" s="7" t="str">
        <f t="shared" si="3"/>
        <v>GBP</v>
      </c>
      <c r="V62" s="7" t="str">
        <f t="shared" si="4"/>
        <v>UAE</v>
      </c>
      <c r="W62" s="7" t="str">
        <f t="shared" si="5"/>
        <v>India</v>
      </c>
      <c r="X62" s="7" t="str">
        <f t="shared" si="6"/>
        <v>Outer-Transaction</v>
      </c>
      <c r="Y62" s="7">
        <f t="shared" si="12"/>
        <v>808.32</v>
      </c>
      <c r="Z62" s="7">
        <f t="shared" si="7"/>
        <v>31</v>
      </c>
      <c r="AA62" s="7">
        <f t="shared" si="8"/>
        <v>2025</v>
      </c>
      <c r="AB62" s="7">
        <f t="shared" si="9"/>
        <v>1</v>
      </c>
      <c r="AC62" s="7">
        <f t="shared" si="13"/>
        <v>1</v>
      </c>
      <c r="AD62" s="7" t="str">
        <f t="shared" si="10"/>
        <v>No</v>
      </c>
      <c r="AE62" s="7" t="str">
        <f t="shared" si="11"/>
        <v>High Risk</v>
      </c>
    </row>
    <row r="63" spans="1:31">
      <c r="A63" t="s">
        <v>302</v>
      </c>
      <c r="B63">
        <v>28468304</v>
      </c>
      <c r="C63" t="s">
        <v>303</v>
      </c>
      <c r="D63" t="s">
        <v>304</v>
      </c>
      <c r="E63" t="s">
        <v>20</v>
      </c>
      <c r="F63" t="s">
        <v>21</v>
      </c>
      <c r="G63" t="s">
        <v>22</v>
      </c>
      <c r="H63" t="s">
        <v>74</v>
      </c>
      <c r="I63" t="s">
        <v>3376</v>
      </c>
      <c r="J63">
        <v>14103.99</v>
      </c>
      <c r="K63" t="s">
        <v>27</v>
      </c>
      <c r="L63" t="s">
        <v>81</v>
      </c>
      <c r="M63" s="1">
        <v>44813.474999999999</v>
      </c>
      <c r="N63">
        <v>65</v>
      </c>
      <c r="O63" t="s">
        <v>37</v>
      </c>
      <c r="P63" t="s">
        <v>55</v>
      </c>
      <c r="Q63" t="s">
        <v>305</v>
      </c>
      <c r="R63" t="str">
        <f t="shared" si="0"/>
        <v>MARY MARTINEZ</v>
      </c>
      <c r="S63" t="str">
        <f t="shared" si="1"/>
        <v>Priya Khan</v>
      </c>
      <c r="T63" t="str">
        <f t="shared" si="2"/>
        <v>GBP</v>
      </c>
      <c r="U63" s="7" t="str">
        <f t="shared" si="3"/>
        <v>BRL</v>
      </c>
      <c r="V63" s="7" t="str">
        <f t="shared" si="4"/>
        <v>South Africa</v>
      </c>
      <c r="W63" s="7" t="str">
        <f t="shared" si="5"/>
        <v>UK</v>
      </c>
      <c r="X63" s="7" t="str">
        <f t="shared" si="6"/>
        <v>Internal</v>
      </c>
      <c r="Y63" s="7">
        <f t="shared" si="12"/>
        <v>14103.99</v>
      </c>
      <c r="Z63" s="7">
        <f t="shared" si="7"/>
        <v>65</v>
      </c>
      <c r="AA63" s="7">
        <f t="shared" si="8"/>
        <v>2022</v>
      </c>
      <c r="AB63" s="7">
        <f t="shared" si="9"/>
        <v>9</v>
      </c>
      <c r="AC63" s="7">
        <f t="shared" si="13"/>
        <v>1</v>
      </c>
      <c r="AD63" s="7" t="str">
        <f t="shared" si="10"/>
        <v>No</v>
      </c>
      <c r="AE63" s="7" t="str">
        <f t="shared" si="11"/>
        <v>Normal</v>
      </c>
    </row>
    <row r="64" spans="1:31">
      <c r="A64" t="s">
        <v>306</v>
      </c>
      <c r="C64" t="s">
        <v>151</v>
      </c>
      <c r="D64" t="s">
        <v>307</v>
      </c>
      <c r="E64" t="s">
        <v>20</v>
      </c>
      <c r="F64" t="s">
        <v>121</v>
      </c>
      <c r="G64" t="s">
        <v>22</v>
      </c>
      <c r="I64" t="s">
        <v>3374</v>
      </c>
      <c r="J64">
        <v>1293.3499999999999</v>
      </c>
      <c r="K64" t="s">
        <v>57</v>
      </c>
      <c r="L64" t="s">
        <v>28</v>
      </c>
      <c r="M64" s="1">
        <v>44746.776388888888</v>
      </c>
      <c r="N64">
        <v>32</v>
      </c>
      <c r="O64" t="s">
        <v>68</v>
      </c>
      <c r="P64" t="s">
        <v>93</v>
      </c>
      <c r="Q64" t="s">
        <v>308</v>
      </c>
      <c r="R64" t="str">
        <f t="shared" si="0"/>
        <v>Nancy Moore</v>
      </c>
      <c r="S64" t="str">
        <f t="shared" si="1"/>
        <v>John Nair</v>
      </c>
      <c r="T64" t="str">
        <f t="shared" si="2"/>
        <v>INR</v>
      </c>
      <c r="U64" s="7" t="str">
        <f t="shared" si="3"/>
        <v>BRL</v>
      </c>
      <c r="V64" s="7" t="str">
        <f t="shared" si="4"/>
        <v>UAE</v>
      </c>
      <c r="W64" s="7" t="str">
        <f t="shared" si="5"/>
        <v>USA</v>
      </c>
      <c r="X64" s="7" t="str">
        <f t="shared" si="6"/>
        <v>External</v>
      </c>
      <c r="Y64" s="7">
        <f t="shared" si="12"/>
        <v>1293.3499999999999</v>
      </c>
      <c r="Z64" s="7">
        <f t="shared" si="7"/>
        <v>32</v>
      </c>
      <c r="AA64" s="7">
        <f t="shared" si="8"/>
        <v>2022</v>
      </c>
      <c r="AB64" s="7">
        <f t="shared" si="9"/>
        <v>7</v>
      </c>
      <c r="AC64" s="7">
        <f t="shared" si="13"/>
        <v>1</v>
      </c>
      <c r="AD64" s="7" t="str">
        <f t="shared" si="10"/>
        <v>No</v>
      </c>
      <c r="AE64" s="7" t="str">
        <f t="shared" si="11"/>
        <v>Normal</v>
      </c>
    </row>
    <row r="65" spans="1:31">
      <c r="A65" t="s">
        <v>309</v>
      </c>
      <c r="B65">
        <v>57928328</v>
      </c>
      <c r="C65" t="s">
        <v>310</v>
      </c>
      <c r="D65" t="s">
        <v>311</v>
      </c>
      <c r="E65" t="s">
        <v>33</v>
      </c>
      <c r="F65" t="s">
        <v>45</v>
      </c>
      <c r="G65" t="s">
        <v>35</v>
      </c>
      <c r="I65" t="s">
        <v>3371</v>
      </c>
      <c r="J65">
        <v>12457.45</v>
      </c>
      <c r="K65" t="s">
        <v>39</v>
      </c>
      <c r="L65" t="s">
        <v>81</v>
      </c>
      <c r="M65" s="1">
        <v>46364.926388888889</v>
      </c>
      <c r="N65">
        <v>79</v>
      </c>
      <c r="O65" t="s">
        <v>36</v>
      </c>
      <c r="P65" t="s">
        <v>23</v>
      </c>
      <c r="Q65" t="s">
        <v>312</v>
      </c>
      <c r="R65" t="str">
        <f t="shared" si="0"/>
        <v>LUCAS WILLIAMS</v>
      </c>
      <c r="S65" t="str">
        <f t="shared" si="1"/>
        <v>Susan Davis</v>
      </c>
      <c r="T65" t="str">
        <f t="shared" si="2"/>
        <v>ZAR</v>
      </c>
      <c r="U65" s="7" t="str">
        <f t="shared" si="3"/>
        <v>EUR</v>
      </c>
      <c r="V65" s="7" t="str">
        <f t="shared" si="4"/>
        <v>Germany</v>
      </c>
      <c r="W65" s="7" t="str">
        <f t="shared" si="5"/>
        <v>France</v>
      </c>
      <c r="X65" s="7" t="str">
        <f t="shared" si="6"/>
        <v>Outer-Transaction</v>
      </c>
      <c r="Y65" s="7">
        <f t="shared" si="12"/>
        <v>12457.45</v>
      </c>
      <c r="Z65" s="7">
        <f t="shared" si="7"/>
        <v>79</v>
      </c>
      <c r="AA65" s="7">
        <f t="shared" si="8"/>
        <v>2026</v>
      </c>
      <c r="AB65" s="7">
        <f t="shared" si="9"/>
        <v>12</v>
      </c>
      <c r="AC65" s="7">
        <f t="shared" si="13"/>
        <v>1</v>
      </c>
      <c r="AD65" s="7" t="str">
        <f t="shared" si="10"/>
        <v>No</v>
      </c>
      <c r="AE65" s="7" t="str">
        <f t="shared" si="11"/>
        <v>Normal</v>
      </c>
    </row>
    <row r="66" spans="1:31">
      <c r="A66" t="s">
        <v>313</v>
      </c>
      <c r="B66">
        <v>52358553</v>
      </c>
      <c r="C66" t="s">
        <v>314</v>
      </c>
      <c r="D66" t="s">
        <v>315</v>
      </c>
      <c r="E66" t="b">
        <v>1</v>
      </c>
      <c r="F66" t="s">
        <v>98</v>
      </c>
      <c r="G66" t="s">
        <v>44</v>
      </c>
      <c r="I66" t="s">
        <v>3378</v>
      </c>
      <c r="J66">
        <v>4105.5200000000004</v>
      </c>
      <c r="K66" t="s">
        <v>57</v>
      </c>
      <c r="L66" t="s">
        <v>81</v>
      </c>
      <c r="M66" s="1">
        <v>44524.643055555556</v>
      </c>
      <c r="N66">
        <v>57</v>
      </c>
      <c r="O66" t="s">
        <v>55</v>
      </c>
      <c r="P66" t="s">
        <v>36</v>
      </c>
      <c r="Q66" t="s">
        <v>316</v>
      </c>
      <c r="R66" t="str">
        <f t="shared" ref="R66:R129" si="14">TRIM(C66)</f>
        <v>Priya Martinez</v>
      </c>
      <c r="S66" t="str">
        <f t="shared" ref="S66:S129" si="15">PROPER(D66)</f>
        <v>Charles Gonzalez</v>
      </c>
      <c r="T66" t="str">
        <f t="shared" ref="T66:T129" si="16">TRIM(F66)</f>
        <v>JPY</v>
      </c>
      <c r="U66" s="7" t="str">
        <f t="shared" ref="U66:U129" si="17">TRIM(G66)</f>
        <v>SGD</v>
      </c>
      <c r="V66" s="7" t="str">
        <f t="shared" ref="V66:V129" si="18">TRIM(O66)</f>
        <v>UK</v>
      </c>
      <c r="W66" s="7" t="str">
        <f t="shared" ref="W66:W129" si="19">TRIM(P66)</f>
        <v>Germany</v>
      </c>
      <c r="X66" s="7" t="str">
        <f t="shared" ref="X66:X129" si="20">PROPER(I66)</f>
        <v>Inter-Transaction</v>
      </c>
      <c r="Y66" s="7">
        <f t="shared" ref="Y66:Y129" si="21">IF(J66="",AVERAGE($J:$J),J66)</f>
        <v>4105.5200000000004</v>
      </c>
      <c r="Z66" s="7">
        <f t="shared" ref="Z66:Z129" si="22">IF(N66="",AVERAGE($N:$N),N66)</f>
        <v>57</v>
      </c>
      <c r="AA66" s="7">
        <f t="shared" ref="AA66:AA129" si="23">YEAR(M66)</f>
        <v>2021</v>
      </c>
      <c r="AB66" s="7">
        <f t="shared" ref="AB66:AB129" si="24">MONTH(M66)</f>
        <v>11</v>
      </c>
      <c r="AC66" s="7">
        <f t="shared" ref="AC66:AC129" si="25">COUNTIF(A:A,A66)</f>
        <v>1</v>
      </c>
      <c r="AD66" s="7" t="str">
        <f t="shared" ref="AD66:AD129" si="26">IF(C66="YES","Yes","No")</f>
        <v>No</v>
      </c>
      <c r="AE66" s="7" t="str">
        <f t="shared" ref="AE66:AE129" si="27">IF(L66="HIGH","High Risk","Normal")</f>
        <v>Normal</v>
      </c>
    </row>
    <row r="67" spans="1:31">
      <c r="A67" t="s">
        <v>317</v>
      </c>
      <c r="B67">
        <v>79696025</v>
      </c>
      <c r="C67" t="s">
        <v>318</v>
      </c>
      <c r="D67" t="s">
        <v>319</v>
      </c>
      <c r="E67" t="s">
        <v>20</v>
      </c>
      <c r="F67" t="s">
        <v>92</v>
      </c>
      <c r="G67" t="s">
        <v>116</v>
      </c>
      <c r="H67" t="s">
        <v>103</v>
      </c>
      <c r="I67" t="s">
        <v>3378</v>
      </c>
      <c r="J67">
        <v>6694.28</v>
      </c>
      <c r="K67" t="s">
        <v>39</v>
      </c>
      <c r="L67" t="s">
        <v>48</v>
      </c>
      <c r="M67" s="1">
        <v>43855.29791666667</v>
      </c>
      <c r="N67">
        <v>70</v>
      </c>
      <c r="O67" t="s">
        <v>37</v>
      </c>
      <c r="P67" t="s">
        <v>36</v>
      </c>
      <c r="Q67" t="s">
        <v>320</v>
      </c>
      <c r="R67" t="str">
        <f t="shared" si="14"/>
        <v>David Silva</v>
      </c>
      <c r="S67" t="str">
        <f t="shared" si="15"/>
        <v>Robert Al-Sayed</v>
      </c>
      <c r="T67" t="str">
        <f t="shared" si="16"/>
        <v>AUD</v>
      </c>
      <c r="U67" s="7" t="str">
        <f t="shared" si="17"/>
        <v>CHF</v>
      </c>
      <c r="V67" s="7" t="str">
        <f t="shared" si="18"/>
        <v>South Africa</v>
      </c>
      <c r="W67" s="7" t="str">
        <f t="shared" si="19"/>
        <v>Germany</v>
      </c>
      <c r="X67" s="7" t="str">
        <f t="shared" si="20"/>
        <v>Inter-Transaction</v>
      </c>
      <c r="Y67" s="7">
        <f t="shared" si="21"/>
        <v>6694.28</v>
      </c>
      <c r="Z67" s="7">
        <f t="shared" si="22"/>
        <v>70</v>
      </c>
      <c r="AA67" s="7">
        <f t="shared" si="23"/>
        <v>2020</v>
      </c>
      <c r="AB67" s="7">
        <f t="shared" si="24"/>
        <v>1</v>
      </c>
      <c r="AC67" s="7">
        <f t="shared" si="25"/>
        <v>1</v>
      </c>
      <c r="AD67" s="7" t="str">
        <f t="shared" si="26"/>
        <v>No</v>
      </c>
      <c r="AE67" s="7" t="str">
        <f t="shared" si="27"/>
        <v>Normal</v>
      </c>
    </row>
    <row r="68" spans="1:31">
      <c r="A68" t="s">
        <v>321</v>
      </c>
      <c r="B68">
        <v>17698469</v>
      </c>
      <c r="C68" t="s">
        <v>322</v>
      </c>
      <c r="D68" t="s">
        <v>323</v>
      </c>
      <c r="E68" t="s">
        <v>20</v>
      </c>
      <c r="F68" t="s">
        <v>22</v>
      </c>
      <c r="G68" t="s">
        <v>45</v>
      </c>
      <c r="H68" t="s">
        <v>74</v>
      </c>
      <c r="I68" t="s">
        <v>3377</v>
      </c>
      <c r="J68">
        <v>3547.57</v>
      </c>
      <c r="K68" t="s">
        <v>57</v>
      </c>
      <c r="L68" t="s">
        <v>75</v>
      </c>
      <c r="M68" s="1">
        <v>43986.159722222219</v>
      </c>
      <c r="N68">
        <v>41</v>
      </c>
      <c r="O68" t="s">
        <v>54</v>
      </c>
      <c r="P68" t="s">
        <v>55</v>
      </c>
      <c r="Q68" t="s">
        <v>324</v>
      </c>
      <c r="R68" t="str">
        <f t="shared" si="14"/>
        <v>Robert Velez</v>
      </c>
      <c r="S68" t="str">
        <f t="shared" si="15"/>
        <v>Sanjay Gonzalez</v>
      </c>
      <c r="T68" t="str">
        <f t="shared" si="16"/>
        <v>BRL</v>
      </c>
      <c r="U68" s="7" t="str">
        <f t="shared" si="17"/>
        <v>ZAR</v>
      </c>
      <c r="V68" s="7" t="str">
        <f t="shared" si="18"/>
        <v>India</v>
      </c>
      <c r="W68" s="7" t="str">
        <f t="shared" si="19"/>
        <v>UK</v>
      </c>
      <c r="X68" s="7" t="str">
        <f t="shared" si="20"/>
        <v>Inter-Transaction</v>
      </c>
      <c r="Y68" s="7">
        <f t="shared" si="21"/>
        <v>3547.57</v>
      </c>
      <c r="Z68" s="7">
        <f t="shared" si="22"/>
        <v>41</v>
      </c>
      <c r="AA68" s="7">
        <f t="shared" si="23"/>
        <v>2020</v>
      </c>
      <c r="AB68" s="7">
        <f t="shared" si="24"/>
        <v>6</v>
      </c>
      <c r="AC68" s="7">
        <f t="shared" si="25"/>
        <v>1</v>
      </c>
      <c r="AD68" s="7" t="str">
        <f t="shared" si="26"/>
        <v>No</v>
      </c>
      <c r="AE68" s="7" t="str">
        <f t="shared" si="27"/>
        <v>High Risk</v>
      </c>
    </row>
    <row r="69" spans="1:31">
      <c r="A69" t="s">
        <v>325</v>
      </c>
      <c r="B69">
        <v>81062902</v>
      </c>
      <c r="C69" t="s">
        <v>326</v>
      </c>
      <c r="D69" t="s">
        <v>327</v>
      </c>
      <c r="E69" t="s">
        <v>20</v>
      </c>
      <c r="F69" t="s">
        <v>35</v>
      </c>
      <c r="G69" t="s">
        <v>80</v>
      </c>
      <c r="H69" t="s">
        <v>103</v>
      </c>
      <c r="I69" t="s">
        <v>3374</v>
      </c>
      <c r="J69">
        <v>6699.63</v>
      </c>
      <c r="K69" t="s">
        <v>27</v>
      </c>
      <c r="L69" t="s">
        <v>75</v>
      </c>
      <c r="M69" s="1">
        <v>45643.768750000003</v>
      </c>
      <c r="N69">
        <v>43</v>
      </c>
      <c r="O69" t="s">
        <v>37</v>
      </c>
      <c r="P69" t="s">
        <v>54</v>
      </c>
      <c r="Q69" t="s">
        <v>328</v>
      </c>
      <c r="R69" t="str">
        <f t="shared" si="14"/>
        <v>Susan Gonzalez</v>
      </c>
      <c r="S69" t="str">
        <f t="shared" si="15"/>
        <v>Richard Nair</v>
      </c>
      <c r="T69" t="str">
        <f t="shared" si="16"/>
        <v>EUR</v>
      </c>
      <c r="U69" s="7" t="str">
        <f t="shared" si="17"/>
        <v>USD</v>
      </c>
      <c r="V69" s="7" t="str">
        <f t="shared" si="18"/>
        <v>South Africa</v>
      </c>
      <c r="W69" s="7" t="str">
        <f t="shared" si="19"/>
        <v>India</v>
      </c>
      <c r="X69" s="7" t="str">
        <f t="shared" si="20"/>
        <v>External</v>
      </c>
      <c r="Y69" s="7">
        <f t="shared" si="21"/>
        <v>6699.63</v>
      </c>
      <c r="Z69" s="7">
        <f t="shared" si="22"/>
        <v>43</v>
      </c>
      <c r="AA69" s="7">
        <f t="shared" si="23"/>
        <v>2024</v>
      </c>
      <c r="AB69" s="7">
        <f t="shared" si="24"/>
        <v>12</v>
      </c>
      <c r="AC69" s="7">
        <f t="shared" si="25"/>
        <v>1</v>
      </c>
      <c r="AD69" s="7" t="str">
        <f t="shared" si="26"/>
        <v>No</v>
      </c>
      <c r="AE69" s="7" t="str">
        <f t="shared" si="27"/>
        <v>High Risk</v>
      </c>
    </row>
    <row r="70" spans="1:31">
      <c r="A70" t="s">
        <v>329</v>
      </c>
      <c r="B70">
        <v>52894344</v>
      </c>
      <c r="C70" t="s">
        <v>330</v>
      </c>
      <c r="D70" t="s">
        <v>331</v>
      </c>
      <c r="E70" t="s">
        <v>20</v>
      </c>
      <c r="F70" t="s">
        <v>53</v>
      </c>
      <c r="G70" t="s">
        <v>53</v>
      </c>
      <c r="H70" t="s">
        <v>38</v>
      </c>
      <c r="I70" t="s">
        <v>3371</v>
      </c>
      <c r="J70">
        <v>1829.22</v>
      </c>
      <c r="K70" t="s">
        <v>47</v>
      </c>
      <c r="L70" t="s">
        <v>48</v>
      </c>
      <c r="M70" s="1">
        <v>45384.873611111114</v>
      </c>
      <c r="N70">
        <v>77</v>
      </c>
      <c r="O70" t="s">
        <v>36</v>
      </c>
      <c r="P70" t="s">
        <v>68</v>
      </c>
      <c r="Q70" t="s">
        <v>332</v>
      </c>
      <c r="R70" t="str">
        <f t="shared" si="14"/>
        <v>Marta Lopez</v>
      </c>
      <c r="S70" t="str">
        <f t="shared" si="15"/>
        <v>Elena Williams</v>
      </c>
      <c r="T70" t="str">
        <f t="shared" si="16"/>
        <v>AED</v>
      </c>
      <c r="U70" s="7" t="str">
        <f t="shared" si="17"/>
        <v>AED</v>
      </c>
      <c r="V70" s="7" t="str">
        <f t="shared" si="18"/>
        <v>Germany</v>
      </c>
      <c r="W70" s="7" t="str">
        <f t="shared" si="19"/>
        <v>UAE</v>
      </c>
      <c r="X70" s="7" t="str">
        <f t="shared" si="20"/>
        <v>Outer-Transaction</v>
      </c>
      <c r="Y70" s="7">
        <f t="shared" si="21"/>
        <v>1829.22</v>
      </c>
      <c r="Z70" s="7">
        <f t="shared" si="22"/>
        <v>77</v>
      </c>
      <c r="AA70" s="7">
        <f t="shared" si="23"/>
        <v>2024</v>
      </c>
      <c r="AB70" s="7">
        <f t="shared" si="24"/>
        <v>4</v>
      </c>
      <c r="AC70" s="7">
        <f t="shared" si="25"/>
        <v>1</v>
      </c>
      <c r="AD70" s="7" t="str">
        <f t="shared" si="26"/>
        <v>No</v>
      </c>
      <c r="AE70" s="7" t="str">
        <f t="shared" si="27"/>
        <v>Normal</v>
      </c>
    </row>
    <row r="71" spans="1:31">
      <c r="A71" t="s">
        <v>333</v>
      </c>
      <c r="B71">
        <v>18824561</v>
      </c>
      <c r="C71" t="s">
        <v>334</v>
      </c>
      <c r="D71" t="s">
        <v>335</v>
      </c>
      <c r="E71" t="s">
        <v>20</v>
      </c>
      <c r="F71" t="s">
        <v>92</v>
      </c>
      <c r="G71" t="s">
        <v>92</v>
      </c>
      <c r="I71" t="s">
        <v>3376</v>
      </c>
      <c r="J71">
        <v>5174.28</v>
      </c>
      <c r="K71" t="s">
        <v>27</v>
      </c>
      <c r="L71" t="s">
        <v>48</v>
      </c>
      <c r="M71" s="1">
        <v>45797.592361111114</v>
      </c>
      <c r="N71">
        <v>58</v>
      </c>
      <c r="O71" t="s">
        <v>23</v>
      </c>
      <c r="P71" t="s">
        <v>55</v>
      </c>
      <c r="Q71" t="s">
        <v>336</v>
      </c>
      <c r="R71" t="str">
        <f t="shared" si="14"/>
        <v>Barbara Gonzalez</v>
      </c>
      <c r="S71" t="str">
        <f t="shared" si="15"/>
        <v>Elena Al-Sayed</v>
      </c>
      <c r="T71" t="str">
        <f t="shared" si="16"/>
        <v>AUD</v>
      </c>
      <c r="U71" s="7" t="str">
        <f t="shared" si="17"/>
        <v>AUD</v>
      </c>
      <c r="V71" s="7" t="str">
        <f t="shared" si="18"/>
        <v>France</v>
      </c>
      <c r="W71" s="7" t="str">
        <f t="shared" si="19"/>
        <v>UK</v>
      </c>
      <c r="X71" s="7" t="str">
        <f t="shared" si="20"/>
        <v>Internal</v>
      </c>
      <c r="Y71" s="7">
        <f t="shared" si="21"/>
        <v>5174.28</v>
      </c>
      <c r="Z71" s="7">
        <f t="shared" si="22"/>
        <v>58</v>
      </c>
      <c r="AA71" s="7">
        <f t="shared" si="23"/>
        <v>2025</v>
      </c>
      <c r="AB71" s="7">
        <f t="shared" si="24"/>
        <v>5</v>
      </c>
      <c r="AC71" s="7">
        <f t="shared" si="25"/>
        <v>1</v>
      </c>
      <c r="AD71" s="7" t="str">
        <f t="shared" si="26"/>
        <v>No</v>
      </c>
      <c r="AE71" s="7" t="str">
        <f t="shared" si="27"/>
        <v>Normal</v>
      </c>
    </row>
    <row r="72" spans="1:31">
      <c r="A72" t="s">
        <v>337</v>
      </c>
      <c r="B72">
        <v>40262109</v>
      </c>
      <c r="C72" t="s">
        <v>338</v>
      </c>
      <c r="D72" t="s">
        <v>339</v>
      </c>
      <c r="E72" t="s">
        <v>3375</v>
      </c>
      <c r="F72" t="s">
        <v>53</v>
      </c>
      <c r="G72" t="s">
        <v>121</v>
      </c>
      <c r="H72" t="s">
        <v>38</v>
      </c>
      <c r="I72" t="s">
        <v>3374</v>
      </c>
      <c r="J72">
        <v>2537.85</v>
      </c>
      <c r="K72" t="s">
        <v>27</v>
      </c>
      <c r="L72" t="s">
        <v>48</v>
      </c>
      <c r="M72" s="1">
        <v>45564.032638888886</v>
      </c>
      <c r="N72">
        <v>46</v>
      </c>
      <c r="O72" t="s">
        <v>55</v>
      </c>
      <c r="P72" t="s">
        <v>23</v>
      </c>
      <c r="Q72" t="s">
        <v>340</v>
      </c>
      <c r="R72" t="str">
        <f t="shared" si="14"/>
        <v>Susan Taylor</v>
      </c>
      <c r="S72" t="str">
        <f t="shared" si="15"/>
        <v>Carlos Martinez</v>
      </c>
      <c r="T72" t="str">
        <f t="shared" si="16"/>
        <v>AED</v>
      </c>
      <c r="U72" s="7" t="str">
        <f t="shared" si="17"/>
        <v>INR</v>
      </c>
      <c r="V72" s="7" t="str">
        <f t="shared" si="18"/>
        <v>UK</v>
      </c>
      <c r="W72" s="7" t="str">
        <f t="shared" si="19"/>
        <v>France</v>
      </c>
      <c r="X72" s="7" t="str">
        <f t="shared" si="20"/>
        <v>External</v>
      </c>
      <c r="Y72" s="7">
        <f t="shared" si="21"/>
        <v>2537.85</v>
      </c>
      <c r="Z72" s="7">
        <f t="shared" si="22"/>
        <v>46</v>
      </c>
      <c r="AA72" s="7">
        <f t="shared" si="23"/>
        <v>2024</v>
      </c>
      <c r="AB72" s="7">
        <f t="shared" si="24"/>
        <v>9</v>
      </c>
      <c r="AC72" s="7">
        <f t="shared" si="25"/>
        <v>1</v>
      </c>
      <c r="AD72" s="7" t="str">
        <f t="shared" si="26"/>
        <v>No</v>
      </c>
      <c r="AE72" s="7" t="str">
        <f t="shared" si="27"/>
        <v>Normal</v>
      </c>
    </row>
    <row r="73" spans="1:31">
      <c r="A73" t="s">
        <v>341</v>
      </c>
      <c r="B73">
        <v>16101779</v>
      </c>
      <c r="C73" t="s">
        <v>342</v>
      </c>
      <c r="D73" t="s">
        <v>343</v>
      </c>
      <c r="E73" t="s">
        <v>20</v>
      </c>
      <c r="F73" t="s">
        <v>116</v>
      </c>
      <c r="G73" t="s">
        <v>92</v>
      </c>
      <c r="H73" t="s">
        <v>103</v>
      </c>
      <c r="I73" t="s">
        <v>3372</v>
      </c>
      <c r="J73">
        <v>3680.72</v>
      </c>
      <c r="K73" t="s">
        <v>39</v>
      </c>
      <c r="L73" t="s">
        <v>75</v>
      </c>
      <c r="M73" s="1">
        <v>44911.387499999997</v>
      </c>
      <c r="N73">
        <v>32</v>
      </c>
      <c r="O73" t="s">
        <v>54</v>
      </c>
      <c r="P73" t="s">
        <v>55</v>
      </c>
      <c r="Q73" t="s">
        <v>344</v>
      </c>
      <c r="R73" t="str">
        <f t="shared" si="14"/>
        <v>Sanjay Dubois</v>
      </c>
      <c r="S73" t="str">
        <f t="shared" si="15"/>
        <v>Christopher Rodriguez</v>
      </c>
      <c r="T73" t="str">
        <f t="shared" si="16"/>
        <v>CHF</v>
      </c>
      <c r="U73" s="7" t="str">
        <f t="shared" si="17"/>
        <v>AUD</v>
      </c>
      <c r="V73" s="7" t="str">
        <f t="shared" si="18"/>
        <v>India</v>
      </c>
      <c r="W73" s="7" t="str">
        <f t="shared" si="19"/>
        <v>UK</v>
      </c>
      <c r="X73" s="7" t="str">
        <f t="shared" si="20"/>
        <v>Outer-Transaction</v>
      </c>
      <c r="Y73" s="7">
        <f t="shared" si="21"/>
        <v>3680.72</v>
      </c>
      <c r="Z73" s="7">
        <f t="shared" si="22"/>
        <v>32</v>
      </c>
      <c r="AA73" s="7">
        <f t="shared" si="23"/>
        <v>2022</v>
      </c>
      <c r="AB73" s="7">
        <f t="shared" si="24"/>
        <v>12</v>
      </c>
      <c r="AC73" s="7">
        <f t="shared" si="25"/>
        <v>1</v>
      </c>
      <c r="AD73" s="7" t="str">
        <f t="shared" si="26"/>
        <v>No</v>
      </c>
      <c r="AE73" s="7" t="str">
        <f t="shared" si="27"/>
        <v>High Risk</v>
      </c>
    </row>
    <row r="74" spans="1:31">
      <c r="A74" t="s">
        <v>345</v>
      </c>
      <c r="B74">
        <v>52857920</v>
      </c>
      <c r="C74" t="s">
        <v>346</v>
      </c>
      <c r="D74" t="s">
        <v>326</v>
      </c>
      <c r="E74" t="s">
        <v>20</v>
      </c>
      <c r="F74" t="s">
        <v>34</v>
      </c>
      <c r="G74" t="s">
        <v>98</v>
      </c>
      <c r="H74" t="s">
        <v>25</v>
      </c>
      <c r="I74" t="s">
        <v>3377</v>
      </c>
      <c r="J74">
        <v>4360.28</v>
      </c>
      <c r="K74" t="s">
        <v>39</v>
      </c>
      <c r="L74" t="s">
        <v>81</v>
      </c>
      <c r="M74" s="1">
        <v>45459.876388888886</v>
      </c>
      <c r="N74">
        <v>62</v>
      </c>
      <c r="O74" t="s">
        <v>36</v>
      </c>
      <c r="P74" t="s">
        <v>127</v>
      </c>
      <c r="Q74" t="s">
        <v>347</v>
      </c>
      <c r="R74" t="str">
        <f t="shared" si="14"/>
        <v>Fatima Malik</v>
      </c>
      <c r="S74" t="str">
        <f t="shared" si="15"/>
        <v>Susan Gonzalez</v>
      </c>
      <c r="T74" t="str">
        <f t="shared" si="16"/>
        <v>CAD</v>
      </c>
      <c r="U74" s="7" t="str">
        <f t="shared" si="17"/>
        <v>JPY</v>
      </c>
      <c r="V74" s="7" t="str">
        <f t="shared" si="18"/>
        <v>Germany</v>
      </c>
      <c r="W74" s="7" t="str">
        <f t="shared" si="19"/>
        <v>Canada</v>
      </c>
      <c r="X74" s="7" t="str">
        <f t="shared" si="20"/>
        <v>Inter-Transaction</v>
      </c>
      <c r="Y74" s="7">
        <f t="shared" si="21"/>
        <v>4360.28</v>
      </c>
      <c r="Z74" s="7">
        <f t="shared" si="22"/>
        <v>62</v>
      </c>
      <c r="AA74" s="7">
        <f t="shared" si="23"/>
        <v>2024</v>
      </c>
      <c r="AB74" s="7">
        <f t="shared" si="24"/>
        <v>6</v>
      </c>
      <c r="AC74" s="7">
        <f t="shared" si="25"/>
        <v>1</v>
      </c>
      <c r="AD74" s="7" t="str">
        <f t="shared" si="26"/>
        <v>No</v>
      </c>
      <c r="AE74" s="7" t="str">
        <f t="shared" si="27"/>
        <v>Normal</v>
      </c>
    </row>
    <row r="75" spans="1:31">
      <c r="A75" t="s">
        <v>348</v>
      </c>
      <c r="B75">
        <v>76942394</v>
      </c>
      <c r="C75" t="s">
        <v>349</v>
      </c>
      <c r="D75" t="s">
        <v>350</v>
      </c>
      <c r="E75" t="s">
        <v>20</v>
      </c>
      <c r="F75" t="s">
        <v>92</v>
      </c>
      <c r="G75" t="s">
        <v>98</v>
      </c>
      <c r="H75" t="s">
        <v>38</v>
      </c>
      <c r="I75" t="s">
        <v>3374</v>
      </c>
      <c r="J75">
        <v>10091.08</v>
      </c>
      <c r="K75" t="s">
        <v>57</v>
      </c>
      <c r="L75" t="s">
        <v>28</v>
      </c>
      <c r="M75" s="1">
        <v>43849.194444444445</v>
      </c>
      <c r="N75">
        <v>82</v>
      </c>
      <c r="O75" t="s">
        <v>36</v>
      </c>
      <c r="P75" t="s">
        <v>62</v>
      </c>
      <c r="Q75" t="s">
        <v>351</v>
      </c>
      <c r="R75" t="str">
        <f t="shared" si="14"/>
        <v>CARLOS MARTINEZ</v>
      </c>
      <c r="S75" t="str">
        <f t="shared" si="15"/>
        <v>Sarah Smith</v>
      </c>
      <c r="T75" t="str">
        <f t="shared" si="16"/>
        <v>AUD</v>
      </c>
      <c r="U75" s="7" t="str">
        <f t="shared" si="17"/>
        <v>JPY</v>
      </c>
      <c r="V75" s="7" t="str">
        <f t="shared" si="18"/>
        <v>Germany</v>
      </c>
      <c r="W75" s="7" t="str">
        <f t="shared" si="19"/>
        <v>Australia</v>
      </c>
      <c r="X75" s="7" t="str">
        <f t="shared" si="20"/>
        <v>External</v>
      </c>
      <c r="Y75" s="7">
        <f t="shared" si="21"/>
        <v>10091.08</v>
      </c>
      <c r="Z75" s="7">
        <f t="shared" si="22"/>
        <v>82</v>
      </c>
      <c r="AA75" s="7">
        <f t="shared" si="23"/>
        <v>2020</v>
      </c>
      <c r="AB75" s="7">
        <f t="shared" si="24"/>
        <v>1</v>
      </c>
      <c r="AC75" s="7">
        <f t="shared" si="25"/>
        <v>1</v>
      </c>
      <c r="AD75" s="7" t="str">
        <f t="shared" si="26"/>
        <v>No</v>
      </c>
      <c r="AE75" s="7" t="str">
        <f t="shared" si="27"/>
        <v>Normal</v>
      </c>
    </row>
    <row r="76" spans="1:31">
      <c r="A76" t="s">
        <v>352</v>
      </c>
      <c r="B76">
        <v>36126192</v>
      </c>
      <c r="C76" t="s">
        <v>353</v>
      </c>
      <c r="D76" t="s">
        <v>354</v>
      </c>
      <c r="E76" t="s">
        <v>20</v>
      </c>
      <c r="F76" t="s">
        <v>44</v>
      </c>
      <c r="G76" t="s">
        <v>98</v>
      </c>
      <c r="H76" t="s">
        <v>56</v>
      </c>
      <c r="I76" t="s">
        <v>3378</v>
      </c>
      <c r="J76">
        <v>11925.51</v>
      </c>
      <c r="K76" t="s">
        <v>57</v>
      </c>
      <c r="L76" t="s">
        <v>75</v>
      </c>
      <c r="M76" s="1">
        <v>45238.715277777781</v>
      </c>
      <c r="N76">
        <v>26</v>
      </c>
      <c r="O76" t="s">
        <v>93</v>
      </c>
      <c r="P76" t="s">
        <v>54</v>
      </c>
      <c r="Q76" t="s">
        <v>355</v>
      </c>
      <c r="R76" t="str">
        <f t="shared" si="14"/>
        <v>Susan Moore</v>
      </c>
      <c r="S76" t="str">
        <f t="shared" si="15"/>
        <v>Barbara Williams</v>
      </c>
      <c r="T76" t="str">
        <f t="shared" si="16"/>
        <v>SGD</v>
      </c>
      <c r="U76" s="7" t="str">
        <f t="shared" si="17"/>
        <v>JPY</v>
      </c>
      <c r="V76" s="7" t="str">
        <f t="shared" si="18"/>
        <v>USA</v>
      </c>
      <c r="W76" s="7" t="str">
        <f t="shared" si="19"/>
        <v>India</v>
      </c>
      <c r="X76" s="7" t="str">
        <f t="shared" si="20"/>
        <v>Inter-Transaction</v>
      </c>
      <c r="Y76" s="7">
        <f t="shared" si="21"/>
        <v>11925.51</v>
      </c>
      <c r="Z76" s="7">
        <f t="shared" si="22"/>
        <v>26</v>
      </c>
      <c r="AA76" s="7">
        <f t="shared" si="23"/>
        <v>2023</v>
      </c>
      <c r="AB76" s="7">
        <f t="shared" si="24"/>
        <v>11</v>
      </c>
      <c r="AC76" s="7">
        <f t="shared" si="25"/>
        <v>1</v>
      </c>
      <c r="AD76" s="7" t="str">
        <f t="shared" si="26"/>
        <v>No</v>
      </c>
      <c r="AE76" s="7" t="str">
        <f t="shared" si="27"/>
        <v>High Risk</v>
      </c>
    </row>
    <row r="77" spans="1:31">
      <c r="A77" t="s">
        <v>356</v>
      </c>
      <c r="B77">
        <v>71335966</v>
      </c>
      <c r="C77" t="s">
        <v>357</v>
      </c>
      <c r="D77" t="s">
        <v>358</v>
      </c>
      <c r="E77" t="s">
        <v>20</v>
      </c>
      <c r="F77" t="s">
        <v>116</v>
      </c>
      <c r="G77" t="s">
        <v>34</v>
      </c>
      <c r="H77" t="s">
        <v>38</v>
      </c>
      <c r="I77" t="s">
        <v>3376</v>
      </c>
      <c r="J77">
        <v>7352.8</v>
      </c>
      <c r="K77" t="s">
        <v>27</v>
      </c>
      <c r="L77" t="s">
        <v>75</v>
      </c>
      <c r="M77" s="1">
        <v>45047.625694444447</v>
      </c>
      <c r="N77">
        <v>18</v>
      </c>
      <c r="O77" t="s">
        <v>55</v>
      </c>
      <c r="P77" t="s">
        <v>37</v>
      </c>
      <c r="Q77" t="s">
        <v>359</v>
      </c>
      <c r="R77" t="str">
        <f t="shared" si="14"/>
        <v>Michael Martin</v>
      </c>
      <c r="S77" t="str">
        <f t="shared" si="15"/>
        <v>Carlos Taylor</v>
      </c>
      <c r="T77" t="str">
        <f t="shared" si="16"/>
        <v>CHF</v>
      </c>
      <c r="U77" s="7" t="str">
        <f t="shared" si="17"/>
        <v>CAD</v>
      </c>
      <c r="V77" s="7" t="str">
        <f t="shared" si="18"/>
        <v>UK</v>
      </c>
      <c r="W77" s="7" t="str">
        <f t="shared" si="19"/>
        <v>South Africa</v>
      </c>
      <c r="X77" s="7" t="str">
        <f t="shared" si="20"/>
        <v>Internal</v>
      </c>
      <c r="Y77" s="7">
        <f t="shared" si="21"/>
        <v>7352.8</v>
      </c>
      <c r="Z77" s="7">
        <f t="shared" si="22"/>
        <v>18</v>
      </c>
      <c r="AA77" s="7">
        <f t="shared" si="23"/>
        <v>2023</v>
      </c>
      <c r="AB77" s="7">
        <f t="shared" si="24"/>
        <v>5</v>
      </c>
      <c r="AC77" s="7">
        <f t="shared" si="25"/>
        <v>1</v>
      </c>
      <c r="AD77" s="7" t="str">
        <f t="shared" si="26"/>
        <v>No</v>
      </c>
      <c r="AE77" s="7" t="str">
        <f t="shared" si="27"/>
        <v>High Risk</v>
      </c>
    </row>
    <row r="78" spans="1:31">
      <c r="A78" t="s">
        <v>360</v>
      </c>
      <c r="B78">
        <v>94457912</v>
      </c>
      <c r="C78" t="s">
        <v>361</v>
      </c>
      <c r="D78" t="s">
        <v>362</v>
      </c>
      <c r="E78">
        <v>1</v>
      </c>
      <c r="F78" t="s">
        <v>116</v>
      </c>
      <c r="G78" t="s">
        <v>116</v>
      </c>
      <c r="H78" t="s">
        <v>56</v>
      </c>
      <c r="I78" t="s">
        <v>3371</v>
      </c>
      <c r="J78">
        <v>12326.7</v>
      </c>
      <c r="K78" t="s">
        <v>47</v>
      </c>
      <c r="L78" t="s">
        <v>28</v>
      </c>
      <c r="M78" s="1">
        <v>46115.495138888888</v>
      </c>
      <c r="N78">
        <v>25</v>
      </c>
      <c r="O78" t="s">
        <v>37</v>
      </c>
      <c r="P78" t="s">
        <v>37</v>
      </c>
      <c r="Q78" t="s">
        <v>363</v>
      </c>
      <c r="R78" t="str">
        <f t="shared" si="14"/>
        <v>John Martin</v>
      </c>
      <c r="S78" t="str">
        <f t="shared" si="15"/>
        <v>Sarah Rodriguez</v>
      </c>
      <c r="T78" t="str">
        <f t="shared" si="16"/>
        <v>CHF</v>
      </c>
      <c r="U78" s="7" t="str">
        <f t="shared" si="17"/>
        <v>CHF</v>
      </c>
      <c r="V78" s="7" t="str">
        <f t="shared" si="18"/>
        <v>South Africa</v>
      </c>
      <c r="W78" s="7" t="str">
        <f t="shared" si="19"/>
        <v>South Africa</v>
      </c>
      <c r="X78" s="7" t="str">
        <f t="shared" si="20"/>
        <v>Outer-Transaction</v>
      </c>
      <c r="Y78" s="7">
        <f t="shared" si="21"/>
        <v>12326.7</v>
      </c>
      <c r="Z78" s="7">
        <f t="shared" si="22"/>
        <v>25</v>
      </c>
      <c r="AA78" s="7">
        <f t="shared" si="23"/>
        <v>2026</v>
      </c>
      <c r="AB78" s="7">
        <f t="shared" si="24"/>
        <v>4</v>
      </c>
      <c r="AC78" s="7">
        <f t="shared" si="25"/>
        <v>1</v>
      </c>
      <c r="AD78" s="7" t="str">
        <f t="shared" si="26"/>
        <v>No</v>
      </c>
      <c r="AE78" s="7" t="str">
        <f t="shared" si="27"/>
        <v>Normal</v>
      </c>
    </row>
    <row r="79" spans="1:31">
      <c r="A79" t="s">
        <v>364</v>
      </c>
      <c r="B79">
        <v>73297813</v>
      </c>
      <c r="C79" t="s">
        <v>365</v>
      </c>
      <c r="D79" t="s">
        <v>366</v>
      </c>
      <c r="E79" t="s">
        <v>20</v>
      </c>
      <c r="F79" t="s">
        <v>21</v>
      </c>
      <c r="G79" t="s">
        <v>98</v>
      </c>
      <c r="H79" t="s">
        <v>74</v>
      </c>
      <c r="I79" t="s">
        <v>3372</v>
      </c>
      <c r="J79">
        <v>13682.74</v>
      </c>
      <c r="K79" t="s">
        <v>57</v>
      </c>
      <c r="L79" t="s">
        <v>75</v>
      </c>
      <c r="M79" s="1">
        <v>45241.237500000003</v>
      </c>
      <c r="N79">
        <v>80</v>
      </c>
      <c r="O79" t="s">
        <v>127</v>
      </c>
      <c r="P79" t="s">
        <v>54</v>
      </c>
      <c r="Q79" t="s">
        <v>367</v>
      </c>
      <c r="R79" t="str">
        <f t="shared" si="14"/>
        <v>Zayn Malik</v>
      </c>
      <c r="S79" t="str">
        <f t="shared" si="15"/>
        <v>Fatima Al-Sayed</v>
      </c>
      <c r="T79" t="str">
        <f t="shared" si="16"/>
        <v>GBP</v>
      </c>
      <c r="U79" s="7" t="str">
        <f t="shared" si="17"/>
        <v>JPY</v>
      </c>
      <c r="V79" s="7" t="str">
        <f t="shared" si="18"/>
        <v>Canada</v>
      </c>
      <c r="W79" s="7" t="str">
        <f t="shared" si="19"/>
        <v>India</v>
      </c>
      <c r="X79" s="7" t="str">
        <f t="shared" si="20"/>
        <v>Outer-Transaction</v>
      </c>
      <c r="Y79" s="7">
        <f t="shared" si="21"/>
        <v>13682.74</v>
      </c>
      <c r="Z79" s="7">
        <f t="shared" si="22"/>
        <v>80</v>
      </c>
      <c r="AA79" s="7">
        <f t="shared" si="23"/>
        <v>2023</v>
      </c>
      <c r="AB79" s="7">
        <f t="shared" si="24"/>
        <v>11</v>
      </c>
      <c r="AC79" s="7">
        <f t="shared" si="25"/>
        <v>1</v>
      </c>
      <c r="AD79" s="7" t="str">
        <f t="shared" si="26"/>
        <v>No</v>
      </c>
      <c r="AE79" s="7" t="str">
        <f t="shared" si="27"/>
        <v>High Risk</v>
      </c>
    </row>
    <row r="80" spans="1:31">
      <c r="A80" t="s">
        <v>368</v>
      </c>
      <c r="B80">
        <v>48789478</v>
      </c>
      <c r="C80" t="s">
        <v>369</v>
      </c>
      <c r="D80" t="s">
        <v>370</v>
      </c>
      <c r="E80" t="s">
        <v>20</v>
      </c>
      <c r="F80" t="s">
        <v>44</v>
      </c>
      <c r="G80" t="s">
        <v>34</v>
      </c>
      <c r="H80" t="s">
        <v>38</v>
      </c>
      <c r="I80" t="s">
        <v>3372</v>
      </c>
      <c r="J80">
        <v>13437.45</v>
      </c>
      <c r="K80" t="s">
        <v>39</v>
      </c>
      <c r="L80" t="s">
        <v>75</v>
      </c>
      <c r="M80" s="1">
        <v>44107.321527777778</v>
      </c>
      <c r="N80">
        <v>28</v>
      </c>
      <c r="O80" t="s">
        <v>23</v>
      </c>
      <c r="P80" t="s">
        <v>23</v>
      </c>
      <c r="Q80" t="s">
        <v>371</v>
      </c>
      <c r="R80" t="str">
        <f t="shared" si="14"/>
        <v>Elena Miller</v>
      </c>
      <c r="S80" t="str">
        <f t="shared" si="15"/>
        <v>Elena Rostova</v>
      </c>
      <c r="T80" t="str">
        <f t="shared" si="16"/>
        <v>SGD</v>
      </c>
      <c r="U80" s="7" t="str">
        <f t="shared" si="17"/>
        <v>CAD</v>
      </c>
      <c r="V80" s="7" t="str">
        <f t="shared" si="18"/>
        <v>France</v>
      </c>
      <c r="W80" s="7" t="str">
        <f t="shared" si="19"/>
        <v>France</v>
      </c>
      <c r="X80" s="7" t="str">
        <f t="shared" si="20"/>
        <v>Outer-Transaction</v>
      </c>
      <c r="Y80" s="7">
        <f t="shared" si="21"/>
        <v>13437.45</v>
      </c>
      <c r="Z80" s="7">
        <f t="shared" si="22"/>
        <v>28</v>
      </c>
      <c r="AA80" s="7">
        <f t="shared" si="23"/>
        <v>2020</v>
      </c>
      <c r="AB80" s="7">
        <f t="shared" si="24"/>
        <v>10</v>
      </c>
      <c r="AC80" s="7">
        <f t="shared" si="25"/>
        <v>1</v>
      </c>
      <c r="AD80" s="7" t="str">
        <f t="shared" si="26"/>
        <v>No</v>
      </c>
      <c r="AE80" s="7" t="str">
        <f t="shared" si="27"/>
        <v>High Risk</v>
      </c>
    </row>
    <row r="81" spans="1:31">
      <c r="A81" t="s">
        <v>372</v>
      </c>
      <c r="B81">
        <v>37121108</v>
      </c>
      <c r="C81" t="s">
        <v>373</v>
      </c>
      <c r="E81" t="s">
        <v>20</v>
      </c>
      <c r="F81" t="s">
        <v>53</v>
      </c>
      <c r="G81" t="s">
        <v>21</v>
      </c>
      <c r="H81" t="s">
        <v>74</v>
      </c>
      <c r="I81" t="s">
        <v>3374</v>
      </c>
      <c r="J81">
        <v>3500.22</v>
      </c>
      <c r="K81" t="s">
        <v>86</v>
      </c>
      <c r="L81" t="s">
        <v>81</v>
      </c>
      <c r="M81" s="1">
        <v>44575.047222222223</v>
      </c>
      <c r="N81">
        <v>25</v>
      </c>
      <c r="O81" t="s">
        <v>127</v>
      </c>
      <c r="P81" t="s">
        <v>127</v>
      </c>
      <c r="Q81" t="s">
        <v>374</v>
      </c>
      <c r="R81" t="str">
        <f t="shared" si="14"/>
        <v>AMIR MOORE</v>
      </c>
      <c r="S81" t="str">
        <f t="shared" si="15"/>
        <v/>
      </c>
      <c r="T81" t="str">
        <f t="shared" si="16"/>
        <v>AED</v>
      </c>
      <c r="U81" s="7" t="str">
        <f t="shared" si="17"/>
        <v>GBP</v>
      </c>
      <c r="V81" s="7" t="str">
        <f t="shared" si="18"/>
        <v>Canada</v>
      </c>
      <c r="W81" s="7" t="str">
        <f t="shared" si="19"/>
        <v>Canada</v>
      </c>
      <c r="X81" s="7" t="str">
        <f t="shared" si="20"/>
        <v>External</v>
      </c>
      <c r="Y81" s="7">
        <f t="shared" si="21"/>
        <v>3500.22</v>
      </c>
      <c r="Z81" s="7">
        <f t="shared" si="22"/>
        <v>25</v>
      </c>
      <c r="AA81" s="7">
        <f t="shared" si="23"/>
        <v>2022</v>
      </c>
      <c r="AB81" s="7">
        <f t="shared" si="24"/>
        <v>1</v>
      </c>
      <c r="AC81" s="7">
        <f t="shared" si="25"/>
        <v>1</v>
      </c>
      <c r="AD81" s="7" t="str">
        <f t="shared" si="26"/>
        <v>No</v>
      </c>
      <c r="AE81" s="7" t="str">
        <f t="shared" si="27"/>
        <v>Normal</v>
      </c>
    </row>
    <row r="82" spans="1:31">
      <c r="A82" t="s">
        <v>375</v>
      </c>
      <c r="B82">
        <v>73847325</v>
      </c>
      <c r="C82" t="s">
        <v>376</v>
      </c>
      <c r="D82" t="s">
        <v>377</v>
      </c>
      <c r="E82">
        <v>1</v>
      </c>
      <c r="F82" t="s">
        <v>34</v>
      </c>
      <c r="G82" t="s">
        <v>53</v>
      </c>
      <c r="I82" t="s">
        <v>3377</v>
      </c>
      <c r="J82">
        <v>13699.31</v>
      </c>
      <c r="K82" t="s">
        <v>47</v>
      </c>
      <c r="L82" t="s">
        <v>81</v>
      </c>
      <c r="M82" s="1">
        <v>44382.584027777775</v>
      </c>
      <c r="N82">
        <v>52</v>
      </c>
      <c r="O82" t="s">
        <v>37</v>
      </c>
      <c r="P82" t="s">
        <v>127</v>
      </c>
      <c r="Q82" t="s">
        <v>378</v>
      </c>
      <c r="R82" t="str">
        <f t="shared" si="14"/>
        <v>Sarah Nair</v>
      </c>
      <c r="S82" t="str">
        <f t="shared" si="15"/>
        <v>William Dubois</v>
      </c>
      <c r="T82" t="str">
        <f t="shared" si="16"/>
        <v>CAD</v>
      </c>
      <c r="U82" s="7" t="str">
        <f t="shared" si="17"/>
        <v>AED</v>
      </c>
      <c r="V82" s="7" t="str">
        <f t="shared" si="18"/>
        <v>South Africa</v>
      </c>
      <c r="W82" s="7" t="str">
        <f t="shared" si="19"/>
        <v>Canada</v>
      </c>
      <c r="X82" s="7" t="str">
        <f t="shared" si="20"/>
        <v>Inter-Transaction</v>
      </c>
      <c r="Y82" s="7">
        <f t="shared" si="21"/>
        <v>13699.31</v>
      </c>
      <c r="Z82" s="7">
        <f t="shared" si="22"/>
        <v>52</v>
      </c>
      <c r="AA82" s="7">
        <f t="shared" si="23"/>
        <v>2021</v>
      </c>
      <c r="AB82" s="7">
        <f t="shared" si="24"/>
        <v>7</v>
      </c>
      <c r="AC82" s="7">
        <f t="shared" si="25"/>
        <v>1</v>
      </c>
      <c r="AD82" s="7" t="str">
        <f t="shared" si="26"/>
        <v>No</v>
      </c>
      <c r="AE82" s="7" t="str">
        <f t="shared" si="27"/>
        <v>Normal</v>
      </c>
    </row>
    <row r="83" spans="1:31">
      <c r="A83" t="s">
        <v>379</v>
      </c>
      <c r="B83">
        <v>11243818</v>
      </c>
      <c r="C83" t="s">
        <v>380</v>
      </c>
      <c r="E83">
        <v>0</v>
      </c>
      <c r="F83" t="s">
        <v>34</v>
      </c>
      <c r="G83" t="s">
        <v>53</v>
      </c>
      <c r="H83" t="s">
        <v>38</v>
      </c>
      <c r="I83" t="s">
        <v>3372</v>
      </c>
      <c r="J83">
        <v>4099.83</v>
      </c>
      <c r="K83" t="s">
        <v>86</v>
      </c>
      <c r="L83" t="s">
        <v>75</v>
      </c>
      <c r="M83" s="1">
        <v>45007.006249999999</v>
      </c>
      <c r="N83">
        <v>52</v>
      </c>
      <c r="O83" t="s">
        <v>37</v>
      </c>
      <c r="P83" t="s">
        <v>93</v>
      </c>
      <c r="Q83" t="s">
        <v>381</v>
      </c>
      <c r="R83" t="str">
        <f t="shared" si="14"/>
        <v>Barbara Jackson</v>
      </c>
      <c r="S83" t="str">
        <f t="shared" si="15"/>
        <v/>
      </c>
      <c r="T83" t="str">
        <f t="shared" si="16"/>
        <v>CAD</v>
      </c>
      <c r="U83" s="7" t="str">
        <f t="shared" si="17"/>
        <v>AED</v>
      </c>
      <c r="V83" s="7" t="str">
        <f t="shared" si="18"/>
        <v>South Africa</v>
      </c>
      <c r="W83" s="7" t="str">
        <f t="shared" si="19"/>
        <v>USA</v>
      </c>
      <c r="X83" s="7" t="str">
        <f t="shared" si="20"/>
        <v>Outer-Transaction</v>
      </c>
      <c r="Y83" s="7">
        <f t="shared" si="21"/>
        <v>4099.83</v>
      </c>
      <c r="Z83" s="7">
        <f t="shared" si="22"/>
        <v>52</v>
      </c>
      <c r="AA83" s="7">
        <f t="shared" si="23"/>
        <v>2023</v>
      </c>
      <c r="AB83" s="7">
        <f t="shared" si="24"/>
        <v>3</v>
      </c>
      <c r="AC83" s="7">
        <f t="shared" si="25"/>
        <v>1</v>
      </c>
      <c r="AD83" s="7" t="str">
        <f t="shared" si="26"/>
        <v>No</v>
      </c>
      <c r="AE83" s="7" t="str">
        <f t="shared" si="27"/>
        <v>High Risk</v>
      </c>
    </row>
    <row r="84" spans="1:31">
      <c r="A84" t="s">
        <v>382</v>
      </c>
      <c r="B84">
        <v>35925669</v>
      </c>
      <c r="C84" t="s">
        <v>383</v>
      </c>
      <c r="D84" t="s">
        <v>211</v>
      </c>
      <c r="E84" t="s">
        <v>3373</v>
      </c>
      <c r="F84" t="s">
        <v>92</v>
      </c>
      <c r="G84" t="s">
        <v>98</v>
      </c>
      <c r="H84" t="s">
        <v>74</v>
      </c>
      <c r="I84" t="s">
        <v>3377</v>
      </c>
      <c r="J84">
        <v>3919.17</v>
      </c>
      <c r="K84" t="s">
        <v>47</v>
      </c>
      <c r="L84" t="s">
        <v>81</v>
      </c>
      <c r="M84" s="1">
        <v>44469.071527777778</v>
      </c>
      <c r="N84">
        <v>50</v>
      </c>
      <c r="O84" t="s">
        <v>55</v>
      </c>
      <c r="P84" t="s">
        <v>62</v>
      </c>
      <c r="Q84" t="s">
        <v>384</v>
      </c>
      <c r="R84" t="str">
        <f t="shared" si="14"/>
        <v>Linda Martin</v>
      </c>
      <c r="S84" t="str">
        <f t="shared" si="15"/>
        <v>Zayn Nair</v>
      </c>
      <c r="T84" t="str">
        <f t="shared" si="16"/>
        <v>AUD</v>
      </c>
      <c r="U84" s="7" t="str">
        <f t="shared" si="17"/>
        <v>JPY</v>
      </c>
      <c r="V84" s="7" t="str">
        <f t="shared" si="18"/>
        <v>UK</v>
      </c>
      <c r="W84" s="7" t="str">
        <f t="shared" si="19"/>
        <v>Australia</v>
      </c>
      <c r="X84" s="7" t="str">
        <f t="shared" si="20"/>
        <v>Inter-Transaction</v>
      </c>
      <c r="Y84" s="7">
        <f t="shared" si="21"/>
        <v>3919.17</v>
      </c>
      <c r="Z84" s="7">
        <f t="shared" si="22"/>
        <v>50</v>
      </c>
      <c r="AA84" s="7">
        <f t="shared" si="23"/>
        <v>2021</v>
      </c>
      <c r="AB84" s="7">
        <f t="shared" si="24"/>
        <v>9</v>
      </c>
      <c r="AC84" s="7">
        <f t="shared" si="25"/>
        <v>1</v>
      </c>
      <c r="AD84" s="7" t="str">
        <f t="shared" si="26"/>
        <v>No</v>
      </c>
      <c r="AE84" s="7" t="str">
        <f t="shared" si="27"/>
        <v>Normal</v>
      </c>
    </row>
    <row r="85" spans="1:31">
      <c r="A85" t="s">
        <v>385</v>
      </c>
      <c r="B85">
        <v>72464258</v>
      </c>
      <c r="C85" t="s">
        <v>386</v>
      </c>
      <c r="D85" t="s">
        <v>387</v>
      </c>
      <c r="E85" t="s">
        <v>20</v>
      </c>
      <c r="F85" t="s">
        <v>22</v>
      </c>
      <c r="G85" t="s">
        <v>53</v>
      </c>
      <c r="H85" t="s">
        <v>74</v>
      </c>
      <c r="I85" t="s">
        <v>3372</v>
      </c>
      <c r="J85">
        <v>2306.25</v>
      </c>
      <c r="K85" t="s">
        <v>27</v>
      </c>
      <c r="L85" t="s">
        <v>75</v>
      </c>
      <c r="M85" s="1">
        <v>44067.921527777777</v>
      </c>
      <c r="N85">
        <v>22</v>
      </c>
      <c r="O85" t="s">
        <v>37</v>
      </c>
      <c r="P85" t="s">
        <v>36</v>
      </c>
      <c r="Q85" t="s">
        <v>388</v>
      </c>
      <c r="R85" t="str">
        <f t="shared" si="14"/>
        <v>Barbara Garcia</v>
      </c>
      <c r="S85" t="str">
        <f t="shared" si="15"/>
        <v>Joseph Velez</v>
      </c>
      <c r="T85" t="str">
        <f t="shared" si="16"/>
        <v>BRL</v>
      </c>
      <c r="U85" s="7" t="str">
        <f t="shared" si="17"/>
        <v>AED</v>
      </c>
      <c r="V85" s="7" t="str">
        <f t="shared" si="18"/>
        <v>South Africa</v>
      </c>
      <c r="W85" s="7" t="str">
        <f t="shared" si="19"/>
        <v>Germany</v>
      </c>
      <c r="X85" s="7" t="str">
        <f t="shared" si="20"/>
        <v>Outer-Transaction</v>
      </c>
      <c r="Y85" s="7">
        <f t="shared" si="21"/>
        <v>2306.25</v>
      </c>
      <c r="Z85" s="7">
        <f t="shared" si="22"/>
        <v>22</v>
      </c>
      <c r="AA85" s="7">
        <f t="shared" si="23"/>
        <v>2020</v>
      </c>
      <c r="AB85" s="7">
        <f t="shared" si="24"/>
        <v>8</v>
      </c>
      <c r="AC85" s="7">
        <f t="shared" si="25"/>
        <v>1</v>
      </c>
      <c r="AD85" s="7" t="str">
        <f t="shared" si="26"/>
        <v>No</v>
      </c>
      <c r="AE85" s="7" t="str">
        <f t="shared" si="27"/>
        <v>High Risk</v>
      </c>
    </row>
    <row r="86" spans="1:31">
      <c r="A86" t="s">
        <v>389</v>
      </c>
      <c r="B86">
        <v>89968863</v>
      </c>
      <c r="C86" t="s">
        <v>390</v>
      </c>
      <c r="D86" t="s">
        <v>391</v>
      </c>
      <c r="E86" t="s">
        <v>20</v>
      </c>
      <c r="F86" t="s">
        <v>392</v>
      </c>
      <c r="G86" t="s">
        <v>393</v>
      </c>
      <c r="H86" t="s">
        <v>38</v>
      </c>
      <c r="I86" t="s">
        <v>3376</v>
      </c>
      <c r="J86">
        <v>2256.29</v>
      </c>
      <c r="K86" t="s">
        <v>57</v>
      </c>
      <c r="L86" t="s">
        <v>81</v>
      </c>
      <c r="M86" s="1">
        <v>44828.203472222223</v>
      </c>
      <c r="N86">
        <v>58</v>
      </c>
      <c r="O86" t="s">
        <v>93</v>
      </c>
      <c r="P86" t="s">
        <v>24</v>
      </c>
      <c r="Q86" t="s">
        <v>394</v>
      </c>
      <c r="R86" t="str">
        <f t="shared" si="14"/>
        <v>Zayn Silva</v>
      </c>
      <c r="S86" t="str">
        <f t="shared" si="15"/>
        <v>Robert Taylor</v>
      </c>
      <c r="T86" t="str">
        <f t="shared" si="16"/>
        <v>brl</v>
      </c>
      <c r="U86" s="7" t="str">
        <f t="shared" si="17"/>
        <v>cad</v>
      </c>
      <c r="V86" s="7" t="str">
        <f t="shared" si="18"/>
        <v>USA</v>
      </c>
      <c r="W86" s="7" t="str">
        <f t="shared" si="19"/>
        <v>Brazil</v>
      </c>
      <c r="X86" s="7" t="str">
        <f t="shared" si="20"/>
        <v>Internal</v>
      </c>
      <c r="Y86" s="7">
        <f t="shared" si="21"/>
        <v>2256.29</v>
      </c>
      <c r="Z86" s="7">
        <f t="shared" si="22"/>
        <v>58</v>
      </c>
      <c r="AA86" s="7">
        <f t="shared" si="23"/>
        <v>2022</v>
      </c>
      <c r="AB86" s="7">
        <f t="shared" si="24"/>
        <v>9</v>
      </c>
      <c r="AC86" s="7">
        <f t="shared" si="25"/>
        <v>1</v>
      </c>
      <c r="AD86" s="7" t="str">
        <f t="shared" si="26"/>
        <v>No</v>
      </c>
      <c r="AE86" s="7" t="str">
        <f t="shared" si="27"/>
        <v>Normal</v>
      </c>
    </row>
    <row r="87" spans="1:31">
      <c r="A87" t="s">
        <v>395</v>
      </c>
      <c r="B87">
        <v>65757342</v>
      </c>
      <c r="C87" t="s">
        <v>396</v>
      </c>
      <c r="D87" t="s">
        <v>397</v>
      </c>
      <c r="E87" t="s">
        <v>20</v>
      </c>
      <c r="F87" t="s">
        <v>176</v>
      </c>
      <c r="G87" t="s">
        <v>392</v>
      </c>
      <c r="H87" t="s">
        <v>56</v>
      </c>
      <c r="I87" t="s">
        <v>3378</v>
      </c>
      <c r="J87">
        <v>10508.77</v>
      </c>
      <c r="K87" t="s">
        <v>27</v>
      </c>
      <c r="L87" t="s">
        <v>28</v>
      </c>
      <c r="M87" s="1">
        <v>45933.031944444447</v>
      </c>
      <c r="N87">
        <v>45</v>
      </c>
      <c r="O87" t="s">
        <v>54</v>
      </c>
      <c r="P87" t="s">
        <v>23</v>
      </c>
      <c r="Q87" t="s">
        <v>398</v>
      </c>
      <c r="R87" t="str">
        <f t="shared" si="14"/>
        <v>Thomas Jackson</v>
      </c>
      <c r="S87" t="str">
        <f t="shared" si="15"/>
        <v>Mary Moore</v>
      </c>
      <c r="T87" t="str">
        <f t="shared" si="16"/>
        <v>aed</v>
      </c>
      <c r="U87" s="7" t="str">
        <f t="shared" si="17"/>
        <v>brl</v>
      </c>
      <c r="V87" s="7" t="str">
        <f t="shared" si="18"/>
        <v>India</v>
      </c>
      <c r="W87" s="7" t="str">
        <f t="shared" si="19"/>
        <v>France</v>
      </c>
      <c r="X87" s="7" t="str">
        <f t="shared" si="20"/>
        <v>Inter-Transaction</v>
      </c>
      <c r="Y87" s="7">
        <f t="shared" si="21"/>
        <v>10508.77</v>
      </c>
      <c r="Z87" s="7">
        <f t="shared" si="22"/>
        <v>45</v>
      </c>
      <c r="AA87" s="7">
        <f t="shared" si="23"/>
        <v>2025</v>
      </c>
      <c r="AB87" s="7">
        <f t="shared" si="24"/>
        <v>10</v>
      </c>
      <c r="AC87" s="7">
        <f t="shared" si="25"/>
        <v>1</v>
      </c>
      <c r="AD87" s="7" t="str">
        <f t="shared" si="26"/>
        <v>No</v>
      </c>
      <c r="AE87" s="7" t="str">
        <f t="shared" si="27"/>
        <v>Normal</v>
      </c>
    </row>
    <row r="88" spans="1:31">
      <c r="A88" t="s">
        <v>399</v>
      </c>
      <c r="C88" t="s">
        <v>400</v>
      </c>
      <c r="D88" t="s">
        <v>401</v>
      </c>
      <c r="E88">
        <v>0</v>
      </c>
      <c r="F88" t="s">
        <v>92</v>
      </c>
      <c r="G88" t="s">
        <v>92</v>
      </c>
      <c r="H88" t="s">
        <v>25</v>
      </c>
      <c r="I88" t="s">
        <v>3371</v>
      </c>
      <c r="J88">
        <v>14892.77</v>
      </c>
      <c r="K88" t="s">
        <v>39</v>
      </c>
      <c r="L88" t="s">
        <v>48</v>
      </c>
      <c r="M88" s="1">
        <v>45834.238194444442</v>
      </c>
      <c r="N88">
        <v>24</v>
      </c>
      <c r="O88" t="s">
        <v>37</v>
      </c>
      <c r="P88" t="s">
        <v>24</v>
      </c>
      <c r="Q88" t="s">
        <v>402</v>
      </c>
      <c r="R88" t="str">
        <f t="shared" si="14"/>
        <v>Carlos Gonzalez</v>
      </c>
      <c r="S88" t="str">
        <f t="shared" si="15"/>
        <v>Thomas Malik</v>
      </c>
      <c r="T88" t="str">
        <f t="shared" si="16"/>
        <v>AUD</v>
      </c>
      <c r="U88" s="7" t="str">
        <f t="shared" si="17"/>
        <v>AUD</v>
      </c>
      <c r="V88" s="7" t="str">
        <f t="shared" si="18"/>
        <v>South Africa</v>
      </c>
      <c r="W88" s="7" t="str">
        <f t="shared" si="19"/>
        <v>Brazil</v>
      </c>
      <c r="X88" s="7" t="str">
        <f t="shared" si="20"/>
        <v>Outer-Transaction</v>
      </c>
      <c r="Y88" s="7">
        <f t="shared" si="21"/>
        <v>14892.77</v>
      </c>
      <c r="Z88" s="7">
        <f t="shared" si="22"/>
        <v>24</v>
      </c>
      <c r="AA88" s="7">
        <f t="shared" si="23"/>
        <v>2025</v>
      </c>
      <c r="AB88" s="7">
        <f t="shared" si="24"/>
        <v>6</v>
      </c>
      <c r="AC88" s="7">
        <f t="shared" si="25"/>
        <v>1</v>
      </c>
      <c r="AD88" s="7" t="str">
        <f t="shared" si="26"/>
        <v>No</v>
      </c>
      <c r="AE88" s="7" t="str">
        <f t="shared" si="27"/>
        <v>Normal</v>
      </c>
    </row>
    <row r="89" spans="1:31">
      <c r="A89" t="s">
        <v>403</v>
      </c>
      <c r="B89">
        <v>43220503</v>
      </c>
      <c r="C89" t="s">
        <v>404</v>
      </c>
      <c r="D89" t="s">
        <v>405</v>
      </c>
      <c r="E89" t="s">
        <v>20</v>
      </c>
      <c r="F89" t="s">
        <v>392</v>
      </c>
      <c r="G89" t="s">
        <v>35</v>
      </c>
      <c r="H89" t="s">
        <v>74</v>
      </c>
      <c r="I89" t="s">
        <v>3371</v>
      </c>
      <c r="J89">
        <v>1018.69</v>
      </c>
      <c r="K89" t="s">
        <v>27</v>
      </c>
      <c r="L89" t="s">
        <v>28</v>
      </c>
      <c r="M89" s="1">
        <v>45290.322222222225</v>
      </c>
      <c r="N89">
        <v>29</v>
      </c>
      <c r="O89" t="s">
        <v>127</v>
      </c>
      <c r="P89" t="s">
        <v>24</v>
      </c>
      <c r="Q89" t="s">
        <v>406</v>
      </c>
      <c r="R89" t="str">
        <f t="shared" si="14"/>
        <v>Thomas Lopez</v>
      </c>
      <c r="S89" t="str">
        <f t="shared" si="15"/>
        <v>Michael Rodriguez</v>
      </c>
      <c r="T89" t="str">
        <f t="shared" si="16"/>
        <v>brl</v>
      </c>
      <c r="U89" s="7" t="str">
        <f t="shared" si="17"/>
        <v>EUR</v>
      </c>
      <c r="V89" s="7" t="str">
        <f t="shared" si="18"/>
        <v>Canada</v>
      </c>
      <c r="W89" s="7" t="str">
        <f t="shared" si="19"/>
        <v>Brazil</v>
      </c>
      <c r="X89" s="7" t="str">
        <f t="shared" si="20"/>
        <v>Outer-Transaction</v>
      </c>
      <c r="Y89" s="7">
        <f t="shared" si="21"/>
        <v>1018.69</v>
      </c>
      <c r="Z89" s="7">
        <f t="shared" si="22"/>
        <v>29</v>
      </c>
      <c r="AA89" s="7">
        <f t="shared" si="23"/>
        <v>2023</v>
      </c>
      <c r="AB89" s="7">
        <f t="shared" si="24"/>
        <v>12</v>
      </c>
      <c r="AC89" s="7">
        <f t="shared" si="25"/>
        <v>1</v>
      </c>
      <c r="AD89" s="7" t="str">
        <f t="shared" si="26"/>
        <v>No</v>
      </c>
      <c r="AE89" s="7" t="str">
        <f t="shared" si="27"/>
        <v>Normal</v>
      </c>
    </row>
    <row r="90" spans="1:31">
      <c r="A90" t="s">
        <v>407</v>
      </c>
      <c r="B90">
        <v>17575790</v>
      </c>
      <c r="C90" t="s">
        <v>408</v>
      </c>
      <c r="D90" t="s">
        <v>409</v>
      </c>
      <c r="E90" t="s">
        <v>3375</v>
      </c>
      <c r="F90" t="s">
        <v>22</v>
      </c>
      <c r="G90" t="s">
        <v>116</v>
      </c>
      <c r="H90" t="s">
        <v>74</v>
      </c>
      <c r="I90" t="s">
        <v>3374</v>
      </c>
      <c r="J90">
        <v>7823.55</v>
      </c>
      <c r="K90" t="s">
        <v>39</v>
      </c>
      <c r="L90" t="s">
        <v>75</v>
      </c>
      <c r="M90" s="1">
        <v>45987.771527777775</v>
      </c>
      <c r="N90">
        <v>51</v>
      </c>
      <c r="O90" t="s">
        <v>37</v>
      </c>
      <c r="P90" t="s">
        <v>54</v>
      </c>
      <c r="Q90" t="s">
        <v>410</v>
      </c>
      <c r="R90" t="str">
        <f t="shared" si="14"/>
        <v>Michael Taylor</v>
      </c>
      <c r="S90" t="str">
        <f t="shared" si="15"/>
        <v>Barbara Davis</v>
      </c>
      <c r="T90" t="str">
        <f t="shared" si="16"/>
        <v>BRL</v>
      </c>
      <c r="U90" s="7" t="str">
        <f t="shared" si="17"/>
        <v>CHF</v>
      </c>
      <c r="V90" s="7" t="str">
        <f t="shared" si="18"/>
        <v>South Africa</v>
      </c>
      <c r="W90" s="7" t="str">
        <f t="shared" si="19"/>
        <v>India</v>
      </c>
      <c r="X90" s="7" t="str">
        <f t="shared" si="20"/>
        <v>External</v>
      </c>
      <c r="Y90" s="7">
        <f t="shared" si="21"/>
        <v>7823.55</v>
      </c>
      <c r="Z90" s="7">
        <f t="shared" si="22"/>
        <v>51</v>
      </c>
      <c r="AA90" s="7">
        <f t="shared" si="23"/>
        <v>2025</v>
      </c>
      <c r="AB90" s="7">
        <f t="shared" si="24"/>
        <v>11</v>
      </c>
      <c r="AC90" s="7">
        <f t="shared" si="25"/>
        <v>1</v>
      </c>
      <c r="AD90" s="7" t="str">
        <f t="shared" si="26"/>
        <v>No</v>
      </c>
      <c r="AE90" s="7" t="str">
        <f t="shared" si="27"/>
        <v>High Risk</v>
      </c>
    </row>
    <row r="91" spans="1:31">
      <c r="A91" t="s">
        <v>411</v>
      </c>
      <c r="B91">
        <v>56226575</v>
      </c>
      <c r="C91" t="s">
        <v>412</v>
      </c>
      <c r="D91" t="s">
        <v>413</v>
      </c>
      <c r="E91" t="s">
        <v>20</v>
      </c>
      <c r="F91" t="s">
        <v>22</v>
      </c>
      <c r="G91" t="s">
        <v>92</v>
      </c>
      <c r="H91" t="s">
        <v>74</v>
      </c>
      <c r="I91" t="s">
        <v>3378</v>
      </c>
      <c r="J91">
        <v>12864.54</v>
      </c>
      <c r="K91" t="s">
        <v>47</v>
      </c>
      <c r="L91" t="s">
        <v>81</v>
      </c>
      <c r="M91" s="1">
        <v>45038.029166666667</v>
      </c>
      <c r="N91">
        <v>50</v>
      </c>
      <c r="O91" t="s">
        <v>93</v>
      </c>
      <c r="P91" t="s">
        <v>37</v>
      </c>
      <c r="Q91" t="s">
        <v>414</v>
      </c>
      <c r="R91" t="str">
        <f t="shared" si="14"/>
        <v>Sanjay Velez</v>
      </c>
      <c r="S91" t="str">
        <f t="shared" si="15"/>
        <v>Joseph Silva</v>
      </c>
      <c r="T91" t="str">
        <f t="shared" si="16"/>
        <v>BRL</v>
      </c>
      <c r="U91" s="7" t="str">
        <f t="shared" si="17"/>
        <v>AUD</v>
      </c>
      <c r="V91" s="7" t="str">
        <f t="shared" si="18"/>
        <v>USA</v>
      </c>
      <c r="W91" s="7" t="str">
        <f t="shared" si="19"/>
        <v>South Africa</v>
      </c>
      <c r="X91" s="7" t="str">
        <f t="shared" si="20"/>
        <v>Inter-Transaction</v>
      </c>
      <c r="Y91" s="7">
        <f t="shared" si="21"/>
        <v>12864.54</v>
      </c>
      <c r="Z91" s="7">
        <f t="shared" si="22"/>
        <v>50</v>
      </c>
      <c r="AA91" s="7">
        <f t="shared" si="23"/>
        <v>2023</v>
      </c>
      <c r="AB91" s="7">
        <f t="shared" si="24"/>
        <v>4</v>
      </c>
      <c r="AC91" s="7">
        <f t="shared" si="25"/>
        <v>1</v>
      </c>
      <c r="AD91" s="7" t="str">
        <f t="shared" si="26"/>
        <v>No</v>
      </c>
      <c r="AE91" s="7" t="str">
        <f t="shared" si="27"/>
        <v>Normal</v>
      </c>
    </row>
    <row r="92" spans="1:31">
      <c r="A92" t="s">
        <v>415</v>
      </c>
      <c r="B92">
        <v>70369365</v>
      </c>
      <c r="D92" t="s">
        <v>416</v>
      </c>
      <c r="E92" t="s">
        <v>33</v>
      </c>
      <c r="F92" t="s">
        <v>121</v>
      </c>
      <c r="G92" t="s">
        <v>80</v>
      </c>
      <c r="H92" t="s">
        <v>38</v>
      </c>
      <c r="I92" t="s">
        <v>3374</v>
      </c>
      <c r="J92">
        <v>10075.040000000001</v>
      </c>
      <c r="K92" t="s">
        <v>47</v>
      </c>
      <c r="L92" t="s">
        <v>81</v>
      </c>
      <c r="M92" s="1">
        <v>45222.813888888886</v>
      </c>
      <c r="N92">
        <v>65</v>
      </c>
      <c r="O92" t="s">
        <v>68</v>
      </c>
      <c r="P92" t="s">
        <v>37</v>
      </c>
      <c r="Q92" t="s">
        <v>417</v>
      </c>
      <c r="R92" t="str">
        <f t="shared" si="14"/>
        <v/>
      </c>
      <c r="S92" t="str">
        <f t="shared" si="15"/>
        <v>Robert Moore</v>
      </c>
      <c r="T92" t="str">
        <f t="shared" si="16"/>
        <v>INR</v>
      </c>
      <c r="U92" s="7" t="str">
        <f t="shared" si="17"/>
        <v>USD</v>
      </c>
      <c r="V92" s="7" t="str">
        <f t="shared" si="18"/>
        <v>UAE</v>
      </c>
      <c r="W92" s="7" t="str">
        <f t="shared" si="19"/>
        <v>South Africa</v>
      </c>
      <c r="X92" s="7" t="str">
        <f t="shared" si="20"/>
        <v>External</v>
      </c>
      <c r="Y92" s="7">
        <f t="shared" si="21"/>
        <v>10075.040000000001</v>
      </c>
      <c r="Z92" s="7">
        <f t="shared" si="22"/>
        <v>65</v>
      </c>
      <c r="AA92" s="7">
        <f t="shared" si="23"/>
        <v>2023</v>
      </c>
      <c r="AB92" s="7">
        <f t="shared" si="24"/>
        <v>10</v>
      </c>
      <c r="AC92" s="7">
        <f t="shared" si="25"/>
        <v>1</v>
      </c>
      <c r="AD92" s="7" t="str">
        <f t="shared" si="26"/>
        <v>No</v>
      </c>
      <c r="AE92" s="7" t="str">
        <f t="shared" si="27"/>
        <v>Normal</v>
      </c>
    </row>
    <row r="93" spans="1:31">
      <c r="A93" t="s">
        <v>418</v>
      </c>
      <c r="B93">
        <v>74279671</v>
      </c>
      <c r="C93" t="s">
        <v>419</v>
      </c>
      <c r="D93" t="s">
        <v>420</v>
      </c>
      <c r="E93" t="s">
        <v>33</v>
      </c>
      <c r="F93" t="s">
        <v>92</v>
      </c>
      <c r="G93" t="s">
        <v>121</v>
      </c>
      <c r="H93" t="s">
        <v>103</v>
      </c>
      <c r="I93" t="s">
        <v>3378</v>
      </c>
      <c r="J93">
        <v>7697.12</v>
      </c>
      <c r="K93" t="s">
        <v>39</v>
      </c>
      <c r="L93" t="s">
        <v>81</v>
      </c>
      <c r="M93" s="1">
        <v>45837.313194444447</v>
      </c>
      <c r="N93">
        <v>40</v>
      </c>
      <c r="O93" t="s">
        <v>68</v>
      </c>
      <c r="P93" t="s">
        <v>36</v>
      </c>
      <c r="Q93" t="s">
        <v>421</v>
      </c>
      <c r="R93" t="str">
        <f t="shared" si="14"/>
        <v>Priya Davis</v>
      </c>
      <c r="S93" t="str">
        <f t="shared" si="15"/>
        <v>Elena Martin</v>
      </c>
      <c r="T93" t="str">
        <f t="shared" si="16"/>
        <v>AUD</v>
      </c>
      <c r="U93" s="7" t="str">
        <f t="shared" si="17"/>
        <v>INR</v>
      </c>
      <c r="V93" s="7" t="str">
        <f t="shared" si="18"/>
        <v>UAE</v>
      </c>
      <c r="W93" s="7" t="str">
        <f t="shared" si="19"/>
        <v>Germany</v>
      </c>
      <c r="X93" s="7" t="str">
        <f t="shared" si="20"/>
        <v>Inter-Transaction</v>
      </c>
      <c r="Y93" s="7">
        <f t="shared" si="21"/>
        <v>7697.12</v>
      </c>
      <c r="Z93" s="7">
        <f t="shared" si="22"/>
        <v>40</v>
      </c>
      <c r="AA93" s="7">
        <f t="shared" si="23"/>
        <v>2025</v>
      </c>
      <c r="AB93" s="7">
        <f t="shared" si="24"/>
        <v>6</v>
      </c>
      <c r="AC93" s="7">
        <f t="shared" si="25"/>
        <v>1</v>
      </c>
      <c r="AD93" s="7" t="str">
        <f t="shared" si="26"/>
        <v>No</v>
      </c>
      <c r="AE93" s="7" t="str">
        <f t="shared" si="27"/>
        <v>Normal</v>
      </c>
    </row>
    <row r="94" spans="1:31">
      <c r="A94" t="s">
        <v>422</v>
      </c>
      <c r="B94">
        <v>29585415</v>
      </c>
      <c r="C94" t="s">
        <v>423</v>
      </c>
      <c r="D94" t="s">
        <v>424</v>
      </c>
      <c r="E94" t="s">
        <v>20</v>
      </c>
      <c r="F94" t="s">
        <v>22</v>
      </c>
      <c r="G94" t="s">
        <v>92</v>
      </c>
      <c r="H94" t="s">
        <v>38</v>
      </c>
      <c r="I94" t="s">
        <v>3374</v>
      </c>
      <c r="J94">
        <v>14152.53</v>
      </c>
      <c r="K94" t="s">
        <v>57</v>
      </c>
      <c r="L94" t="s">
        <v>75</v>
      </c>
      <c r="M94" s="1">
        <v>45052.177777777775</v>
      </c>
      <c r="N94">
        <v>79</v>
      </c>
      <c r="O94" t="s">
        <v>36</v>
      </c>
      <c r="P94" t="s">
        <v>54</v>
      </c>
      <c r="Q94" t="s">
        <v>425</v>
      </c>
      <c r="R94" t="str">
        <f t="shared" si="14"/>
        <v>John Rodriguez</v>
      </c>
      <c r="S94" t="str">
        <f t="shared" si="15"/>
        <v>Karen Souza</v>
      </c>
      <c r="T94" t="str">
        <f t="shared" si="16"/>
        <v>BRL</v>
      </c>
      <c r="U94" s="7" t="str">
        <f t="shared" si="17"/>
        <v>AUD</v>
      </c>
      <c r="V94" s="7" t="str">
        <f t="shared" si="18"/>
        <v>Germany</v>
      </c>
      <c r="W94" s="7" t="str">
        <f t="shared" si="19"/>
        <v>India</v>
      </c>
      <c r="X94" s="7" t="str">
        <f t="shared" si="20"/>
        <v>External</v>
      </c>
      <c r="Y94" s="7">
        <f t="shared" si="21"/>
        <v>14152.53</v>
      </c>
      <c r="Z94" s="7">
        <f t="shared" si="22"/>
        <v>79</v>
      </c>
      <c r="AA94" s="7">
        <f t="shared" si="23"/>
        <v>2023</v>
      </c>
      <c r="AB94" s="7">
        <f t="shared" si="24"/>
        <v>5</v>
      </c>
      <c r="AC94" s="7">
        <f t="shared" si="25"/>
        <v>1</v>
      </c>
      <c r="AD94" s="7" t="str">
        <f t="shared" si="26"/>
        <v>No</v>
      </c>
      <c r="AE94" s="7" t="str">
        <f t="shared" si="27"/>
        <v>High Risk</v>
      </c>
    </row>
    <row r="95" spans="1:31">
      <c r="A95" t="s">
        <v>426</v>
      </c>
      <c r="B95">
        <v>34702473</v>
      </c>
      <c r="C95" t="s">
        <v>427</v>
      </c>
      <c r="D95" t="s">
        <v>428</v>
      </c>
      <c r="E95">
        <v>1</v>
      </c>
      <c r="F95" t="s">
        <v>98</v>
      </c>
      <c r="G95" t="s">
        <v>80</v>
      </c>
      <c r="H95" t="s">
        <v>74</v>
      </c>
      <c r="I95" t="s">
        <v>3374</v>
      </c>
      <c r="J95">
        <v>3479.19</v>
      </c>
      <c r="K95" t="s">
        <v>47</v>
      </c>
      <c r="L95" t="s">
        <v>28</v>
      </c>
      <c r="M95" s="1">
        <v>45225.330555555556</v>
      </c>
      <c r="N95">
        <v>54</v>
      </c>
      <c r="O95" t="s">
        <v>23</v>
      </c>
      <c r="P95" t="s">
        <v>24</v>
      </c>
      <c r="Q95" t="s">
        <v>429</v>
      </c>
      <c r="R95" t="str">
        <f t="shared" si="14"/>
        <v>PRIYA VOLKOV</v>
      </c>
      <c r="S95" t="str">
        <f t="shared" si="15"/>
        <v xml:space="preserve"> Karen Nair   </v>
      </c>
      <c r="T95" t="str">
        <f t="shared" si="16"/>
        <v>JPY</v>
      </c>
      <c r="U95" s="7" t="str">
        <f t="shared" si="17"/>
        <v>USD</v>
      </c>
      <c r="V95" s="7" t="str">
        <f t="shared" si="18"/>
        <v>France</v>
      </c>
      <c r="W95" s="7" t="str">
        <f t="shared" si="19"/>
        <v>Brazil</v>
      </c>
      <c r="X95" s="7" t="str">
        <f t="shared" si="20"/>
        <v>External</v>
      </c>
      <c r="Y95" s="7">
        <f t="shared" si="21"/>
        <v>3479.19</v>
      </c>
      <c r="Z95" s="7">
        <f t="shared" si="22"/>
        <v>54</v>
      </c>
      <c r="AA95" s="7">
        <f t="shared" si="23"/>
        <v>2023</v>
      </c>
      <c r="AB95" s="7">
        <f t="shared" si="24"/>
        <v>10</v>
      </c>
      <c r="AC95" s="7">
        <f t="shared" si="25"/>
        <v>1</v>
      </c>
      <c r="AD95" s="7" t="str">
        <f t="shared" si="26"/>
        <v>No</v>
      </c>
      <c r="AE95" s="7" t="str">
        <f t="shared" si="27"/>
        <v>Normal</v>
      </c>
    </row>
    <row r="96" spans="1:31">
      <c r="A96" t="s">
        <v>430</v>
      </c>
      <c r="B96">
        <v>10887495</v>
      </c>
      <c r="C96" t="s">
        <v>431</v>
      </c>
      <c r="D96" t="s">
        <v>432</v>
      </c>
      <c r="E96" t="s">
        <v>20</v>
      </c>
      <c r="F96" t="s">
        <v>22</v>
      </c>
      <c r="G96" t="s">
        <v>53</v>
      </c>
      <c r="H96" t="s">
        <v>74</v>
      </c>
      <c r="I96" t="s">
        <v>3377</v>
      </c>
      <c r="J96">
        <v>13771.55</v>
      </c>
      <c r="K96" t="s">
        <v>27</v>
      </c>
      <c r="L96" t="s">
        <v>48</v>
      </c>
      <c r="M96" s="1">
        <v>44203.397916666669</v>
      </c>
      <c r="N96">
        <v>61</v>
      </c>
      <c r="O96" t="s">
        <v>24</v>
      </c>
      <c r="P96" t="s">
        <v>68</v>
      </c>
      <c r="Q96" t="s">
        <v>433</v>
      </c>
      <c r="R96" t="str">
        <f t="shared" si="14"/>
        <v>Karen Moore</v>
      </c>
      <c r="S96" t="str">
        <f t="shared" si="15"/>
        <v>Jessica Smith</v>
      </c>
      <c r="T96" t="str">
        <f t="shared" si="16"/>
        <v>BRL</v>
      </c>
      <c r="U96" s="7" t="str">
        <f t="shared" si="17"/>
        <v>AED</v>
      </c>
      <c r="V96" s="7" t="str">
        <f t="shared" si="18"/>
        <v>Brazil</v>
      </c>
      <c r="W96" s="7" t="str">
        <f t="shared" si="19"/>
        <v>UAE</v>
      </c>
      <c r="X96" s="7" t="str">
        <f t="shared" si="20"/>
        <v>Inter-Transaction</v>
      </c>
      <c r="Y96" s="7">
        <f t="shared" si="21"/>
        <v>13771.55</v>
      </c>
      <c r="Z96" s="7">
        <f t="shared" si="22"/>
        <v>61</v>
      </c>
      <c r="AA96" s="7">
        <f t="shared" si="23"/>
        <v>2021</v>
      </c>
      <c r="AB96" s="7">
        <f t="shared" si="24"/>
        <v>1</v>
      </c>
      <c r="AC96" s="7">
        <f t="shared" si="25"/>
        <v>1</v>
      </c>
      <c r="AD96" s="7" t="str">
        <f t="shared" si="26"/>
        <v>No</v>
      </c>
      <c r="AE96" s="7" t="str">
        <f t="shared" si="27"/>
        <v>Normal</v>
      </c>
    </row>
    <row r="97" spans="1:31">
      <c r="A97" t="s">
        <v>434</v>
      </c>
      <c r="B97">
        <v>85833309</v>
      </c>
      <c r="C97" t="s">
        <v>435</v>
      </c>
      <c r="D97" t="s">
        <v>171</v>
      </c>
      <c r="E97" t="s">
        <v>20</v>
      </c>
      <c r="F97" t="s">
        <v>35</v>
      </c>
      <c r="G97" t="s">
        <v>180</v>
      </c>
      <c r="H97" t="s">
        <v>56</v>
      </c>
      <c r="I97" t="s">
        <v>3377</v>
      </c>
      <c r="J97">
        <v>9554.85</v>
      </c>
      <c r="K97" t="s">
        <v>47</v>
      </c>
      <c r="L97" t="s">
        <v>28</v>
      </c>
      <c r="M97" s="1">
        <v>45351.371527777781</v>
      </c>
      <c r="N97">
        <v>52</v>
      </c>
      <c r="O97" t="s">
        <v>54</v>
      </c>
      <c r="P97" t="s">
        <v>37</v>
      </c>
      <c r="Q97" t="s">
        <v>436</v>
      </c>
      <c r="R97" t="str">
        <f t="shared" si="14"/>
        <v>Elizabeth Rostova</v>
      </c>
      <c r="S97" t="str">
        <f t="shared" si="15"/>
        <v>Elizabeth Martinez</v>
      </c>
      <c r="T97" t="str">
        <f t="shared" si="16"/>
        <v>EUR</v>
      </c>
      <c r="U97" s="7" t="str">
        <f t="shared" si="17"/>
        <v>zar</v>
      </c>
      <c r="V97" s="7" t="str">
        <f t="shared" si="18"/>
        <v>India</v>
      </c>
      <c r="W97" s="7" t="str">
        <f t="shared" si="19"/>
        <v>South Africa</v>
      </c>
      <c r="X97" s="7" t="str">
        <f t="shared" si="20"/>
        <v>Inter-Transaction</v>
      </c>
      <c r="Y97" s="7">
        <f t="shared" si="21"/>
        <v>9554.85</v>
      </c>
      <c r="Z97" s="7">
        <f t="shared" si="22"/>
        <v>52</v>
      </c>
      <c r="AA97" s="7">
        <f t="shared" si="23"/>
        <v>2024</v>
      </c>
      <c r="AB97" s="7">
        <f t="shared" si="24"/>
        <v>2</v>
      </c>
      <c r="AC97" s="7">
        <f t="shared" si="25"/>
        <v>1</v>
      </c>
      <c r="AD97" s="7" t="str">
        <f t="shared" si="26"/>
        <v>No</v>
      </c>
      <c r="AE97" s="7" t="str">
        <f t="shared" si="27"/>
        <v>Normal</v>
      </c>
    </row>
    <row r="98" spans="1:31">
      <c r="A98" t="s">
        <v>437</v>
      </c>
      <c r="B98">
        <v>38375916</v>
      </c>
      <c r="C98" t="s">
        <v>115</v>
      </c>
      <c r="D98" t="s">
        <v>438</v>
      </c>
      <c r="E98" t="s">
        <v>20</v>
      </c>
      <c r="F98" t="s">
        <v>53</v>
      </c>
      <c r="G98" t="s">
        <v>80</v>
      </c>
      <c r="H98" t="s">
        <v>74</v>
      </c>
      <c r="I98" t="s">
        <v>3378</v>
      </c>
      <c r="J98">
        <v>244.71</v>
      </c>
      <c r="K98" t="s">
        <v>47</v>
      </c>
      <c r="L98" t="s">
        <v>48</v>
      </c>
      <c r="M98" s="1">
        <v>46079.94027777778</v>
      </c>
      <c r="N98">
        <v>82</v>
      </c>
      <c r="O98" t="s">
        <v>62</v>
      </c>
      <c r="P98" t="s">
        <v>23</v>
      </c>
      <c r="Q98" t="s">
        <v>439</v>
      </c>
      <c r="R98" t="str">
        <f t="shared" si="14"/>
        <v>Carlos Malik</v>
      </c>
      <c r="S98" t="str">
        <f t="shared" si="15"/>
        <v>Elena Volkov</v>
      </c>
      <c r="T98" t="str">
        <f t="shared" si="16"/>
        <v>AED</v>
      </c>
      <c r="U98" s="7" t="str">
        <f t="shared" si="17"/>
        <v>USD</v>
      </c>
      <c r="V98" s="7" t="str">
        <f t="shared" si="18"/>
        <v>Australia</v>
      </c>
      <c r="W98" s="7" t="str">
        <f t="shared" si="19"/>
        <v>France</v>
      </c>
      <c r="X98" s="7" t="str">
        <f t="shared" si="20"/>
        <v>Inter-Transaction</v>
      </c>
      <c r="Y98" s="7">
        <f t="shared" si="21"/>
        <v>244.71</v>
      </c>
      <c r="Z98" s="7">
        <f t="shared" si="22"/>
        <v>82</v>
      </c>
      <c r="AA98" s="7">
        <f t="shared" si="23"/>
        <v>2026</v>
      </c>
      <c r="AB98" s="7">
        <f t="shared" si="24"/>
        <v>2</v>
      </c>
      <c r="AC98" s="7">
        <f t="shared" si="25"/>
        <v>1</v>
      </c>
      <c r="AD98" s="7" t="str">
        <f t="shared" si="26"/>
        <v>No</v>
      </c>
      <c r="AE98" s="7" t="str">
        <f t="shared" si="27"/>
        <v>Normal</v>
      </c>
    </row>
    <row r="99" spans="1:31">
      <c r="A99" t="s">
        <v>440</v>
      </c>
      <c r="B99">
        <v>28783850</v>
      </c>
      <c r="C99" t="s">
        <v>441</v>
      </c>
      <c r="D99" t="s">
        <v>442</v>
      </c>
      <c r="E99" t="s">
        <v>20</v>
      </c>
      <c r="F99" t="s">
        <v>34</v>
      </c>
      <c r="G99" t="s">
        <v>112</v>
      </c>
      <c r="H99" t="s">
        <v>38</v>
      </c>
      <c r="I99" t="s">
        <v>3372</v>
      </c>
      <c r="J99">
        <v>14534.12</v>
      </c>
      <c r="K99" t="s">
        <v>57</v>
      </c>
      <c r="L99" t="s">
        <v>28</v>
      </c>
      <c r="M99" s="1">
        <v>44679.712500000001</v>
      </c>
      <c r="N99">
        <v>64</v>
      </c>
      <c r="O99" t="s">
        <v>36</v>
      </c>
      <c r="P99" t="s">
        <v>23</v>
      </c>
      <c r="Q99" t="s">
        <v>443</v>
      </c>
      <c r="R99" t="str">
        <f t="shared" si="14"/>
        <v>Lucas Rostova</v>
      </c>
      <c r="S99" t="str">
        <f t="shared" si="15"/>
        <v>Fatima Williams</v>
      </c>
      <c r="T99" t="str">
        <f t="shared" si="16"/>
        <v>CAD</v>
      </c>
      <c r="U99" s="7" t="str">
        <f t="shared" si="17"/>
        <v>usd</v>
      </c>
      <c r="V99" s="7" t="str">
        <f t="shared" si="18"/>
        <v>Germany</v>
      </c>
      <c r="W99" s="7" t="str">
        <f t="shared" si="19"/>
        <v>France</v>
      </c>
      <c r="X99" s="7" t="str">
        <f t="shared" si="20"/>
        <v>Outer-Transaction</v>
      </c>
      <c r="Y99" s="7">
        <f t="shared" si="21"/>
        <v>14534.12</v>
      </c>
      <c r="Z99" s="7">
        <f t="shared" si="22"/>
        <v>64</v>
      </c>
      <c r="AA99" s="7">
        <f t="shared" si="23"/>
        <v>2022</v>
      </c>
      <c r="AB99" s="7">
        <f t="shared" si="24"/>
        <v>4</v>
      </c>
      <c r="AC99" s="7">
        <f t="shared" si="25"/>
        <v>1</v>
      </c>
      <c r="AD99" s="7" t="str">
        <f t="shared" si="26"/>
        <v>No</v>
      </c>
      <c r="AE99" s="7" t="str">
        <f t="shared" si="27"/>
        <v>Normal</v>
      </c>
    </row>
    <row r="100" spans="1:31">
      <c r="A100" t="s">
        <v>444</v>
      </c>
      <c r="B100">
        <v>93029219</v>
      </c>
      <c r="C100" t="s">
        <v>445</v>
      </c>
      <c r="D100" t="s">
        <v>435</v>
      </c>
      <c r="E100" t="s">
        <v>20</v>
      </c>
      <c r="F100" t="s">
        <v>53</v>
      </c>
      <c r="G100" t="s">
        <v>21</v>
      </c>
      <c r="H100" t="s">
        <v>25</v>
      </c>
      <c r="I100" t="s">
        <v>3377</v>
      </c>
      <c r="J100">
        <v>14144.97</v>
      </c>
      <c r="K100" t="s">
        <v>39</v>
      </c>
      <c r="L100" t="s">
        <v>75</v>
      </c>
      <c r="M100" s="1">
        <v>45176.619444444441</v>
      </c>
      <c r="N100">
        <v>20</v>
      </c>
      <c r="O100" t="s">
        <v>23</v>
      </c>
      <c r="P100" t="s">
        <v>93</v>
      </c>
      <c r="Q100" t="s">
        <v>446</v>
      </c>
      <c r="R100" t="str">
        <f t="shared" si="14"/>
        <v>Barbara Silva</v>
      </c>
      <c r="S100" t="str">
        <f t="shared" si="15"/>
        <v>Elizabeth Rostova</v>
      </c>
      <c r="T100" t="str">
        <f t="shared" si="16"/>
        <v>AED</v>
      </c>
      <c r="U100" s="7" t="str">
        <f t="shared" si="17"/>
        <v>GBP</v>
      </c>
      <c r="V100" s="7" t="str">
        <f t="shared" si="18"/>
        <v>France</v>
      </c>
      <c r="W100" s="7" t="str">
        <f t="shared" si="19"/>
        <v>USA</v>
      </c>
      <c r="X100" s="7" t="str">
        <f t="shared" si="20"/>
        <v>Inter-Transaction</v>
      </c>
      <c r="Y100" s="7">
        <f t="shared" si="21"/>
        <v>14144.97</v>
      </c>
      <c r="Z100" s="7">
        <f t="shared" si="22"/>
        <v>20</v>
      </c>
      <c r="AA100" s="7">
        <f t="shared" si="23"/>
        <v>2023</v>
      </c>
      <c r="AB100" s="7">
        <f t="shared" si="24"/>
        <v>9</v>
      </c>
      <c r="AC100" s="7">
        <f t="shared" si="25"/>
        <v>1</v>
      </c>
      <c r="AD100" s="7" t="str">
        <f t="shared" si="26"/>
        <v>No</v>
      </c>
      <c r="AE100" s="7" t="str">
        <f t="shared" si="27"/>
        <v>High Risk</v>
      </c>
    </row>
    <row r="101" spans="1:31">
      <c r="A101" t="s">
        <v>447</v>
      </c>
      <c r="B101">
        <v>84386123</v>
      </c>
      <c r="C101" t="s">
        <v>448</v>
      </c>
      <c r="D101" t="s">
        <v>449</v>
      </c>
      <c r="E101" t="s">
        <v>20</v>
      </c>
      <c r="F101" t="s">
        <v>92</v>
      </c>
      <c r="G101" t="s">
        <v>80</v>
      </c>
      <c r="H101" t="s">
        <v>74</v>
      </c>
      <c r="I101" t="s">
        <v>3376</v>
      </c>
      <c r="J101">
        <v>7821.36</v>
      </c>
      <c r="K101" t="s">
        <v>39</v>
      </c>
      <c r="L101" t="s">
        <v>48</v>
      </c>
      <c r="M101" s="1">
        <v>46153.888194444444</v>
      </c>
      <c r="N101">
        <v>18</v>
      </c>
      <c r="O101" t="s">
        <v>68</v>
      </c>
      <c r="P101" t="s">
        <v>55</v>
      </c>
      <c r="Q101" t="s">
        <v>450</v>
      </c>
      <c r="R101" t="str">
        <f t="shared" si="14"/>
        <v>Robert Martin</v>
      </c>
      <c r="S101" t="str">
        <f t="shared" si="15"/>
        <v>Nancy Silva</v>
      </c>
      <c r="T101" t="str">
        <f t="shared" si="16"/>
        <v>AUD</v>
      </c>
      <c r="U101" s="7" t="str">
        <f t="shared" si="17"/>
        <v>USD</v>
      </c>
      <c r="V101" s="7" t="str">
        <f t="shared" si="18"/>
        <v>UAE</v>
      </c>
      <c r="W101" s="7" t="str">
        <f t="shared" si="19"/>
        <v>UK</v>
      </c>
      <c r="X101" s="7" t="str">
        <f t="shared" si="20"/>
        <v>Internal</v>
      </c>
      <c r="Y101" s="7">
        <f t="shared" si="21"/>
        <v>7821.36</v>
      </c>
      <c r="Z101" s="7">
        <f t="shared" si="22"/>
        <v>18</v>
      </c>
      <c r="AA101" s="7">
        <f t="shared" si="23"/>
        <v>2026</v>
      </c>
      <c r="AB101" s="7">
        <f t="shared" si="24"/>
        <v>5</v>
      </c>
      <c r="AC101" s="7">
        <f t="shared" si="25"/>
        <v>1</v>
      </c>
      <c r="AD101" s="7" t="str">
        <f t="shared" si="26"/>
        <v>No</v>
      </c>
      <c r="AE101" s="7" t="str">
        <f t="shared" si="27"/>
        <v>Normal</v>
      </c>
    </row>
    <row r="102" spans="1:31">
      <c r="A102" t="s">
        <v>451</v>
      </c>
      <c r="B102">
        <v>58469365</v>
      </c>
      <c r="C102" t="s">
        <v>452</v>
      </c>
      <c r="D102" t="s">
        <v>453</v>
      </c>
      <c r="E102" t="s">
        <v>20</v>
      </c>
      <c r="F102" t="s">
        <v>116</v>
      </c>
      <c r="G102" t="s">
        <v>126</v>
      </c>
      <c r="H102" t="s">
        <v>56</v>
      </c>
      <c r="I102" t="s">
        <v>3378</v>
      </c>
      <c r="J102">
        <v>6608.94</v>
      </c>
      <c r="K102" t="s">
        <v>39</v>
      </c>
      <c r="L102" t="s">
        <v>48</v>
      </c>
      <c r="M102" s="1">
        <v>46089.724999999999</v>
      </c>
      <c r="N102">
        <v>22</v>
      </c>
      <c r="O102" t="s">
        <v>127</v>
      </c>
      <c r="P102" t="s">
        <v>68</v>
      </c>
      <c r="Q102" t="s">
        <v>454</v>
      </c>
      <c r="R102" t="str">
        <f t="shared" si="14"/>
        <v>David Davis</v>
      </c>
      <c r="S102" t="str">
        <f t="shared" si="15"/>
        <v>Fatima Nair</v>
      </c>
      <c r="T102" t="str">
        <f t="shared" si="16"/>
        <v>CHF</v>
      </c>
      <c r="U102" s="7" t="str">
        <f t="shared" si="17"/>
        <v>inr</v>
      </c>
      <c r="V102" s="7" t="str">
        <f t="shared" si="18"/>
        <v>Canada</v>
      </c>
      <c r="W102" s="7" t="str">
        <f t="shared" si="19"/>
        <v>UAE</v>
      </c>
      <c r="X102" s="7" t="str">
        <f t="shared" si="20"/>
        <v>Inter-Transaction</v>
      </c>
      <c r="Y102" s="7">
        <f t="shared" si="21"/>
        <v>6608.94</v>
      </c>
      <c r="Z102" s="7">
        <f t="shared" si="22"/>
        <v>22</v>
      </c>
      <c r="AA102" s="7">
        <f t="shared" si="23"/>
        <v>2026</v>
      </c>
      <c r="AB102" s="7">
        <f t="shared" si="24"/>
        <v>3</v>
      </c>
      <c r="AC102" s="7">
        <f t="shared" si="25"/>
        <v>1</v>
      </c>
      <c r="AD102" s="7" t="str">
        <f t="shared" si="26"/>
        <v>No</v>
      </c>
      <c r="AE102" s="7" t="str">
        <f t="shared" si="27"/>
        <v>Normal</v>
      </c>
    </row>
    <row r="103" spans="1:31">
      <c r="A103" t="s">
        <v>455</v>
      </c>
      <c r="B103">
        <v>94946730</v>
      </c>
      <c r="C103" t="s">
        <v>456</v>
      </c>
      <c r="D103" t="s">
        <v>457</v>
      </c>
      <c r="E103" t="s">
        <v>20</v>
      </c>
      <c r="F103" t="s">
        <v>53</v>
      </c>
      <c r="G103" t="s">
        <v>92</v>
      </c>
      <c r="H103" t="s">
        <v>38</v>
      </c>
      <c r="I103" t="s">
        <v>3377</v>
      </c>
      <c r="J103">
        <v>14295.54</v>
      </c>
      <c r="K103" t="s">
        <v>39</v>
      </c>
      <c r="L103" t="s">
        <v>48</v>
      </c>
      <c r="M103" s="1">
        <v>44334.124305555553</v>
      </c>
      <c r="N103">
        <v>31</v>
      </c>
      <c r="O103" t="s">
        <v>62</v>
      </c>
      <c r="P103" t="s">
        <v>37</v>
      </c>
      <c r="Q103" t="s">
        <v>458</v>
      </c>
      <c r="R103" t="str">
        <f t="shared" si="14"/>
        <v>Sarah Jackson</v>
      </c>
      <c r="S103" t="str">
        <f t="shared" si="15"/>
        <v>Lucas Davis</v>
      </c>
      <c r="T103" t="str">
        <f t="shared" si="16"/>
        <v>AED</v>
      </c>
      <c r="U103" s="7" t="str">
        <f t="shared" si="17"/>
        <v>AUD</v>
      </c>
      <c r="V103" s="7" t="str">
        <f t="shared" si="18"/>
        <v>Australia</v>
      </c>
      <c r="W103" s="7" t="str">
        <f t="shared" si="19"/>
        <v>South Africa</v>
      </c>
      <c r="X103" s="7" t="str">
        <f t="shared" si="20"/>
        <v>Inter-Transaction</v>
      </c>
      <c r="Y103" s="7">
        <f t="shared" si="21"/>
        <v>14295.54</v>
      </c>
      <c r="Z103" s="7">
        <f t="shared" si="22"/>
        <v>31</v>
      </c>
      <c r="AA103" s="7">
        <f t="shared" si="23"/>
        <v>2021</v>
      </c>
      <c r="AB103" s="7">
        <f t="shared" si="24"/>
        <v>5</v>
      </c>
      <c r="AC103" s="7">
        <f t="shared" si="25"/>
        <v>1</v>
      </c>
      <c r="AD103" s="7" t="str">
        <f t="shared" si="26"/>
        <v>No</v>
      </c>
      <c r="AE103" s="7" t="str">
        <f t="shared" si="27"/>
        <v>Normal</v>
      </c>
    </row>
    <row r="104" spans="1:31">
      <c r="A104" t="s">
        <v>459</v>
      </c>
      <c r="B104">
        <v>42483531</v>
      </c>
      <c r="C104" t="s">
        <v>219</v>
      </c>
      <c r="D104" t="s">
        <v>460</v>
      </c>
      <c r="E104" t="s">
        <v>20</v>
      </c>
      <c r="F104" t="s">
        <v>92</v>
      </c>
      <c r="G104" t="s">
        <v>35</v>
      </c>
      <c r="I104" t="s">
        <v>3372</v>
      </c>
      <c r="J104">
        <v>8159.24</v>
      </c>
      <c r="K104" t="s">
        <v>57</v>
      </c>
      <c r="L104" t="s">
        <v>28</v>
      </c>
      <c r="M104" s="1">
        <v>44533.947916666664</v>
      </c>
      <c r="N104">
        <v>44</v>
      </c>
      <c r="O104" t="s">
        <v>23</v>
      </c>
      <c r="P104" t="s">
        <v>127</v>
      </c>
      <c r="Q104" t="s">
        <v>461</v>
      </c>
      <c r="R104" t="str">
        <f t="shared" si="14"/>
        <v>David Velez</v>
      </c>
      <c r="S104" t="str">
        <f t="shared" si="15"/>
        <v>Michael Rostova</v>
      </c>
      <c r="T104" t="str">
        <f t="shared" si="16"/>
        <v>AUD</v>
      </c>
      <c r="U104" s="7" t="str">
        <f t="shared" si="17"/>
        <v>EUR</v>
      </c>
      <c r="V104" s="7" t="str">
        <f t="shared" si="18"/>
        <v>France</v>
      </c>
      <c r="W104" s="7" t="str">
        <f t="shared" si="19"/>
        <v>Canada</v>
      </c>
      <c r="X104" s="7" t="str">
        <f t="shared" si="20"/>
        <v>Outer-Transaction</v>
      </c>
      <c r="Y104" s="7">
        <f t="shared" si="21"/>
        <v>8159.24</v>
      </c>
      <c r="Z104" s="7">
        <f t="shared" si="22"/>
        <v>44</v>
      </c>
      <c r="AA104" s="7">
        <f t="shared" si="23"/>
        <v>2021</v>
      </c>
      <c r="AB104" s="7">
        <f t="shared" si="24"/>
        <v>12</v>
      </c>
      <c r="AC104" s="7">
        <f t="shared" si="25"/>
        <v>1</v>
      </c>
      <c r="AD104" s="7" t="str">
        <f t="shared" si="26"/>
        <v>No</v>
      </c>
      <c r="AE104" s="7" t="str">
        <f t="shared" si="27"/>
        <v>Normal</v>
      </c>
    </row>
    <row r="105" spans="1:31">
      <c r="A105" t="s">
        <v>462</v>
      </c>
      <c r="B105">
        <v>54506155</v>
      </c>
      <c r="C105" t="s">
        <v>463</v>
      </c>
      <c r="D105" t="s">
        <v>18</v>
      </c>
      <c r="E105" t="s">
        <v>20</v>
      </c>
      <c r="F105" t="s">
        <v>121</v>
      </c>
      <c r="G105" t="s">
        <v>98</v>
      </c>
      <c r="H105" t="s">
        <v>56</v>
      </c>
      <c r="I105" t="s">
        <v>3374</v>
      </c>
      <c r="J105">
        <v>8832.9599999999991</v>
      </c>
      <c r="K105" t="s">
        <v>27</v>
      </c>
      <c r="L105" t="s">
        <v>48</v>
      </c>
      <c r="M105" s="1">
        <v>45920.981249999997</v>
      </c>
      <c r="N105">
        <v>26</v>
      </c>
      <c r="O105" t="s">
        <v>23</v>
      </c>
      <c r="P105" t="s">
        <v>37</v>
      </c>
      <c r="Q105" t="s">
        <v>464</v>
      </c>
      <c r="R105" t="str">
        <f t="shared" si="14"/>
        <v>Lucas Wilson</v>
      </c>
      <c r="S105" t="str">
        <f t="shared" si="15"/>
        <v>Patricia Smith</v>
      </c>
      <c r="T105" t="str">
        <f t="shared" si="16"/>
        <v>INR</v>
      </c>
      <c r="U105" s="7" t="str">
        <f t="shared" si="17"/>
        <v>JPY</v>
      </c>
      <c r="V105" s="7" t="str">
        <f t="shared" si="18"/>
        <v>France</v>
      </c>
      <c r="W105" s="7" t="str">
        <f t="shared" si="19"/>
        <v>South Africa</v>
      </c>
      <c r="X105" s="7" t="str">
        <f t="shared" si="20"/>
        <v>External</v>
      </c>
      <c r="Y105" s="7">
        <f t="shared" si="21"/>
        <v>8832.9599999999991</v>
      </c>
      <c r="Z105" s="7">
        <f t="shared" si="22"/>
        <v>26</v>
      </c>
      <c r="AA105" s="7">
        <f t="shared" si="23"/>
        <v>2025</v>
      </c>
      <c r="AB105" s="7">
        <f t="shared" si="24"/>
        <v>9</v>
      </c>
      <c r="AC105" s="7">
        <f t="shared" si="25"/>
        <v>1</v>
      </c>
      <c r="AD105" s="7" t="str">
        <f t="shared" si="26"/>
        <v>No</v>
      </c>
      <c r="AE105" s="7" t="str">
        <f t="shared" si="27"/>
        <v>Normal</v>
      </c>
    </row>
    <row r="106" spans="1:31">
      <c r="A106" t="s">
        <v>465</v>
      </c>
      <c r="B106">
        <v>51861213</v>
      </c>
      <c r="C106" t="s">
        <v>466</v>
      </c>
      <c r="D106" t="s">
        <v>467</v>
      </c>
      <c r="E106" t="s">
        <v>20</v>
      </c>
      <c r="F106" t="s">
        <v>34</v>
      </c>
      <c r="G106" t="s">
        <v>44</v>
      </c>
      <c r="I106" t="s">
        <v>3377</v>
      </c>
      <c r="J106">
        <v>348.55</v>
      </c>
      <c r="K106" t="s">
        <v>57</v>
      </c>
      <c r="L106" t="s">
        <v>28</v>
      </c>
      <c r="M106" s="1">
        <v>44145.556250000001</v>
      </c>
      <c r="N106">
        <v>32</v>
      </c>
      <c r="O106" t="s">
        <v>36</v>
      </c>
      <c r="P106" t="s">
        <v>93</v>
      </c>
      <c r="Q106" t="s">
        <v>468</v>
      </c>
      <c r="R106" t="str">
        <f t="shared" si="14"/>
        <v>RICHARD ANDERSON</v>
      </c>
      <c r="S106" t="str">
        <f t="shared" si="15"/>
        <v xml:space="preserve"> Lucas Miller   </v>
      </c>
      <c r="T106" t="str">
        <f t="shared" si="16"/>
        <v>CAD</v>
      </c>
      <c r="U106" s="7" t="str">
        <f t="shared" si="17"/>
        <v>SGD</v>
      </c>
      <c r="V106" s="7" t="str">
        <f t="shared" si="18"/>
        <v>Germany</v>
      </c>
      <c r="W106" s="7" t="str">
        <f t="shared" si="19"/>
        <v>USA</v>
      </c>
      <c r="X106" s="7" t="str">
        <f t="shared" si="20"/>
        <v>Inter-Transaction</v>
      </c>
      <c r="Y106" s="7">
        <f t="shared" si="21"/>
        <v>348.55</v>
      </c>
      <c r="Z106" s="7">
        <f t="shared" si="22"/>
        <v>32</v>
      </c>
      <c r="AA106" s="7">
        <f t="shared" si="23"/>
        <v>2020</v>
      </c>
      <c r="AB106" s="7">
        <f t="shared" si="24"/>
        <v>11</v>
      </c>
      <c r="AC106" s="7">
        <f t="shared" si="25"/>
        <v>1</v>
      </c>
      <c r="AD106" s="7" t="str">
        <f t="shared" si="26"/>
        <v>No</v>
      </c>
      <c r="AE106" s="7" t="str">
        <f t="shared" si="27"/>
        <v>Normal</v>
      </c>
    </row>
    <row r="107" spans="1:31">
      <c r="A107" t="s">
        <v>469</v>
      </c>
      <c r="B107">
        <v>94524999</v>
      </c>
      <c r="C107" t="s">
        <v>470</v>
      </c>
      <c r="D107" t="s">
        <v>412</v>
      </c>
      <c r="E107" t="s">
        <v>20</v>
      </c>
      <c r="F107" t="s">
        <v>80</v>
      </c>
      <c r="G107" t="s">
        <v>22</v>
      </c>
      <c r="H107" t="s">
        <v>74</v>
      </c>
      <c r="I107" t="s">
        <v>3378</v>
      </c>
      <c r="J107">
        <v>11287.36</v>
      </c>
      <c r="K107" t="s">
        <v>86</v>
      </c>
      <c r="L107" t="s">
        <v>28</v>
      </c>
      <c r="M107" s="1">
        <v>46207.449305555558</v>
      </c>
      <c r="N107">
        <v>59</v>
      </c>
      <c r="O107" t="s">
        <v>62</v>
      </c>
      <c r="P107" t="s">
        <v>23</v>
      </c>
      <c r="Q107" t="s">
        <v>471</v>
      </c>
      <c r="R107" t="str">
        <f t="shared" si="14"/>
        <v>Linda Garcia</v>
      </c>
      <c r="S107" t="str">
        <f t="shared" si="15"/>
        <v>Sanjay Velez</v>
      </c>
      <c r="T107" t="str">
        <f t="shared" si="16"/>
        <v>USD</v>
      </c>
      <c r="U107" s="7" t="str">
        <f t="shared" si="17"/>
        <v>BRL</v>
      </c>
      <c r="V107" s="7" t="str">
        <f t="shared" si="18"/>
        <v>Australia</v>
      </c>
      <c r="W107" s="7" t="str">
        <f t="shared" si="19"/>
        <v>France</v>
      </c>
      <c r="X107" s="7" t="str">
        <f t="shared" si="20"/>
        <v>Inter-Transaction</v>
      </c>
      <c r="Y107" s="7">
        <f t="shared" si="21"/>
        <v>11287.36</v>
      </c>
      <c r="Z107" s="7">
        <f t="shared" si="22"/>
        <v>59</v>
      </c>
      <c r="AA107" s="7">
        <f t="shared" si="23"/>
        <v>2026</v>
      </c>
      <c r="AB107" s="7">
        <f t="shared" si="24"/>
        <v>7</v>
      </c>
      <c r="AC107" s="7">
        <f t="shared" si="25"/>
        <v>1</v>
      </c>
      <c r="AD107" s="7" t="str">
        <f t="shared" si="26"/>
        <v>No</v>
      </c>
      <c r="AE107" s="7" t="str">
        <f t="shared" si="27"/>
        <v>Normal</v>
      </c>
    </row>
    <row r="108" spans="1:31">
      <c r="A108" t="s">
        <v>472</v>
      </c>
      <c r="B108">
        <v>62162278</v>
      </c>
      <c r="C108" t="s">
        <v>473</v>
      </c>
      <c r="D108" t="s">
        <v>474</v>
      </c>
      <c r="E108" t="s">
        <v>20</v>
      </c>
      <c r="F108" t="s">
        <v>44</v>
      </c>
      <c r="G108" t="s">
        <v>116</v>
      </c>
      <c r="I108" t="s">
        <v>3371</v>
      </c>
      <c r="J108">
        <v>4704.6499999999996</v>
      </c>
      <c r="K108" t="s">
        <v>47</v>
      </c>
      <c r="L108" t="s">
        <v>75</v>
      </c>
      <c r="M108" s="1">
        <v>44871.318055555559</v>
      </c>
      <c r="N108">
        <v>68</v>
      </c>
      <c r="O108" t="s">
        <v>55</v>
      </c>
      <c r="P108" t="s">
        <v>24</v>
      </c>
      <c r="Q108" t="s">
        <v>475</v>
      </c>
      <c r="R108" t="str">
        <f t="shared" si="14"/>
        <v>Nancy Gonzalez</v>
      </c>
      <c r="S108" t="str">
        <f t="shared" si="15"/>
        <v>Christopher Brown</v>
      </c>
      <c r="T108" t="str">
        <f t="shared" si="16"/>
        <v>SGD</v>
      </c>
      <c r="U108" s="7" t="str">
        <f t="shared" si="17"/>
        <v>CHF</v>
      </c>
      <c r="V108" s="7" t="str">
        <f t="shared" si="18"/>
        <v>UK</v>
      </c>
      <c r="W108" s="7" t="str">
        <f t="shared" si="19"/>
        <v>Brazil</v>
      </c>
      <c r="X108" s="7" t="str">
        <f t="shared" si="20"/>
        <v>Outer-Transaction</v>
      </c>
      <c r="Y108" s="7">
        <f t="shared" si="21"/>
        <v>4704.6499999999996</v>
      </c>
      <c r="Z108" s="7">
        <f t="shared" si="22"/>
        <v>68</v>
      </c>
      <c r="AA108" s="7">
        <f t="shared" si="23"/>
        <v>2022</v>
      </c>
      <c r="AB108" s="7">
        <f t="shared" si="24"/>
        <v>11</v>
      </c>
      <c r="AC108" s="7">
        <f t="shared" si="25"/>
        <v>1</v>
      </c>
      <c r="AD108" s="7" t="str">
        <f t="shared" si="26"/>
        <v>No</v>
      </c>
      <c r="AE108" s="7" t="str">
        <f t="shared" si="27"/>
        <v>High Risk</v>
      </c>
    </row>
    <row r="109" spans="1:31">
      <c r="A109" t="s">
        <v>476</v>
      </c>
      <c r="B109">
        <v>95295586</v>
      </c>
      <c r="C109" t="s">
        <v>111</v>
      </c>
      <c r="D109" t="s">
        <v>477</v>
      </c>
      <c r="E109">
        <v>0</v>
      </c>
      <c r="F109" t="s">
        <v>21</v>
      </c>
      <c r="G109" t="s">
        <v>98</v>
      </c>
      <c r="H109" t="s">
        <v>103</v>
      </c>
      <c r="I109" t="s">
        <v>3377</v>
      </c>
      <c r="J109">
        <v>7274.29</v>
      </c>
      <c r="K109" t="s">
        <v>47</v>
      </c>
      <c r="L109" t="s">
        <v>81</v>
      </c>
      <c r="M109" s="1">
        <v>44113.44027777778</v>
      </c>
      <c r="N109">
        <v>80</v>
      </c>
      <c r="O109" t="s">
        <v>24</v>
      </c>
      <c r="P109" t="s">
        <v>127</v>
      </c>
      <c r="Q109" t="s">
        <v>478</v>
      </c>
      <c r="R109" t="str">
        <f t="shared" si="14"/>
        <v>Karen Rostova</v>
      </c>
      <c r="S109" t="str">
        <f t="shared" si="15"/>
        <v>Priya Nair</v>
      </c>
      <c r="T109" t="str">
        <f t="shared" si="16"/>
        <v>GBP</v>
      </c>
      <c r="U109" s="7" t="str">
        <f t="shared" si="17"/>
        <v>JPY</v>
      </c>
      <c r="V109" s="7" t="str">
        <f t="shared" si="18"/>
        <v>Brazil</v>
      </c>
      <c r="W109" s="7" t="str">
        <f t="shared" si="19"/>
        <v>Canada</v>
      </c>
      <c r="X109" s="7" t="str">
        <f t="shared" si="20"/>
        <v>Inter-Transaction</v>
      </c>
      <c r="Y109" s="7">
        <f t="shared" si="21"/>
        <v>7274.29</v>
      </c>
      <c r="Z109" s="7">
        <f t="shared" si="22"/>
        <v>80</v>
      </c>
      <c r="AA109" s="7">
        <f t="shared" si="23"/>
        <v>2020</v>
      </c>
      <c r="AB109" s="7">
        <f t="shared" si="24"/>
        <v>10</v>
      </c>
      <c r="AC109" s="7">
        <f t="shared" si="25"/>
        <v>1</v>
      </c>
      <c r="AD109" s="7" t="str">
        <f t="shared" si="26"/>
        <v>No</v>
      </c>
      <c r="AE109" s="7" t="str">
        <f t="shared" si="27"/>
        <v>Normal</v>
      </c>
    </row>
    <row r="110" spans="1:31">
      <c r="A110" t="s">
        <v>479</v>
      </c>
      <c r="B110">
        <v>39598969</v>
      </c>
      <c r="C110" t="s">
        <v>480</v>
      </c>
      <c r="D110" t="s">
        <v>452</v>
      </c>
      <c r="E110" t="s">
        <v>20</v>
      </c>
      <c r="F110" t="s">
        <v>21</v>
      </c>
      <c r="G110" t="s">
        <v>44</v>
      </c>
      <c r="H110" t="s">
        <v>103</v>
      </c>
      <c r="I110" t="s">
        <v>3376</v>
      </c>
      <c r="J110">
        <v>12351.01</v>
      </c>
      <c r="K110" t="s">
        <v>57</v>
      </c>
      <c r="L110" t="s">
        <v>28</v>
      </c>
      <c r="M110" s="1">
        <v>44088.697916666664</v>
      </c>
      <c r="N110">
        <v>69</v>
      </c>
      <c r="O110" t="s">
        <v>55</v>
      </c>
      <c r="P110" t="s">
        <v>54</v>
      </c>
      <c r="Q110" t="s">
        <v>481</v>
      </c>
      <c r="R110" t="str">
        <f t="shared" si="14"/>
        <v>Barbara Johnson</v>
      </c>
      <c r="S110" t="str">
        <f t="shared" si="15"/>
        <v>David Davis</v>
      </c>
      <c r="T110" t="str">
        <f t="shared" si="16"/>
        <v>GBP</v>
      </c>
      <c r="U110" s="7" t="str">
        <f t="shared" si="17"/>
        <v>SGD</v>
      </c>
      <c r="V110" s="7" t="str">
        <f t="shared" si="18"/>
        <v>UK</v>
      </c>
      <c r="W110" s="7" t="str">
        <f t="shared" si="19"/>
        <v>India</v>
      </c>
      <c r="X110" s="7" t="str">
        <f t="shared" si="20"/>
        <v>Internal</v>
      </c>
      <c r="Y110" s="7">
        <f t="shared" si="21"/>
        <v>12351.01</v>
      </c>
      <c r="Z110" s="7">
        <f t="shared" si="22"/>
        <v>69</v>
      </c>
      <c r="AA110" s="7">
        <f t="shared" si="23"/>
        <v>2020</v>
      </c>
      <c r="AB110" s="7">
        <f t="shared" si="24"/>
        <v>9</v>
      </c>
      <c r="AC110" s="7">
        <f t="shared" si="25"/>
        <v>1</v>
      </c>
      <c r="AD110" s="7" t="str">
        <f t="shared" si="26"/>
        <v>No</v>
      </c>
      <c r="AE110" s="7" t="str">
        <f t="shared" si="27"/>
        <v>Normal</v>
      </c>
    </row>
    <row r="111" spans="1:31">
      <c r="A111" t="s">
        <v>482</v>
      </c>
      <c r="B111">
        <v>70362053</v>
      </c>
      <c r="C111" t="s">
        <v>255</v>
      </c>
      <c r="D111" t="s">
        <v>483</v>
      </c>
      <c r="E111" t="s">
        <v>20</v>
      </c>
      <c r="F111" t="s">
        <v>35</v>
      </c>
      <c r="G111" t="s">
        <v>121</v>
      </c>
      <c r="H111" t="s">
        <v>56</v>
      </c>
      <c r="I111" t="s">
        <v>3371</v>
      </c>
      <c r="J111">
        <v>9246.11</v>
      </c>
      <c r="K111" t="s">
        <v>47</v>
      </c>
      <c r="L111" t="s">
        <v>48</v>
      </c>
      <c r="M111" s="1">
        <v>44405.213194444441</v>
      </c>
      <c r="N111">
        <v>21</v>
      </c>
      <c r="O111" t="s">
        <v>62</v>
      </c>
      <c r="P111" t="s">
        <v>62</v>
      </c>
      <c r="Q111" t="s">
        <v>484</v>
      </c>
      <c r="R111" t="str">
        <f t="shared" si="14"/>
        <v>David Lopez</v>
      </c>
      <c r="S111" t="str">
        <f t="shared" si="15"/>
        <v>Zayn Khan</v>
      </c>
      <c r="T111" t="str">
        <f t="shared" si="16"/>
        <v>EUR</v>
      </c>
      <c r="U111" s="7" t="str">
        <f t="shared" si="17"/>
        <v>INR</v>
      </c>
      <c r="V111" s="7" t="str">
        <f t="shared" si="18"/>
        <v>Australia</v>
      </c>
      <c r="W111" s="7" t="str">
        <f t="shared" si="19"/>
        <v>Australia</v>
      </c>
      <c r="X111" s="7" t="str">
        <f t="shared" si="20"/>
        <v>Outer-Transaction</v>
      </c>
      <c r="Y111" s="7">
        <f t="shared" si="21"/>
        <v>9246.11</v>
      </c>
      <c r="Z111" s="7">
        <f t="shared" si="22"/>
        <v>21</v>
      </c>
      <c r="AA111" s="7">
        <f t="shared" si="23"/>
        <v>2021</v>
      </c>
      <c r="AB111" s="7">
        <f t="shared" si="24"/>
        <v>7</v>
      </c>
      <c r="AC111" s="7">
        <f t="shared" si="25"/>
        <v>1</v>
      </c>
      <c r="AD111" s="7" t="str">
        <f t="shared" si="26"/>
        <v>No</v>
      </c>
      <c r="AE111" s="7" t="str">
        <f t="shared" si="27"/>
        <v>Normal</v>
      </c>
    </row>
    <row r="112" spans="1:31">
      <c r="A112" t="s">
        <v>485</v>
      </c>
      <c r="B112">
        <v>79043610</v>
      </c>
      <c r="C112" t="s">
        <v>486</v>
      </c>
      <c r="D112" t="s">
        <v>487</v>
      </c>
      <c r="E112" t="s">
        <v>20</v>
      </c>
      <c r="F112" t="s">
        <v>92</v>
      </c>
      <c r="G112" t="s">
        <v>80</v>
      </c>
      <c r="I112" t="s">
        <v>3378</v>
      </c>
      <c r="J112">
        <v>12428.94</v>
      </c>
      <c r="K112" t="s">
        <v>39</v>
      </c>
      <c r="L112" t="s">
        <v>81</v>
      </c>
      <c r="M112" s="1">
        <v>44404.9</v>
      </c>
      <c r="N112">
        <v>40</v>
      </c>
      <c r="O112" t="s">
        <v>55</v>
      </c>
      <c r="P112" t="s">
        <v>24</v>
      </c>
      <c r="Q112" t="s">
        <v>488</v>
      </c>
      <c r="R112" t="str">
        <f t="shared" si="14"/>
        <v>Carlos Velez</v>
      </c>
      <c r="S112" t="str">
        <f t="shared" si="15"/>
        <v>Amir Brown</v>
      </c>
      <c r="T112" t="str">
        <f t="shared" si="16"/>
        <v>AUD</v>
      </c>
      <c r="U112" s="7" t="str">
        <f t="shared" si="17"/>
        <v>USD</v>
      </c>
      <c r="V112" s="7" t="str">
        <f t="shared" si="18"/>
        <v>UK</v>
      </c>
      <c r="W112" s="7" t="str">
        <f t="shared" si="19"/>
        <v>Brazil</v>
      </c>
      <c r="X112" s="7" t="str">
        <f t="shared" si="20"/>
        <v>Inter-Transaction</v>
      </c>
      <c r="Y112" s="7">
        <f t="shared" si="21"/>
        <v>12428.94</v>
      </c>
      <c r="Z112" s="7">
        <f t="shared" si="22"/>
        <v>40</v>
      </c>
      <c r="AA112" s="7">
        <f t="shared" si="23"/>
        <v>2021</v>
      </c>
      <c r="AB112" s="7">
        <f t="shared" si="24"/>
        <v>7</v>
      </c>
      <c r="AC112" s="7">
        <f t="shared" si="25"/>
        <v>1</v>
      </c>
      <c r="AD112" s="7" t="str">
        <f t="shared" si="26"/>
        <v>No</v>
      </c>
      <c r="AE112" s="7" t="str">
        <f t="shared" si="27"/>
        <v>Normal</v>
      </c>
    </row>
    <row r="113" spans="1:31">
      <c r="A113" t="s">
        <v>489</v>
      </c>
      <c r="B113">
        <v>79204468</v>
      </c>
      <c r="C113" t="s">
        <v>490</v>
      </c>
      <c r="D113" t="s">
        <v>491</v>
      </c>
      <c r="E113" t="s">
        <v>3373</v>
      </c>
      <c r="F113" t="s">
        <v>44</v>
      </c>
      <c r="G113" t="s">
        <v>44</v>
      </c>
      <c r="H113" t="s">
        <v>56</v>
      </c>
      <c r="I113" t="s">
        <v>3374</v>
      </c>
      <c r="J113">
        <v>9965.52</v>
      </c>
      <c r="K113" t="s">
        <v>57</v>
      </c>
      <c r="L113" t="s">
        <v>28</v>
      </c>
      <c r="M113" s="1">
        <v>44873.314583333333</v>
      </c>
      <c r="N113">
        <v>32</v>
      </c>
      <c r="O113" t="s">
        <v>93</v>
      </c>
      <c r="P113" t="s">
        <v>62</v>
      </c>
      <c r="Q113" t="s">
        <v>492</v>
      </c>
      <c r="R113" t="str">
        <f t="shared" si="14"/>
        <v>Fatima Rodriguez</v>
      </c>
      <c r="S113" t="str">
        <f t="shared" si="15"/>
        <v>Elena Souza</v>
      </c>
      <c r="T113" t="str">
        <f t="shared" si="16"/>
        <v>SGD</v>
      </c>
      <c r="U113" s="7" t="str">
        <f t="shared" si="17"/>
        <v>SGD</v>
      </c>
      <c r="V113" s="7" t="str">
        <f t="shared" si="18"/>
        <v>USA</v>
      </c>
      <c r="W113" s="7" t="str">
        <f t="shared" si="19"/>
        <v>Australia</v>
      </c>
      <c r="X113" s="7" t="str">
        <f t="shared" si="20"/>
        <v>External</v>
      </c>
      <c r="Y113" s="7">
        <f t="shared" si="21"/>
        <v>9965.52</v>
      </c>
      <c r="Z113" s="7">
        <f t="shared" si="22"/>
        <v>32</v>
      </c>
      <c r="AA113" s="7">
        <f t="shared" si="23"/>
        <v>2022</v>
      </c>
      <c r="AB113" s="7">
        <f t="shared" si="24"/>
        <v>11</v>
      </c>
      <c r="AC113" s="7">
        <f t="shared" si="25"/>
        <v>1</v>
      </c>
      <c r="AD113" s="7" t="str">
        <f t="shared" si="26"/>
        <v>No</v>
      </c>
      <c r="AE113" s="7" t="str">
        <f t="shared" si="27"/>
        <v>Normal</v>
      </c>
    </row>
    <row r="114" spans="1:31">
      <c r="A114" t="s">
        <v>493</v>
      </c>
      <c r="B114">
        <v>75140950</v>
      </c>
      <c r="C114" t="s">
        <v>494</v>
      </c>
      <c r="D114" t="s">
        <v>486</v>
      </c>
      <c r="E114" t="s">
        <v>3375</v>
      </c>
      <c r="F114" t="s">
        <v>80</v>
      </c>
      <c r="G114" t="s">
        <v>99</v>
      </c>
      <c r="H114" t="s">
        <v>56</v>
      </c>
      <c r="I114" t="s">
        <v>3377</v>
      </c>
      <c r="J114">
        <v>14877.66</v>
      </c>
      <c r="K114" t="s">
        <v>39</v>
      </c>
      <c r="L114" t="s">
        <v>48</v>
      </c>
      <c r="M114" s="1">
        <v>45383.613194444442</v>
      </c>
      <c r="N114">
        <v>60</v>
      </c>
      <c r="O114" t="s">
        <v>68</v>
      </c>
      <c r="P114" t="s">
        <v>68</v>
      </c>
      <c r="Q114" t="s">
        <v>495</v>
      </c>
      <c r="R114" t="str">
        <f t="shared" si="14"/>
        <v>Lucas Hernandez</v>
      </c>
      <c r="S114" t="str">
        <f t="shared" si="15"/>
        <v>Carlos Velez</v>
      </c>
      <c r="T114" t="str">
        <f t="shared" si="16"/>
        <v>USD</v>
      </c>
      <c r="U114" s="7" t="str">
        <f t="shared" si="17"/>
        <v>eur</v>
      </c>
      <c r="V114" s="7" t="str">
        <f t="shared" si="18"/>
        <v>UAE</v>
      </c>
      <c r="W114" s="7" t="str">
        <f t="shared" si="19"/>
        <v>UAE</v>
      </c>
      <c r="X114" s="7" t="str">
        <f t="shared" si="20"/>
        <v>Inter-Transaction</v>
      </c>
      <c r="Y114" s="7">
        <f t="shared" si="21"/>
        <v>14877.66</v>
      </c>
      <c r="Z114" s="7">
        <f t="shared" si="22"/>
        <v>60</v>
      </c>
      <c r="AA114" s="7">
        <f t="shared" si="23"/>
        <v>2024</v>
      </c>
      <c r="AB114" s="7">
        <f t="shared" si="24"/>
        <v>4</v>
      </c>
      <c r="AC114" s="7">
        <f t="shared" si="25"/>
        <v>1</v>
      </c>
      <c r="AD114" s="7" t="str">
        <f t="shared" si="26"/>
        <v>No</v>
      </c>
      <c r="AE114" s="7" t="str">
        <f t="shared" si="27"/>
        <v>Normal</v>
      </c>
    </row>
    <row r="115" spans="1:31">
      <c r="A115" t="s">
        <v>496</v>
      </c>
      <c r="B115">
        <v>97095388</v>
      </c>
      <c r="C115" t="s">
        <v>286</v>
      </c>
      <c r="D115" t="s">
        <v>497</v>
      </c>
      <c r="E115" t="s">
        <v>20</v>
      </c>
      <c r="F115" t="s">
        <v>22</v>
      </c>
      <c r="G115" t="s">
        <v>121</v>
      </c>
      <c r="H115" t="s">
        <v>38</v>
      </c>
      <c r="I115" t="s">
        <v>3371</v>
      </c>
      <c r="J115">
        <v>7796.47</v>
      </c>
      <c r="K115" t="s">
        <v>39</v>
      </c>
      <c r="L115" t="s">
        <v>28</v>
      </c>
      <c r="M115" s="1">
        <v>44253.688888888886</v>
      </c>
      <c r="N115">
        <v>46</v>
      </c>
      <c r="O115" t="s">
        <v>93</v>
      </c>
      <c r="P115" t="s">
        <v>55</v>
      </c>
      <c r="Q115" t="s">
        <v>498</v>
      </c>
      <c r="R115" t="str">
        <f t="shared" si="14"/>
        <v>Linda Johnson</v>
      </c>
      <c r="S115" t="str">
        <f t="shared" si="15"/>
        <v>Joseph Nair</v>
      </c>
      <c r="T115" t="str">
        <f t="shared" si="16"/>
        <v>BRL</v>
      </c>
      <c r="U115" s="7" t="str">
        <f t="shared" si="17"/>
        <v>INR</v>
      </c>
      <c r="V115" s="7" t="str">
        <f t="shared" si="18"/>
        <v>USA</v>
      </c>
      <c r="W115" s="7" t="str">
        <f t="shared" si="19"/>
        <v>UK</v>
      </c>
      <c r="X115" s="7" t="str">
        <f t="shared" si="20"/>
        <v>Outer-Transaction</v>
      </c>
      <c r="Y115" s="7">
        <f t="shared" si="21"/>
        <v>7796.47</v>
      </c>
      <c r="Z115" s="7">
        <f t="shared" si="22"/>
        <v>46</v>
      </c>
      <c r="AA115" s="7">
        <f t="shared" si="23"/>
        <v>2021</v>
      </c>
      <c r="AB115" s="7">
        <f t="shared" si="24"/>
        <v>2</v>
      </c>
      <c r="AC115" s="7">
        <f t="shared" si="25"/>
        <v>1</v>
      </c>
      <c r="AD115" s="7" t="str">
        <f t="shared" si="26"/>
        <v>No</v>
      </c>
      <c r="AE115" s="7" t="str">
        <f t="shared" si="27"/>
        <v>Normal</v>
      </c>
    </row>
    <row r="116" spans="1:31">
      <c r="A116" t="s">
        <v>499</v>
      </c>
      <c r="B116">
        <v>23747542</v>
      </c>
      <c r="C116" t="s">
        <v>500</v>
      </c>
      <c r="D116" t="s">
        <v>501</v>
      </c>
      <c r="E116" t="s">
        <v>20</v>
      </c>
      <c r="F116" t="s">
        <v>92</v>
      </c>
      <c r="G116" t="s">
        <v>91</v>
      </c>
      <c r="H116" t="s">
        <v>74</v>
      </c>
      <c r="I116" t="s">
        <v>3372</v>
      </c>
      <c r="J116">
        <v>5274.3</v>
      </c>
      <c r="K116" t="s">
        <v>47</v>
      </c>
      <c r="L116" t="s">
        <v>48</v>
      </c>
      <c r="M116" s="1">
        <v>45320.614583333336</v>
      </c>
      <c r="N116">
        <v>53</v>
      </c>
      <c r="O116" t="s">
        <v>37</v>
      </c>
      <c r="P116" t="s">
        <v>127</v>
      </c>
      <c r="Q116" t="s">
        <v>502</v>
      </c>
      <c r="R116" t="str">
        <f t="shared" si="14"/>
        <v>Patricia Hernandez</v>
      </c>
      <c r="S116" t="str">
        <f t="shared" si="15"/>
        <v>Susan Volkov</v>
      </c>
      <c r="T116" t="str">
        <f t="shared" si="16"/>
        <v>AUD</v>
      </c>
      <c r="U116" s="7" t="str">
        <f t="shared" si="17"/>
        <v>gbp</v>
      </c>
      <c r="V116" s="7" t="str">
        <f t="shared" si="18"/>
        <v>South Africa</v>
      </c>
      <c r="W116" s="7" t="str">
        <f t="shared" si="19"/>
        <v>Canada</v>
      </c>
      <c r="X116" s="7" t="str">
        <f t="shared" si="20"/>
        <v>Outer-Transaction</v>
      </c>
      <c r="Y116" s="7">
        <f t="shared" si="21"/>
        <v>5274.3</v>
      </c>
      <c r="Z116" s="7">
        <f t="shared" si="22"/>
        <v>53</v>
      </c>
      <c r="AA116" s="7">
        <f t="shared" si="23"/>
        <v>2024</v>
      </c>
      <c r="AB116" s="7">
        <f t="shared" si="24"/>
        <v>1</v>
      </c>
      <c r="AC116" s="7">
        <f t="shared" si="25"/>
        <v>1</v>
      </c>
      <c r="AD116" s="7" t="str">
        <f t="shared" si="26"/>
        <v>No</v>
      </c>
      <c r="AE116" s="7" t="str">
        <f t="shared" si="27"/>
        <v>Normal</v>
      </c>
    </row>
    <row r="117" spans="1:31">
      <c r="A117" t="s">
        <v>503</v>
      </c>
      <c r="B117">
        <v>57182314</v>
      </c>
      <c r="C117" t="s">
        <v>130</v>
      </c>
      <c r="D117" t="s">
        <v>504</v>
      </c>
      <c r="E117" t="s">
        <v>20</v>
      </c>
      <c r="F117" t="s">
        <v>45</v>
      </c>
      <c r="G117" t="s">
        <v>35</v>
      </c>
      <c r="H117" t="s">
        <v>25</v>
      </c>
      <c r="I117" t="s">
        <v>3374</v>
      </c>
      <c r="J117">
        <v>13138.65</v>
      </c>
      <c r="K117" t="s">
        <v>47</v>
      </c>
      <c r="L117" t="s">
        <v>48</v>
      </c>
      <c r="M117" s="1">
        <v>45227.828472222223</v>
      </c>
      <c r="N117">
        <v>30</v>
      </c>
      <c r="O117" t="s">
        <v>55</v>
      </c>
      <c r="P117" t="s">
        <v>36</v>
      </c>
      <c r="Q117" t="s">
        <v>505</v>
      </c>
      <c r="R117" t="str">
        <f t="shared" si="14"/>
        <v>Jessica Hernandez</v>
      </c>
      <c r="S117" t="str">
        <f t="shared" si="15"/>
        <v>Lucas Jones</v>
      </c>
      <c r="T117" t="str">
        <f t="shared" si="16"/>
        <v>ZAR</v>
      </c>
      <c r="U117" s="7" t="str">
        <f t="shared" si="17"/>
        <v>EUR</v>
      </c>
      <c r="V117" s="7" t="str">
        <f t="shared" si="18"/>
        <v>UK</v>
      </c>
      <c r="W117" s="7" t="str">
        <f t="shared" si="19"/>
        <v>Germany</v>
      </c>
      <c r="X117" s="7" t="str">
        <f t="shared" si="20"/>
        <v>External</v>
      </c>
      <c r="Y117" s="7">
        <f t="shared" si="21"/>
        <v>13138.65</v>
      </c>
      <c r="Z117" s="7">
        <f t="shared" si="22"/>
        <v>30</v>
      </c>
      <c r="AA117" s="7">
        <f t="shared" si="23"/>
        <v>2023</v>
      </c>
      <c r="AB117" s="7">
        <f t="shared" si="24"/>
        <v>10</v>
      </c>
      <c r="AC117" s="7">
        <f t="shared" si="25"/>
        <v>1</v>
      </c>
      <c r="AD117" s="7" t="str">
        <f t="shared" si="26"/>
        <v>No</v>
      </c>
      <c r="AE117" s="7" t="str">
        <f t="shared" si="27"/>
        <v>Normal</v>
      </c>
    </row>
    <row r="118" spans="1:31">
      <c r="A118" t="s">
        <v>506</v>
      </c>
      <c r="B118">
        <v>89715904</v>
      </c>
      <c r="C118" t="s">
        <v>391</v>
      </c>
      <c r="D118" t="s">
        <v>507</v>
      </c>
      <c r="E118" t="b">
        <v>1</v>
      </c>
      <c r="F118" t="s">
        <v>34</v>
      </c>
      <c r="G118" t="s">
        <v>21</v>
      </c>
      <c r="H118" t="s">
        <v>56</v>
      </c>
      <c r="I118" t="s">
        <v>3377</v>
      </c>
      <c r="J118">
        <v>260.17</v>
      </c>
      <c r="K118" t="s">
        <v>86</v>
      </c>
      <c r="L118" t="s">
        <v>28</v>
      </c>
      <c r="M118" s="1">
        <v>44588.644444444442</v>
      </c>
      <c r="N118">
        <v>49</v>
      </c>
      <c r="O118" t="s">
        <v>37</v>
      </c>
      <c r="P118" t="s">
        <v>127</v>
      </c>
      <c r="Q118" t="s">
        <v>508</v>
      </c>
      <c r="R118" t="str">
        <f t="shared" si="14"/>
        <v>Robert Taylor</v>
      </c>
      <c r="S118" t="str">
        <f t="shared" si="15"/>
        <v>Carlos Smith</v>
      </c>
      <c r="T118" t="str">
        <f t="shared" si="16"/>
        <v>CAD</v>
      </c>
      <c r="U118" s="7" t="str">
        <f t="shared" si="17"/>
        <v>GBP</v>
      </c>
      <c r="V118" s="7" t="str">
        <f t="shared" si="18"/>
        <v>South Africa</v>
      </c>
      <c r="W118" s="7" t="str">
        <f t="shared" si="19"/>
        <v>Canada</v>
      </c>
      <c r="X118" s="7" t="str">
        <f t="shared" si="20"/>
        <v>Inter-Transaction</v>
      </c>
      <c r="Y118" s="7">
        <f t="shared" si="21"/>
        <v>260.17</v>
      </c>
      <c r="Z118" s="7">
        <f t="shared" si="22"/>
        <v>49</v>
      </c>
      <c r="AA118" s="7">
        <f t="shared" si="23"/>
        <v>2022</v>
      </c>
      <c r="AB118" s="7">
        <f t="shared" si="24"/>
        <v>1</v>
      </c>
      <c r="AC118" s="7">
        <f t="shared" si="25"/>
        <v>1</v>
      </c>
      <c r="AD118" s="7" t="str">
        <f t="shared" si="26"/>
        <v>No</v>
      </c>
      <c r="AE118" s="7" t="str">
        <f t="shared" si="27"/>
        <v>Normal</v>
      </c>
    </row>
    <row r="119" spans="1:31">
      <c r="A119" t="s">
        <v>509</v>
      </c>
      <c r="B119">
        <v>66851305</v>
      </c>
      <c r="C119" t="s">
        <v>510</v>
      </c>
      <c r="D119" t="s">
        <v>511</v>
      </c>
      <c r="E119" t="s">
        <v>20</v>
      </c>
      <c r="F119" t="s">
        <v>116</v>
      </c>
      <c r="G119" t="s">
        <v>21</v>
      </c>
      <c r="H119" t="s">
        <v>38</v>
      </c>
      <c r="I119" t="s">
        <v>3378</v>
      </c>
      <c r="J119">
        <v>5867.07</v>
      </c>
      <c r="K119" t="s">
        <v>86</v>
      </c>
      <c r="L119" t="s">
        <v>75</v>
      </c>
      <c r="M119" s="1">
        <v>44935.355555555558</v>
      </c>
      <c r="N119">
        <v>76</v>
      </c>
      <c r="O119" t="s">
        <v>127</v>
      </c>
      <c r="P119" t="s">
        <v>37</v>
      </c>
      <c r="Q119" t="s">
        <v>512</v>
      </c>
      <c r="R119" t="str">
        <f t="shared" si="14"/>
        <v>Elena Gonzalez</v>
      </c>
      <c r="S119" t="str">
        <f t="shared" si="15"/>
        <v>Robert Nair</v>
      </c>
      <c r="T119" t="str">
        <f t="shared" si="16"/>
        <v>CHF</v>
      </c>
      <c r="U119" s="7" t="str">
        <f t="shared" si="17"/>
        <v>GBP</v>
      </c>
      <c r="V119" s="7" t="str">
        <f t="shared" si="18"/>
        <v>Canada</v>
      </c>
      <c r="W119" s="7" t="str">
        <f t="shared" si="19"/>
        <v>South Africa</v>
      </c>
      <c r="X119" s="7" t="str">
        <f t="shared" si="20"/>
        <v>Inter-Transaction</v>
      </c>
      <c r="Y119" s="7">
        <f t="shared" si="21"/>
        <v>5867.07</v>
      </c>
      <c r="Z119" s="7">
        <f t="shared" si="22"/>
        <v>76</v>
      </c>
      <c r="AA119" s="7">
        <f t="shared" si="23"/>
        <v>2023</v>
      </c>
      <c r="AB119" s="7">
        <f t="shared" si="24"/>
        <v>1</v>
      </c>
      <c r="AC119" s="7">
        <f t="shared" si="25"/>
        <v>1</v>
      </c>
      <c r="AD119" s="7" t="str">
        <f t="shared" si="26"/>
        <v>No</v>
      </c>
      <c r="AE119" s="7" t="str">
        <f t="shared" si="27"/>
        <v>High Risk</v>
      </c>
    </row>
    <row r="120" spans="1:31">
      <c r="A120" t="s">
        <v>513</v>
      </c>
      <c r="B120">
        <v>99399687</v>
      </c>
      <c r="C120" t="s">
        <v>232</v>
      </c>
      <c r="D120" t="s">
        <v>514</v>
      </c>
      <c r="E120" t="s">
        <v>20</v>
      </c>
      <c r="F120" t="s">
        <v>22</v>
      </c>
      <c r="G120" t="s">
        <v>21</v>
      </c>
      <c r="I120" t="s">
        <v>3378</v>
      </c>
      <c r="J120">
        <v>2512.77</v>
      </c>
      <c r="K120" t="s">
        <v>47</v>
      </c>
      <c r="L120" t="s">
        <v>75</v>
      </c>
      <c r="M120" s="1">
        <v>45405.686111111114</v>
      </c>
      <c r="N120">
        <v>45</v>
      </c>
      <c r="O120" t="s">
        <v>54</v>
      </c>
      <c r="P120" t="s">
        <v>23</v>
      </c>
      <c r="Q120" t="s">
        <v>515</v>
      </c>
      <c r="R120" t="str">
        <f t="shared" si="14"/>
        <v>Fatima Velez</v>
      </c>
      <c r="S120" t="str">
        <f t="shared" si="15"/>
        <v>Fatima Garcia</v>
      </c>
      <c r="T120" t="str">
        <f t="shared" si="16"/>
        <v>BRL</v>
      </c>
      <c r="U120" s="7" t="str">
        <f t="shared" si="17"/>
        <v>GBP</v>
      </c>
      <c r="V120" s="7" t="str">
        <f t="shared" si="18"/>
        <v>India</v>
      </c>
      <c r="W120" s="7" t="str">
        <f t="shared" si="19"/>
        <v>France</v>
      </c>
      <c r="X120" s="7" t="str">
        <f t="shared" si="20"/>
        <v>Inter-Transaction</v>
      </c>
      <c r="Y120" s="7">
        <f t="shared" si="21"/>
        <v>2512.77</v>
      </c>
      <c r="Z120" s="7">
        <f t="shared" si="22"/>
        <v>45</v>
      </c>
      <c r="AA120" s="7">
        <f t="shared" si="23"/>
        <v>2024</v>
      </c>
      <c r="AB120" s="7">
        <f t="shared" si="24"/>
        <v>4</v>
      </c>
      <c r="AC120" s="7">
        <f t="shared" si="25"/>
        <v>2</v>
      </c>
      <c r="AD120" s="7" t="str">
        <f t="shared" si="26"/>
        <v>No</v>
      </c>
      <c r="AE120" s="7" t="str">
        <f t="shared" si="27"/>
        <v>High Risk</v>
      </c>
    </row>
    <row r="121" spans="1:31">
      <c r="A121" t="s">
        <v>516</v>
      </c>
      <c r="B121">
        <v>71095611</v>
      </c>
      <c r="C121" t="s">
        <v>517</v>
      </c>
      <c r="D121" t="s">
        <v>518</v>
      </c>
      <c r="E121" t="s">
        <v>3373</v>
      </c>
      <c r="F121" t="s">
        <v>21</v>
      </c>
      <c r="G121" t="s">
        <v>34</v>
      </c>
      <c r="I121" t="s">
        <v>3376</v>
      </c>
      <c r="J121">
        <v>48.5</v>
      </c>
      <c r="K121" t="s">
        <v>86</v>
      </c>
      <c r="L121" t="s">
        <v>48</v>
      </c>
      <c r="M121" s="1">
        <v>46302.513888888891</v>
      </c>
      <c r="N121">
        <v>83</v>
      </c>
      <c r="O121" t="s">
        <v>127</v>
      </c>
      <c r="P121" t="s">
        <v>37</v>
      </c>
      <c r="Q121" t="s">
        <v>519</v>
      </c>
      <c r="R121" t="str">
        <f t="shared" si="14"/>
        <v>Charles Lopez</v>
      </c>
      <c r="S121" t="str">
        <f t="shared" si="15"/>
        <v>Mary Thomas</v>
      </c>
      <c r="T121" t="str">
        <f t="shared" si="16"/>
        <v>GBP</v>
      </c>
      <c r="U121" s="7" t="str">
        <f t="shared" si="17"/>
        <v>CAD</v>
      </c>
      <c r="V121" s="7" t="str">
        <f t="shared" si="18"/>
        <v>Canada</v>
      </c>
      <c r="W121" s="7" t="str">
        <f t="shared" si="19"/>
        <v>South Africa</v>
      </c>
      <c r="X121" s="7" t="str">
        <f t="shared" si="20"/>
        <v>Internal</v>
      </c>
      <c r="Y121" s="7">
        <f t="shared" si="21"/>
        <v>48.5</v>
      </c>
      <c r="Z121" s="7">
        <f t="shared" si="22"/>
        <v>83</v>
      </c>
      <c r="AA121" s="7">
        <f t="shared" si="23"/>
        <v>2026</v>
      </c>
      <c r="AB121" s="7">
        <f t="shared" si="24"/>
        <v>10</v>
      </c>
      <c r="AC121" s="7">
        <f t="shared" si="25"/>
        <v>1</v>
      </c>
      <c r="AD121" s="7" t="str">
        <f t="shared" si="26"/>
        <v>No</v>
      </c>
      <c r="AE121" s="7" t="str">
        <f t="shared" si="27"/>
        <v>Normal</v>
      </c>
    </row>
    <row r="122" spans="1:31">
      <c r="A122" t="s">
        <v>520</v>
      </c>
      <c r="B122">
        <v>98007006</v>
      </c>
      <c r="C122" t="s">
        <v>521</v>
      </c>
      <c r="D122" t="s">
        <v>522</v>
      </c>
      <c r="E122" t="s">
        <v>20</v>
      </c>
      <c r="G122" t="s">
        <v>34</v>
      </c>
      <c r="H122" t="s">
        <v>74</v>
      </c>
      <c r="I122" t="s">
        <v>3371</v>
      </c>
      <c r="J122">
        <v>12067.03</v>
      </c>
      <c r="K122" t="s">
        <v>86</v>
      </c>
      <c r="L122" t="s">
        <v>81</v>
      </c>
      <c r="M122" s="1">
        <v>44259.836111111108</v>
      </c>
      <c r="N122">
        <v>59</v>
      </c>
      <c r="O122" t="s">
        <v>62</v>
      </c>
      <c r="P122" t="s">
        <v>37</v>
      </c>
      <c r="Q122" t="s">
        <v>524</v>
      </c>
      <c r="R122" t="str">
        <f t="shared" si="14"/>
        <v>Jessica Davis</v>
      </c>
      <c r="S122" t="str">
        <f t="shared" si="15"/>
        <v>Richard Davis</v>
      </c>
      <c r="T122" t="str">
        <f t="shared" si="16"/>
        <v/>
      </c>
      <c r="U122" s="7" t="str">
        <f t="shared" si="17"/>
        <v>CAD</v>
      </c>
      <c r="V122" s="7" t="str">
        <f t="shared" si="18"/>
        <v>Australia</v>
      </c>
      <c r="W122" s="7" t="str">
        <f t="shared" si="19"/>
        <v>South Africa</v>
      </c>
      <c r="X122" s="7" t="str">
        <f t="shared" si="20"/>
        <v>Outer-Transaction</v>
      </c>
      <c r="Y122" s="7">
        <f t="shared" si="21"/>
        <v>12067.03</v>
      </c>
      <c r="Z122" s="7">
        <f t="shared" si="22"/>
        <v>59</v>
      </c>
      <c r="AA122" s="7">
        <f t="shared" si="23"/>
        <v>2021</v>
      </c>
      <c r="AB122" s="7">
        <f t="shared" si="24"/>
        <v>3</v>
      </c>
      <c r="AC122" s="7">
        <f t="shared" si="25"/>
        <v>1</v>
      </c>
      <c r="AD122" s="7" t="str">
        <f t="shared" si="26"/>
        <v>No</v>
      </c>
      <c r="AE122" s="7" t="str">
        <f t="shared" si="27"/>
        <v>Normal</v>
      </c>
    </row>
    <row r="123" spans="1:31">
      <c r="A123" t="s">
        <v>525</v>
      </c>
      <c r="B123">
        <v>85672859</v>
      </c>
      <c r="C123" t="s">
        <v>526</v>
      </c>
      <c r="E123" t="s">
        <v>20</v>
      </c>
      <c r="F123" t="s">
        <v>34</v>
      </c>
      <c r="G123" t="s">
        <v>116</v>
      </c>
      <c r="H123" t="s">
        <v>74</v>
      </c>
      <c r="I123" t="s">
        <v>3371</v>
      </c>
      <c r="J123">
        <v>105.6</v>
      </c>
      <c r="K123" t="s">
        <v>39</v>
      </c>
      <c r="L123" t="s">
        <v>28</v>
      </c>
      <c r="M123" s="1">
        <v>45852.378472222219</v>
      </c>
      <c r="N123">
        <v>62</v>
      </c>
      <c r="O123" t="s">
        <v>23</v>
      </c>
      <c r="P123" t="s">
        <v>68</v>
      </c>
      <c r="Q123" t="s">
        <v>527</v>
      </c>
      <c r="R123" t="str">
        <f t="shared" si="14"/>
        <v>Lucas Martinez</v>
      </c>
      <c r="S123" t="str">
        <f t="shared" si="15"/>
        <v/>
      </c>
      <c r="T123" t="str">
        <f t="shared" si="16"/>
        <v>CAD</v>
      </c>
      <c r="U123" s="7" t="str">
        <f t="shared" si="17"/>
        <v>CHF</v>
      </c>
      <c r="V123" s="7" t="str">
        <f t="shared" si="18"/>
        <v>France</v>
      </c>
      <c r="W123" s="7" t="str">
        <f t="shared" si="19"/>
        <v>UAE</v>
      </c>
      <c r="X123" s="7" t="str">
        <f t="shared" si="20"/>
        <v>Outer-Transaction</v>
      </c>
      <c r="Y123" s="7">
        <f t="shared" si="21"/>
        <v>105.6</v>
      </c>
      <c r="Z123" s="7">
        <f t="shared" si="22"/>
        <v>62</v>
      </c>
      <c r="AA123" s="7">
        <f t="shared" si="23"/>
        <v>2025</v>
      </c>
      <c r="AB123" s="7">
        <f t="shared" si="24"/>
        <v>7</v>
      </c>
      <c r="AC123" s="7">
        <f t="shared" si="25"/>
        <v>1</v>
      </c>
      <c r="AD123" s="7" t="str">
        <f t="shared" si="26"/>
        <v>No</v>
      </c>
      <c r="AE123" s="7" t="str">
        <f t="shared" si="27"/>
        <v>Normal</v>
      </c>
    </row>
    <row r="124" spans="1:31">
      <c r="A124" t="s">
        <v>528</v>
      </c>
      <c r="B124">
        <v>51273379</v>
      </c>
      <c r="C124" t="s">
        <v>529</v>
      </c>
      <c r="D124" t="s">
        <v>530</v>
      </c>
      <c r="E124" t="s">
        <v>20</v>
      </c>
      <c r="F124" t="s">
        <v>80</v>
      </c>
      <c r="G124" t="s">
        <v>21</v>
      </c>
      <c r="I124" t="s">
        <v>3378</v>
      </c>
      <c r="J124">
        <v>6882.29</v>
      </c>
      <c r="K124" t="s">
        <v>86</v>
      </c>
      <c r="L124" t="s">
        <v>28</v>
      </c>
      <c r="M124" s="1">
        <v>44034.993055555555</v>
      </c>
      <c r="N124">
        <v>79</v>
      </c>
      <c r="O124" t="s">
        <v>68</v>
      </c>
      <c r="P124" t="s">
        <v>24</v>
      </c>
      <c r="Q124" t="s">
        <v>531</v>
      </c>
      <c r="R124" t="str">
        <f t="shared" si="14"/>
        <v>Patricia Miller</v>
      </c>
      <c r="S124" t="str">
        <f t="shared" si="15"/>
        <v>Charles Davis</v>
      </c>
      <c r="T124" t="str">
        <f t="shared" si="16"/>
        <v>USD</v>
      </c>
      <c r="U124" s="7" t="str">
        <f t="shared" si="17"/>
        <v>GBP</v>
      </c>
      <c r="V124" s="7" t="str">
        <f t="shared" si="18"/>
        <v>UAE</v>
      </c>
      <c r="W124" s="7" t="str">
        <f t="shared" si="19"/>
        <v>Brazil</v>
      </c>
      <c r="X124" s="7" t="str">
        <f t="shared" si="20"/>
        <v>Inter-Transaction</v>
      </c>
      <c r="Y124" s="7">
        <f t="shared" si="21"/>
        <v>6882.29</v>
      </c>
      <c r="Z124" s="7">
        <f t="shared" si="22"/>
        <v>79</v>
      </c>
      <c r="AA124" s="7">
        <f t="shared" si="23"/>
        <v>2020</v>
      </c>
      <c r="AB124" s="7">
        <f t="shared" si="24"/>
        <v>7</v>
      </c>
      <c r="AC124" s="7">
        <f t="shared" si="25"/>
        <v>1</v>
      </c>
      <c r="AD124" s="7" t="str">
        <f t="shared" si="26"/>
        <v>No</v>
      </c>
      <c r="AE124" s="7" t="str">
        <f t="shared" si="27"/>
        <v>Normal</v>
      </c>
    </row>
    <row r="125" spans="1:31">
      <c r="A125" t="s">
        <v>532</v>
      </c>
      <c r="B125">
        <v>45029610</v>
      </c>
      <c r="C125" t="s">
        <v>168</v>
      </c>
      <c r="D125" t="s">
        <v>533</v>
      </c>
      <c r="E125" t="s">
        <v>20</v>
      </c>
      <c r="F125" t="s">
        <v>22</v>
      </c>
      <c r="G125" t="s">
        <v>393</v>
      </c>
      <c r="H125" t="s">
        <v>38</v>
      </c>
      <c r="I125" t="s">
        <v>3377</v>
      </c>
      <c r="J125">
        <v>2339.6</v>
      </c>
      <c r="K125" t="s">
        <v>47</v>
      </c>
      <c r="L125" t="s">
        <v>81</v>
      </c>
      <c r="M125" s="1">
        <v>46074.5</v>
      </c>
      <c r="N125">
        <v>74</v>
      </c>
      <c r="O125" t="s">
        <v>55</v>
      </c>
      <c r="P125" t="s">
        <v>36</v>
      </c>
      <c r="Q125" t="s">
        <v>534</v>
      </c>
      <c r="R125" t="str">
        <f t="shared" si="14"/>
        <v>Zayn Hernandez</v>
      </c>
      <c r="S125" t="str">
        <f t="shared" si="15"/>
        <v>Priya Silva</v>
      </c>
      <c r="T125" t="str">
        <f t="shared" si="16"/>
        <v>BRL</v>
      </c>
      <c r="U125" s="7" t="str">
        <f t="shared" si="17"/>
        <v>cad</v>
      </c>
      <c r="V125" s="7" t="str">
        <f t="shared" si="18"/>
        <v>UK</v>
      </c>
      <c r="W125" s="7" t="str">
        <f t="shared" si="19"/>
        <v>Germany</v>
      </c>
      <c r="X125" s="7" t="str">
        <f t="shared" si="20"/>
        <v>Inter-Transaction</v>
      </c>
      <c r="Y125" s="7">
        <f t="shared" si="21"/>
        <v>2339.6</v>
      </c>
      <c r="Z125" s="7">
        <f t="shared" si="22"/>
        <v>74</v>
      </c>
      <c r="AA125" s="7">
        <f t="shared" si="23"/>
        <v>2026</v>
      </c>
      <c r="AB125" s="7">
        <f t="shared" si="24"/>
        <v>2</v>
      </c>
      <c r="AC125" s="7">
        <f t="shared" si="25"/>
        <v>1</v>
      </c>
      <c r="AD125" s="7" t="str">
        <f t="shared" si="26"/>
        <v>No</v>
      </c>
      <c r="AE125" s="7" t="str">
        <f t="shared" si="27"/>
        <v>Normal</v>
      </c>
    </row>
    <row r="126" spans="1:31">
      <c r="A126" t="s">
        <v>535</v>
      </c>
      <c r="B126">
        <v>22136086</v>
      </c>
      <c r="C126" t="s">
        <v>536</v>
      </c>
      <c r="D126" t="s">
        <v>537</v>
      </c>
      <c r="E126" t="s">
        <v>3375</v>
      </c>
      <c r="F126" t="s">
        <v>392</v>
      </c>
      <c r="G126" t="s">
        <v>116</v>
      </c>
      <c r="H126" t="s">
        <v>103</v>
      </c>
      <c r="I126" t="s">
        <v>3372</v>
      </c>
      <c r="J126">
        <v>7706.76</v>
      </c>
      <c r="K126" t="s">
        <v>57</v>
      </c>
      <c r="L126" t="s">
        <v>75</v>
      </c>
      <c r="M126" s="1">
        <v>46163.830555555556</v>
      </c>
      <c r="N126">
        <v>23</v>
      </c>
      <c r="O126" t="s">
        <v>36</v>
      </c>
      <c r="P126" t="s">
        <v>36</v>
      </c>
      <c r="Q126" t="s">
        <v>538</v>
      </c>
      <c r="R126" t="str">
        <f t="shared" si="14"/>
        <v>Linda Silva</v>
      </c>
      <c r="S126" t="str">
        <f t="shared" si="15"/>
        <v>Marta Martinez</v>
      </c>
      <c r="T126" t="str">
        <f t="shared" si="16"/>
        <v>brl</v>
      </c>
      <c r="U126" s="7" t="str">
        <f t="shared" si="17"/>
        <v>CHF</v>
      </c>
      <c r="V126" s="7" t="str">
        <f t="shared" si="18"/>
        <v>Germany</v>
      </c>
      <c r="W126" s="7" t="str">
        <f t="shared" si="19"/>
        <v>Germany</v>
      </c>
      <c r="X126" s="7" t="str">
        <f t="shared" si="20"/>
        <v>Outer-Transaction</v>
      </c>
      <c r="Y126" s="7">
        <f t="shared" si="21"/>
        <v>7706.76</v>
      </c>
      <c r="Z126" s="7">
        <f t="shared" si="22"/>
        <v>23</v>
      </c>
      <c r="AA126" s="7">
        <f t="shared" si="23"/>
        <v>2026</v>
      </c>
      <c r="AB126" s="7">
        <f t="shared" si="24"/>
        <v>5</v>
      </c>
      <c r="AC126" s="7">
        <f t="shared" si="25"/>
        <v>1</v>
      </c>
      <c r="AD126" s="7" t="str">
        <f t="shared" si="26"/>
        <v>No</v>
      </c>
      <c r="AE126" s="7" t="str">
        <f t="shared" si="27"/>
        <v>High Risk</v>
      </c>
    </row>
    <row r="127" spans="1:31">
      <c r="A127" t="s">
        <v>539</v>
      </c>
      <c r="B127">
        <v>26301180</v>
      </c>
      <c r="C127" t="s">
        <v>540</v>
      </c>
      <c r="D127" t="s">
        <v>196</v>
      </c>
      <c r="E127" t="b">
        <v>1</v>
      </c>
      <c r="F127" t="s">
        <v>21</v>
      </c>
      <c r="G127" t="s">
        <v>121</v>
      </c>
      <c r="H127" t="s">
        <v>103</v>
      </c>
      <c r="I127" t="s">
        <v>3377</v>
      </c>
      <c r="J127">
        <v>336.78</v>
      </c>
      <c r="K127" t="s">
        <v>86</v>
      </c>
      <c r="L127" t="s">
        <v>48</v>
      </c>
      <c r="M127" s="1">
        <v>45823.614583333336</v>
      </c>
      <c r="N127">
        <v>45</v>
      </c>
      <c r="O127" t="s">
        <v>54</v>
      </c>
      <c r="P127" t="s">
        <v>37</v>
      </c>
      <c r="Q127" t="s">
        <v>541</v>
      </c>
      <c r="R127" t="str">
        <f t="shared" si="14"/>
        <v>John Johnson</v>
      </c>
      <c r="S127" t="str">
        <f t="shared" si="15"/>
        <v>Amir Dubois</v>
      </c>
      <c r="T127" t="str">
        <f t="shared" si="16"/>
        <v>GBP</v>
      </c>
      <c r="U127" s="7" t="str">
        <f t="shared" si="17"/>
        <v>INR</v>
      </c>
      <c r="V127" s="7" t="str">
        <f t="shared" si="18"/>
        <v>India</v>
      </c>
      <c r="W127" s="7" t="str">
        <f t="shared" si="19"/>
        <v>South Africa</v>
      </c>
      <c r="X127" s="7" t="str">
        <f t="shared" si="20"/>
        <v>Inter-Transaction</v>
      </c>
      <c r="Y127" s="7">
        <f t="shared" si="21"/>
        <v>336.78</v>
      </c>
      <c r="Z127" s="7">
        <f t="shared" si="22"/>
        <v>45</v>
      </c>
      <c r="AA127" s="7">
        <f t="shared" si="23"/>
        <v>2025</v>
      </c>
      <c r="AB127" s="7">
        <f t="shared" si="24"/>
        <v>6</v>
      </c>
      <c r="AC127" s="7">
        <f t="shared" si="25"/>
        <v>1</v>
      </c>
      <c r="AD127" s="7" t="str">
        <f t="shared" si="26"/>
        <v>No</v>
      </c>
      <c r="AE127" s="7" t="str">
        <f t="shared" si="27"/>
        <v>Normal</v>
      </c>
    </row>
    <row r="128" spans="1:31">
      <c r="A128" t="s">
        <v>542</v>
      </c>
      <c r="B128">
        <v>87025433</v>
      </c>
      <c r="C128" t="s">
        <v>543</v>
      </c>
      <c r="D128" t="s">
        <v>544</v>
      </c>
      <c r="E128" t="s">
        <v>20</v>
      </c>
      <c r="F128" t="s">
        <v>92</v>
      </c>
      <c r="G128" t="s">
        <v>45</v>
      </c>
      <c r="H128" t="s">
        <v>74</v>
      </c>
      <c r="I128" t="s">
        <v>3377</v>
      </c>
      <c r="J128">
        <v>9215.4599999999991</v>
      </c>
      <c r="K128" t="s">
        <v>27</v>
      </c>
      <c r="L128" t="s">
        <v>48</v>
      </c>
      <c r="M128" s="1">
        <v>46074.29791666667</v>
      </c>
      <c r="N128">
        <v>45</v>
      </c>
      <c r="O128" t="s">
        <v>24</v>
      </c>
      <c r="P128" t="s">
        <v>62</v>
      </c>
      <c r="Q128" t="s">
        <v>545</v>
      </c>
      <c r="R128" t="str">
        <f t="shared" si="14"/>
        <v>Jessica Khan</v>
      </c>
      <c r="S128" t="str">
        <f t="shared" si="15"/>
        <v>Fatima Gonzalez</v>
      </c>
      <c r="T128" t="str">
        <f t="shared" si="16"/>
        <v>AUD</v>
      </c>
      <c r="U128" s="7" t="str">
        <f t="shared" si="17"/>
        <v>ZAR</v>
      </c>
      <c r="V128" s="7" t="str">
        <f t="shared" si="18"/>
        <v>Brazil</v>
      </c>
      <c r="W128" s="7" t="str">
        <f t="shared" si="19"/>
        <v>Australia</v>
      </c>
      <c r="X128" s="7" t="str">
        <f t="shared" si="20"/>
        <v>Inter-Transaction</v>
      </c>
      <c r="Y128" s="7">
        <f t="shared" si="21"/>
        <v>9215.4599999999991</v>
      </c>
      <c r="Z128" s="7">
        <f t="shared" si="22"/>
        <v>45</v>
      </c>
      <c r="AA128" s="7">
        <f t="shared" si="23"/>
        <v>2026</v>
      </c>
      <c r="AB128" s="7">
        <f t="shared" si="24"/>
        <v>2</v>
      </c>
      <c r="AC128" s="7">
        <f t="shared" si="25"/>
        <v>1</v>
      </c>
      <c r="AD128" s="7" t="str">
        <f t="shared" si="26"/>
        <v>No</v>
      </c>
      <c r="AE128" s="7" t="str">
        <f t="shared" si="27"/>
        <v>Normal</v>
      </c>
    </row>
    <row r="129" spans="1:31">
      <c r="A129" t="s">
        <v>546</v>
      </c>
      <c r="B129">
        <v>80573568</v>
      </c>
      <c r="C129" t="s">
        <v>155</v>
      </c>
      <c r="D129" t="s">
        <v>547</v>
      </c>
      <c r="E129" t="s">
        <v>3375</v>
      </c>
      <c r="F129" t="s">
        <v>92</v>
      </c>
      <c r="G129" t="s">
        <v>22</v>
      </c>
      <c r="H129" t="s">
        <v>56</v>
      </c>
      <c r="I129" t="s">
        <v>3378</v>
      </c>
      <c r="J129">
        <v>2705.44</v>
      </c>
      <c r="K129" t="s">
        <v>57</v>
      </c>
      <c r="L129" t="s">
        <v>48</v>
      </c>
      <c r="M129" s="1">
        <v>44137.366666666669</v>
      </c>
      <c r="N129">
        <v>61</v>
      </c>
      <c r="O129" t="s">
        <v>24</v>
      </c>
      <c r="P129" t="s">
        <v>68</v>
      </c>
      <c r="Q129" t="s">
        <v>548</v>
      </c>
      <c r="R129" t="str">
        <f t="shared" si="14"/>
        <v>Elizabeth Nair</v>
      </c>
      <c r="S129" t="str">
        <f t="shared" si="15"/>
        <v>Lucas Moore</v>
      </c>
      <c r="T129" t="str">
        <f t="shared" si="16"/>
        <v>AUD</v>
      </c>
      <c r="U129" s="7" t="str">
        <f t="shared" si="17"/>
        <v>BRL</v>
      </c>
      <c r="V129" s="7" t="str">
        <f t="shared" si="18"/>
        <v>Brazil</v>
      </c>
      <c r="W129" s="7" t="str">
        <f t="shared" si="19"/>
        <v>UAE</v>
      </c>
      <c r="X129" s="7" t="str">
        <f t="shared" si="20"/>
        <v>Inter-Transaction</v>
      </c>
      <c r="Y129" s="7">
        <f t="shared" si="21"/>
        <v>2705.44</v>
      </c>
      <c r="Z129" s="7">
        <f t="shared" si="22"/>
        <v>61</v>
      </c>
      <c r="AA129" s="7">
        <f t="shared" si="23"/>
        <v>2020</v>
      </c>
      <c r="AB129" s="7">
        <f t="shared" si="24"/>
        <v>11</v>
      </c>
      <c r="AC129" s="7">
        <f t="shared" si="25"/>
        <v>1</v>
      </c>
      <c r="AD129" s="7" t="str">
        <f t="shared" si="26"/>
        <v>No</v>
      </c>
      <c r="AE129" s="7" t="str">
        <f t="shared" si="27"/>
        <v>Normal</v>
      </c>
    </row>
    <row r="130" spans="1:31">
      <c r="A130" t="s">
        <v>549</v>
      </c>
      <c r="B130">
        <v>43266810</v>
      </c>
      <c r="C130" t="s">
        <v>550</v>
      </c>
      <c r="D130" t="s">
        <v>551</v>
      </c>
      <c r="E130" t="s">
        <v>3375</v>
      </c>
      <c r="F130" t="s">
        <v>22</v>
      </c>
      <c r="G130" t="s">
        <v>80</v>
      </c>
      <c r="H130" t="s">
        <v>74</v>
      </c>
      <c r="I130" t="s">
        <v>3371</v>
      </c>
      <c r="J130">
        <v>3555.9</v>
      </c>
      <c r="K130" t="s">
        <v>57</v>
      </c>
      <c r="L130" t="s">
        <v>75</v>
      </c>
      <c r="M130" s="1">
        <v>45518.334722222222</v>
      </c>
      <c r="N130">
        <v>47</v>
      </c>
      <c r="O130" t="s">
        <v>24</v>
      </c>
      <c r="P130" t="s">
        <v>37</v>
      </c>
      <c r="Q130" t="s">
        <v>552</v>
      </c>
      <c r="R130" t="str">
        <f t="shared" ref="R130:R193" si="28">TRIM(C130)</f>
        <v>Marta Davis</v>
      </c>
      <c r="S130" t="str">
        <f t="shared" ref="S130:S193" si="29">PROPER(D130)</f>
        <v>David Moore</v>
      </c>
      <c r="T130" t="str">
        <f t="shared" ref="T130:T193" si="30">TRIM(F130)</f>
        <v>BRL</v>
      </c>
      <c r="U130" s="7" t="str">
        <f t="shared" ref="U130:U193" si="31">TRIM(G130)</f>
        <v>USD</v>
      </c>
      <c r="V130" s="7" t="str">
        <f t="shared" ref="V130:V193" si="32">TRIM(O130)</f>
        <v>Brazil</v>
      </c>
      <c r="W130" s="7" t="str">
        <f t="shared" ref="W130:W193" si="33">TRIM(P130)</f>
        <v>South Africa</v>
      </c>
      <c r="X130" s="7" t="str">
        <f t="shared" ref="X130:X193" si="34">PROPER(I130)</f>
        <v>Outer-Transaction</v>
      </c>
      <c r="Y130" s="7">
        <f t="shared" ref="Y130:Y193" si="35">IF(J130="",AVERAGE($J:$J),J130)</f>
        <v>3555.9</v>
      </c>
      <c r="Z130" s="7">
        <f t="shared" ref="Z130:Z193" si="36">IF(N130="",AVERAGE($N:$N),N130)</f>
        <v>47</v>
      </c>
      <c r="AA130" s="7">
        <f t="shared" ref="AA130:AA193" si="37">YEAR(M130)</f>
        <v>2024</v>
      </c>
      <c r="AB130" s="7">
        <f t="shared" ref="AB130:AB193" si="38">MONTH(M130)</f>
        <v>8</v>
      </c>
      <c r="AC130" s="7">
        <f t="shared" ref="AC130:AC193" si="39">COUNTIF(A:A,A130)</f>
        <v>1</v>
      </c>
      <c r="AD130" s="7" t="str">
        <f t="shared" ref="AD130:AD193" si="40">IF(C130="YES","Yes","No")</f>
        <v>No</v>
      </c>
      <c r="AE130" s="7" t="str">
        <f t="shared" ref="AE130:AE193" si="41">IF(L130="HIGH","High Risk","Normal")</f>
        <v>High Risk</v>
      </c>
    </row>
    <row r="131" spans="1:31">
      <c r="A131" t="s">
        <v>553</v>
      </c>
      <c r="B131">
        <v>76065552</v>
      </c>
      <c r="C131" t="s">
        <v>554</v>
      </c>
      <c r="D131" t="s">
        <v>555</v>
      </c>
      <c r="E131" t="s">
        <v>20</v>
      </c>
      <c r="F131" t="s">
        <v>556</v>
      </c>
      <c r="G131" t="s">
        <v>121</v>
      </c>
      <c r="H131" t="s">
        <v>74</v>
      </c>
      <c r="I131" t="s">
        <v>3378</v>
      </c>
      <c r="J131">
        <v>10756.9</v>
      </c>
      <c r="K131" t="s">
        <v>57</v>
      </c>
      <c r="L131" t="s">
        <v>28</v>
      </c>
      <c r="M131" s="1">
        <v>43844.424305555556</v>
      </c>
      <c r="N131">
        <v>79</v>
      </c>
      <c r="O131" t="s">
        <v>55</v>
      </c>
      <c r="P131" t="s">
        <v>55</v>
      </c>
      <c r="Q131" t="s">
        <v>557</v>
      </c>
      <c r="R131" t="str">
        <f t="shared" si="28"/>
        <v>Karen Martinez</v>
      </c>
      <c r="S131" t="str">
        <f t="shared" si="29"/>
        <v>Linda Thomas</v>
      </c>
      <c r="T131" t="str">
        <f t="shared" si="30"/>
        <v>$</v>
      </c>
      <c r="U131" s="7" t="str">
        <f t="shared" si="31"/>
        <v>INR</v>
      </c>
      <c r="V131" s="7" t="str">
        <f t="shared" si="32"/>
        <v>UK</v>
      </c>
      <c r="W131" s="7" t="str">
        <f t="shared" si="33"/>
        <v>UK</v>
      </c>
      <c r="X131" s="7" t="str">
        <f t="shared" si="34"/>
        <v>Inter-Transaction</v>
      </c>
      <c r="Y131" s="7">
        <f t="shared" si="35"/>
        <v>10756.9</v>
      </c>
      <c r="Z131" s="7">
        <f t="shared" si="36"/>
        <v>79</v>
      </c>
      <c r="AA131" s="7">
        <f t="shared" si="37"/>
        <v>2020</v>
      </c>
      <c r="AB131" s="7">
        <f t="shared" si="38"/>
        <v>1</v>
      </c>
      <c r="AC131" s="7">
        <f t="shared" si="39"/>
        <v>1</v>
      </c>
      <c r="AD131" s="7" t="str">
        <f t="shared" si="40"/>
        <v>No</v>
      </c>
      <c r="AE131" s="7" t="str">
        <f t="shared" si="41"/>
        <v>Normal</v>
      </c>
    </row>
    <row r="132" spans="1:31">
      <c r="A132" t="s">
        <v>558</v>
      </c>
      <c r="B132">
        <v>98870866</v>
      </c>
      <c r="C132" t="s">
        <v>559</v>
      </c>
      <c r="D132" t="s">
        <v>500</v>
      </c>
      <c r="E132" t="s">
        <v>20</v>
      </c>
      <c r="F132" t="s">
        <v>21</v>
      </c>
      <c r="I132" t="s">
        <v>3376</v>
      </c>
      <c r="J132">
        <v>10406.469999999999</v>
      </c>
      <c r="K132" t="s">
        <v>27</v>
      </c>
      <c r="L132" t="s">
        <v>75</v>
      </c>
      <c r="M132" s="1">
        <v>45691.39166666667</v>
      </c>
      <c r="N132">
        <v>79</v>
      </c>
      <c r="O132" t="s">
        <v>24</v>
      </c>
      <c r="P132" t="s">
        <v>23</v>
      </c>
      <c r="Q132" t="s">
        <v>560</v>
      </c>
      <c r="R132" t="str">
        <f t="shared" si="28"/>
        <v>Joseph Jackson</v>
      </c>
      <c r="S132" t="str">
        <f t="shared" si="29"/>
        <v>Patricia Hernandez</v>
      </c>
      <c r="T132" t="str">
        <f t="shared" si="30"/>
        <v>GBP</v>
      </c>
      <c r="U132" s="7" t="str">
        <f t="shared" si="31"/>
        <v/>
      </c>
      <c r="V132" s="7" t="str">
        <f t="shared" si="32"/>
        <v>Brazil</v>
      </c>
      <c r="W132" s="7" t="str">
        <f t="shared" si="33"/>
        <v>France</v>
      </c>
      <c r="X132" s="7" t="str">
        <f t="shared" si="34"/>
        <v>Internal</v>
      </c>
      <c r="Y132" s="7">
        <f t="shared" si="35"/>
        <v>10406.469999999999</v>
      </c>
      <c r="Z132" s="7">
        <f t="shared" si="36"/>
        <v>79</v>
      </c>
      <c r="AA132" s="7">
        <f t="shared" si="37"/>
        <v>2025</v>
      </c>
      <c r="AB132" s="7">
        <f t="shared" si="38"/>
        <v>2</v>
      </c>
      <c r="AC132" s="7">
        <f t="shared" si="39"/>
        <v>1</v>
      </c>
      <c r="AD132" s="7" t="str">
        <f t="shared" si="40"/>
        <v>No</v>
      </c>
      <c r="AE132" s="7" t="str">
        <f t="shared" si="41"/>
        <v>High Risk</v>
      </c>
    </row>
    <row r="133" spans="1:31">
      <c r="A133" t="s">
        <v>561</v>
      </c>
      <c r="B133">
        <v>86884584</v>
      </c>
      <c r="C133" t="s">
        <v>562</v>
      </c>
      <c r="D133" t="s">
        <v>563</v>
      </c>
      <c r="E133" t="s">
        <v>20</v>
      </c>
      <c r="F133" t="s">
        <v>116</v>
      </c>
      <c r="G133" t="s">
        <v>34</v>
      </c>
      <c r="H133" t="s">
        <v>74</v>
      </c>
      <c r="I133" t="s">
        <v>3378</v>
      </c>
      <c r="J133">
        <v>11182.7</v>
      </c>
      <c r="K133" t="s">
        <v>47</v>
      </c>
      <c r="L133" t="s">
        <v>75</v>
      </c>
      <c r="M133" s="1">
        <v>45792.7</v>
      </c>
      <c r="N133">
        <v>18</v>
      </c>
      <c r="O133" t="s">
        <v>93</v>
      </c>
      <c r="P133" t="s">
        <v>24</v>
      </c>
      <c r="Q133" t="s">
        <v>564</v>
      </c>
      <c r="R133" t="str">
        <f t="shared" si="28"/>
        <v>Joseph Malik</v>
      </c>
      <c r="S133" t="str">
        <f t="shared" si="29"/>
        <v>Jean-Pierre Jackson</v>
      </c>
      <c r="T133" t="str">
        <f t="shared" si="30"/>
        <v>CHF</v>
      </c>
      <c r="U133" s="7" t="str">
        <f t="shared" si="31"/>
        <v>CAD</v>
      </c>
      <c r="V133" s="7" t="str">
        <f t="shared" si="32"/>
        <v>USA</v>
      </c>
      <c r="W133" s="7" t="str">
        <f t="shared" si="33"/>
        <v>Brazil</v>
      </c>
      <c r="X133" s="7" t="str">
        <f t="shared" si="34"/>
        <v>Inter-Transaction</v>
      </c>
      <c r="Y133" s="7">
        <f t="shared" si="35"/>
        <v>11182.7</v>
      </c>
      <c r="Z133" s="7">
        <f t="shared" si="36"/>
        <v>18</v>
      </c>
      <c r="AA133" s="7">
        <f t="shared" si="37"/>
        <v>2025</v>
      </c>
      <c r="AB133" s="7">
        <f t="shared" si="38"/>
        <v>5</v>
      </c>
      <c r="AC133" s="7">
        <f t="shared" si="39"/>
        <v>1</v>
      </c>
      <c r="AD133" s="7" t="str">
        <f t="shared" si="40"/>
        <v>No</v>
      </c>
      <c r="AE133" s="7" t="str">
        <f t="shared" si="41"/>
        <v>High Risk</v>
      </c>
    </row>
    <row r="134" spans="1:31">
      <c r="A134" t="s">
        <v>565</v>
      </c>
      <c r="B134">
        <v>45596211</v>
      </c>
      <c r="C134" t="s">
        <v>566</v>
      </c>
      <c r="D134" t="s">
        <v>331</v>
      </c>
      <c r="E134" t="s">
        <v>20</v>
      </c>
      <c r="F134" t="s">
        <v>99</v>
      </c>
      <c r="G134" t="s">
        <v>22</v>
      </c>
      <c r="H134" t="s">
        <v>56</v>
      </c>
      <c r="I134" t="s">
        <v>3372</v>
      </c>
      <c r="J134">
        <v>5274.96</v>
      </c>
      <c r="K134" t="s">
        <v>39</v>
      </c>
      <c r="L134" t="s">
        <v>28</v>
      </c>
      <c r="M134" s="1">
        <v>44911.453472222223</v>
      </c>
      <c r="N134">
        <v>44</v>
      </c>
      <c r="O134" t="s">
        <v>54</v>
      </c>
      <c r="P134" t="s">
        <v>54</v>
      </c>
      <c r="Q134" t="s">
        <v>567</v>
      </c>
      <c r="R134" t="str">
        <f t="shared" si="28"/>
        <v>William Davis</v>
      </c>
      <c r="S134" t="str">
        <f t="shared" si="29"/>
        <v>Elena Williams</v>
      </c>
      <c r="T134" t="str">
        <f t="shared" si="30"/>
        <v>eur</v>
      </c>
      <c r="U134" s="7" t="str">
        <f t="shared" si="31"/>
        <v>BRL</v>
      </c>
      <c r="V134" s="7" t="str">
        <f t="shared" si="32"/>
        <v>India</v>
      </c>
      <c r="W134" s="7" t="str">
        <f t="shared" si="33"/>
        <v>India</v>
      </c>
      <c r="X134" s="7" t="str">
        <f t="shared" si="34"/>
        <v>Outer-Transaction</v>
      </c>
      <c r="Y134" s="7">
        <f t="shared" si="35"/>
        <v>5274.96</v>
      </c>
      <c r="Z134" s="7">
        <f t="shared" si="36"/>
        <v>44</v>
      </c>
      <c r="AA134" s="7">
        <f t="shared" si="37"/>
        <v>2022</v>
      </c>
      <c r="AB134" s="7">
        <f t="shared" si="38"/>
        <v>12</v>
      </c>
      <c r="AC134" s="7">
        <f t="shared" si="39"/>
        <v>1</v>
      </c>
      <c r="AD134" s="7" t="str">
        <f t="shared" si="40"/>
        <v>No</v>
      </c>
      <c r="AE134" s="7" t="str">
        <f t="shared" si="41"/>
        <v>Normal</v>
      </c>
    </row>
    <row r="135" spans="1:31">
      <c r="A135" t="s">
        <v>568</v>
      </c>
      <c r="B135">
        <v>45047967</v>
      </c>
      <c r="C135" t="s">
        <v>569</v>
      </c>
      <c r="D135" t="s">
        <v>570</v>
      </c>
      <c r="E135" t="s">
        <v>3373</v>
      </c>
      <c r="F135" t="s">
        <v>91</v>
      </c>
      <c r="G135" t="s">
        <v>22</v>
      </c>
      <c r="H135" t="s">
        <v>56</v>
      </c>
      <c r="I135" t="s">
        <v>3374</v>
      </c>
      <c r="J135">
        <v>474.59</v>
      </c>
      <c r="K135" t="s">
        <v>47</v>
      </c>
      <c r="L135" t="s">
        <v>81</v>
      </c>
      <c r="M135" s="1">
        <v>44553.151388888888</v>
      </c>
      <c r="N135">
        <v>79</v>
      </c>
      <c r="O135" t="s">
        <v>93</v>
      </c>
      <c r="P135" t="s">
        <v>55</v>
      </c>
      <c r="Q135" t="s">
        <v>571</v>
      </c>
      <c r="R135" t="str">
        <f t="shared" si="28"/>
        <v>Patricia Williams</v>
      </c>
      <c r="S135" t="str">
        <f t="shared" si="29"/>
        <v>Richard Garcia</v>
      </c>
      <c r="T135" t="str">
        <f t="shared" si="30"/>
        <v>gbp</v>
      </c>
      <c r="U135" s="7" t="str">
        <f t="shared" si="31"/>
        <v>BRL</v>
      </c>
      <c r="V135" s="7" t="str">
        <f t="shared" si="32"/>
        <v>USA</v>
      </c>
      <c r="W135" s="7" t="str">
        <f t="shared" si="33"/>
        <v>UK</v>
      </c>
      <c r="X135" s="7" t="str">
        <f t="shared" si="34"/>
        <v>External</v>
      </c>
      <c r="Y135" s="7">
        <f t="shared" si="35"/>
        <v>474.59</v>
      </c>
      <c r="Z135" s="7">
        <f t="shared" si="36"/>
        <v>79</v>
      </c>
      <c r="AA135" s="7">
        <f t="shared" si="37"/>
        <v>2021</v>
      </c>
      <c r="AB135" s="7">
        <f t="shared" si="38"/>
        <v>12</v>
      </c>
      <c r="AC135" s="7">
        <f t="shared" si="39"/>
        <v>1</v>
      </c>
      <c r="AD135" s="7" t="str">
        <f t="shared" si="40"/>
        <v>No</v>
      </c>
      <c r="AE135" s="7" t="str">
        <f t="shared" si="41"/>
        <v>Normal</v>
      </c>
    </row>
    <row r="136" spans="1:31">
      <c r="A136" t="s">
        <v>572</v>
      </c>
      <c r="B136">
        <v>98663948</v>
      </c>
      <c r="C136" t="s">
        <v>573</v>
      </c>
      <c r="D136" t="s">
        <v>574</v>
      </c>
      <c r="E136" t="s">
        <v>20</v>
      </c>
      <c r="F136" t="s">
        <v>116</v>
      </c>
      <c r="G136" t="s">
        <v>98</v>
      </c>
      <c r="I136" t="s">
        <v>3374</v>
      </c>
      <c r="J136">
        <v>9007.23</v>
      </c>
      <c r="K136" t="s">
        <v>47</v>
      </c>
      <c r="L136" t="s">
        <v>28</v>
      </c>
      <c r="M136" s="1">
        <v>44610.850694444445</v>
      </c>
      <c r="N136">
        <v>20</v>
      </c>
      <c r="O136" t="s">
        <v>23</v>
      </c>
      <c r="P136" t="s">
        <v>62</v>
      </c>
      <c r="Q136" t="s">
        <v>575</v>
      </c>
      <c r="R136" t="str">
        <f t="shared" si="28"/>
        <v>Barbara Martinez</v>
      </c>
      <c r="S136" t="str">
        <f t="shared" si="29"/>
        <v>Elizabeth Brown</v>
      </c>
      <c r="T136" t="str">
        <f t="shared" si="30"/>
        <v>CHF</v>
      </c>
      <c r="U136" s="7" t="str">
        <f t="shared" si="31"/>
        <v>JPY</v>
      </c>
      <c r="V136" s="7" t="str">
        <f t="shared" si="32"/>
        <v>France</v>
      </c>
      <c r="W136" s="7" t="str">
        <f t="shared" si="33"/>
        <v>Australia</v>
      </c>
      <c r="X136" s="7" t="str">
        <f t="shared" si="34"/>
        <v>External</v>
      </c>
      <c r="Y136" s="7">
        <f t="shared" si="35"/>
        <v>9007.23</v>
      </c>
      <c r="Z136" s="7">
        <f t="shared" si="36"/>
        <v>20</v>
      </c>
      <c r="AA136" s="7">
        <f t="shared" si="37"/>
        <v>2022</v>
      </c>
      <c r="AB136" s="7">
        <f t="shared" si="38"/>
        <v>2</v>
      </c>
      <c r="AC136" s="7">
        <f t="shared" si="39"/>
        <v>1</v>
      </c>
      <c r="AD136" s="7" t="str">
        <f t="shared" si="40"/>
        <v>No</v>
      </c>
      <c r="AE136" s="7" t="str">
        <f t="shared" si="41"/>
        <v>Normal</v>
      </c>
    </row>
    <row r="137" spans="1:31">
      <c r="A137" t="s">
        <v>576</v>
      </c>
      <c r="B137">
        <v>98723294</v>
      </c>
      <c r="C137" t="s">
        <v>577</v>
      </c>
      <c r="D137" t="s">
        <v>578</v>
      </c>
      <c r="E137" t="s">
        <v>20</v>
      </c>
      <c r="F137" t="s">
        <v>34</v>
      </c>
      <c r="G137" t="s">
        <v>92</v>
      </c>
      <c r="H137" t="s">
        <v>103</v>
      </c>
      <c r="I137" t="s">
        <v>3376</v>
      </c>
      <c r="J137">
        <v>933.97</v>
      </c>
      <c r="K137" t="s">
        <v>86</v>
      </c>
      <c r="L137" t="s">
        <v>28</v>
      </c>
      <c r="M137" s="1">
        <v>45064.568055555559</v>
      </c>
      <c r="N137">
        <v>44</v>
      </c>
      <c r="O137" t="s">
        <v>54</v>
      </c>
      <c r="P137" t="s">
        <v>127</v>
      </c>
      <c r="Q137" t="s">
        <v>579</v>
      </c>
      <c r="R137" t="str">
        <f t="shared" si="28"/>
        <v>David Williams</v>
      </c>
      <c r="S137" t="str">
        <f t="shared" si="29"/>
        <v>Sanjay Moore</v>
      </c>
      <c r="T137" t="str">
        <f t="shared" si="30"/>
        <v>CAD</v>
      </c>
      <c r="U137" s="7" t="str">
        <f t="shared" si="31"/>
        <v>AUD</v>
      </c>
      <c r="V137" s="7" t="str">
        <f t="shared" si="32"/>
        <v>India</v>
      </c>
      <c r="W137" s="7" t="str">
        <f t="shared" si="33"/>
        <v>Canada</v>
      </c>
      <c r="X137" s="7" t="str">
        <f t="shared" si="34"/>
        <v>Internal</v>
      </c>
      <c r="Y137" s="7">
        <f t="shared" si="35"/>
        <v>933.97</v>
      </c>
      <c r="Z137" s="7">
        <f t="shared" si="36"/>
        <v>44</v>
      </c>
      <c r="AA137" s="7">
        <f t="shared" si="37"/>
        <v>2023</v>
      </c>
      <c r="AB137" s="7">
        <f t="shared" si="38"/>
        <v>5</v>
      </c>
      <c r="AC137" s="7">
        <f t="shared" si="39"/>
        <v>1</v>
      </c>
      <c r="AD137" s="7" t="str">
        <f t="shared" si="40"/>
        <v>No</v>
      </c>
      <c r="AE137" s="7" t="str">
        <f t="shared" si="41"/>
        <v>Normal</v>
      </c>
    </row>
    <row r="138" spans="1:31">
      <c r="A138" t="s">
        <v>580</v>
      </c>
      <c r="B138">
        <v>81875527</v>
      </c>
      <c r="C138" t="s">
        <v>581</v>
      </c>
      <c r="D138" t="s">
        <v>582</v>
      </c>
      <c r="E138" t="s">
        <v>20</v>
      </c>
      <c r="F138" t="s">
        <v>121</v>
      </c>
      <c r="G138" t="s">
        <v>44</v>
      </c>
      <c r="H138" t="s">
        <v>38</v>
      </c>
      <c r="I138" t="s">
        <v>3376</v>
      </c>
      <c r="J138">
        <v>10166.25</v>
      </c>
      <c r="K138" t="s">
        <v>27</v>
      </c>
      <c r="L138" t="s">
        <v>48</v>
      </c>
      <c r="M138" s="1">
        <v>44359.98541666667</v>
      </c>
      <c r="N138">
        <v>26</v>
      </c>
      <c r="O138" t="s">
        <v>93</v>
      </c>
      <c r="P138" t="s">
        <v>127</v>
      </c>
      <c r="Q138" t="s">
        <v>583</v>
      </c>
      <c r="R138" t="str">
        <f t="shared" si="28"/>
        <v>MARTA MALIK</v>
      </c>
      <c r="S138" t="str">
        <f t="shared" si="29"/>
        <v>Priya Thomas</v>
      </c>
      <c r="T138" t="str">
        <f t="shared" si="30"/>
        <v>INR</v>
      </c>
      <c r="U138" s="7" t="str">
        <f t="shared" si="31"/>
        <v>SGD</v>
      </c>
      <c r="V138" s="7" t="str">
        <f t="shared" si="32"/>
        <v>USA</v>
      </c>
      <c r="W138" s="7" t="str">
        <f t="shared" si="33"/>
        <v>Canada</v>
      </c>
      <c r="X138" s="7" t="str">
        <f t="shared" si="34"/>
        <v>Internal</v>
      </c>
      <c r="Y138" s="7">
        <f t="shared" si="35"/>
        <v>10166.25</v>
      </c>
      <c r="Z138" s="7">
        <f t="shared" si="36"/>
        <v>26</v>
      </c>
      <c r="AA138" s="7">
        <f t="shared" si="37"/>
        <v>2021</v>
      </c>
      <c r="AB138" s="7">
        <f t="shared" si="38"/>
        <v>6</v>
      </c>
      <c r="AC138" s="7">
        <f t="shared" si="39"/>
        <v>1</v>
      </c>
      <c r="AD138" s="7" t="str">
        <f t="shared" si="40"/>
        <v>No</v>
      </c>
      <c r="AE138" s="7" t="str">
        <f t="shared" si="41"/>
        <v>Normal</v>
      </c>
    </row>
    <row r="139" spans="1:31">
      <c r="A139" t="s">
        <v>584</v>
      </c>
      <c r="B139">
        <v>68437492</v>
      </c>
      <c r="C139" t="s">
        <v>585</v>
      </c>
      <c r="D139" t="s">
        <v>188</v>
      </c>
      <c r="E139" t="s">
        <v>3375</v>
      </c>
      <c r="F139" t="s">
        <v>53</v>
      </c>
      <c r="G139" t="s">
        <v>393</v>
      </c>
      <c r="H139" t="s">
        <v>103</v>
      </c>
      <c r="I139" t="s">
        <v>3378</v>
      </c>
      <c r="J139">
        <v>7800.13</v>
      </c>
      <c r="K139" t="s">
        <v>86</v>
      </c>
      <c r="L139" t="s">
        <v>81</v>
      </c>
      <c r="M139" s="1">
        <v>44628.038194444445</v>
      </c>
      <c r="N139">
        <v>79</v>
      </c>
      <c r="O139" t="s">
        <v>54</v>
      </c>
      <c r="P139" t="s">
        <v>55</v>
      </c>
      <c r="Q139" t="s">
        <v>586</v>
      </c>
      <c r="R139" t="str">
        <f t="shared" si="28"/>
        <v>William Khan</v>
      </c>
      <c r="S139" t="str">
        <f t="shared" si="29"/>
        <v>Sanjay Jones</v>
      </c>
      <c r="T139" t="str">
        <f t="shared" si="30"/>
        <v>AED</v>
      </c>
      <c r="U139" s="7" t="str">
        <f t="shared" si="31"/>
        <v>cad</v>
      </c>
      <c r="V139" s="7" t="str">
        <f t="shared" si="32"/>
        <v>India</v>
      </c>
      <c r="W139" s="7" t="str">
        <f t="shared" si="33"/>
        <v>UK</v>
      </c>
      <c r="X139" s="7" t="str">
        <f t="shared" si="34"/>
        <v>Inter-Transaction</v>
      </c>
      <c r="Y139" s="7">
        <f t="shared" si="35"/>
        <v>7800.13</v>
      </c>
      <c r="Z139" s="7">
        <f t="shared" si="36"/>
        <v>79</v>
      </c>
      <c r="AA139" s="7">
        <f t="shared" si="37"/>
        <v>2022</v>
      </c>
      <c r="AB139" s="7">
        <f t="shared" si="38"/>
        <v>3</v>
      </c>
      <c r="AC139" s="7">
        <f t="shared" si="39"/>
        <v>1</v>
      </c>
      <c r="AD139" s="7" t="str">
        <f t="shared" si="40"/>
        <v>No</v>
      </c>
      <c r="AE139" s="7" t="str">
        <f t="shared" si="41"/>
        <v>Normal</v>
      </c>
    </row>
    <row r="140" spans="1:31">
      <c r="A140" t="s">
        <v>587</v>
      </c>
      <c r="B140">
        <v>23554707</v>
      </c>
      <c r="C140" t="s">
        <v>588</v>
      </c>
      <c r="D140" t="s">
        <v>589</v>
      </c>
      <c r="E140" t="s">
        <v>3373</v>
      </c>
      <c r="F140" t="s">
        <v>92</v>
      </c>
      <c r="G140" t="s">
        <v>53</v>
      </c>
      <c r="H140" t="s">
        <v>74</v>
      </c>
      <c r="I140" t="s">
        <v>3376</v>
      </c>
      <c r="J140">
        <v>9133.74</v>
      </c>
      <c r="K140" t="s">
        <v>39</v>
      </c>
      <c r="L140" t="s">
        <v>28</v>
      </c>
      <c r="M140" s="1">
        <v>44174.877083333333</v>
      </c>
      <c r="N140">
        <v>54</v>
      </c>
      <c r="O140" t="s">
        <v>23</v>
      </c>
      <c r="P140" t="s">
        <v>37</v>
      </c>
      <c r="Q140" t="s">
        <v>590</v>
      </c>
      <c r="R140" t="str">
        <f t="shared" si="28"/>
        <v>LUCAS MARTINEZ</v>
      </c>
      <c r="S140" t="str">
        <f t="shared" si="29"/>
        <v>Zayn Moore</v>
      </c>
      <c r="T140" t="str">
        <f t="shared" si="30"/>
        <v>AUD</v>
      </c>
      <c r="U140" s="7" t="str">
        <f t="shared" si="31"/>
        <v>AED</v>
      </c>
      <c r="V140" s="7" t="str">
        <f t="shared" si="32"/>
        <v>France</v>
      </c>
      <c r="W140" s="7" t="str">
        <f t="shared" si="33"/>
        <v>South Africa</v>
      </c>
      <c r="X140" s="7" t="str">
        <f t="shared" si="34"/>
        <v>Internal</v>
      </c>
      <c r="Y140" s="7">
        <f t="shared" si="35"/>
        <v>9133.74</v>
      </c>
      <c r="Z140" s="7">
        <f t="shared" si="36"/>
        <v>54</v>
      </c>
      <c r="AA140" s="7">
        <f t="shared" si="37"/>
        <v>2020</v>
      </c>
      <c r="AB140" s="7">
        <f t="shared" si="38"/>
        <v>12</v>
      </c>
      <c r="AC140" s="7">
        <f t="shared" si="39"/>
        <v>1</v>
      </c>
      <c r="AD140" s="7" t="str">
        <f t="shared" si="40"/>
        <v>No</v>
      </c>
      <c r="AE140" s="7" t="str">
        <f t="shared" si="41"/>
        <v>Normal</v>
      </c>
    </row>
    <row r="141" spans="1:31">
      <c r="A141" t="s">
        <v>591</v>
      </c>
      <c r="B141">
        <v>50675347</v>
      </c>
      <c r="C141" t="s">
        <v>592</v>
      </c>
      <c r="D141" t="s">
        <v>593</v>
      </c>
      <c r="E141" t="s">
        <v>3373</v>
      </c>
      <c r="F141" t="s">
        <v>45</v>
      </c>
      <c r="G141" t="s">
        <v>35</v>
      </c>
      <c r="H141" t="s">
        <v>103</v>
      </c>
      <c r="I141" t="s">
        <v>3378</v>
      </c>
      <c r="J141">
        <v>10934.7</v>
      </c>
      <c r="K141" t="s">
        <v>27</v>
      </c>
      <c r="L141" t="s">
        <v>28</v>
      </c>
      <c r="M141" s="1">
        <v>45133.496527777781</v>
      </c>
      <c r="N141">
        <v>68</v>
      </c>
      <c r="O141" t="s">
        <v>37</v>
      </c>
      <c r="P141" t="s">
        <v>54</v>
      </c>
      <c r="Q141" t="s">
        <v>594</v>
      </c>
      <c r="R141" t="str">
        <f t="shared" si="28"/>
        <v>Barbara Rodriguez</v>
      </c>
      <c r="S141" t="str">
        <f t="shared" si="29"/>
        <v>Amir Thomas</v>
      </c>
      <c r="T141" t="str">
        <f t="shared" si="30"/>
        <v>ZAR</v>
      </c>
      <c r="U141" s="7" t="str">
        <f t="shared" si="31"/>
        <v>EUR</v>
      </c>
      <c r="V141" s="7" t="str">
        <f t="shared" si="32"/>
        <v>South Africa</v>
      </c>
      <c r="W141" s="7" t="str">
        <f t="shared" si="33"/>
        <v>India</v>
      </c>
      <c r="X141" s="7" t="str">
        <f t="shared" si="34"/>
        <v>Inter-Transaction</v>
      </c>
      <c r="Y141" s="7">
        <f t="shared" si="35"/>
        <v>10934.7</v>
      </c>
      <c r="Z141" s="7">
        <f t="shared" si="36"/>
        <v>68</v>
      </c>
      <c r="AA141" s="7">
        <f t="shared" si="37"/>
        <v>2023</v>
      </c>
      <c r="AB141" s="7">
        <f t="shared" si="38"/>
        <v>7</v>
      </c>
      <c r="AC141" s="7">
        <f t="shared" si="39"/>
        <v>1</v>
      </c>
      <c r="AD141" s="7" t="str">
        <f t="shared" si="40"/>
        <v>No</v>
      </c>
      <c r="AE141" s="7" t="str">
        <f t="shared" si="41"/>
        <v>Normal</v>
      </c>
    </row>
    <row r="142" spans="1:31">
      <c r="A142" t="s">
        <v>595</v>
      </c>
      <c r="B142">
        <v>31336920</v>
      </c>
      <c r="C142" t="s">
        <v>596</v>
      </c>
      <c r="D142" t="s">
        <v>597</v>
      </c>
      <c r="E142" t="s">
        <v>20</v>
      </c>
      <c r="F142" t="s">
        <v>294</v>
      </c>
      <c r="G142" t="s">
        <v>116</v>
      </c>
      <c r="H142" t="s">
        <v>56</v>
      </c>
      <c r="I142" t="s">
        <v>3377</v>
      </c>
      <c r="J142">
        <v>13771.29</v>
      </c>
      <c r="K142" t="s">
        <v>47</v>
      </c>
      <c r="L142" t="s">
        <v>75</v>
      </c>
      <c r="M142" s="1">
        <v>44039.091666666667</v>
      </c>
      <c r="N142">
        <v>61</v>
      </c>
      <c r="O142" t="s">
        <v>55</v>
      </c>
      <c r="P142" t="s">
        <v>93</v>
      </c>
      <c r="Q142" t="s">
        <v>598</v>
      </c>
      <c r="R142" t="str">
        <f t="shared" si="28"/>
        <v>Robert Martinez</v>
      </c>
      <c r="S142" t="str">
        <f t="shared" si="29"/>
        <v>Elena Taylor</v>
      </c>
      <c r="T142" t="str">
        <f t="shared" si="30"/>
        <v>jpy</v>
      </c>
      <c r="U142" s="7" t="str">
        <f t="shared" si="31"/>
        <v>CHF</v>
      </c>
      <c r="V142" s="7" t="str">
        <f t="shared" si="32"/>
        <v>UK</v>
      </c>
      <c r="W142" s="7" t="str">
        <f t="shared" si="33"/>
        <v>USA</v>
      </c>
      <c r="X142" s="7" t="str">
        <f t="shared" si="34"/>
        <v>Inter-Transaction</v>
      </c>
      <c r="Y142" s="7">
        <f t="shared" si="35"/>
        <v>13771.29</v>
      </c>
      <c r="Z142" s="7">
        <f t="shared" si="36"/>
        <v>61</v>
      </c>
      <c r="AA142" s="7">
        <f t="shared" si="37"/>
        <v>2020</v>
      </c>
      <c r="AB142" s="7">
        <f t="shared" si="38"/>
        <v>7</v>
      </c>
      <c r="AC142" s="7">
        <f t="shared" si="39"/>
        <v>1</v>
      </c>
      <c r="AD142" s="7" t="str">
        <f t="shared" si="40"/>
        <v>No</v>
      </c>
      <c r="AE142" s="7" t="str">
        <f t="shared" si="41"/>
        <v>High Risk</v>
      </c>
    </row>
    <row r="143" spans="1:31">
      <c r="A143" t="s">
        <v>599</v>
      </c>
      <c r="B143">
        <v>73697356</v>
      </c>
      <c r="C143" t="s">
        <v>600</v>
      </c>
      <c r="D143" t="s">
        <v>601</v>
      </c>
      <c r="E143" t="s">
        <v>20</v>
      </c>
      <c r="F143" t="s">
        <v>53</v>
      </c>
      <c r="G143" t="s">
        <v>392</v>
      </c>
      <c r="H143" t="s">
        <v>74</v>
      </c>
      <c r="I143" t="s">
        <v>3371</v>
      </c>
      <c r="J143">
        <v>9714.2199999999993</v>
      </c>
      <c r="K143" t="s">
        <v>47</v>
      </c>
      <c r="L143" t="s">
        <v>75</v>
      </c>
      <c r="M143" s="1">
        <v>44471.8125</v>
      </c>
      <c r="N143">
        <v>41</v>
      </c>
      <c r="O143" t="s">
        <v>55</v>
      </c>
      <c r="P143" t="s">
        <v>93</v>
      </c>
      <c r="Q143" t="s">
        <v>602</v>
      </c>
      <c r="R143" t="str">
        <f t="shared" si="28"/>
        <v>CHRISTOPHER MOORE</v>
      </c>
      <c r="S143" t="str">
        <f t="shared" si="29"/>
        <v>Susan Lopez</v>
      </c>
      <c r="T143" t="str">
        <f t="shared" si="30"/>
        <v>AED</v>
      </c>
      <c r="U143" s="7" t="str">
        <f t="shared" si="31"/>
        <v>brl</v>
      </c>
      <c r="V143" s="7" t="str">
        <f t="shared" si="32"/>
        <v>UK</v>
      </c>
      <c r="W143" s="7" t="str">
        <f t="shared" si="33"/>
        <v>USA</v>
      </c>
      <c r="X143" s="7" t="str">
        <f t="shared" si="34"/>
        <v>Outer-Transaction</v>
      </c>
      <c r="Y143" s="7">
        <f t="shared" si="35"/>
        <v>9714.2199999999993</v>
      </c>
      <c r="Z143" s="7">
        <f t="shared" si="36"/>
        <v>41</v>
      </c>
      <c r="AA143" s="7">
        <f t="shared" si="37"/>
        <v>2021</v>
      </c>
      <c r="AB143" s="7">
        <f t="shared" si="38"/>
        <v>10</v>
      </c>
      <c r="AC143" s="7">
        <f t="shared" si="39"/>
        <v>1</v>
      </c>
      <c r="AD143" s="7" t="str">
        <f t="shared" si="40"/>
        <v>No</v>
      </c>
      <c r="AE143" s="7" t="str">
        <f t="shared" si="41"/>
        <v>High Risk</v>
      </c>
    </row>
    <row r="144" spans="1:31">
      <c r="A144" t="s">
        <v>603</v>
      </c>
      <c r="B144">
        <v>11135982</v>
      </c>
      <c r="C144" t="s">
        <v>604</v>
      </c>
      <c r="D144" t="s">
        <v>449</v>
      </c>
      <c r="E144">
        <v>1</v>
      </c>
      <c r="F144" t="s">
        <v>22</v>
      </c>
      <c r="G144" t="s">
        <v>22</v>
      </c>
      <c r="H144" t="s">
        <v>56</v>
      </c>
      <c r="I144" t="s">
        <v>3378</v>
      </c>
      <c r="J144">
        <v>10161.17</v>
      </c>
      <c r="K144" t="s">
        <v>27</v>
      </c>
      <c r="L144" t="s">
        <v>81</v>
      </c>
      <c r="M144" s="1">
        <v>45142.237500000003</v>
      </c>
      <c r="N144">
        <v>76</v>
      </c>
      <c r="O144" t="s">
        <v>24</v>
      </c>
      <c r="P144" t="s">
        <v>62</v>
      </c>
      <c r="Q144" t="s">
        <v>605</v>
      </c>
      <c r="R144" t="str">
        <f t="shared" si="28"/>
        <v>Elizabeth Rodriguez</v>
      </c>
      <c r="S144" t="str">
        <f t="shared" si="29"/>
        <v>Nancy Silva</v>
      </c>
      <c r="T144" t="str">
        <f t="shared" si="30"/>
        <v>BRL</v>
      </c>
      <c r="U144" s="7" t="str">
        <f t="shared" si="31"/>
        <v>BRL</v>
      </c>
      <c r="V144" s="7" t="str">
        <f t="shared" si="32"/>
        <v>Brazil</v>
      </c>
      <c r="W144" s="7" t="str">
        <f t="shared" si="33"/>
        <v>Australia</v>
      </c>
      <c r="X144" s="7" t="str">
        <f t="shared" si="34"/>
        <v>Inter-Transaction</v>
      </c>
      <c r="Y144" s="7">
        <f t="shared" si="35"/>
        <v>10161.17</v>
      </c>
      <c r="Z144" s="7">
        <f t="shared" si="36"/>
        <v>76</v>
      </c>
      <c r="AA144" s="7">
        <f t="shared" si="37"/>
        <v>2023</v>
      </c>
      <c r="AB144" s="7">
        <f t="shared" si="38"/>
        <v>8</v>
      </c>
      <c r="AC144" s="7">
        <f t="shared" si="39"/>
        <v>1</v>
      </c>
      <c r="AD144" s="7" t="str">
        <f t="shared" si="40"/>
        <v>No</v>
      </c>
      <c r="AE144" s="7" t="str">
        <f t="shared" si="41"/>
        <v>Normal</v>
      </c>
    </row>
    <row r="145" spans="1:31">
      <c r="A145" t="s">
        <v>606</v>
      </c>
      <c r="B145">
        <v>24509544</v>
      </c>
      <c r="C145" t="s">
        <v>607</v>
      </c>
      <c r="D145" t="s">
        <v>32</v>
      </c>
      <c r="E145" t="s">
        <v>20</v>
      </c>
      <c r="F145" t="s">
        <v>53</v>
      </c>
      <c r="G145" t="s">
        <v>53</v>
      </c>
      <c r="H145" t="s">
        <v>74</v>
      </c>
      <c r="I145" t="s">
        <v>3377</v>
      </c>
      <c r="J145">
        <v>12083.39</v>
      </c>
      <c r="K145" t="s">
        <v>27</v>
      </c>
      <c r="L145" t="s">
        <v>81</v>
      </c>
      <c r="M145" s="1">
        <v>46130.918749999997</v>
      </c>
      <c r="N145">
        <v>49</v>
      </c>
      <c r="O145" t="s">
        <v>127</v>
      </c>
      <c r="P145" t="s">
        <v>37</v>
      </c>
      <c r="Q145" t="s">
        <v>608</v>
      </c>
      <c r="R145" t="str">
        <f t="shared" si="28"/>
        <v>Sarah Williams</v>
      </c>
      <c r="S145" t="str">
        <f t="shared" si="29"/>
        <v>Richard Rodriguez</v>
      </c>
      <c r="T145" t="str">
        <f t="shared" si="30"/>
        <v>AED</v>
      </c>
      <c r="U145" s="7" t="str">
        <f t="shared" si="31"/>
        <v>AED</v>
      </c>
      <c r="V145" s="7" t="str">
        <f t="shared" si="32"/>
        <v>Canada</v>
      </c>
      <c r="W145" s="7" t="str">
        <f t="shared" si="33"/>
        <v>South Africa</v>
      </c>
      <c r="X145" s="7" t="str">
        <f t="shared" si="34"/>
        <v>Inter-Transaction</v>
      </c>
      <c r="Y145" s="7">
        <f t="shared" si="35"/>
        <v>12083.39</v>
      </c>
      <c r="Z145" s="7">
        <f t="shared" si="36"/>
        <v>49</v>
      </c>
      <c r="AA145" s="7">
        <f t="shared" si="37"/>
        <v>2026</v>
      </c>
      <c r="AB145" s="7">
        <f t="shared" si="38"/>
        <v>4</v>
      </c>
      <c r="AC145" s="7">
        <f t="shared" si="39"/>
        <v>1</v>
      </c>
      <c r="AD145" s="7" t="str">
        <f t="shared" si="40"/>
        <v>No</v>
      </c>
      <c r="AE145" s="7" t="str">
        <f t="shared" si="41"/>
        <v>Normal</v>
      </c>
    </row>
    <row r="146" spans="1:31">
      <c r="A146" t="s">
        <v>609</v>
      </c>
      <c r="B146">
        <v>14740436</v>
      </c>
      <c r="C146" t="s">
        <v>610</v>
      </c>
      <c r="D146" t="s">
        <v>611</v>
      </c>
      <c r="E146" t="s">
        <v>20</v>
      </c>
      <c r="F146" t="s">
        <v>22</v>
      </c>
      <c r="G146" t="s">
        <v>22</v>
      </c>
      <c r="H146" t="s">
        <v>38</v>
      </c>
      <c r="I146" t="s">
        <v>3378</v>
      </c>
      <c r="J146">
        <v>12682.83</v>
      </c>
      <c r="K146" t="s">
        <v>27</v>
      </c>
      <c r="L146" t="s">
        <v>48</v>
      </c>
      <c r="M146" s="1">
        <v>46149.802083333336</v>
      </c>
      <c r="N146">
        <v>69</v>
      </c>
      <c r="O146" t="s">
        <v>24</v>
      </c>
      <c r="P146" t="s">
        <v>36</v>
      </c>
      <c r="Q146" t="s">
        <v>612</v>
      </c>
      <c r="R146" t="str">
        <f t="shared" si="28"/>
        <v>Christopher Rostova</v>
      </c>
      <c r="S146" t="str">
        <f t="shared" si="29"/>
        <v>Christopher Khan</v>
      </c>
      <c r="T146" t="str">
        <f t="shared" si="30"/>
        <v>BRL</v>
      </c>
      <c r="U146" s="7" t="str">
        <f t="shared" si="31"/>
        <v>BRL</v>
      </c>
      <c r="V146" s="7" t="str">
        <f t="shared" si="32"/>
        <v>Brazil</v>
      </c>
      <c r="W146" s="7" t="str">
        <f t="shared" si="33"/>
        <v>Germany</v>
      </c>
      <c r="X146" s="7" t="str">
        <f t="shared" si="34"/>
        <v>Inter-Transaction</v>
      </c>
      <c r="Y146" s="7">
        <f t="shared" si="35"/>
        <v>12682.83</v>
      </c>
      <c r="Z146" s="7">
        <f t="shared" si="36"/>
        <v>69</v>
      </c>
      <c r="AA146" s="7">
        <f t="shared" si="37"/>
        <v>2026</v>
      </c>
      <c r="AB146" s="7">
        <f t="shared" si="38"/>
        <v>5</v>
      </c>
      <c r="AC146" s="7">
        <f t="shared" si="39"/>
        <v>1</v>
      </c>
      <c r="AD146" s="7" t="str">
        <f t="shared" si="40"/>
        <v>No</v>
      </c>
      <c r="AE146" s="7" t="str">
        <f t="shared" si="41"/>
        <v>Normal</v>
      </c>
    </row>
    <row r="147" spans="1:31">
      <c r="A147" t="s">
        <v>613</v>
      </c>
      <c r="B147">
        <v>55047826</v>
      </c>
      <c r="C147" t="s">
        <v>278</v>
      </c>
      <c r="D147" t="s">
        <v>614</v>
      </c>
      <c r="E147" t="s">
        <v>20</v>
      </c>
      <c r="F147" t="s">
        <v>53</v>
      </c>
      <c r="G147" t="s">
        <v>92</v>
      </c>
      <c r="H147" t="s">
        <v>56</v>
      </c>
      <c r="I147" t="s">
        <v>3377</v>
      </c>
      <c r="J147">
        <v>12997.24</v>
      </c>
      <c r="K147" t="s">
        <v>27</v>
      </c>
      <c r="L147" t="s">
        <v>28</v>
      </c>
      <c r="M147" s="1">
        <v>45778.26458333333</v>
      </c>
      <c r="N147">
        <v>79</v>
      </c>
      <c r="O147" t="s">
        <v>62</v>
      </c>
      <c r="P147" t="s">
        <v>36</v>
      </c>
      <c r="Q147" t="s">
        <v>615</v>
      </c>
      <c r="R147" t="str">
        <f t="shared" si="28"/>
        <v>Sanjay Williams</v>
      </c>
      <c r="S147" t="str">
        <f t="shared" si="29"/>
        <v>Elizabeth Lopez</v>
      </c>
      <c r="T147" t="str">
        <f t="shared" si="30"/>
        <v>AED</v>
      </c>
      <c r="U147" s="7" t="str">
        <f t="shared" si="31"/>
        <v>AUD</v>
      </c>
      <c r="V147" s="7" t="str">
        <f t="shared" si="32"/>
        <v>Australia</v>
      </c>
      <c r="W147" s="7" t="str">
        <f t="shared" si="33"/>
        <v>Germany</v>
      </c>
      <c r="X147" s="7" t="str">
        <f t="shared" si="34"/>
        <v>Inter-Transaction</v>
      </c>
      <c r="Y147" s="7">
        <f t="shared" si="35"/>
        <v>12997.24</v>
      </c>
      <c r="Z147" s="7">
        <f t="shared" si="36"/>
        <v>79</v>
      </c>
      <c r="AA147" s="7">
        <f t="shared" si="37"/>
        <v>2025</v>
      </c>
      <c r="AB147" s="7">
        <f t="shared" si="38"/>
        <v>5</v>
      </c>
      <c r="AC147" s="7">
        <f t="shared" si="39"/>
        <v>1</v>
      </c>
      <c r="AD147" s="7" t="str">
        <f t="shared" si="40"/>
        <v>No</v>
      </c>
      <c r="AE147" s="7" t="str">
        <f t="shared" si="41"/>
        <v>Normal</v>
      </c>
    </row>
    <row r="148" spans="1:31">
      <c r="A148" t="s">
        <v>616</v>
      </c>
      <c r="B148">
        <v>36883353</v>
      </c>
      <c r="C148" t="s">
        <v>617</v>
      </c>
      <c r="D148" t="s">
        <v>618</v>
      </c>
      <c r="E148">
        <v>0</v>
      </c>
      <c r="F148" t="s">
        <v>44</v>
      </c>
      <c r="G148" t="s">
        <v>21</v>
      </c>
      <c r="H148" t="s">
        <v>74</v>
      </c>
      <c r="I148" t="s">
        <v>3378</v>
      </c>
      <c r="J148">
        <v>9521.14</v>
      </c>
      <c r="K148" t="s">
        <v>86</v>
      </c>
      <c r="L148" t="s">
        <v>81</v>
      </c>
      <c r="M148" s="1">
        <v>44750.454861111109</v>
      </c>
      <c r="N148">
        <v>75</v>
      </c>
      <c r="O148" t="s">
        <v>93</v>
      </c>
      <c r="P148" t="s">
        <v>24</v>
      </c>
      <c r="Q148" t="s">
        <v>619</v>
      </c>
      <c r="R148" t="str">
        <f t="shared" si="28"/>
        <v>Richard Wilson</v>
      </c>
      <c r="S148" t="str">
        <f t="shared" si="29"/>
        <v>Christopher Volkov</v>
      </c>
      <c r="T148" t="str">
        <f t="shared" si="30"/>
        <v>SGD</v>
      </c>
      <c r="U148" s="7" t="str">
        <f t="shared" si="31"/>
        <v>GBP</v>
      </c>
      <c r="V148" s="7" t="str">
        <f t="shared" si="32"/>
        <v>USA</v>
      </c>
      <c r="W148" s="7" t="str">
        <f t="shared" si="33"/>
        <v>Brazil</v>
      </c>
      <c r="X148" s="7" t="str">
        <f t="shared" si="34"/>
        <v>Inter-Transaction</v>
      </c>
      <c r="Y148" s="7">
        <f t="shared" si="35"/>
        <v>9521.14</v>
      </c>
      <c r="Z148" s="7">
        <f t="shared" si="36"/>
        <v>75</v>
      </c>
      <c r="AA148" s="7">
        <f t="shared" si="37"/>
        <v>2022</v>
      </c>
      <c r="AB148" s="7">
        <f t="shared" si="38"/>
        <v>7</v>
      </c>
      <c r="AC148" s="7">
        <f t="shared" si="39"/>
        <v>1</v>
      </c>
      <c r="AD148" s="7" t="str">
        <f t="shared" si="40"/>
        <v>No</v>
      </c>
      <c r="AE148" s="7" t="str">
        <f t="shared" si="41"/>
        <v>Normal</v>
      </c>
    </row>
    <row r="149" spans="1:31">
      <c r="A149" t="s">
        <v>620</v>
      </c>
      <c r="B149">
        <v>68211760</v>
      </c>
      <c r="C149" t="s">
        <v>621</v>
      </c>
      <c r="D149" t="s">
        <v>622</v>
      </c>
      <c r="E149">
        <v>1</v>
      </c>
      <c r="F149" t="s">
        <v>160</v>
      </c>
      <c r="G149" t="s">
        <v>80</v>
      </c>
      <c r="H149" t="s">
        <v>38</v>
      </c>
      <c r="I149" t="s">
        <v>3371</v>
      </c>
      <c r="J149">
        <v>278.56</v>
      </c>
      <c r="K149" t="s">
        <v>86</v>
      </c>
      <c r="L149" t="s">
        <v>48</v>
      </c>
      <c r="M149" s="1">
        <v>45554.039583333331</v>
      </c>
      <c r="N149">
        <v>69</v>
      </c>
      <c r="O149" t="s">
        <v>54</v>
      </c>
      <c r="P149" t="s">
        <v>54</v>
      </c>
      <c r="Q149" t="s">
        <v>623</v>
      </c>
      <c r="R149" t="str">
        <f t="shared" si="28"/>
        <v>SANJAY WILSON</v>
      </c>
      <c r="S149" t="str">
        <f t="shared" si="29"/>
        <v>Joseph Wilson</v>
      </c>
      <c r="T149" t="str">
        <f t="shared" si="30"/>
        <v>aud</v>
      </c>
      <c r="U149" s="7" t="str">
        <f t="shared" si="31"/>
        <v>USD</v>
      </c>
      <c r="V149" s="7" t="str">
        <f t="shared" si="32"/>
        <v>India</v>
      </c>
      <c r="W149" s="7" t="str">
        <f t="shared" si="33"/>
        <v>India</v>
      </c>
      <c r="X149" s="7" t="str">
        <f t="shared" si="34"/>
        <v>Outer-Transaction</v>
      </c>
      <c r="Y149" s="7">
        <f t="shared" si="35"/>
        <v>278.56</v>
      </c>
      <c r="Z149" s="7">
        <f t="shared" si="36"/>
        <v>69</v>
      </c>
      <c r="AA149" s="7">
        <f t="shared" si="37"/>
        <v>2024</v>
      </c>
      <c r="AB149" s="7">
        <f t="shared" si="38"/>
        <v>9</v>
      </c>
      <c r="AC149" s="7">
        <f t="shared" si="39"/>
        <v>1</v>
      </c>
      <c r="AD149" s="7" t="str">
        <f t="shared" si="40"/>
        <v>No</v>
      </c>
      <c r="AE149" s="7" t="str">
        <f t="shared" si="41"/>
        <v>Normal</v>
      </c>
    </row>
    <row r="150" spans="1:31">
      <c r="A150" t="s">
        <v>624</v>
      </c>
      <c r="B150">
        <v>50024028</v>
      </c>
      <c r="C150" t="s">
        <v>102</v>
      </c>
      <c r="E150" t="s">
        <v>20</v>
      </c>
      <c r="F150" t="s">
        <v>34</v>
      </c>
      <c r="G150" t="s">
        <v>92</v>
      </c>
      <c r="H150" t="s">
        <v>74</v>
      </c>
      <c r="I150" t="s">
        <v>3371</v>
      </c>
      <c r="J150">
        <v>14221.78</v>
      </c>
      <c r="K150" t="s">
        <v>39</v>
      </c>
      <c r="L150" t="s">
        <v>28</v>
      </c>
      <c r="M150" s="1">
        <v>45875.257638888892</v>
      </c>
      <c r="N150">
        <v>29</v>
      </c>
      <c r="O150" t="s">
        <v>127</v>
      </c>
      <c r="P150" t="s">
        <v>54</v>
      </c>
      <c r="Q150" t="s">
        <v>625</v>
      </c>
      <c r="R150" t="str">
        <f t="shared" si="28"/>
        <v>Barbara Anderson</v>
      </c>
      <c r="S150" t="str">
        <f t="shared" si="29"/>
        <v/>
      </c>
      <c r="T150" t="str">
        <f t="shared" si="30"/>
        <v>CAD</v>
      </c>
      <c r="U150" s="7" t="str">
        <f t="shared" si="31"/>
        <v>AUD</v>
      </c>
      <c r="V150" s="7" t="str">
        <f t="shared" si="32"/>
        <v>Canada</v>
      </c>
      <c r="W150" s="7" t="str">
        <f t="shared" si="33"/>
        <v>India</v>
      </c>
      <c r="X150" s="7" t="str">
        <f t="shared" si="34"/>
        <v>Outer-Transaction</v>
      </c>
      <c r="Y150" s="7">
        <f t="shared" si="35"/>
        <v>14221.78</v>
      </c>
      <c r="Z150" s="7">
        <f t="shared" si="36"/>
        <v>29</v>
      </c>
      <c r="AA150" s="7">
        <f t="shared" si="37"/>
        <v>2025</v>
      </c>
      <c r="AB150" s="7">
        <f t="shared" si="38"/>
        <v>8</v>
      </c>
      <c r="AC150" s="7">
        <f t="shared" si="39"/>
        <v>1</v>
      </c>
      <c r="AD150" s="7" t="str">
        <f t="shared" si="40"/>
        <v>No</v>
      </c>
      <c r="AE150" s="7" t="str">
        <f t="shared" si="41"/>
        <v>Normal</v>
      </c>
    </row>
    <row r="151" spans="1:31">
      <c r="A151" t="s">
        <v>626</v>
      </c>
      <c r="B151">
        <v>15014834</v>
      </c>
      <c r="C151" t="s">
        <v>147</v>
      </c>
      <c r="E151" t="s">
        <v>3375</v>
      </c>
      <c r="F151" t="s">
        <v>116</v>
      </c>
      <c r="G151" t="s">
        <v>80</v>
      </c>
      <c r="H151" t="s">
        <v>25</v>
      </c>
      <c r="I151" t="s">
        <v>3372</v>
      </c>
      <c r="J151">
        <v>6670.27</v>
      </c>
      <c r="K151" t="s">
        <v>86</v>
      </c>
      <c r="L151" t="s">
        <v>75</v>
      </c>
      <c r="M151" s="1">
        <v>44249.290277777778</v>
      </c>
      <c r="N151">
        <v>56</v>
      </c>
      <c r="O151" t="s">
        <v>23</v>
      </c>
      <c r="P151" t="s">
        <v>127</v>
      </c>
      <c r="Q151" t="s">
        <v>627</v>
      </c>
      <c r="R151" t="str">
        <f t="shared" si="28"/>
        <v>Joseph Volkov</v>
      </c>
      <c r="S151" t="str">
        <f t="shared" si="29"/>
        <v/>
      </c>
      <c r="T151" t="str">
        <f t="shared" si="30"/>
        <v>CHF</v>
      </c>
      <c r="U151" s="7" t="str">
        <f t="shared" si="31"/>
        <v>USD</v>
      </c>
      <c r="V151" s="7" t="str">
        <f t="shared" si="32"/>
        <v>France</v>
      </c>
      <c r="W151" s="7" t="str">
        <f t="shared" si="33"/>
        <v>Canada</v>
      </c>
      <c r="X151" s="7" t="str">
        <f t="shared" si="34"/>
        <v>Outer-Transaction</v>
      </c>
      <c r="Y151" s="7">
        <f t="shared" si="35"/>
        <v>6670.27</v>
      </c>
      <c r="Z151" s="7">
        <f t="shared" si="36"/>
        <v>56</v>
      </c>
      <c r="AA151" s="7">
        <f t="shared" si="37"/>
        <v>2021</v>
      </c>
      <c r="AB151" s="7">
        <f t="shared" si="38"/>
        <v>2</v>
      </c>
      <c r="AC151" s="7">
        <f t="shared" si="39"/>
        <v>1</v>
      </c>
      <c r="AD151" s="7" t="str">
        <f t="shared" si="40"/>
        <v>No</v>
      </c>
      <c r="AE151" s="7" t="str">
        <f t="shared" si="41"/>
        <v>High Risk</v>
      </c>
    </row>
    <row r="152" spans="1:31">
      <c r="A152" t="s">
        <v>628</v>
      </c>
      <c r="C152" t="s">
        <v>629</v>
      </c>
      <c r="D152" t="s">
        <v>630</v>
      </c>
      <c r="E152" t="s">
        <v>3375</v>
      </c>
      <c r="F152" t="s">
        <v>35</v>
      </c>
      <c r="H152" t="s">
        <v>74</v>
      </c>
      <c r="I152" t="s">
        <v>3378</v>
      </c>
      <c r="J152">
        <v>12474.17</v>
      </c>
      <c r="K152" t="s">
        <v>47</v>
      </c>
      <c r="L152" t="s">
        <v>75</v>
      </c>
      <c r="M152" s="1">
        <v>45580.943055555559</v>
      </c>
      <c r="N152">
        <v>19</v>
      </c>
      <c r="O152" t="s">
        <v>62</v>
      </c>
      <c r="P152" t="s">
        <v>68</v>
      </c>
      <c r="Q152" t="s">
        <v>631</v>
      </c>
      <c r="R152" t="str">
        <f t="shared" si="28"/>
        <v>Nancy Rostova</v>
      </c>
      <c r="S152" t="str">
        <f t="shared" si="29"/>
        <v>Michael Wilson</v>
      </c>
      <c r="T152" t="str">
        <f t="shared" si="30"/>
        <v>EUR</v>
      </c>
      <c r="U152" s="7" t="str">
        <f t="shared" si="31"/>
        <v/>
      </c>
      <c r="V152" s="7" t="str">
        <f t="shared" si="32"/>
        <v>Australia</v>
      </c>
      <c r="W152" s="7" t="str">
        <f t="shared" si="33"/>
        <v>UAE</v>
      </c>
      <c r="X152" s="7" t="str">
        <f t="shared" si="34"/>
        <v>Inter-Transaction</v>
      </c>
      <c r="Y152" s="7">
        <f t="shared" si="35"/>
        <v>12474.17</v>
      </c>
      <c r="Z152" s="7">
        <f t="shared" si="36"/>
        <v>19</v>
      </c>
      <c r="AA152" s="7">
        <f t="shared" si="37"/>
        <v>2024</v>
      </c>
      <c r="AB152" s="7">
        <f t="shared" si="38"/>
        <v>10</v>
      </c>
      <c r="AC152" s="7">
        <f t="shared" si="39"/>
        <v>1</v>
      </c>
      <c r="AD152" s="7" t="str">
        <f t="shared" si="40"/>
        <v>No</v>
      </c>
      <c r="AE152" s="7" t="str">
        <f t="shared" si="41"/>
        <v>High Risk</v>
      </c>
    </row>
    <row r="153" spans="1:31">
      <c r="A153" t="s">
        <v>632</v>
      </c>
      <c r="B153">
        <v>21945758</v>
      </c>
      <c r="C153" t="s">
        <v>633</v>
      </c>
      <c r="D153" t="s">
        <v>634</v>
      </c>
      <c r="E153" t="s">
        <v>20</v>
      </c>
      <c r="F153" t="s">
        <v>21</v>
      </c>
      <c r="G153" t="s">
        <v>35</v>
      </c>
      <c r="H153" t="s">
        <v>56</v>
      </c>
      <c r="I153" t="s">
        <v>3378</v>
      </c>
      <c r="J153">
        <v>3969.23</v>
      </c>
      <c r="K153" t="s">
        <v>86</v>
      </c>
      <c r="L153" t="s">
        <v>28</v>
      </c>
      <c r="M153" s="1">
        <v>45219.407638888886</v>
      </c>
      <c r="N153">
        <v>20</v>
      </c>
      <c r="O153" t="s">
        <v>23</v>
      </c>
      <c r="P153" t="s">
        <v>62</v>
      </c>
      <c r="Q153" t="s">
        <v>635</v>
      </c>
      <c r="R153" t="str">
        <f t="shared" si="28"/>
        <v>Priya Brown</v>
      </c>
      <c r="S153" t="str">
        <f t="shared" si="29"/>
        <v>Amir Jackson</v>
      </c>
      <c r="T153" t="str">
        <f t="shared" si="30"/>
        <v>GBP</v>
      </c>
      <c r="U153" s="7" t="str">
        <f t="shared" si="31"/>
        <v>EUR</v>
      </c>
      <c r="V153" s="7" t="str">
        <f t="shared" si="32"/>
        <v>France</v>
      </c>
      <c r="W153" s="7" t="str">
        <f t="shared" si="33"/>
        <v>Australia</v>
      </c>
      <c r="X153" s="7" t="str">
        <f t="shared" si="34"/>
        <v>Inter-Transaction</v>
      </c>
      <c r="Y153" s="7">
        <f t="shared" si="35"/>
        <v>3969.23</v>
      </c>
      <c r="Z153" s="7">
        <f t="shared" si="36"/>
        <v>20</v>
      </c>
      <c r="AA153" s="7">
        <f t="shared" si="37"/>
        <v>2023</v>
      </c>
      <c r="AB153" s="7">
        <f t="shared" si="38"/>
        <v>10</v>
      </c>
      <c r="AC153" s="7">
        <f t="shared" si="39"/>
        <v>1</v>
      </c>
      <c r="AD153" s="7" t="str">
        <f t="shared" si="40"/>
        <v>No</v>
      </c>
      <c r="AE153" s="7" t="str">
        <f t="shared" si="41"/>
        <v>Normal</v>
      </c>
    </row>
    <row r="154" spans="1:31">
      <c r="A154" t="s">
        <v>636</v>
      </c>
      <c r="B154">
        <v>16159129</v>
      </c>
      <c r="C154" t="s">
        <v>637</v>
      </c>
      <c r="D154" t="s">
        <v>256</v>
      </c>
      <c r="E154" t="s">
        <v>20</v>
      </c>
      <c r="F154" t="s">
        <v>34</v>
      </c>
      <c r="G154" t="s">
        <v>34</v>
      </c>
      <c r="H154" t="s">
        <v>103</v>
      </c>
      <c r="I154" t="s">
        <v>3371</v>
      </c>
      <c r="J154">
        <v>1716.34</v>
      </c>
      <c r="K154" t="s">
        <v>39</v>
      </c>
      <c r="L154" t="s">
        <v>81</v>
      </c>
      <c r="M154" s="1">
        <v>44930.297222222223</v>
      </c>
      <c r="N154">
        <v>73</v>
      </c>
      <c r="O154" t="s">
        <v>55</v>
      </c>
      <c r="P154" t="s">
        <v>93</v>
      </c>
      <c r="Q154" t="s">
        <v>638</v>
      </c>
      <c r="R154" t="str">
        <f t="shared" si="28"/>
        <v>John Malik</v>
      </c>
      <c r="S154" t="str">
        <f t="shared" si="29"/>
        <v>Michael Velez</v>
      </c>
      <c r="T154" t="str">
        <f t="shared" si="30"/>
        <v>CAD</v>
      </c>
      <c r="U154" s="7" t="str">
        <f t="shared" si="31"/>
        <v>CAD</v>
      </c>
      <c r="V154" s="7" t="str">
        <f t="shared" si="32"/>
        <v>UK</v>
      </c>
      <c r="W154" s="7" t="str">
        <f t="shared" si="33"/>
        <v>USA</v>
      </c>
      <c r="X154" s="7" t="str">
        <f t="shared" si="34"/>
        <v>Outer-Transaction</v>
      </c>
      <c r="Y154" s="7">
        <f t="shared" si="35"/>
        <v>1716.34</v>
      </c>
      <c r="Z154" s="7">
        <f t="shared" si="36"/>
        <v>73</v>
      </c>
      <c r="AA154" s="7">
        <f t="shared" si="37"/>
        <v>2023</v>
      </c>
      <c r="AB154" s="7">
        <f t="shared" si="38"/>
        <v>1</v>
      </c>
      <c r="AC154" s="7">
        <f t="shared" si="39"/>
        <v>1</v>
      </c>
      <c r="AD154" s="7" t="str">
        <f t="shared" si="40"/>
        <v>No</v>
      </c>
      <c r="AE154" s="7" t="str">
        <f t="shared" si="41"/>
        <v>Normal</v>
      </c>
    </row>
    <row r="155" spans="1:31">
      <c r="A155" t="s">
        <v>639</v>
      </c>
      <c r="B155">
        <v>17871385</v>
      </c>
      <c r="C155" t="s">
        <v>640</v>
      </c>
      <c r="D155" t="s">
        <v>641</v>
      </c>
      <c r="E155">
        <v>0</v>
      </c>
      <c r="F155" t="s">
        <v>44</v>
      </c>
      <c r="G155" t="s">
        <v>116</v>
      </c>
      <c r="I155" t="s">
        <v>3374</v>
      </c>
      <c r="J155">
        <v>14601.93</v>
      </c>
      <c r="K155" t="s">
        <v>47</v>
      </c>
      <c r="L155" t="s">
        <v>81</v>
      </c>
      <c r="M155" s="1">
        <v>46311.356249999997</v>
      </c>
      <c r="N155">
        <v>76</v>
      </c>
      <c r="O155" t="s">
        <v>55</v>
      </c>
      <c r="P155" t="s">
        <v>62</v>
      </c>
      <c r="Q155" t="s">
        <v>642</v>
      </c>
      <c r="R155" t="str">
        <f t="shared" si="28"/>
        <v>Zayn Garcia</v>
      </c>
      <c r="S155" t="str">
        <f t="shared" si="29"/>
        <v xml:space="preserve"> Patricia Wilson   </v>
      </c>
      <c r="T155" t="str">
        <f t="shared" si="30"/>
        <v>SGD</v>
      </c>
      <c r="U155" s="7" t="str">
        <f t="shared" si="31"/>
        <v>CHF</v>
      </c>
      <c r="V155" s="7" t="str">
        <f t="shared" si="32"/>
        <v>UK</v>
      </c>
      <c r="W155" s="7" t="str">
        <f t="shared" si="33"/>
        <v>Australia</v>
      </c>
      <c r="X155" s="7" t="str">
        <f t="shared" si="34"/>
        <v>External</v>
      </c>
      <c r="Y155" s="7">
        <f t="shared" si="35"/>
        <v>14601.93</v>
      </c>
      <c r="Z155" s="7">
        <f t="shared" si="36"/>
        <v>76</v>
      </c>
      <c r="AA155" s="7">
        <f t="shared" si="37"/>
        <v>2026</v>
      </c>
      <c r="AB155" s="7">
        <f t="shared" si="38"/>
        <v>10</v>
      </c>
      <c r="AC155" s="7">
        <f t="shared" si="39"/>
        <v>1</v>
      </c>
      <c r="AD155" s="7" t="str">
        <f t="shared" si="40"/>
        <v>No</v>
      </c>
      <c r="AE155" s="7" t="str">
        <f t="shared" si="41"/>
        <v>Normal</v>
      </c>
    </row>
    <row r="156" spans="1:31">
      <c r="A156" t="s">
        <v>643</v>
      </c>
      <c r="B156">
        <v>87396519</v>
      </c>
      <c r="C156" t="s">
        <v>644</v>
      </c>
      <c r="D156" t="s">
        <v>191</v>
      </c>
      <c r="E156" t="s">
        <v>3373</v>
      </c>
      <c r="F156" t="s">
        <v>98</v>
      </c>
      <c r="G156" t="s">
        <v>98</v>
      </c>
      <c r="I156" t="s">
        <v>3374</v>
      </c>
      <c r="J156">
        <v>9624.65</v>
      </c>
      <c r="K156" t="s">
        <v>47</v>
      </c>
      <c r="L156" t="s">
        <v>28</v>
      </c>
      <c r="M156" s="1">
        <v>45987.508333333331</v>
      </c>
      <c r="N156">
        <v>19</v>
      </c>
      <c r="O156" t="s">
        <v>24</v>
      </c>
      <c r="P156" t="s">
        <v>36</v>
      </c>
      <c r="Q156" t="s">
        <v>645</v>
      </c>
      <c r="R156" t="str">
        <f t="shared" si="28"/>
        <v>Fatima Jackson</v>
      </c>
      <c r="S156" t="str">
        <f t="shared" si="29"/>
        <v>Elizabeth Velez</v>
      </c>
      <c r="T156" t="str">
        <f t="shared" si="30"/>
        <v>JPY</v>
      </c>
      <c r="U156" s="7" t="str">
        <f t="shared" si="31"/>
        <v>JPY</v>
      </c>
      <c r="V156" s="7" t="str">
        <f t="shared" si="32"/>
        <v>Brazil</v>
      </c>
      <c r="W156" s="7" t="str">
        <f t="shared" si="33"/>
        <v>Germany</v>
      </c>
      <c r="X156" s="7" t="str">
        <f t="shared" si="34"/>
        <v>External</v>
      </c>
      <c r="Y156" s="7">
        <f t="shared" si="35"/>
        <v>9624.65</v>
      </c>
      <c r="Z156" s="7">
        <f t="shared" si="36"/>
        <v>19</v>
      </c>
      <c r="AA156" s="7">
        <f t="shared" si="37"/>
        <v>2025</v>
      </c>
      <c r="AB156" s="7">
        <f t="shared" si="38"/>
        <v>11</v>
      </c>
      <c r="AC156" s="7">
        <f t="shared" si="39"/>
        <v>1</v>
      </c>
      <c r="AD156" s="7" t="str">
        <f t="shared" si="40"/>
        <v>No</v>
      </c>
      <c r="AE156" s="7" t="str">
        <f t="shared" si="41"/>
        <v>Normal</v>
      </c>
    </row>
    <row r="157" spans="1:31">
      <c r="A157" t="s">
        <v>646</v>
      </c>
      <c r="C157" t="s">
        <v>32</v>
      </c>
      <c r="D157" t="s">
        <v>647</v>
      </c>
      <c r="E157" t="s">
        <v>20</v>
      </c>
      <c r="F157" t="s">
        <v>45</v>
      </c>
      <c r="G157" t="s">
        <v>92</v>
      </c>
      <c r="H157" t="s">
        <v>56</v>
      </c>
      <c r="I157" t="s">
        <v>3372</v>
      </c>
      <c r="J157">
        <v>4747.76</v>
      </c>
      <c r="K157" t="s">
        <v>39</v>
      </c>
      <c r="L157" t="s">
        <v>28</v>
      </c>
      <c r="M157" s="1">
        <v>45376.95416666667</v>
      </c>
      <c r="N157">
        <v>19</v>
      </c>
      <c r="O157" t="s">
        <v>93</v>
      </c>
      <c r="P157" t="s">
        <v>36</v>
      </c>
      <c r="Q157" t="s">
        <v>648</v>
      </c>
      <c r="R157" t="str">
        <f t="shared" si="28"/>
        <v>Richard Rodriguez</v>
      </c>
      <c r="S157" t="str">
        <f t="shared" si="29"/>
        <v>Mary Taylor</v>
      </c>
      <c r="T157" t="str">
        <f t="shared" si="30"/>
        <v>ZAR</v>
      </c>
      <c r="U157" s="7" t="str">
        <f t="shared" si="31"/>
        <v>AUD</v>
      </c>
      <c r="V157" s="7" t="str">
        <f t="shared" si="32"/>
        <v>USA</v>
      </c>
      <c r="W157" s="7" t="str">
        <f t="shared" si="33"/>
        <v>Germany</v>
      </c>
      <c r="X157" s="7" t="str">
        <f t="shared" si="34"/>
        <v>Outer-Transaction</v>
      </c>
      <c r="Y157" s="7">
        <f t="shared" si="35"/>
        <v>4747.76</v>
      </c>
      <c r="Z157" s="7">
        <f t="shared" si="36"/>
        <v>19</v>
      </c>
      <c r="AA157" s="7">
        <f t="shared" si="37"/>
        <v>2024</v>
      </c>
      <c r="AB157" s="7">
        <f t="shared" si="38"/>
        <v>3</v>
      </c>
      <c r="AC157" s="7">
        <f t="shared" si="39"/>
        <v>1</v>
      </c>
      <c r="AD157" s="7" t="str">
        <f t="shared" si="40"/>
        <v>No</v>
      </c>
      <c r="AE157" s="7" t="str">
        <f t="shared" si="41"/>
        <v>Normal</v>
      </c>
    </row>
    <row r="158" spans="1:31">
      <c r="A158" t="s">
        <v>649</v>
      </c>
      <c r="B158">
        <v>78227936</v>
      </c>
      <c r="D158" t="s">
        <v>412</v>
      </c>
      <c r="E158" t="s">
        <v>20</v>
      </c>
      <c r="F158" t="s">
        <v>34</v>
      </c>
      <c r="G158" t="s">
        <v>34</v>
      </c>
      <c r="H158" t="s">
        <v>38</v>
      </c>
      <c r="I158" t="s">
        <v>3372</v>
      </c>
      <c r="J158">
        <v>10752.7</v>
      </c>
      <c r="K158" t="s">
        <v>57</v>
      </c>
      <c r="L158" t="s">
        <v>81</v>
      </c>
      <c r="M158" s="1">
        <v>44901.14166666667</v>
      </c>
      <c r="N158">
        <v>71</v>
      </c>
      <c r="O158" t="s">
        <v>127</v>
      </c>
      <c r="P158" t="s">
        <v>55</v>
      </c>
      <c r="Q158" t="s">
        <v>650</v>
      </c>
      <c r="R158" t="str">
        <f t="shared" si="28"/>
        <v/>
      </c>
      <c r="S158" t="str">
        <f t="shared" si="29"/>
        <v>Sanjay Velez</v>
      </c>
      <c r="T158" t="str">
        <f t="shared" si="30"/>
        <v>CAD</v>
      </c>
      <c r="U158" s="7" t="str">
        <f t="shared" si="31"/>
        <v>CAD</v>
      </c>
      <c r="V158" s="7" t="str">
        <f t="shared" si="32"/>
        <v>Canada</v>
      </c>
      <c r="W158" s="7" t="str">
        <f t="shared" si="33"/>
        <v>UK</v>
      </c>
      <c r="X158" s="7" t="str">
        <f t="shared" si="34"/>
        <v>Outer-Transaction</v>
      </c>
      <c r="Y158" s="7">
        <f t="shared" si="35"/>
        <v>10752.7</v>
      </c>
      <c r="Z158" s="7">
        <f t="shared" si="36"/>
        <v>71</v>
      </c>
      <c r="AA158" s="7">
        <f t="shared" si="37"/>
        <v>2022</v>
      </c>
      <c r="AB158" s="7">
        <f t="shared" si="38"/>
        <v>12</v>
      </c>
      <c r="AC158" s="7">
        <f t="shared" si="39"/>
        <v>1</v>
      </c>
      <c r="AD158" s="7" t="str">
        <f t="shared" si="40"/>
        <v>No</v>
      </c>
      <c r="AE158" s="7" t="str">
        <f t="shared" si="41"/>
        <v>Normal</v>
      </c>
    </row>
    <row r="159" spans="1:31">
      <c r="A159" t="s">
        <v>651</v>
      </c>
      <c r="B159">
        <v>60182714</v>
      </c>
      <c r="C159" t="s">
        <v>652</v>
      </c>
      <c r="D159" t="s">
        <v>653</v>
      </c>
      <c r="E159" t="s">
        <v>20</v>
      </c>
      <c r="F159" t="s">
        <v>21</v>
      </c>
      <c r="G159" t="s">
        <v>22</v>
      </c>
      <c r="H159" t="s">
        <v>56</v>
      </c>
      <c r="I159" t="s">
        <v>3371</v>
      </c>
      <c r="J159">
        <v>6861.12</v>
      </c>
      <c r="K159" t="s">
        <v>47</v>
      </c>
      <c r="L159" t="s">
        <v>75</v>
      </c>
      <c r="M159" s="1">
        <v>46257.988194444442</v>
      </c>
      <c r="N159">
        <v>18</v>
      </c>
      <c r="O159" t="s">
        <v>68</v>
      </c>
      <c r="P159" t="s">
        <v>24</v>
      </c>
      <c r="Q159" t="s">
        <v>654</v>
      </c>
      <c r="R159" t="str">
        <f t="shared" si="28"/>
        <v>Elena Brown</v>
      </c>
      <c r="S159" t="str">
        <f t="shared" si="29"/>
        <v>Mary Volkov</v>
      </c>
      <c r="T159" t="str">
        <f t="shared" si="30"/>
        <v>GBP</v>
      </c>
      <c r="U159" s="7" t="str">
        <f t="shared" si="31"/>
        <v>BRL</v>
      </c>
      <c r="V159" s="7" t="str">
        <f t="shared" si="32"/>
        <v>UAE</v>
      </c>
      <c r="W159" s="7" t="str">
        <f t="shared" si="33"/>
        <v>Brazil</v>
      </c>
      <c r="X159" s="7" t="str">
        <f t="shared" si="34"/>
        <v>Outer-Transaction</v>
      </c>
      <c r="Y159" s="7">
        <f t="shared" si="35"/>
        <v>6861.12</v>
      </c>
      <c r="Z159" s="7">
        <f t="shared" si="36"/>
        <v>18</v>
      </c>
      <c r="AA159" s="7">
        <f t="shared" si="37"/>
        <v>2026</v>
      </c>
      <c r="AB159" s="7">
        <f t="shared" si="38"/>
        <v>8</v>
      </c>
      <c r="AC159" s="7">
        <f t="shared" si="39"/>
        <v>1</v>
      </c>
      <c r="AD159" s="7" t="str">
        <f t="shared" si="40"/>
        <v>No</v>
      </c>
      <c r="AE159" s="7" t="str">
        <f t="shared" si="41"/>
        <v>High Risk</v>
      </c>
    </row>
    <row r="160" spans="1:31">
      <c r="A160" t="s">
        <v>655</v>
      </c>
      <c r="B160">
        <v>77672253</v>
      </c>
      <c r="C160" t="s">
        <v>656</v>
      </c>
      <c r="D160" t="s">
        <v>657</v>
      </c>
      <c r="E160" t="s">
        <v>33</v>
      </c>
      <c r="F160" t="s">
        <v>98</v>
      </c>
      <c r="G160" t="s">
        <v>92</v>
      </c>
      <c r="H160" t="s">
        <v>38</v>
      </c>
      <c r="I160" t="s">
        <v>3371</v>
      </c>
      <c r="J160">
        <v>10960.11</v>
      </c>
      <c r="K160" t="s">
        <v>47</v>
      </c>
      <c r="L160" t="s">
        <v>28</v>
      </c>
      <c r="M160" s="1">
        <v>45681.667361111111</v>
      </c>
      <c r="N160">
        <v>36</v>
      </c>
      <c r="O160" t="s">
        <v>62</v>
      </c>
      <c r="P160" t="s">
        <v>54</v>
      </c>
      <c r="Q160" t="s">
        <v>658</v>
      </c>
      <c r="R160" t="str">
        <f t="shared" si="28"/>
        <v>Michael Thomas</v>
      </c>
      <c r="S160" t="str">
        <f t="shared" si="29"/>
        <v>John Taylor</v>
      </c>
      <c r="T160" t="str">
        <f t="shared" si="30"/>
        <v>JPY</v>
      </c>
      <c r="U160" s="7" t="str">
        <f t="shared" si="31"/>
        <v>AUD</v>
      </c>
      <c r="V160" s="7" t="str">
        <f t="shared" si="32"/>
        <v>Australia</v>
      </c>
      <c r="W160" s="7" t="str">
        <f t="shared" si="33"/>
        <v>India</v>
      </c>
      <c r="X160" s="7" t="str">
        <f t="shared" si="34"/>
        <v>Outer-Transaction</v>
      </c>
      <c r="Y160" s="7">
        <f t="shared" si="35"/>
        <v>10960.11</v>
      </c>
      <c r="Z160" s="7">
        <f t="shared" si="36"/>
        <v>36</v>
      </c>
      <c r="AA160" s="7">
        <f t="shared" si="37"/>
        <v>2025</v>
      </c>
      <c r="AB160" s="7">
        <f t="shared" si="38"/>
        <v>1</v>
      </c>
      <c r="AC160" s="7">
        <f t="shared" si="39"/>
        <v>1</v>
      </c>
      <c r="AD160" s="7" t="str">
        <f t="shared" si="40"/>
        <v>No</v>
      </c>
      <c r="AE160" s="7" t="str">
        <f t="shared" si="41"/>
        <v>Normal</v>
      </c>
    </row>
    <row r="161" spans="1:31">
      <c r="A161" t="s">
        <v>659</v>
      </c>
      <c r="B161">
        <v>43318046</v>
      </c>
      <c r="C161" t="s">
        <v>660</v>
      </c>
      <c r="D161" t="s">
        <v>661</v>
      </c>
      <c r="E161" t="s">
        <v>20</v>
      </c>
      <c r="F161" t="s">
        <v>21</v>
      </c>
      <c r="G161" t="s">
        <v>21</v>
      </c>
      <c r="H161" t="s">
        <v>103</v>
      </c>
      <c r="I161" t="s">
        <v>3374</v>
      </c>
      <c r="J161">
        <v>11054.91</v>
      </c>
      <c r="K161" t="s">
        <v>27</v>
      </c>
      <c r="L161" t="s">
        <v>48</v>
      </c>
      <c r="M161" s="1">
        <v>44950.520833333336</v>
      </c>
      <c r="N161">
        <v>19</v>
      </c>
      <c r="O161" t="s">
        <v>62</v>
      </c>
      <c r="P161" t="s">
        <v>23</v>
      </c>
      <c r="Q161" t="s">
        <v>662</v>
      </c>
      <c r="R161" t="str">
        <f t="shared" si="28"/>
        <v>David Gonzalez</v>
      </c>
      <c r="S161" t="str">
        <f t="shared" si="29"/>
        <v>Richard Martinez</v>
      </c>
      <c r="T161" t="str">
        <f t="shared" si="30"/>
        <v>GBP</v>
      </c>
      <c r="U161" s="7" t="str">
        <f t="shared" si="31"/>
        <v>GBP</v>
      </c>
      <c r="V161" s="7" t="str">
        <f t="shared" si="32"/>
        <v>Australia</v>
      </c>
      <c r="W161" s="7" t="str">
        <f t="shared" si="33"/>
        <v>France</v>
      </c>
      <c r="X161" s="7" t="str">
        <f t="shared" si="34"/>
        <v>External</v>
      </c>
      <c r="Y161" s="7">
        <f t="shared" si="35"/>
        <v>11054.91</v>
      </c>
      <c r="Z161" s="7">
        <f t="shared" si="36"/>
        <v>19</v>
      </c>
      <c r="AA161" s="7">
        <f t="shared" si="37"/>
        <v>2023</v>
      </c>
      <c r="AB161" s="7">
        <f t="shared" si="38"/>
        <v>1</v>
      </c>
      <c r="AC161" s="7">
        <f t="shared" si="39"/>
        <v>1</v>
      </c>
      <c r="AD161" s="7" t="str">
        <f t="shared" si="40"/>
        <v>No</v>
      </c>
      <c r="AE161" s="7" t="str">
        <f t="shared" si="41"/>
        <v>Normal</v>
      </c>
    </row>
    <row r="162" spans="1:31">
      <c r="A162" t="s">
        <v>663</v>
      </c>
      <c r="B162">
        <v>33865616</v>
      </c>
      <c r="C162" t="s">
        <v>270</v>
      </c>
      <c r="D162" t="s">
        <v>664</v>
      </c>
      <c r="E162" t="s">
        <v>20</v>
      </c>
      <c r="F162" t="s">
        <v>35</v>
      </c>
      <c r="G162" t="s">
        <v>34</v>
      </c>
      <c r="H162" t="s">
        <v>38</v>
      </c>
      <c r="I162" t="s">
        <v>3378</v>
      </c>
      <c r="J162">
        <v>13163.38</v>
      </c>
      <c r="K162" t="s">
        <v>39</v>
      </c>
      <c r="L162" t="s">
        <v>28</v>
      </c>
      <c r="M162" s="1">
        <v>44788.727083333331</v>
      </c>
      <c r="N162">
        <v>70</v>
      </c>
      <c r="O162" t="s">
        <v>24</v>
      </c>
      <c r="P162" t="s">
        <v>62</v>
      </c>
      <c r="Q162" t="s">
        <v>665</v>
      </c>
      <c r="R162" t="str">
        <f t="shared" si="28"/>
        <v>Charles Moore</v>
      </c>
      <c r="S162" t="str">
        <f t="shared" si="29"/>
        <v>Elena Nair</v>
      </c>
      <c r="T162" t="str">
        <f t="shared" si="30"/>
        <v>EUR</v>
      </c>
      <c r="U162" s="7" t="str">
        <f t="shared" si="31"/>
        <v>CAD</v>
      </c>
      <c r="V162" s="7" t="str">
        <f t="shared" si="32"/>
        <v>Brazil</v>
      </c>
      <c r="W162" s="7" t="str">
        <f t="shared" si="33"/>
        <v>Australia</v>
      </c>
      <c r="X162" s="7" t="str">
        <f t="shared" si="34"/>
        <v>Inter-Transaction</v>
      </c>
      <c r="Y162" s="7">
        <f t="shared" si="35"/>
        <v>13163.38</v>
      </c>
      <c r="Z162" s="7">
        <f t="shared" si="36"/>
        <v>70</v>
      </c>
      <c r="AA162" s="7">
        <f t="shared" si="37"/>
        <v>2022</v>
      </c>
      <c r="AB162" s="7">
        <f t="shared" si="38"/>
        <v>8</v>
      </c>
      <c r="AC162" s="7">
        <f t="shared" si="39"/>
        <v>1</v>
      </c>
      <c r="AD162" s="7" t="str">
        <f t="shared" si="40"/>
        <v>No</v>
      </c>
      <c r="AE162" s="7" t="str">
        <f t="shared" si="41"/>
        <v>Normal</v>
      </c>
    </row>
    <row r="163" spans="1:31">
      <c r="A163" t="s">
        <v>666</v>
      </c>
      <c r="B163">
        <v>43629729</v>
      </c>
      <c r="C163" t="s">
        <v>667</v>
      </c>
      <c r="D163" t="s">
        <v>668</v>
      </c>
      <c r="E163" t="s">
        <v>3375</v>
      </c>
      <c r="F163" t="s">
        <v>126</v>
      </c>
      <c r="G163" t="s">
        <v>98</v>
      </c>
      <c r="H163" t="s">
        <v>74</v>
      </c>
      <c r="I163" t="s">
        <v>3374</v>
      </c>
      <c r="J163">
        <v>9710.32</v>
      </c>
      <c r="K163" t="s">
        <v>39</v>
      </c>
      <c r="L163" t="s">
        <v>48</v>
      </c>
      <c r="M163" s="1">
        <v>43933.604166666664</v>
      </c>
      <c r="N163">
        <v>61</v>
      </c>
      <c r="O163" t="s">
        <v>55</v>
      </c>
      <c r="P163" t="s">
        <v>36</v>
      </c>
      <c r="Q163" t="s">
        <v>669</v>
      </c>
      <c r="R163" t="str">
        <f t="shared" si="28"/>
        <v>Michael Khan</v>
      </c>
      <c r="S163" t="str">
        <f t="shared" si="29"/>
        <v>Mary Rostova</v>
      </c>
      <c r="T163" t="str">
        <f t="shared" si="30"/>
        <v>inr</v>
      </c>
      <c r="U163" s="7" t="str">
        <f t="shared" si="31"/>
        <v>JPY</v>
      </c>
      <c r="V163" s="7" t="str">
        <f t="shared" si="32"/>
        <v>UK</v>
      </c>
      <c r="W163" s="7" t="str">
        <f t="shared" si="33"/>
        <v>Germany</v>
      </c>
      <c r="X163" s="7" t="str">
        <f t="shared" si="34"/>
        <v>External</v>
      </c>
      <c r="Y163" s="7">
        <f t="shared" si="35"/>
        <v>9710.32</v>
      </c>
      <c r="Z163" s="7">
        <f t="shared" si="36"/>
        <v>61</v>
      </c>
      <c r="AA163" s="7">
        <f t="shared" si="37"/>
        <v>2020</v>
      </c>
      <c r="AB163" s="7">
        <f t="shared" si="38"/>
        <v>4</v>
      </c>
      <c r="AC163" s="7">
        <f t="shared" si="39"/>
        <v>1</v>
      </c>
      <c r="AD163" s="7" t="str">
        <f t="shared" si="40"/>
        <v>No</v>
      </c>
      <c r="AE163" s="7" t="str">
        <f t="shared" si="41"/>
        <v>Normal</v>
      </c>
    </row>
    <row r="164" spans="1:31">
      <c r="A164" t="s">
        <v>670</v>
      </c>
      <c r="B164">
        <v>84104909</v>
      </c>
      <c r="C164" t="s">
        <v>671</v>
      </c>
      <c r="D164" t="s">
        <v>490</v>
      </c>
      <c r="E164" t="s">
        <v>20</v>
      </c>
      <c r="F164" t="s">
        <v>44</v>
      </c>
      <c r="G164" t="s">
        <v>121</v>
      </c>
      <c r="H164" t="s">
        <v>38</v>
      </c>
      <c r="I164" t="s">
        <v>3371</v>
      </c>
      <c r="J164">
        <v>11644.44</v>
      </c>
      <c r="K164" t="s">
        <v>47</v>
      </c>
      <c r="L164" t="s">
        <v>75</v>
      </c>
      <c r="M164" s="1">
        <v>45000.301388888889</v>
      </c>
      <c r="N164">
        <v>49</v>
      </c>
      <c r="O164" t="s">
        <v>24</v>
      </c>
      <c r="P164" t="s">
        <v>68</v>
      </c>
      <c r="Q164" t="s">
        <v>672</v>
      </c>
      <c r="R164" t="str">
        <f t="shared" si="28"/>
        <v>Mary Smith</v>
      </c>
      <c r="S164" t="str">
        <f t="shared" si="29"/>
        <v>Fatima Rodriguez</v>
      </c>
      <c r="T164" t="str">
        <f t="shared" si="30"/>
        <v>SGD</v>
      </c>
      <c r="U164" s="7" t="str">
        <f t="shared" si="31"/>
        <v>INR</v>
      </c>
      <c r="V164" s="7" t="str">
        <f t="shared" si="32"/>
        <v>Brazil</v>
      </c>
      <c r="W164" s="7" t="str">
        <f t="shared" si="33"/>
        <v>UAE</v>
      </c>
      <c r="X164" s="7" t="str">
        <f t="shared" si="34"/>
        <v>Outer-Transaction</v>
      </c>
      <c r="Y164" s="7">
        <f t="shared" si="35"/>
        <v>11644.44</v>
      </c>
      <c r="Z164" s="7">
        <f t="shared" si="36"/>
        <v>49</v>
      </c>
      <c r="AA164" s="7">
        <f t="shared" si="37"/>
        <v>2023</v>
      </c>
      <c r="AB164" s="7">
        <f t="shared" si="38"/>
        <v>3</v>
      </c>
      <c r="AC164" s="7">
        <f t="shared" si="39"/>
        <v>1</v>
      </c>
      <c r="AD164" s="7" t="str">
        <f t="shared" si="40"/>
        <v>No</v>
      </c>
      <c r="AE164" s="7" t="str">
        <f t="shared" si="41"/>
        <v>High Risk</v>
      </c>
    </row>
    <row r="165" spans="1:31">
      <c r="A165" t="s">
        <v>673</v>
      </c>
      <c r="B165">
        <v>45465638</v>
      </c>
      <c r="C165" t="s">
        <v>674</v>
      </c>
      <c r="D165" t="s">
        <v>675</v>
      </c>
      <c r="E165" t="s">
        <v>20</v>
      </c>
      <c r="F165" t="s">
        <v>34</v>
      </c>
      <c r="G165" t="s">
        <v>44</v>
      </c>
      <c r="I165" t="s">
        <v>3376</v>
      </c>
      <c r="J165">
        <v>12648.67</v>
      </c>
      <c r="K165" t="s">
        <v>57</v>
      </c>
      <c r="L165" t="s">
        <v>81</v>
      </c>
      <c r="M165" s="1">
        <v>45734.013194444444</v>
      </c>
      <c r="N165">
        <v>49</v>
      </c>
      <c r="O165" t="s">
        <v>54</v>
      </c>
      <c r="P165" t="s">
        <v>127</v>
      </c>
      <c r="Q165" t="s">
        <v>676</v>
      </c>
      <c r="R165" t="str">
        <f t="shared" si="28"/>
        <v>Michael Garcia</v>
      </c>
      <c r="S165" t="str">
        <f t="shared" si="29"/>
        <v xml:space="preserve"> Christopher Malik   </v>
      </c>
      <c r="T165" t="str">
        <f t="shared" si="30"/>
        <v>CAD</v>
      </c>
      <c r="U165" s="7" t="str">
        <f t="shared" si="31"/>
        <v>SGD</v>
      </c>
      <c r="V165" s="7" t="str">
        <f t="shared" si="32"/>
        <v>India</v>
      </c>
      <c r="W165" s="7" t="str">
        <f t="shared" si="33"/>
        <v>Canada</v>
      </c>
      <c r="X165" s="7" t="str">
        <f t="shared" si="34"/>
        <v>Internal</v>
      </c>
      <c r="Y165" s="7">
        <f t="shared" si="35"/>
        <v>12648.67</v>
      </c>
      <c r="Z165" s="7">
        <f t="shared" si="36"/>
        <v>49</v>
      </c>
      <c r="AA165" s="7">
        <f t="shared" si="37"/>
        <v>2025</v>
      </c>
      <c r="AB165" s="7">
        <f t="shared" si="38"/>
        <v>3</v>
      </c>
      <c r="AC165" s="7">
        <f t="shared" si="39"/>
        <v>1</v>
      </c>
      <c r="AD165" s="7" t="str">
        <f t="shared" si="40"/>
        <v>No</v>
      </c>
      <c r="AE165" s="7" t="str">
        <f t="shared" si="41"/>
        <v>Normal</v>
      </c>
    </row>
    <row r="166" spans="1:31">
      <c r="A166" t="s">
        <v>677</v>
      </c>
      <c r="B166">
        <v>82890984</v>
      </c>
      <c r="C166" t="s">
        <v>678</v>
      </c>
      <c r="D166" t="s">
        <v>679</v>
      </c>
      <c r="E166" t="s">
        <v>20</v>
      </c>
      <c r="F166" t="s">
        <v>121</v>
      </c>
      <c r="G166" t="s">
        <v>45</v>
      </c>
      <c r="H166" t="s">
        <v>38</v>
      </c>
      <c r="I166" t="s">
        <v>3374</v>
      </c>
      <c r="J166">
        <v>141.97</v>
      </c>
      <c r="K166" t="s">
        <v>57</v>
      </c>
      <c r="L166" t="s">
        <v>81</v>
      </c>
      <c r="M166" s="1">
        <v>45586.382638888892</v>
      </c>
      <c r="N166">
        <v>85</v>
      </c>
      <c r="O166" t="s">
        <v>127</v>
      </c>
      <c r="P166" t="s">
        <v>93</v>
      </c>
      <c r="Q166" t="s">
        <v>680</v>
      </c>
      <c r="R166" t="str">
        <f t="shared" si="28"/>
        <v>Karen Gonzalez</v>
      </c>
      <c r="S166" t="str">
        <f t="shared" si="29"/>
        <v>Robert Lopez</v>
      </c>
      <c r="T166" t="str">
        <f t="shared" si="30"/>
        <v>INR</v>
      </c>
      <c r="U166" s="7" t="str">
        <f t="shared" si="31"/>
        <v>ZAR</v>
      </c>
      <c r="V166" s="7" t="str">
        <f t="shared" si="32"/>
        <v>Canada</v>
      </c>
      <c r="W166" s="7" t="str">
        <f t="shared" si="33"/>
        <v>USA</v>
      </c>
      <c r="X166" s="7" t="str">
        <f t="shared" si="34"/>
        <v>External</v>
      </c>
      <c r="Y166" s="7">
        <f t="shared" si="35"/>
        <v>141.97</v>
      </c>
      <c r="Z166" s="7">
        <f t="shared" si="36"/>
        <v>85</v>
      </c>
      <c r="AA166" s="7">
        <f t="shared" si="37"/>
        <v>2024</v>
      </c>
      <c r="AB166" s="7">
        <f t="shared" si="38"/>
        <v>10</v>
      </c>
      <c r="AC166" s="7">
        <f t="shared" si="39"/>
        <v>1</v>
      </c>
      <c r="AD166" s="7" t="str">
        <f t="shared" si="40"/>
        <v>No</v>
      </c>
      <c r="AE166" s="7" t="str">
        <f t="shared" si="41"/>
        <v>Normal</v>
      </c>
    </row>
    <row r="167" spans="1:31">
      <c r="A167" t="s">
        <v>681</v>
      </c>
      <c r="B167">
        <v>25216804</v>
      </c>
      <c r="C167" t="s">
        <v>223</v>
      </c>
      <c r="D167" t="s">
        <v>682</v>
      </c>
      <c r="E167" t="s">
        <v>20</v>
      </c>
      <c r="F167" t="s">
        <v>98</v>
      </c>
      <c r="G167" t="s">
        <v>34</v>
      </c>
      <c r="H167" t="s">
        <v>103</v>
      </c>
      <c r="I167" t="s">
        <v>3376</v>
      </c>
      <c r="J167">
        <v>1244.3599999999999</v>
      </c>
      <c r="K167" t="s">
        <v>86</v>
      </c>
      <c r="L167" t="s">
        <v>48</v>
      </c>
      <c r="M167" s="1">
        <v>44509.172222222223</v>
      </c>
      <c r="N167">
        <v>72</v>
      </c>
      <c r="O167" t="s">
        <v>93</v>
      </c>
      <c r="P167" t="s">
        <v>24</v>
      </c>
      <c r="Q167" t="s">
        <v>683</v>
      </c>
      <c r="R167" t="str">
        <f t="shared" si="28"/>
        <v>Joseph Rodriguez</v>
      </c>
      <c r="S167" t="str">
        <f t="shared" si="29"/>
        <v>Karen Al-Sayed</v>
      </c>
      <c r="T167" t="str">
        <f t="shared" si="30"/>
        <v>JPY</v>
      </c>
      <c r="U167" s="7" t="str">
        <f t="shared" si="31"/>
        <v>CAD</v>
      </c>
      <c r="V167" s="7" t="str">
        <f t="shared" si="32"/>
        <v>USA</v>
      </c>
      <c r="W167" s="7" t="str">
        <f t="shared" si="33"/>
        <v>Brazil</v>
      </c>
      <c r="X167" s="7" t="str">
        <f t="shared" si="34"/>
        <v>Internal</v>
      </c>
      <c r="Y167" s="7">
        <f t="shared" si="35"/>
        <v>1244.3599999999999</v>
      </c>
      <c r="Z167" s="7">
        <f t="shared" si="36"/>
        <v>72</v>
      </c>
      <c r="AA167" s="7">
        <f t="shared" si="37"/>
        <v>2021</v>
      </c>
      <c r="AB167" s="7">
        <f t="shared" si="38"/>
        <v>11</v>
      </c>
      <c r="AC167" s="7">
        <f t="shared" si="39"/>
        <v>1</v>
      </c>
      <c r="AD167" s="7" t="str">
        <f t="shared" si="40"/>
        <v>No</v>
      </c>
      <c r="AE167" s="7" t="str">
        <f t="shared" si="41"/>
        <v>Normal</v>
      </c>
    </row>
    <row r="168" spans="1:31">
      <c r="A168" t="s">
        <v>684</v>
      </c>
      <c r="B168">
        <v>68416623</v>
      </c>
      <c r="C168" t="s">
        <v>685</v>
      </c>
      <c r="D168" t="s">
        <v>319</v>
      </c>
      <c r="E168" t="s">
        <v>20</v>
      </c>
      <c r="G168" t="s">
        <v>686</v>
      </c>
      <c r="H168" t="s">
        <v>25</v>
      </c>
      <c r="I168" t="s">
        <v>3376</v>
      </c>
      <c r="J168">
        <v>12326.07</v>
      </c>
      <c r="K168" t="s">
        <v>57</v>
      </c>
      <c r="L168" t="s">
        <v>81</v>
      </c>
      <c r="M168" s="1">
        <v>45799.921527777777</v>
      </c>
      <c r="N168">
        <v>73</v>
      </c>
      <c r="O168" t="s">
        <v>37</v>
      </c>
      <c r="P168" t="s">
        <v>68</v>
      </c>
      <c r="Q168" t="s">
        <v>687</v>
      </c>
      <c r="R168" t="str">
        <f t="shared" si="28"/>
        <v>Sanjay Khan</v>
      </c>
      <c r="S168" t="str">
        <f t="shared" si="29"/>
        <v>Robert Al-Sayed</v>
      </c>
      <c r="T168" t="str">
        <f t="shared" si="30"/>
        <v/>
      </c>
      <c r="U168" s="7" t="str">
        <f t="shared" si="31"/>
        <v>sgd</v>
      </c>
      <c r="V168" s="7" t="str">
        <f t="shared" si="32"/>
        <v>South Africa</v>
      </c>
      <c r="W168" s="7" t="str">
        <f t="shared" si="33"/>
        <v>UAE</v>
      </c>
      <c r="X168" s="7" t="str">
        <f t="shared" si="34"/>
        <v>Internal</v>
      </c>
      <c r="Y168" s="7">
        <f t="shared" si="35"/>
        <v>12326.07</v>
      </c>
      <c r="Z168" s="7">
        <f t="shared" si="36"/>
        <v>73</v>
      </c>
      <c r="AA168" s="7">
        <f t="shared" si="37"/>
        <v>2025</v>
      </c>
      <c r="AB168" s="7">
        <f t="shared" si="38"/>
        <v>5</v>
      </c>
      <c r="AC168" s="7">
        <f t="shared" si="39"/>
        <v>1</v>
      </c>
      <c r="AD168" s="7" t="str">
        <f t="shared" si="40"/>
        <v>No</v>
      </c>
      <c r="AE168" s="7" t="str">
        <f t="shared" si="41"/>
        <v>Normal</v>
      </c>
    </row>
    <row r="169" spans="1:31">
      <c r="A169" t="s">
        <v>688</v>
      </c>
      <c r="B169">
        <v>18487605</v>
      </c>
      <c r="C169" t="s">
        <v>689</v>
      </c>
      <c r="D169" t="s">
        <v>690</v>
      </c>
      <c r="E169" t="s">
        <v>33</v>
      </c>
      <c r="F169" t="s">
        <v>35</v>
      </c>
      <c r="G169" t="s">
        <v>34</v>
      </c>
      <c r="H169" t="s">
        <v>56</v>
      </c>
      <c r="I169" t="s">
        <v>3372</v>
      </c>
      <c r="J169">
        <v>5932.75</v>
      </c>
      <c r="K169" t="s">
        <v>86</v>
      </c>
      <c r="L169" t="s">
        <v>81</v>
      </c>
      <c r="M169" s="1">
        <v>44819.634027777778</v>
      </c>
      <c r="N169">
        <v>34</v>
      </c>
      <c r="O169" t="s">
        <v>36</v>
      </c>
      <c r="P169" t="s">
        <v>24</v>
      </c>
      <c r="Q169" t="s">
        <v>691</v>
      </c>
      <c r="R169" t="str">
        <f t="shared" si="28"/>
        <v>Jean-Pierre Al-Sayed</v>
      </c>
      <c r="S169" t="str">
        <f t="shared" si="29"/>
        <v>Christopher Johnson</v>
      </c>
      <c r="T169" t="str">
        <f t="shared" si="30"/>
        <v>EUR</v>
      </c>
      <c r="U169" s="7" t="str">
        <f t="shared" si="31"/>
        <v>CAD</v>
      </c>
      <c r="V169" s="7" t="str">
        <f t="shared" si="32"/>
        <v>Germany</v>
      </c>
      <c r="W169" s="7" t="str">
        <f t="shared" si="33"/>
        <v>Brazil</v>
      </c>
      <c r="X169" s="7" t="str">
        <f t="shared" si="34"/>
        <v>Outer-Transaction</v>
      </c>
      <c r="Y169" s="7">
        <f t="shared" si="35"/>
        <v>5932.75</v>
      </c>
      <c r="Z169" s="7">
        <f t="shared" si="36"/>
        <v>34</v>
      </c>
      <c r="AA169" s="7">
        <f t="shared" si="37"/>
        <v>2022</v>
      </c>
      <c r="AB169" s="7">
        <f t="shared" si="38"/>
        <v>9</v>
      </c>
      <c r="AC169" s="7">
        <f t="shared" si="39"/>
        <v>1</v>
      </c>
      <c r="AD169" s="7" t="str">
        <f t="shared" si="40"/>
        <v>No</v>
      </c>
      <c r="AE169" s="7" t="str">
        <f t="shared" si="41"/>
        <v>Normal</v>
      </c>
    </row>
    <row r="170" spans="1:31">
      <c r="A170" t="s">
        <v>692</v>
      </c>
      <c r="B170">
        <v>96965116</v>
      </c>
      <c r="C170" t="s">
        <v>693</v>
      </c>
      <c r="D170" t="s">
        <v>694</v>
      </c>
      <c r="E170" t="s">
        <v>20</v>
      </c>
      <c r="F170" t="s">
        <v>99</v>
      </c>
      <c r="G170" t="s">
        <v>80</v>
      </c>
      <c r="I170" t="s">
        <v>3374</v>
      </c>
      <c r="J170">
        <v>13554.16</v>
      </c>
      <c r="K170" t="s">
        <v>57</v>
      </c>
      <c r="L170" t="s">
        <v>48</v>
      </c>
      <c r="M170" s="1">
        <v>44936.537499999999</v>
      </c>
      <c r="N170">
        <v>55</v>
      </c>
      <c r="O170" t="s">
        <v>36</v>
      </c>
      <c r="P170" t="s">
        <v>55</v>
      </c>
      <c r="Q170" t="s">
        <v>695</v>
      </c>
      <c r="R170" t="str">
        <f t="shared" si="28"/>
        <v>Susan Smith</v>
      </c>
      <c r="S170" t="str">
        <f t="shared" si="29"/>
        <v>Karen Malik</v>
      </c>
      <c r="T170" t="str">
        <f t="shared" si="30"/>
        <v>eur</v>
      </c>
      <c r="U170" s="7" t="str">
        <f t="shared" si="31"/>
        <v>USD</v>
      </c>
      <c r="V170" s="7" t="str">
        <f t="shared" si="32"/>
        <v>Germany</v>
      </c>
      <c r="W170" s="7" t="str">
        <f t="shared" si="33"/>
        <v>UK</v>
      </c>
      <c r="X170" s="7" t="str">
        <f t="shared" si="34"/>
        <v>External</v>
      </c>
      <c r="Y170" s="7">
        <f t="shared" si="35"/>
        <v>13554.16</v>
      </c>
      <c r="Z170" s="7">
        <f t="shared" si="36"/>
        <v>55</v>
      </c>
      <c r="AA170" s="7">
        <f t="shared" si="37"/>
        <v>2023</v>
      </c>
      <c r="AB170" s="7">
        <f t="shared" si="38"/>
        <v>1</v>
      </c>
      <c r="AC170" s="7">
        <f t="shared" si="39"/>
        <v>1</v>
      </c>
      <c r="AD170" s="7" t="str">
        <f t="shared" si="40"/>
        <v>No</v>
      </c>
      <c r="AE170" s="7" t="str">
        <f t="shared" si="41"/>
        <v>Normal</v>
      </c>
    </row>
    <row r="171" spans="1:31">
      <c r="A171" t="s">
        <v>696</v>
      </c>
      <c r="B171">
        <v>86140729</v>
      </c>
      <c r="C171" t="s">
        <v>697</v>
      </c>
      <c r="D171" t="s">
        <v>139</v>
      </c>
      <c r="E171">
        <v>0</v>
      </c>
      <c r="F171" t="s">
        <v>98</v>
      </c>
      <c r="G171" t="s">
        <v>44</v>
      </c>
      <c r="H171" t="s">
        <v>38</v>
      </c>
      <c r="I171" t="s">
        <v>3372</v>
      </c>
      <c r="J171">
        <v>14273.58</v>
      </c>
      <c r="K171" t="s">
        <v>57</v>
      </c>
      <c r="L171" t="s">
        <v>48</v>
      </c>
      <c r="M171" s="1">
        <v>46306.863888888889</v>
      </c>
      <c r="N171">
        <v>41</v>
      </c>
      <c r="O171" t="s">
        <v>24</v>
      </c>
      <c r="P171" t="s">
        <v>23</v>
      </c>
      <c r="Q171" t="s">
        <v>698</v>
      </c>
      <c r="R171" t="str">
        <f t="shared" si="28"/>
        <v>Zayn Johnson</v>
      </c>
      <c r="S171" t="str">
        <f t="shared" si="29"/>
        <v>Zayn Dubois</v>
      </c>
      <c r="T171" t="str">
        <f t="shared" si="30"/>
        <v>JPY</v>
      </c>
      <c r="U171" s="7" t="str">
        <f t="shared" si="31"/>
        <v>SGD</v>
      </c>
      <c r="V171" s="7" t="str">
        <f t="shared" si="32"/>
        <v>Brazil</v>
      </c>
      <c r="W171" s="7" t="str">
        <f t="shared" si="33"/>
        <v>France</v>
      </c>
      <c r="X171" s="7" t="str">
        <f t="shared" si="34"/>
        <v>Outer-Transaction</v>
      </c>
      <c r="Y171" s="7">
        <f t="shared" si="35"/>
        <v>14273.58</v>
      </c>
      <c r="Z171" s="7">
        <f t="shared" si="36"/>
        <v>41</v>
      </c>
      <c r="AA171" s="7">
        <f t="shared" si="37"/>
        <v>2026</v>
      </c>
      <c r="AB171" s="7">
        <f t="shared" si="38"/>
        <v>10</v>
      </c>
      <c r="AC171" s="7">
        <f t="shared" si="39"/>
        <v>1</v>
      </c>
      <c r="AD171" s="7" t="str">
        <f t="shared" si="40"/>
        <v>No</v>
      </c>
      <c r="AE171" s="7" t="str">
        <f t="shared" si="41"/>
        <v>Normal</v>
      </c>
    </row>
    <row r="172" spans="1:31">
      <c r="A172" t="s">
        <v>699</v>
      </c>
      <c r="B172">
        <v>88405961</v>
      </c>
      <c r="C172" t="s">
        <v>700</v>
      </c>
      <c r="D172" t="s">
        <v>701</v>
      </c>
      <c r="E172" t="s">
        <v>3375</v>
      </c>
      <c r="F172" t="s">
        <v>160</v>
      </c>
      <c r="G172" t="s">
        <v>21</v>
      </c>
      <c r="H172" t="s">
        <v>103</v>
      </c>
      <c r="I172" t="s">
        <v>3371</v>
      </c>
      <c r="J172">
        <v>10196.91</v>
      </c>
      <c r="K172" t="s">
        <v>57</v>
      </c>
      <c r="L172" t="s">
        <v>81</v>
      </c>
      <c r="M172" s="1">
        <v>45438.199305555558</v>
      </c>
      <c r="N172">
        <v>28</v>
      </c>
      <c r="O172" t="s">
        <v>54</v>
      </c>
      <c r="P172" t="s">
        <v>36</v>
      </c>
      <c r="Q172" t="s">
        <v>702</v>
      </c>
      <c r="R172" t="str">
        <f t="shared" si="28"/>
        <v>Michael Jackson</v>
      </c>
      <c r="S172" t="str">
        <f t="shared" si="29"/>
        <v>Christopher Lopez</v>
      </c>
      <c r="T172" t="str">
        <f t="shared" si="30"/>
        <v>aud</v>
      </c>
      <c r="U172" s="7" t="str">
        <f t="shared" si="31"/>
        <v>GBP</v>
      </c>
      <c r="V172" s="7" t="str">
        <f t="shared" si="32"/>
        <v>India</v>
      </c>
      <c r="W172" s="7" t="str">
        <f t="shared" si="33"/>
        <v>Germany</v>
      </c>
      <c r="X172" s="7" t="str">
        <f t="shared" si="34"/>
        <v>Outer-Transaction</v>
      </c>
      <c r="Y172" s="7">
        <f t="shared" si="35"/>
        <v>10196.91</v>
      </c>
      <c r="Z172" s="7">
        <f t="shared" si="36"/>
        <v>28</v>
      </c>
      <c r="AA172" s="7">
        <f t="shared" si="37"/>
        <v>2024</v>
      </c>
      <c r="AB172" s="7">
        <f t="shared" si="38"/>
        <v>5</v>
      </c>
      <c r="AC172" s="7">
        <f t="shared" si="39"/>
        <v>1</v>
      </c>
      <c r="AD172" s="7" t="str">
        <f t="shared" si="40"/>
        <v>No</v>
      </c>
      <c r="AE172" s="7" t="str">
        <f t="shared" si="41"/>
        <v>Normal</v>
      </c>
    </row>
    <row r="173" spans="1:31">
      <c r="A173" t="s">
        <v>703</v>
      </c>
      <c r="B173">
        <v>28790705</v>
      </c>
      <c r="C173" t="s">
        <v>704</v>
      </c>
      <c r="D173" t="s">
        <v>705</v>
      </c>
      <c r="E173" t="s">
        <v>33</v>
      </c>
      <c r="F173" t="s">
        <v>45</v>
      </c>
      <c r="G173" t="s">
        <v>35</v>
      </c>
      <c r="H173" t="s">
        <v>38</v>
      </c>
      <c r="I173" t="s">
        <v>3372</v>
      </c>
      <c r="J173">
        <v>11540.31</v>
      </c>
      <c r="K173" t="s">
        <v>47</v>
      </c>
      <c r="L173" t="s">
        <v>28</v>
      </c>
      <c r="M173" s="1">
        <v>45333.453472222223</v>
      </c>
      <c r="N173">
        <v>33</v>
      </c>
      <c r="O173" t="s">
        <v>127</v>
      </c>
      <c r="P173" t="s">
        <v>127</v>
      </c>
      <c r="Q173" t="s">
        <v>706</v>
      </c>
      <c r="R173" t="str">
        <f t="shared" si="28"/>
        <v>Carlos Moore</v>
      </c>
      <c r="S173" t="str">
        <f t="shared" si="29"/>
        <v>William Rodriguez</v>
      </c>
      <c r="T173" t="str">
        <f t="shared" si="30"/>
        <v>ZAR</v>
      </c>
      <c r="U173" s="7" t="str">
        <f t="shared" si="31"/>
        <v>EUR</v>
      </c>
      <c r="V173" s="7" t="str">
        <f t="shared" si="32"/>
        <v>Canada</v>
      </c>
      <c r="W173" s="7" t="str">
        <f t="shared" si="33"/>
        <v>Canada</v>
      </c>
      <c r="X173" s="7" t="str">
        <f t="shared" si="34"/>
        <v>Outer-Transaction</v>
      </c>
      <c r="Y173" s="7">
        <f t="shared" si="35"/>
        <v>11540.31</v>
      </c>
      <c r="Z173" s="7">
        <f t="shared" si="36"/>
        <v>33</v>
      </c>
      <c r="AA173" s="7">
        <f t="shared" si="37"/>
        <v>2024</v>
      </c>
      <c r="AB173" s="7">
        <f t="shared" si="38"/>
        <v>2</v>
      </c>
      <c r="AC173" s="7">
        <f t="shared" si="39"/>
        <v>1</v>
      </c>
      <c r="AD173" s="7" t="str">
        <f t="shared" si="40"/>
        <v>No</v>
      </c>
      <c r="AE173" s="7" t="str">
        <f t="shared" si="41"/>
        <v>Normal</v>
      </c>
    </row>
    <row r="174" spans="1:31">
      <c r="A174" t="s">
        <v>707</v>
      </c>
      <c r="B174">
        <v>49057246</v>
      </c>
      <c r="C174" t="s">
        <v>708</v>
      </c>
      <c r="D174" t="s">
        <v>709</v>
      </c>
      <c r="E174" t="s">
        <v>20</v>
      </c>
      <c r="F174" t="s">
        <v>393</v>
      </c>
      <c r="G174" t="s">
        <v>98</v>
      </c>
      <c r="H174" t="s">
        <v>38</v>
      </c>
      <c r="I174" t="s">
        <v>3371</v>
      </c>
      <c r="J174">
        <v>6698.84</v>
      </c>
      <c r="K174" t="s">
        <v>47</v>
      </c>
      <c r="L174" t="s">
        <v>48</v>
      </c>
      <c r="M174" s="1">
        <v>45620.175000000003</v>
      </c>
      <c r="N174">
        <v>76</v>
      </c>
      <c r="O174" t="s">
        <v>68</v>
      </c>
      <c r="P174" t="s">
        <v>68</v>
      </c>
      <c r="Q174" t="s">
        <v>710</v>
      </c>
      <c r="R174" t="str">
        <f t="shared" si="28"/>
        <v>Michael Anderson</v>
      </c>
      <c r="S174" t="str">
        <f t="shared" si="29"/>
        <v>Charles Taylor</v>
      </c>
      <c r="T174" t="str">
        <f t="shared" si="30"/>
        <v>cad</v>
      </c>
      <c r="U174" s="7" t="str">
        <f t="shared" si="31"/>
        <v>JPY</v>
      </c>
      <c r="V174" s="7" t="str">
        <f t="shared" si="32"/>
        <v>UAE</v>
      </c>
      <c r="W174" s="7" t="str">
        <f t="shared" si="33"/>
        <v>UAE</v>
      </c>
      <c r="X174" s="7" t="str">
        <f t="shared" si="34"/>
        <v>Outer-Transaction</v>
      </c>
      <c r="Y174" s="7">
        <f t="shared" si="35"/>
        <v>6698.84</v>
      </c>
      <c r="Z174" s="7">
        <f t="shared" si="36"/>
        <v>76</v>
      </c>
      <c r="AA174" s="7">
        <f t="shared" si="37"/>
        <v>2024</v>
      </c>
      <c r="AB174" s="7">
        <f t="shared" si="38"/>
        <v>11</v>
      </c>
      <c r="AC174" s="7">
        <f t="shared" si="39"/>
        <v>1</v>
      </c>
      <c r="AD174" s="7" t="str">
        <f t="shared" si="40"/>
        <v>No</v>
      </c>
      <c r="AE174" s="7" t="str">
        <f t="shared" si="41"/>
        <v>Normal</v>
      </c>
    </row>
    <row r="175" spans="1:31">
      <c r="A175" t="s">
        <v>711</v>
      </c>
      <c r="B175">
        <v>58486337</v>
      </c>
      <c r="C175" t="s">
        <v>179</v>
      </c>
      <c r="D175" t="s">
        <v>712</v>
      </c>
      <c r="E175" t="s">
        <v>3373</v>
      </c>
      <c r="F175" t="s">
        <v>80</v>
      </c>
      <c r="G175" t="s">
        <v>45</v>
      </c>
      <c r="H175" t="s">
        <v>103</v>
      </c>
      <c r="I175" t="s">
        <v>3376</v>
      </c>
      <c r="J175">
        <v>8169.81</v>
      </c>
      <c r="K175" t="s">
        <v>47</v>
      </c>
      <c r="L175" t="s">
        <v>81</v>
      </c>
      <c r="M175" s="1">
        <v>45016.433333333334</v>
      </c>
      <c r="N175">
        <v>20</v>
      </c>
      <c r="O175" t="s">
        <v>36</v>
      </c>
      <c r="P175" t="s">
        <v>24</v>
      </c>
      <c r="Q175" t="s">
        <v>713</v>
      </c>
      <c r="R175" t="str">
        <f t="shared" si="28"/>
        <v>Joseph Thomas</v>
      </c>
      <c r="S175" t="str">
        <f t="shared" si="29"/>
        <v>Priya Anderson</v>
      </c>
      <c r="T175" t="str">
        <f t="shared" si="30"/>
        <v>USD</v>
      </c>
      <c r="U175" s="7" t="str">
        <f t="shared" si="31"/>
        <v>ZAR</v>
      </c>
      <c r="V175" s="7" t="str">
        <f t="shared" si="32"/>
        <v>Germany</v>
      </c>
      <c r="W175" s="7" t="str">
        <f t="shared" si="33"/>
        <v>Brazil</v>
      </c>
      <c r="X175" s="7" t="str">
        <f t="shared" si="34"/>
        <v>Internal</v>
      </c>
      <c r="Y175" s="7">
        <f t="shared" si="35"/>
        <v>8169.81</v>
      </c>
      <c r="Z175" s="7">
        <f t="shared" si="36"/>
        <v>20</v>
      </c>
      <c r="AA175" s="7">
        <f t="shared" si="37"/>
        <v>2023</v>
      </c>
      <c r="AB175" s="7">
        <f t="shared" si="38"/>
        <v>3</v>
      </c>
      <c r="AC175" s="7">
        <f t="shared" si="39"/>
        <v>1</v>
      </c>
      <c r="AD175" s="7" t="str">
        <f t="shared" si="40"/>
        <v>No</v>
      </c>
      <c r="AE175" s="7" t="str">
        <f t="shared" si="41"/>
        <v>Normal</v>
      </c>
    </row>
    <row r="176" spans="1:31">
      <c r="A176" t="s">
        <v>714</v>
      </c>
      <c r="B176">
        <v>57365168</v>
      </c>
      <c r="C176" t="s">
        <v>192</v>
      </c>
      <c r="D176" t="s">
        <v>715</v>
      </c>
      <c r="E176" t="s">
        <v>3375</v>
      </c>
      <c r="F176" t="s">
        <v>116</v>
      </c>
      <c r="G176" t="s">
        <v>80</v>
      </c>
      <c r="H176" t="s">
        <v>74</v>
      </c>
      <c r="I176" t="s">
        <v>3371</v>
      </c>
      <c r="J176">
        <v>2811.72</v>
      </c>
      <c r="K176" t="s">
        <v>57</v>
      </c>
      <c r="L176" t="s">
        <v>28</v>
      </c>
      <c r="M176" s="1">
        <v>44762.773611111108</v>
      </c>
      <c r="N176">
        <v>37</v>
      </c>
      <c r="O176" t="s">
        <v>127</v>
      </c>
      <c r="P176" t="s">
        <v>54</v>
      </c>
      <c r="Q176" t="s">
        <v>716</v>
      </c>
      <c r="R176" t="str">
        <f t="shared" si="28"/>
        <v>Amir Malik</v>
      </c>
      <c r="S176" t="str">
        <f t="shared" si="29"/>
        <v>Susan Thomas</v>
      </c>
      <c r="T176" t="str">
        <f t="shared" si="30"/>
        <v>CHF</v>
      </c>
      <c r="U176" s="7" t="str">
        <f t="shared" si="31"/>
        <v>USD</v>
      </c>
      <c r="V176" s="7" t="str">
        <f t="shared" si="32"/>
        <v>Canada</v>
      </c>
      <c r="W176" s="7" t="str">
        <f t="shared" si="33"/>
        <v>India</v>
      </c>
      <c r="X176" s="7" t="str">
        <f t="shared" si="34"/>
        <v>Outer-Transaction</v>
      </c>
      <c r="Y176" s="7">
        <f t="shared" si="35"/>
        <v>2811.72</v>
      </c>
      <c r="Z176" s="7">
        <f t="shared" si="36"/>
        <v>37</v>
      </c>
      <c r="AA176" s="7">
        <f t="shared" si="37"/>
        <v>2022</v>
      </c>
      <c r="AB176" s="7">
        <f t="shared" si="38"/>
        <v>7</v>
      </c>
      <c r="AC176" s="7">
        <f t="shared" si="39"/>
        <v>2</v>
      </c>
      <c r="AD176" s="7" t="str">
        <f t="shared" si="40"/>
        <v>No</v>
      </c>
      <c r="AE176" s="7" t="str">
        <f t="shared" si="41"/>
        <v>Normal</v>
      </c>
    </row>
    <row r="177" spans="1:31">
      <c r="A177" t="s">
        <v>717</v>
      </c>
      <c r="B177">
        <v>65149958</v>
      </c>
      <c r="C177" t="s">
        <v>718</v>
      </c>
      <c r="D177" t="s">
        <v>719</v>
      </c>
      <c r="E177" t="s">
        <v>20</v>
      </c>
      <c r="F177" t="s">
        <v>21</v>
      </c>
      <c r="G177" t="s">
        <v>21</v>
      </c>
      <c r="H177" t="s">
        <v>74</v>
      </c>
      <c r="I177" t="s">
        <v>3376</v>
      </c>
      <c r="J177">
        <v>14373.99</v>
      </c>
      <c r="K177" t="s">
        <v>27</v>
      </c>
      <c r="L177" t="s">
        <v>28</v>
      </c>
      <c r="M177" s="1">
        <v>45256.609722222223</v>
      </c>
      <c r="N177">
        <v>76</v>
      </c>
      <c r="O177" t="s">
        <v>93</v>
      </c>
      <c r="P177" t="s">
        <v>55</v>
      </c>
      <c r="Q177" t="s">
        <v>720</v>
      </c>
      <c r="R177" t="str">
        <f t="shared" si="28"/>
        <v>JOHN DAVIS</v>
      </c>
      <c r="S177" t="str">
        <f t="shared" si="29"/>
        <v>Mary Jones</v>
      </c>
      <c r="T177" t="str">
        <f t="shared" si="30"/>
        <v>GBP</v>
      </c>
      <c r="U177" s="7" t="str">
        <f t="shared" si="31"/>
        <v>GBP</v>
      </c>
      <c r="V177" s="7" t="str">
        <f t="shared" si="32"/>
        <v>USA</v>
      </c>
      <c r="W177" s="7" t="str">
        <f t="shared" si="33"/>
        <v>UK</v>
      </c>
      <c r="X177" s="7" t="str">
        <f t="shared" si="34"/>
        <v>Internal</v>
      </c>
      <c r="Y177" s="7">
        <f t="shared" si="35"/>
        <v>14373.99</v>
      </c>
      <c r="Z177" s="7">
        <f t="shared" si="36"/>
        <v>76</v>
      </c>
      <c r="AA177" s="7">
        <f t="shared" si="37"/>
        <v>2023</v>
      </c>
      <c r="AB177" s="7">
        <f t="shared" si="38"/>
        <v>11</v>
      </c>
      <c r="AC177" s="7">
        <f t="shared" si="39"/>
        <v>1</v>
      </c>
      <c r="AD177" s="7" t="str">
        <f t="shared" si="40"/>
        <v>No</v>
      </c>
      <c r="AE177" s="7" t="str">
        <f t="shared" si="41"/>
        <v>Normal</v>
      </c>
    </row>
    <row r="178" spans="1:31">
      <c r="A178" t="s">
        <v>721</v>
      </c>
      <c r="B178">
        <v>88201440</v>
      </c>
      <c r="C178" t="s">
        <v>196</v>
      </c>
      <c r="D178" t="s">
        <v>383</v>
      </c>
      <c r="E178" t="s">
        <v>20</v>
      </c>
      <c r="F178" t="s">
        <v>53</v>
      </c>
      <c r="G178" t="s">
        <v>21</v>
      </c>
      <c r="H178" t="s">
        <v>56</v>
      </c>
      <c r="I178" t="s">
        <v>3371</v>
      </c>
      <c r="J178">
        <v>1637.47</v>
      </c>
      <c r="K178" t="s">
        <v>47</v>
      </c>
      <c r="L178" t="s">
        <v>81</v>
      </c>
      <c r="M178" s="1">
        <v>44892.275694444441</v>
      </c>
      <c r="N178">
        <v>53</v>
      </c>
      <c r="O178" t="s">
        <v>23</v>
      </c>
      <c r="P178" t="s">
        <v>54</v>
      </c>
      <c r="Q178" t="s">
        <v>722</v>
      </c>
      <c r="R178" t="str">
        <f t="shared" si="28"/>
        <v>Amir Dubois</v>
      </c>
      <c r="S178" t="str">
        <f t="shared" si="29"/>
        <v>Linda Martin</v>
      </c>
      <c r="T178" t="str">
        <f t="shared" si="30"/>
        <v>AED</v>
      </c>
      <c r="U178" s="7" t="str">
        <f t="shared" si="31"/>
        <v>GBP</v>
      </c>
      <c r="V178" s="7" t="str">
        <f t="shared" si="32"/>
        <v>France</v>
      </c>
      <c r="W178" s="7" t="str">
        <f t="shared" si="33"/>
        <v>India</v>
      </c>
      <c r="X178" s="7" t="str">
        <f t="shared" si="34"/>
        <v>Outer-Transaction</v>
      </c>
      <c r="Y178" s="7">
        <f t="shared" si="35"/>
        <v>1637.47</v>
      </c>
      <c r="Z178" s="7">
        <f t="shared" si="36"/>
        <v>53</v>
      </c>
      <c r="AA178" s="7">
        <f t="shared" si="37"/>
        <v>2022</v>
      </c>
      <c r="AB178" s="7">
        <f t="shared" si="38"/>
        <v>11</v>
      </c>
      <c r="AC178" s="7">
        <f t="shared" si="39"/>
        <v>1</v>
      </c>
      <c r="AD178" s="7" t="str">
        <f t="shared" si="40"/>
        <v>No</v>
      </c>
      <c r="AE178" s="7" t="str">
        <f t="shared" si="41"/>
        <v>Normal</v>
      </c>
    </row>
    <row r="179" spans="1:31">
      <c r="A179" t="s">
        <v>723</v>
      </c>
      <c r="B179">
        <v>22507745</v>
      </c>
      <c r="C179" t="s">
        <v>724</v>
      </c>
      <c r="D179" t="s">
        <v>725</v>
      </c>
      <c r="E179" t="s">
        <v>20</v>
      </c>
      <c r="F179" t="s">
        <v>80</v>
      </c>
      <c r="G179" t="s">
        <v>45</v>
      </c>
      <c r="H179" t="s">
        <v>74</v>
      </c>
      <c r="I179" t="s">
        <v>3372</v>
      </c>
      <c r="J179">
        <v>11845.44</v>
      </c>
      <c r="K179" t="s">
        <v>39</v>
      </c>
      <c r="L179" t="s">
        <v>75</v>
      </c>
      <c r="M179" s="1">
        <v>45809.113888888889</v>
      </c>
      <c r="N179">
        <v>36</v>
      </c>
      <c r="O179" t="s">
        <v>54</v>
      </c>
      <c r="P179" t="s">
        <v>127</v>
      </c>
      <c r="Q179" t="s">
        <v>726</v>
      </c>
      <c r="R179" t="str">
        <f t="shared" si="28"/>
        <v>SARAH VELEZ</v>
      </c>
      <c r="S179" t="str">
        <f t="shared" si="29"/>
        <v>Michael Volkov</v>
      </c>
      <c r="T179" t="str">
        <f t="shared" si="30"/>
        <v>USD</v>
      </c>
      <c r="U179" s="7" t="str">
        <f t="shared" si="31"/>
        <v>ZAR</v>
      </c>
      <c r="V179" s="7" t="str">
        <f t="shared" si="32"/>
        <v>India</v>
      </c>
      <c r="W179" s="7" t="str">
        <f t="shared" si="33"/>
        <v>Canada</v>
      </c>
      <c r="X179" s="7" t="str">
        <f t="shared" si="34"/>
        <v>Outer-Transaction</v>
      </c>
      <c r="Y179" s="7">
        <f t="shared" si="35"/>
        <v>11845.44</v>
      </c>
      <c r="Z179" s="7">
        <f t="shared" si="36"/>
        <v>36</v>
      </c>
      <c r="AA179" s="7">
        <f t="shared" si="37"/>
        <v>2025</v>
      </c>
      <c r="AB179" s="7">
        <f t="shared" si="38"/>
        <v>6</v>
      </c>
      <c r="AC179" s="7">
        <f t="shared" si="39"/>
        <v>1</v>
      </c>
      <c r="AD179" s="7" t="str">
        <f t="shared" si="40"/>
        <v>No</v>
      </c>
      <c r="AE179" s="7" t="str">
        <f t="shared" si="41"/>
        <v>High Risk</v>
      </c>
    </row>
    <row r="180" spans="1:31">
      <c r="A180" t="s">
        <v>727</v>
      </c>
      <c r="B180">
        <v>44601998</v>
      </c>
      <c r="C180" t="s">
        <v>728</v>
      </c>
      <c r="D180" t="s">
        <v>335</v>
      </c>
      <c r="E180" t="s">
        <v>3375</v>
      </c>
      <c r="F180" t="s">
        <v>116</v>
      </c>
      <c r="G180" t="s">
        <v>98</v>
      </c>
      <c r="H180" t="s">
        <v>103</v>
      </c>
      <c r="I180" t="s">
        <v>3377</v>
      </c>
      <c r="J180">
        <v>2330.13</v>
      </c>
      <c r="K180" t="s">
        <v>27</v>
      </c>
      <c r="L180" t="s">
        <v>75</v>
      </c>
      <c r="M180" s="1">
        <v>46271.275000000001</v>
      </c>
      <c r="N180">
        <v>84</v>
      </c>
      <c r="O180" t="s">
        <v>55</v>
      </c>
      <c r="P180" t="s">
        <v>68</v>
      </c>
      <c r="Q180" t="s">
        <v>729</v>
      </c>
      <c r="R180" t="str">
        <f t="shared" si="28"/>
        <v>William Smith</v>
      </c>
      <c r="S180" t="str">
        <f t="shared" si="29"/>
        <v>Elena Al-Sayed</v>
      </c>
      <c r="T180" t="str">
        <f t="shared" si="30"/>
        <v>CHF</v>
      </c>
      <c r="U180" s="7" t="str">
        <f t="shared" si="31"/>
        <v>JPY</v>
      </c>
      <c r="V180" s="7" t="str">
        <f t="shared" si="32"/>
        <v>UK</v>
      </c>
      <c r="W180" s="7" t="str">
        <f t="shared" si="33"/>
        <v>UAE</v>
      </c>
      <c r="X180" s="7" t="str">
        <f t="shared" si="34"/>
        <v>Inter-Transaction</v>
      </c>
      <c r="Y180" s="7">
        <f t="shared" si="35"/>
        <v>2330.13</v>
      </c>
      <c r="Z180" s="7">
        <f t="shared" si="36"/>
        <v>84</v>
      </c>
      <c r="AA180" s="7">
        <f t="shared" si="37"/>
        <v>2026</v>
      </c>
      <c r="AB180" s="7">
        <f t="shared" si="38"/>
        <v>9</v>
      </c>
      <c r="AC180" s="7">
        <f t="shared" si="39"/>
        <v>1</v>
      </c>
      <c r="AD180" s="7" t="str">
        <f t="shared" si="40"/>
        <v>No</v>
      </c>
      <c r="AE180" s="7" t="str">
        <f t="shared" si="41"/>
        <v>High Risk</v>
      </c>
    </row>
    <row r="181" spans="1:31">
      <c r="A181" t="s">
        <v>730</v>
      </c>
      <c r="B181">
        <v>84834795</v>
      </c>
      <c r="C181" t="s">
        <v>731</v>
      </c>
      <c r="D181" t="s">
        <v>353</v>
      </c>
      <c r="E181" t="s">
        <v>20</v>
      </c>
      <c r="F181" t="s">
        <v>53</v>
      </c>
      <c r="G181" t="s">
        <v>53</v>
      </c>
      <c r="H181" t="s">
        <v>25</v>
      </c>
      <c r="I181" t="s">
        <v>3374</v>
      </c>
      <c r="J181">
        <v>3454.27</v>
      </c>
      <c r="K181" t="s">
        <v>47</v>
      </c>
      <c r="L181" t="s">
        <v>28</v>
      </c>
      <c r="M181" s="1">
        <v>45873.950694444444</v>
      </c>
      <c r="N181">
        <v>36</v>
      </c>
      <c r="O181" t="s">
        <v>127</v>
      </c>
      <c r="P181" t="s">
        <v>55</v>
      </c>
      <c r="Q181" t="s">
        <v>732</v>
      </c>
      <c r="R181" t="str">
        <f t="shared" si="28"/>
        <v>Sarah Garcia</v>
      </c>
      <c r="S181" t="str">
        <f t="shared" si="29"/>
        <v>Susan Moore</v>
      </c>
      <c r="T181" t="str">
        <f t="shared" si="30"/>
        <v>AED</v>
      </c>
      <c r="U181" s="7" t="str">
        <f t="shared" si="31"/>
        <v>AED</v>
      </c>
      <c r="V181" s="7" t="str">
        <f t="shared" si="32"/>
        <v>Canada</v>
      </c>
      <c r="W181" s="7" t="str">
        <f t="shared" si="33"/>
        <v>UK</v>
      </c>
      <c r="X181" s="7" t="str">
        <f t="shared" si="34"/>
        <v>External</v>
      </c>
      <c r="Y181" s="7">
        <f t="shared" si="35"/>
        <v>3454.27</v>
      </c>
      <c r="Z181" s="7">
        <f t="shared" si="36"/>
        <v>36</v>
      </c>
      <c r="AA181" s="7">
        <f t="shared" si="37"/>
        <v>2025</v>
      </c>
      <c r="AB181" s="7">
        <f t="shared" si="38"/>
        <v>8</v>
      </c>
      <c r="AC181" s="7">
        <f t="shared" si="39"/>
        <v>1</v>
      </c>
      <c r="AD181" s="7" t="str">
        <f t="shared" si="40"/>
        <v>No</v>
      </c>
      <c r="AE181" s="7" t="str">
        <f t="shared" si="41"/>
        <v>Normal</v>
      </c>
    </row>
    <row r="182" spans="1:31">
      <c r="A182" t="s">
        <v>733</v>
      </c>
      <c r="B182">
        <v>95345915</v>
      </c>
      <c r="C182" t="s">
        <v>734</v>
      </c>
      <c r="D182" t="s">
        <v>735</v>
      </c>
      <c r="E182" t="s">
        <v>20</v>
      </c>
      <c r="F182" t="s">
        <v>116</v>
      </c>
      <c r="G182" t="s">
        <v>92</v>
      </c>
      <c r="H182" t="s">
        <v>56</v>
      </c>
      <c r="I182" t="s">
        <v>3376</v>
      </c>
      <c r="J182">
        <v>9846.07</v>
      </c>
      <c r="K182" t="s">
        <v>57</v>
      </c>
      <c r="L182" t="s">
        <v>28</v>
      </c>
      <c r="M182" s="1">
        <v>46372.879861111112</v>
      </c>
      <c r="N182">
        <v>37</v>
      </c>
      <c r="O182" t="s">
        <v>93</v>
      </c>
      <c r="P182" t="s">
        <v>68</v>
      </c>
      <c r="Q182" t="s">
        <v>736</v>
      </c>
      <c r="R182" t="str">
        <f t="shared" si="28"/>
        <v>John Silva</v>
      </c>
      <c r="S182" t="str">
        <f t="shared" si="29"/>
        <v>Robert Khan</v>
      </c>
      <c r="T182" t="str">
        <f t="shared" si="30"/>
        <v>CHF</v>
      </c>
      <c r="U182" s="7" t="str">
        <f t="shared" si="31"/>
        <v>AUD</v>
      </c>
      <c r="V182" s="7" t="str">
        <f t="shared" si="32"/>
        <v>USA</v>
      </c>
      <c r="W182" s="7" t="str">
        <f t="shared" si="33"/>
        <v>UAE</v>
      </c>
      <c r="X182" s="7" t="str">
        <f t="shared" si="34"/>
        <v>Internal</v>
      </c>
      <c r="Y182" s="7">
        <f t="shared" si="35"/>
        <v>9846.07</v>
      </c>
      <c r="Z182" s="7">
        <f t="shared" si="36"/>
        <v>37</v>
      </c>
      <c r="AA182" s="7">
        <f t="shared" si="37"/>
        <v>2026</v>
      </c>
      <c r="AB182" s="7">
        <f t="shared" si="38"/>
        <v>12</v>
      </c>
      <c r="AC182" s="7">
        <f t="shared" si="39"/>
        <v>1</v>
      </c>
      <c r="AD182" s="7" t="str">
        <f t="shared" si="40"/>
        <v>No</v>
      </c>
      <c r="AE182" s="7" t="str">
        <f t="shared" si="41"/>
        <v>Normal</v>
      </c>
    </row>
    <row r="183" spans="1:31">
      <c r="A183" t="s">
        <v>737</v>
      </c>
      <c r="B183">
        <v>90465529</v>
      </c>
      <c r="C183" t="s">
        <v>709</v>
      </c>
      <c r="D183" t="s">
        <v>738</v>
      </c>
      <c r="E183" t="s">
        <v>20</v>
      </c>
      <c r="F183" t="s">
        <v>45</v>
      </c>
      <c r="G183" t="s">
        <v>80</v>
      </c>
      <c r="H183" t="s">
        <v>56</v>
      </c>
      <c r="I183" t="s">
        <v>3378</v>
      </c>
      <c r="J183">
        <v>10048.23</v>
      </c>
      <c r="K183" t="s">
        <v>39</v>
      </c>
      <c r="L183" t="s">
        <v>48</v>
      </c>
      <c r="M183" s="1">
        <v>45109.70208333333</v>
      </c>
      <c r="N183">
        <v>69</v>
      </c>
      <c r="O183" t="s">
        <v>68</v>
      </c>
      <c r="P183" t="s">
        <v>36</v>
      </c>
      <c r="Q183" t="s">
        <v>739</v>
      </c>
      <c r="R183" t="str">
        <f t="shared" si="28"/>
        <v>Charles Taylor</v>
      </c>
      <c r="S183" t="str">
        <f t="shared" si="29"/>
        <v>Elena Davis</v>
      </c>
      <c r="T183" t="str">
        <f t="shared" si="30"/>
        <v>ZAR</v>
      </c>
      <c r="U183" s="7" t="str">
        <f t="shared" si="31"/>
        <v>USD</v>
      </c>
      <c r="V183" s="7" t="str">
        <f t="shared" si="32"/>
        <v>UAE</v>
      </c>
      <c r="W183" s="7" t="str">
        <f t="shared" si="33"/>
        <v>Germany</v>
      </c>
      <c r="X183" s="7" t="str">
        <f t="shared" si="34"/>
        <v>Inter-Transaction</v>
      </c>
      <c r="Y183" s="7">
        <f t="shared" si="35"/>
        <v>10048.23</v>
      </c>
      <c r="Z183" s="7">
        <f t="shared" si="36"/>
        <v>69</v>
      </c>
      <c r="AA183" s="7">
        <f t="shared" si="37"/>
        <v>2023</v>
      </c>
      <c r="AB183" s="7">
        <f t="shared" si="38"/>
        <v>7</v>
      </c>
      <c r="AC183" s="7">
        <f t="shared" si="39"/>
        <v>1</v>
      </c>
      <c r="AD183" s="7" t="str">
        <f t="shared" si="40"/>
        <v>No</v>
      </c>
      <c r="AE183" s="7" t="str">
        <f t="shared" si="41"/>
        <v>Normal</v>
      </c>
    </row>
    <row r="184" spans="1:31">
      <c r="A184" t="s">
        <v>740</v>
      </c>
      <c r="B184">
        <v>47112255</v>
      </c>
      <c r="C184" t="s">
        <v>741</v>
      </c>
      <c r="D184" t="s">
        <v>742</v>
      </c>
      <c r="E184">
        <v>0</v>
      </c>
      <c r="F184" t="s">
        <v>116</v>
      </c>
      <c r="G184" t="s">
        <v>80</v>
      </c>
      <c r="H184" t="s">
        <v>25</v>
      </c>
      <c r="I184" t="s">
        <v>3376</v>
      </c>
      <c r="J184">
        <v>14351.07</v>
      </c>
      <c r="K184" t="s">
        <v>27</v>
      </c>
      <c r="L184" t="s">
        <v>75</v>
      </c>
      <c r="M184" s="1">
        <v>45033.03125</v>
      </c>
      <c r="N184">
        <v>50</v>
      </c>
      <c r="O184" t="s">
        <v>37</v>
      </c>
      <c r="P184" t="s">
        <v>37</v>
      </c>
      <c r="Q184" t="s">
        <v>743</v>
      </c>
      <c r="R184" t="str">
        <f t="shared" si="28"/>
        <v>Elizabeth Martin</v>
      </c>
      <c r="S184" t="str">
        <f t="shared" si="29"/>
        <v>William Anderson</v>
      </c>
      <c r="T184" t="str">
        <f t="shared" si="30"/>
        <v>CHF</v>
      </c>
      <c r="U184" s="7" t="str">
        <f t="shared" si="31"/>
        <v>USD</v>
      </c>
      <c r="V184" s="7" t="str">
        <f t="shared" si="32"/>
        <v>South Africa</v>
      </c>
      <c r="W184" s="7" t="str">
        <f t="shared" si="33"/>
        <v>South Africa</v>
      </c>
      <c r="X184" s="7" t="str">
        <f t="shared" si="34"/>
        <v>Internal</v>
      </c>
      <c r="Y184" s="7">
        <f t="shared" si="35"/>
        <v>14351.07</v>
      </c>
      <c r="Z184" s="7">
        <f t="shared" si="36"/>
        <v>50</v>
      </c>
      <c r="AA184" s="7">
        <f t="shared" si="37"/>
        <v>2023</v>
      </c>
      <c r="AB184" s="7">
        <f t="shared" si="38"/>
        <v>4</v>
      </c>
      <c r="AC184" s="7">
        <f t="shared" si="39"/>
        <v>1</v>
      </c>
      <c r="AD184" s="7" t="str">
        <f t="shared" si="40"/>
        <v>No</v>
      </c>
      <c r="AE184" s="7" t="str">
        <f t="shared" si="41"/>
        <v>High Risk</v>
      </c>
    </row>
    <row r="185" spans="1:31">
      <c r="A185" t="s">
        <v>744</v>
      </c>
      <c r="B185">
        <v>13670948</v>
      </c>
      <c r="C185" t="s">
        <v>745</v>
      </c>
      <c r="D185" t="s">
        <v>577</v>
      </c>
      <c r="E185" t="s">
        <v>20</v>
      </c>
      <c r="F185" t="s">
        <v>121</v>
      </c>
      <c r="G185" t="s">
        <v>45</v>
      </c>
      <c r="I185" t="s">
        <v>3378</v>
      </c>
      <c r="J185">
        <v>3731.38</v>
      </c>
      <c r="K185" t="s">
        <v>86</v>
      </c>
      <c r="L185" t="s">
        <v>81</v>
      </c>
      <c r="M185" s="1">
        <v>44424.695138888892</v>
      </c>
      <c r="N185">
        <v>57</v>
      </c>
      <c r="O185" t="s">
        <v>55</v>
      </c>
      <c r="P185" t="s">
        <v>55</v>
      </c>
      <c r="Q185" t="s">
        <v>746</v>
      </c>
      <c r="R185" t="str">
        <f t="shared" si="28"/>
        <v>Sarah Brown</v>
      </c>
      <c r="S185" t="str">
        <f t="shared" si="29"/>
        <v>David Williams</v>
      </c>
      <c r="T185" t="str">
        <f t="shared" si="30"/>
        <v>INR</v>
      </c>
      <c r="U185" s="7" t="str">
        <f t="shared" si="31"/>
        <v>ZAR</v>
      </c>
      <c r="V185" s="7" t="str">
        <f t="shared" si="32"/>
        <v>UK</v>
      </c>
      <c r="W185" s="7" t="str">
        <f t="shared" si="33"/>
        <v>UK</v>
      </c>
      <c r="X185" s="7" t="str">
        <f t="shared" si="34"/>
        <v>Inter-Transaction</v>
      </c>
      <c r="Y185" s="7">
        <f t="shared" si="35"/>
        <v>3731.38</v>
      </c>
      <c r="Z185" s="7">
        <f t="shared" si="36"/>
        <v>57</v>
      </c>
      <c r="AA185" s="7">
        <f t="shared" si="37"/>
        <v>2021</v>
      </c>
      <c r="AB185" s="7">
        <f t="shared" si="38"/>
        <v>8</v>
      </c>
      <c r="AC185" s="7">
        <f t="shared" si="39"/>
        <v>1</v>
      </c>
      <c r="AD185" s="7" t="str">
        <f t="shared" si="40"/>
        <v>No</v>
      </c>
      <c r="AE185" s="7" t="str">
        <f t="shared" si="41"/>
        <v>Normal</v>
      </c>
    </row>
    <row r="186" spans="1:31">
      <c r="A186" t="s">
        <v>747</v>
      </c>
      <c r="B186">
        <v>35523849</v>
      </c>
      <c r="C186" t="s">
        <v>748</v>
      </c>
      <c r="D186" t="s">
        <v>566</v>
      </c>
      <c r="E186" t="s">
        <v>33</v>
      </c>
      <c r="F186" t="s">
        <v>53</v>
      </c>
      <c r="G186" t="s">
        <v>121</v>
      </c>
      <c r="H186" t="s">
        <v>25</v>
      </c>
      <c r="I186" t="s">
        <v>3377</v>
      </c>
      <c r="J186">
        <v>10140.42</v>
      </c>
      <c r="K186" t="s">
        <v>39</v>
      </c>
      <c r="L186" t="s">
        <v>28</v>
      </c>
      <c r="M186" s="1">
        <v>46267.490972222222</v>
      </c>
      <c r="N186">
        <v>56</v>
      </c>
      <c r="O186" t="s">
        <v>37</v>
      </c>
      <c r="P186" t="s">
        <v>54</v>
      </c>
      <c r="Q186" t="s">
        <v>749</v>
      </c>
      <c r="R186" t="str">
        <f t="shared" si="28"/>
        <v>Sarah Al-Sayed</v>
      </c>
      <c r="S186" t="str">
        <f t="shared" si="29"/>
        <v>William Davis</v>
      </c>
      <c r="T186" t="str">
        <f t="shared" si="30"/>
        <v>AED</v>
      </c>
      <c r="U186" s="7" t="str">
        <f t="shared" si="31"/>
        <v>INR</v>
      </c>
      <c r="V186" s="7" t="str">
        <f t="shared" si="32"/>
        <v>South Africa</v>
      </c>
      <c r="W186" s="7" t="str">
        <f t="shared" si="33"/>
        <v>India</v>
      </c>
      <c r="X186" s="7" t="str">
        <f t="shared" si="34"/>
        <v>Inter-Transaction</v>
      </c>
      <c r="Y186" s="7">
        <f t="shared" si="35"/>
        <v>10140.42</v>
      </c>
      <c r="Z186" s="7">
        <f t="shared" si="36"/>
        <v>56</v>
      </c>
      <c r="AA186" s="7">
        <f t="shared" si="37"/>
        <v>2026</v>
      </c>
      <c r="AB186" s="7">
        <f t="shared" si="38"/>
        <v>9</v>
      </c>
      <c r="AC186" s="7">
        <f t="shared" si="39"/>
        <v>1</v>
      </c>
      <c r="AD186" s="7" t="str">
        <f t="shared" si="40"/>
        <v>No</v>
      </c>
      <c r="AE186" s="7" t="str">
        <f t="shared" si="41"/>
        <v>Normal</v>
      </c>
    </row>
    <row r="187" spans="1:31">
      <c r="A187" t="s">
        <v>750</v>
      </c>
      <c r="C187" t="s">
        <v>660</v>
      </c>
      <c r="D187" t="s">
        <v>751</v>
      </c>
      <c r="E187" t="s">
        <v>20</v>
      </c>
      <c r="F187" t="s">
        <v>80</v>
      </c>
      <c r="G187" t="s">
        <v>98</v>
      </c>
      <c r="I187" t="s">
        <v>3371</v>
      </c>
      <c r="J187">
        <v>6863.37</v>
      </c>
      <c r="K187" t="s">
        <v>86</v>
      </c>
      <c r="L187" t="s">
        <v>81</v>
      </c>
      <c r="M187" s="1">
        <v>45252.55972222222</v>
      </c>
      <c r="N187">
        <v>18</v>
      </c>
      <c r="O187" t="s">
        <v>68</v>
      </c>
      <c r="P187" t="s">
        <v>127</v>
      </c>
      <c r="Q187" t="s">
        <v>752</v>
      </c>
      <c r="R187" t="str">
        <f t="shared" si="28"/>
        <v>David Gonzalez</v>
      </c>
      <c r="S187" t="str">
        <f t="shared" si="29"/>
        <v>Elizabeth Dubois</v>
      </c>
      <c r="T187" t="str">
        <f t="shared" si="30"/>
        <v>USD</v>
      </c>
      <c r="U187" s="7" t="str">
        <f t="shared" si="31"/>
        <v>JPY</v>
      </c>
      <c r="V187" s="7" t="str">
        <f t="shared" si="32"/>
        <v>UAE</v>
      </c>
      <c r="W187" s="7" t="str">
        <f t="shared" si="33"/>
        <v>Canada</v>
      </c>
      <c r="X187" s="7" t="str">
        <f t="shared" si="34"/>
        <v>Outer-Transaction</v>
      </c>
      <c r="Y187" s="7">
        <f t="shared" si="35"/>
        <v>6863.37</v>
      </c>
      <c r="Z187" s="7">
        <f t="shared" si="36"/>
        <v>18</v>
      </c>
      <c r="AA187" s="7">
        <f t="shared" si="37"/>
        <v>2023</v>
      </c>
      <c r="AB187" s="7">
        <f t="shared" si="38"/>
        <v>11</v>
      </c>
      <c r="AC187" s="7">
        <f t="shared" si="39"/>
        <v>1</v>
      </c>
      <c r="AD187" s="7" t="str">
        <f t="shared" si="40"/>
        <v>No</v>
      </c>
      <c r="AE187" s="7" t="str">
        <f t="shared" si="41"/>
        <v>Normal</v>
      </c>
    </row>
    <row r="188" spans="1:31">
      <c r="A188" t="s">
        <v>753</v>
      </c>
      <c r="B188">
        <v>83626933</v>
      </c>
      <c r="C188" t="s">
        <v>452</v>
      </c>
      <c r="D188" t="s">
        <v>754</v>
      </c>
      <c r="E188">
        <v>1</v>
      </c>
      <c r="F188" t="s">
        <v>34</v>
      </c>
      <c r="G188" t="s">
        <v>34</v>
      </c>
      <c r="H188" t="s">
        <v>56</v>
      </c>
      <c r="I188" t="s">
        <v>3378</v>
      </c>
      <c r="J188">
        <v>6766.43</v>
      </c>
      <c r="K188" t="s">
        <v>27</v>
      </c>
      <c r="L188" t="s">
        <v>48</v>
      </c>
      <c r="M188" s="1">
        <v>46036.629861111112</v>
      </c>
      <c r="N188">
        <v>28</v>
      </c>
      <c r="O188" t="s">
        <v>93</v>
      </c>
      <c r="P188" t="s">
        <v>23</v>
      </c>
      <c r="Q188" t="s">
        <v>755</v>
      </c>
      <c r="R188" t="str">
        <f t="shared" si="28"/>
        <v>David Davis</v>
      </c>
      <c r="S188" t="str">
        <f t="shared" si="29"/>
        <v>David Thomas</v>
      </c>
      <c r="T188" t="str">
        <f t="shared" si="30"/>
        <v>CAD</v>
      </c>
      <c r="U188" s="7" t="str">
        <f t="shared" si="31"/>
        <v>CAD</v>
      </c>
      <c r="V188" s="7" t="str">
        <f t="shared" si="32"/>
        <v>USA</v>
      </c>
      <c r="W188" s="7" t="str">
        <f t="shared" si="33"/>
        <v>France</v>
      </c>
      <c r="X188" s="7" t="str">
        <f t="shared" si="34"/>
        <v>Inter-Transaction</v>
      </c>
      <c r="Y188" s="7">
        <f t="shared" si="35"/>
        <v>6766.43</v>
      </c>
      <c r="Z188" s="7">
        <f t="shared" si="36"/>
        <v>28</v>
      </c>
      <c r="AA188" s="7">
        <f t="shared" si="37"/>
        <v>2026</v>
      </c>
      <c r="AB188" s="7">
        <f t="shared" si="38"/>
        <v>1</v>
      </c>
      <c r="AC188" s="7">
        <f t="shared" si="39"/>
        <v>1</v>
      </c>
      <c r="AD188" s="7" t="str">
        <f t="shared" si="40"/>
        <v>No</v>
      </c>
      <c r="AE188" s="7" t="str">
        <f t="shared" si="41"/>
        <v>Normal</v>
      </c>
    </row>
    <row r="189" spans="1:31">
      <c r="A189" t="s">
        <v>756</v>
      </c>
      <c r="B189">
        <v>30072000</v>
      </c>
      <c r="C189" t="s">
        <v>757</v>
      </c>
      <c r="D189" t="s">
        <v>758</v>
      </c>
      <c r="E189" t="s">
        <v>20</v>
      </c>
      <c r="F189" t="s">
        <v>21</v>
      </c>
      <c r="G189" t="s">
        <v>45</v>
      </c>
      <c r="H189" t="s">
        <v>38</v>
      </c>
      <c r="I189" t="s">
        <v>3377</v>
      </c>
      <c r="J189">
        <v>5982.04</v>
      </c>
      <c r="K189" t="s">
        <v>47</v>
      </c>
      <c r="L189" t="s">
        <v>28</v>
      </c>
      <c r="M189" s="1">
        <v>44858.957638888889</v>
      </c>
      <c r="N189">
        <v>74</v>
      </c>
      <c r="O189" t="s">
        <v>36</v>
      </c>
      <c r="P189" t="s">
        <v>36</v>
      </c>
      <c r="Q189" t="s">
        <v>759</v>
      </c>
      <c r="R189" t="str">
        <f t="shared" si="28"/>
        <v>Sarah Silva</v>
      </c>
      <c r="S189" t="str">
        <f t="shared" si="29"/>
        <v>John Garcia</v>
      </c>
      <c r="T189" t="str">
        <f t="shared" si="30"/>
        <v>GBP</v>
      </c>
      <c r="U189" s="7" t="str">
        <f t="shared" si="31"/>
        <v>ZAR</v>
      </c>
      <c r="V189" s="7" t="str">
        <f t="shared" si="32"/>
        <v>Germany</v>
      </c>
      <c r="W189" s="7" t="str">
        <f t="shared" si="33"/>
        <v>Germany</v>
      </c>
      <c r="X189" s="7" t="str">
        <f t="shared" si="34"/>
        <v>Inter-Transaction</v>
      </c>
      <c r="Y189" s="7">
        <f t="shared" si="35"/>
        <v>5982.04</v>
      </c>
      <c r="Z189" s="7">
        <f t="shared" si="36"/>
        <v>74</v>
      </c>
      <c r="AA189" s="7">
        <f t="shared" si="37"/>
        <v>2022</v>
      </c>
      <c r="AB189" s="7">
        <f t="shared" si="38"/>
        <v>10</v>
      </c>
      <c r="AC189" s="7">
        <f t="shared" si="39"/>
        <v>1</v>
      </c>
      <c r="AD189" s="7" t="str">
        <f t="shared" si="40"/>
        <v>No</v>
      </c>
      <c r="AE189" s="7" t="str">
        <f t="shared" si="41"/>
        <v>Normal</v>
      </c>
    </row>
    <row r="190" spans="1:31">
      <c r="A190" t="s">
        <v>760</v>
      </c>
      <c r="B190">
        <v>44589898</v>
      </c>
      <c r="C190" t="s">
        <v>693</v>
      </c>
      <c r="D190" t="s">
        <v>761</v>
      </c>
      <c r="E190" t="s">
        <v>20</v>
      </c>
      <c r="F190" t="s">
        <v>45</v>
      </c>
      <c r="G190" t="s">
        <v>116</v>
      </c>
      <c r="H190" t="s">
        <v>103</v>
      </c>
      <c r="I190" t="s">
        <v>3378</v>
      </c>
      <c r="J190">
        <v>10101.16</v>
      </c>
      <c r="K190" t="s">
        <v>39</v>
      </c>
      <c r="L190" t="s">
        <v>81</v>
      </c>
      <c r="M190" s="1">
        <v>46045.408333333333</v>
      </c>
      <c r="N190">
        <v>67</v>
      </c>
      <c r="O190" t="s">
        <v>37</v>
      </c>
      <c r="P190" t="s">
        <v>37</v>
      </c>
      <c r="Q190" t="s">
        <v>762</v>
      </c>
      <c r="R190" t="str">
        <f t="shared" si="28"/>
        <v>Susan Smith</v>
      </c>
      <c r="S190" t="str">
        <f t="shared" si="29"/>
        <v>Jessica Brown</v>
      </c>
      <c r="T190" t="str">
        <f t="shared" si="30"/>
        <v>ZAR</v>
      </c>
      <c r="U190" s="7" t="str">
        <f t="shared" si="31"/>
        <v>CHF</v>
      </c>
      <c r="V190" s="7" t="str">
        <f t="shared" si="32"/>
        <v>South Africa</v>
      </c>
      <c r="W190" s="7" t="str">
        <f t="shared" si="33"/>
        <v>South Africa</v>
      </c>
      <c r="X190" s="7" t="str">
        <f t="shared" si="34"/>
        <v>Inter-Transaction</v>
      </c>
      <c r="Y190" s="7">
        <f t="shared" si="35"/>
        <v>10101.16</v>
      </c>
      <c r="Z190" s="7">
        <f t="shared" si="36"/>
        <v>67</v>
      </c>
      <c r="AA190" s="7">
        <f t="shared" si="37"/>
        <v>2026</v>
      </c>
      <c r="AB190" s="7">
        <f t="shared" si="38"/>
        <v>1</v>
      </c>
      <c r="AC190" s="7">
        <f t="shared" si="39"/>
        <v>1</v>
      </c>
      <c r="AD190" s="7" t="str">
        <f t="shared" si="40"/>
        <v>No</v>
      </c>
      <c r="AE190" s="7" t="str">
        <f t="shared" si="41"/>
        <v>Normal</v>
      </c>
    </row>
    <row r="191" spans="1:31">
      <c r="A191" t="s">
        <v>763</v>
      </c>
      <c r="B191">
        <v>94728082</v>
      </c>
      <c r="C191" t="s">
        <v>764</v>
      </c>
      <c r="D191" t="s">
        <v>562</v>
      </c>
      <c r="E191">
        <v>0</v>
      </c>
      <c r="F191" t="s">
        <v>35</v>
      </c>
      <c r="G191" t="s">
        <v>21</v>
      </c>
      <c r="H191" t="s">
        <v>56</v>
      </c>
      <c r="I191" t="s">
        <v>3378</v>
      </c>
      <c r="J191">
        <v>13316.5</v>
      </c>
      <c r="K191" t="s">
        <v>57</v>
      </c>
      <c r="L191" t="s">
        <v>81</v>
      </c>
      <c r="M191" s="1">
        <v>44790.72152777778</v>
      </c>
      <c r="N191">
        <v>40</v>
      </c>
      <c r="O191" t="s">
        <v>55</v>
      </c>
      <c r="P191" t="s">
        <v>23</v>
      </c>
      <c r="Q191" t="s">
        <v>765</v>
      </c>
      <c r="R191" t="str">
        <f t="shared" si="28"/>
        <v>Nancy Jackson</v>
      </c>
      <c r="S191" t="str">
        <f t="shared" si="29"/>
        <v>Joseph Malik</v>
      </c>
      <c r="T191" t="str">
        <f t="shared" si="30"/>
        <v>EUR</v>
      </c>
      <c r="U191" s="7" t="str">
        <f t="shared" si="31"/>
        <v>GBP</v>
      </c>
      <c r="V191" s="7" t="str">
        <f t="shared" si="32"/>
        <v>UK</v>
      </c>
      <c r="W191" s="7" t="str">
        <f t="shared" si="33"/>
        <v>France</v>
      </c>
      <c r="X191" s="7" t="str">
        <f t="shared" si="34"/>
        <v>Inter-Transaction</v>
      </c>
      <c r="Y191" s="7">
        <f t="shared" si="35"/>
        <v>13316.5</v>
      </c>
      <c r="Z191" s="7">
        <f t="shared" si="36"/>
        <v>40</v>
      </c>
      <c r="AA191" s="7">
        <f t="shared" si="37"/>
        <v>2022</v>
      </c>
      <c r="AB191" s="7">
        <f t="shared" si="38"/>
        <v>8</v>
      </c>
      <c r="AC191" s="7">
        <f t="shared" si="39"/>
        <v>1</v>
      </c>
      <c r="AD191" s="7" t="str">
        <f t="shared" si="40"/>
        <v>No</v>
      </c>
      <c r="AE191" s="7" t="str">
        <f t="shared" si="41"/>
        <v>Normal</v>
      </c>
    </row>
    <row r="192" spans="1:31">
      <c r="A192" t="s">
        <v>766</v>
      </c>
      <c r="B192">
        <v>38262427</v>
      </c>
      <c r="C192" t="s">
        <v>767</v>
      </c>
      <c r="D192" t="s">
        <v>768</v>
      </c>
      <c r="E192" t="s">
        <v>20</v>
      </c>
      <c r="F192" t="s">
        <v>686</v>
      </c>
      <c r="G192" t="s">
        <v>98</v>
      </c>
      <c r="H192" t="s">
        <v>38</v>
      </c>
      <c r="I192" t="s">
        <v>3371</v>
      </c>
      <c r="J192">
        <v>1273.83</v>
      </c>
      <c r="K192" t="s">
        <v>39</v>
      </c>
      <c r="L192" t="s">
        <v>75</v>
      </c>
      <c r="M192" s="1">
        <v>46287.636111111111</v>
      </c>
      <c r="N192">
        <v>48</v>
      </c>
      <c r="O192" t="s">
        <v>24</v>
      </c>
      <c r="P192" t="s">
        <v>93</v>
      </c>
      <c r="Q192" t="s">
        <v>769</v>
      </c>
      <c r="R192" t="str">
        <f t="shared" si="28"/>
        <v>Linda Gonzalez</v>
      </c>
      <c r="S192" t="str">
        <f t="shared" si="29"/>
        <v>Patricia Brown</v>
      </c>
      <c r="T192" t="str">
        <f t="shared" si="30"/>
        <v>sgd</v>
      </c>
      <c r="U192" s="7" t="str">
        <f t="shared" si="31"/>
        <v>JPY</v>
      </c>
      <c r="V192" s="7" t="str">
        <f t="shared" si="32"/>
        <v>Brazil</v>
      </c>
      <c r="W192" s="7" t="str">
        <f t="shared" si="33"/>
        <v>USA</v>
      </c>
      <c r="X192" s="7" t="str">
        <f t="shared" si="34"/>
        <v>Outer-Transaction</v>
      </c>
      <c r="Y192" s="7">
        <f t="shared" si="35"/>
        <v>1273.83</v>
      </c>
      <c r="Z192" s="7">
        <f t="shared" si="36"/>
        <v>48</v>
      </c>
      <c r="AA192" s="7">
        <f t="shared" si="37"/>
        <v>2026</v>
      </c>
      <c r="AB192" s="7">
        <f t="shared" si="38"/>
        <v>9</v>
      </c>
      <c r="AC192" s="7">
        <f t="shared" si="39"/>
        <v>1</v>
      </c>
      <c r="AD192" s="7" t="str">
        <f t="shared" si="40"/>
        <v>No</v>
      </c>
      <c r="AE192" s="7" t="str">
        <f t="shared" si="41"/>
        <v>High Risk</v>
      </c>
    </row>
    <row r="193" spans="1:31">
      <c r="A193" t="s">
        <v>770</v>
      </c>
      <c r="B193">
        <v>53647781</v>
      </c>
      <c r="C193" t="s">
        <v>771</v>
      </c>
      <c r="D193" t="s">
        <v>401</v>
      </c>
      <c r="E193" t="s">
        <v>20</v>
      </c>
      <c r="F193" t="s">
        <v>53</v>
      </c>
      <c r="G193" t="s">
        <v>98</v>
      </c>
      <c r="I193" t="s">
        <v>3374</v>
      </c>
      <c r="J193">
        <v>9541.41</v>
      </c>
      <c r="K193" t="s">
        <v>27</v>
      </c>
      <c r="L193" t="s">
        <v>81</v>
      </c>
      <c r="M193" s="1">
        <v>46072.637499999997</v>
      </c>
      <c r="N193">
        <v>59</v>
      </c>
      <c r="O193" t="s">
        <v>62</v>
      </c>
      <c r="P193" t="s">
        <v>36</v>
      </c>
      <c r="Q193" t="s">
        <v>772</v>
      </c>
      <c r="R193" t="str">
        <f t="shared" si="28"/>
        <v>Zayn Thomas</v>
      </c>
      <c r="S193" t="str">
        <f t="shared" si="29"/>
        <v>Thomas Malik</v>
      </c>
      <c r="T193" t="str">
        <f t="shared" si="30"/>
        <v>AED</v>
      </c>
      <c r="U193" s="7" t="str">
        <f t="shared" si="31"/>
        <v>JPY</v>
      </c>
      <c r="V193" s="7" t="str">
        <f t="shared" si="32"/>
        <v>Australia</v>
      </c>
      <c r="W193" s="7" t="str">
        <f t="shared" si="33"/>
        <v>Germany</v>
      </c>
      <c r="X193" s="7" t="str">
        <f t="shared" si="34"/>
        <v>External</v>
      </c>
      <c r="Y193" s="7">
        <f t="shared" si="35"/>
        <v>9541.41</v>
      </c>
      <c r="Z193" s="7">
        <f t="shared" si="36"/>
        <v>59</v>
      </c>
      <c r="AA193" s="7">
        <f t="shared" si="37"/>
        <v>2026</v>
      </c>
      <c r="AB193" s="7">
        <f t="shared" si="38"/>
        <v>2</v>
      </c>
      <c r="AC193" s="7">
        <f t="shared" si="39"/>
        <v>1</v>
      </c>
      <c r="AD193" s="7" t="str">
        <f t="shared" si="40"/>
        <v>No</v>
      </c>
      <c r="AE193" s="7" t="str">
        <f t="shared" si="41"/>
        <v>Normal</v>
      </c>
    </row>
    <row r="194" spans="1:31">
      <c r="A194" t="s">
        <v>773</v>
      </c>
      <c r="B194">
        <v>10012394</v>
      </c>
      <c r="C194" t="s">
        <v>774</v>
      </c>
      <c r="D194" t="s">
        <v>775</v>
      </c>
      <c r="E194" t="s">
        <v>20</v>
      </c>
      <c r="F194" t="s">
        <v>53</v>
      </c>
      <c r="G194" t="s">
        <v>44</v>
      </c>
      <c r="H194" t="s">
        <v>56</v>
      </c>
      <c r="I194" t="s">
        <v>3378</v>
      </c>
      <c r="J194">
        <v>8959.09</v>
      </c>
      <c r="K194" t="s">
        <v>86</v>
      </c>
      <c r="L194" t="s">
        <v>75</v>
      </c>
      <c r="M194" s="1">
        <v>46113.996527777781</v>
      </c>
      <c r="N194">
        <v>24</v>
      </c>
      <c r="O194" t="s">
        <v>127</v>
      </c>
      <c r="P194" t="s">
        <v>127</v>
      </c>
      <c r="Q194" t="s">
        <v>776</v>
      </c>
      <c r="R194" t="str">
        <f t="shared" ref="R194:R257" si="42">TRIM(C194)</f>
        <v>Charles Khan</v>
      </c>
      <c r="S194" t="str">
        <f t="shared" ref="S194:S257" si="43">PROPER(D194)</f>
        <v>Jean-Pierre Malik</v>
      </c>
      <c r="T194" t="str">
        <f t="shared" ref="T194:T257" si="44">TRIM(F194)</f>
        <v>AED</v>
      </c>
      <c r="U194" s="7" t="str">
        <f t="shared" ref="U194:U257" si="45">TRIM(G194)</f>
        <v>SGD</v>
      </c>
      <c r="V194" s="7" t="str">
        <f t="shared" ref="V194:V257" si="46">TRIM(O194)</f>
        <v>Canada</v>
      </c>
      <c r="W194" s="7" t="str">
        <f t="shared" ref="W194:W257" si="47">TRIM(P194)</f>
        <v>Canada</v>
      </c>
      <c r="X194" s="7" t="str">
        <f t="shared" ref="X194:X257" si="48">PROPER(I194)</f>
        <v>Inter-Transaction</v>
      </c>
      <c r="Y194" s="7">
        <f t="shared" ref="Y194:Y257" si="49">IF(J194="",AVERAGE($J:$J),J194)</f>
        <v>8959.09</v>
      </c>
      <c r="Z194" s="7">
        <f t="shared" ref="Z194:Z257" si="50">IF(N194="",AVERAGE($N:$N),N194)</f>
        <v>24</v>
      </c>
      <c r="AA194" s="7">
        <f t="shared" ref="AA194:AA257" si="51">YEAR(M194)</f>
        <v>2026</v>
      </c>
      <c r="AB194" s="7">
        <f t="shared" ref="AB194:AB257" si="52">MONTH(M194)</f>
        <v>4</v>
      </c>
      <c r="AC194" s="7">
        <f t="shared" ref="AC194:AC257" si="53">COUNTIF(A:A,A194)</f>
        <v>1</v>
      </c>
      <c r="AD194" s="7" t="str">
        <f t="shared" ref="AD194:AD257" si="54">IF(C194="YES","Yes","No")</f>
        <v>No</v>
      </c>
      <c r="AE194" s="7" t="str">
        <f t="shared" ref="AE194:AE257" si="55">IF(L194="HIGH","High Risk","Normal")</f>
        <v>High Risk</v>
      </c>
    </row>
    <row r="195" spans="1:31">
      <c r="A195" t="s">
        <v>777</v>
      </c>
      <c r="B195">
        <v>45296615</v>
      </c>
      <c r="C195" t="s">
        <v>778</v>
      </c>
      <c r="E195" t="s">
        <v>20</v>
      </c>
      <c r="F195" t="s">
        <v>116</v>
      </c>
      <c r="G195" t="s">
        <v>22</v>
      </c>
      <c r="H195" t="s">
        <v>25</v>
      </c>
      <c r="I195" t="s">
        <v>3371</v>
      </c>
      <c r="J195">
        <v>2057.9899999999998</v>
      </c>
      <c r="K195" t="s">
        <v>86</v>
      </c>
      <c r="L195" t="s">
        <v>81</v>
      </c>
      <c r="M195" s="1">
        <v>45004.317361111112</v>
      </c>
      <c r="N195">
        <v>33</v>
      </c>
      <c r="O195" t="s">
        <v>36</v>
      </c>
      <c r="P195" t="s">
        <v>24</v>
      </c>
      <c r="Q195" t="s">
        <v>779</v>
      </c>
      <c r="R195" t="str">
        <f t="shared" si="42"/>
        <v>Robert Wilson</v>
      </c>
      <c r="S195" t="str">
        <f t="shared" si="43"/>
        <v/>
      </c>
      <c r="T195" t="str">
        <f t="shared" si="44"/>
        <v>CHF</v>
      </c>
      <c r="U195" s="7" t="str">
        <f t="shared" si="45"/>
        <v>BRL</v>
      </c>
      <c r="V195" s="7" t="str">
        <f t="shared" si="46"/>
        <v>Germany</v>
      </c>
      <c r="W195" s="7" t="str">
        <f t="shared" si="47"/>
        <v>Brazil</v>
      </c>
      <c r="X195" s="7" t="str">
        <f t="shared" si="48"/>
        <v>Outer-Transaction</v>
      </c>
      <c r="Y195" s="7">
        <f t="shared" si="49"/>
        <v>2057.9899999999998</v>
      </c>
      <c r="Z195" s="7">
        <f t="shared" si="50"/>
        <v>33</v>
      </c>
      <c r="AA195" s="7">
        <f t="shared" si="51"/>
        <v>2023</v>
      </c>
      <c r="AB195" s="7">
        <f t="shared" si="52"/>
        <v>3</v>
      </c>
      <c r="AC195" s="7">
        <f t="shared" si="53"/>
        <v>1</v>
      </c>
      <c r="AD195" s="7" t="str">
        <f t="shared" si="54"/>
        <v>No</v>
      </c>
      <c r="AE195" s="7" t="str">
        <f t="shared" si="55"/>
        <v>Normal</v>
      </c>
    </row>
    <row r="196" spans="1:31">
      <c r="A196" t="s">
        <v>780</v>
      </c>
      <c r="B196">
        <v>23726915</v>
      </c>
      <c r="C196" t="s">
        <v>592</v>
      </c>
      <c r="D196" t="s">
        <v>460</v>
      </c>
      <c r="E196" t="s">
        <v>20</v>
      </c>
      <c r="F196" t="s">
        <v>556</v>
      </c>
      <c r="G196" t="s">
        <v>121</v>
      </c>
      <c r="H196" t="s">
        <v>56</v>
      </c>
      <c r="I196" t="s">
        <v>3378</v>
      </c>
      <c r="J196">
        <v>6960.63</v>
      </c>
      <c r="K196" t="s">
        <v>86</v>
      </c>
      <c r="L196" t="s">
        <v>75</v>
      </c>
      <c r="M196" s="1">
        <v>44646.244444444441</v>
      </c>
      <c r="N196">
        <v>77</v>
      </c>
      <c r="O196" t="s">
        <v>37</v>
      </c>
      <c r="P196" t="s">
        <v>55</v>
      </c>
      <c r="Q196" t="s">
        <v>781</v>
      </c>
      <c r="R196" t="str">
        <f t="shared" si="42"/>
        <v>Barbara Rodriguez</v>
      </c>
      <c r="S196" t="str">
        <f t="shared" si="43"/>
        <v>Michael Rostova</v>
      </c>
      <c r="T196" t="str">
        <f t="shared" si="44"/>
        <v>$</v>
      </c>
      <c r="U196" s="7" t="str">
        <f t="shared" si="45"/>
        <v>INR</v>
      </c>
      <c r="V196" s="7" t="str">
        <f t="shared" si="46"/>
        <v>South Africa</v>
      </c>
      <c r="W196" s="7" t="str">
        <f t="shared" si="47"/>
        <v>UK</v>
      </c>
      <c r="X196" s="7" t="str">
        <f t="shared" si="48"/>
        <v>Inter-Transaction</v>
      </c>
      <c r="Y196" s="7">
        <f t="shared" si="49"/>
        <v>6960.63</v>
      </c>
      <c r="Z196" s="7">
        <f t="shared" si="50"/>
        <v>77</v>
      </c>
      <c r="AA196" s="7">
        <f t="shared" si="51"/>
        <v>2022</v>
      </c>
      <c r="AB196" s="7">
        <f t="shared" si="52"/>
        <v>3</v>
      </c>
      <c r="AC196" s="7">
        <f t="shared" si="53"/>
        <v>1</v>
      </c>
      <c r="AD196" s="7" t="str">
        <f t="shared" si="54"/>
        <v>No</v>
      </c>
      <c r="AE196" s="7" t="str">
        <f t="shared" si="55"/>
        <v>High Risk</v>
      </c>
    </row>
    <row r="197" spans="1:31">
      <c r="A197" t="s">
        <v>782</v>
      </c>
      <c r="B197">
        <v>61214452</v>
      </c>
      <c r="C197" t="s">
        <v>783</v>
      </c>
      <c r="D197" t="s">
        <v>784</v>
      </c>
      <c r="E197" t="s">
        <v>33</v>
      </c>
      <c r="F197" t="s">
        <v>92</v>
      </c>
      <c r="G197" t="s">
        <v>44</v>
      </c>
      <c r="I197" t="s">
        <v>3371</v>
      </c>
      <c r="J197">
        <v>7097.65</v>
      </c>
      <c r="K197" t="s">
        <v>57</v>
      </c>
      <c r="L197" t="s">
        <v>75</v>
      </c>
      <c r="M197" s="1">
        <v>44234.357638888891</v>
      </c>
      <c r="N197">
        <v>19</v>
      </c>
      <c r="O197" t="s">
        <v>23</v>
      </c>
      <c r="P197" t="s">
        <v>68</v>
      </c>
      <c r="Q197" t="s">
        <v>785</v>
      </c>
      <c r="R197" t="str">
        <f t="shared" si="42"/>
        <v>Amir Smith</v>
      </c>
      <c r="S197" t="str">
        <f t="shared" si="43"/>
        <v>Patricia Dubois</v>
      </c>
      <c r="T197" t="str">
        <f t="shared" si="44"/>
        <v>AUD</v>
      </c>
      <c r="U197" s="7" t="str">
        <f t="shared" si="45"/>
        <v>SGD</v>
      </c>
      <c r="V197" s="7" t="str">
        <f t="shared" si="46"/>
        <v>France</v>
      </c>
      <c r="W197" s="7" t="str">
        <f t="shared" si="47"/>
        <v>UAE</v>
      </c>
      <c r="X197" s="7" t="str">
        <f t="shared" si="48"/>
        <v>Outer-Transaction</v>
      </c>
      <c r="Y197" s="7">
        <f t="shared" si="49"/>
        <v>7097.65</v>
      </c>
      <c r="Z197" s="7">
        <f t="shared" si="50"/>
        <v>19</v>
      </c>
      <c r="AA197" s="7">
        <f t="shared" si="51"/>
        <v>2021</v>
      </c>
      <c r="AB197" s="7">
        <f t="shared" si="52"/>
        <v>2</v>
      </c>
      <c r="AC197" s="7">
        <f t="shared" si="53"/>
        <v>1</v>
      </c>
      <c r="AD197" s="7" t="str">
        <f t="shared" si="54"/>
        <v>No</v>
      </c>
      <c r="AE197" s="7" t="str">
        <f t="shared" si="55"/>
        <v>High Risk</v>
      </c>
    </row>
    <row r="198" spans="1:31">
      <c r="A198" t="s">
        <v>786</v>
      </c>
      <c r="B198">
        <v>16991067</v>
      </c>
      <c r="C198" t="s">
        <v>231</v>
      </c>
      <c r="D198" t="s">
        <v>787</v>
      </c>
      <c r="E198" t="s">
        <v>20</v>
      </c>
      <c r="F198" t="s">
        <v>160</v>
      </c>
      <c r="G198" t="s">
        <v>34</v>
      </c>
      <c r="H198" t="s">
        <v>25</v>
      </c>
      <c r="I198" t="s">
        <v>3376</v>
      </c>
      <c r="J198">
        <v>11754.29</v>
      </c>
      <c r="K198" t="s">
        <v>39</v>
      </c>
      <c r="L198" t="s">
        <v>48</v>
      </c>
      <c r="M198" s="1">
        <v>44723.499305555553</v>
      </c>
      <c r="N198">
        <v>18</v>
      </c>
      <c r="O198" t="s">
        <v>127</v>
      </c>
      <c r="P198" t="s">
        <v>127</v>
      </c>
      <c r="Q198" t="s">
        <v>788</v>
      </c>
      <c r="R198" t="str">
        <f t="shared" si="42"/>
        <v>Zayn Velez</v>
      </c>
      <c r="S198" t="str">
        <f t="shared" si="43"/>
        <v>William Brown</v>
      </c>
      <c r="T198" t="str">
        <f t="shared" si="44"/>
        <v>aud</v>
      </c>
      <c r="U198" s="7" t="str">
        <f t="shared" si="45"/>
        <v>CAD</v>
      </c>
      <c r="V198" s="7" t="str">
        <f t="shared" si="46"/>
        <v>Canada</v>
      </c>
      <c r="W198" s="7" t="str">
        <f t="shared" si="47"/>
        <v>Canada</v>
      </c>
      <c r="X198" s="7" t="str">
        <f t="shared" si="48"/>
        <v>Internal</v>
      </c>
      <c r="Y198" s="7">
        <f t="shared" si="49"/>
        <v>11754.29</v>
      </c>
      <c r="Z198" s="7">
        <f t="shared" si="50"/>
        <v>18</v>
      </c>
      <c r="AA198" s="7">
        <f t="shared" si="51"/>
        <v>2022</v>
      </c>
      <c r="AB198" s="7">
        <f t="shared" si="52"/>
        <v>6</v>
      </c>
      <c r="AC198" s="7">
        <f t="shared" si="53"/>
        <v>1</v>
      </c>
      <c r="AD198" s="7" t="str">
        <f t="shared" si="54"/>
        <v>No</v>
      </c>
      <c r="AE198" s="7" t="str">
        <f t="shared" si="55"/>
        <v>Normal</v>
      </c>
    </row>
    <row r="199" spans="1:31">
      <c r="A199" t="s">
        <v>789</v>
      </c>
      <c r="C199" t="s">
        <v>790</v>
      </c>
      <c r="D199" t="s">
        <v>460</v>
      </c>
      <c r="E199" t="s">
        <v>20</v>
      </c>
      <c r="F199" t="s">
        <v>35</v>
      </c>
      <c r="G199" t="s">
        <v>21</v>
      </c>
      <c r="H199" t="s">
        <v>56</v>
      </c>
      <c r="I199" t="s">
        <v>3374</v>
      </c>
      <c r="J199">
        <v>2902.55</v>
      </c>
      <c r="K199" t="s">
        <v>39</v>
      </c>
      <c r="L199" t="s">
        <v>75</v>
      </c>
      <c r="M199" s="1">
        <v>43898.495833333334</v>
      </c>
      <c r="N199">
        <v>65</v>
      </c>
      <c r="O199" t="s">
        <v>24</v>
      </c>
      <c r="P199" t="s">
        <v>55</v>
      </c>
      <c r="Q199" t="s">
        <v>791</v>
      </c>
      <c r="R199" t="str">
        <f t="shared" si="42"/>
        <v>Susan Nair</v>
      </c>
      <c r="S199" t="str">
        <f t="shared" si="43"/>
        <v>Michael Rostova</v>
      </c>
      <c r="T199" t="str">
        <f t="shared" si="44"/>
        <v>EUR</v>
      </c>
      <c r="U199" s="7" t="str">
        <f t="shared" si="45"/>
        <v>GBP</v>
      </c>
      <c r="V199" s="7" t="str">
        <f t="shared" si="46"/>
        <v>Brazil</v>
      </c>
      <c r="W199" s="7" t="str">
        <f t="shared" si="47"/>
        <v>UK</v>
      </c>
      <c r="X199" s="7" t="str">
        <f t="shared" si="48"/>
        <v>External</v>
      </c>
      <c r="Y199" s="7">
        <f t="shared" si="49"/>
        <v>2902.55</v>
      </c>
      <c r="Z199" s="7">
        <f t="shared" si="50"/>
        <v>65</v>
      </c>
      <c r="AA199" s="7">
        <f t="shared" si="51"/>
        <v>2020</v>
      </c>
      <c r="AB199" s="7">
        <f t="shared" si="52"/>
        <v>3</v>
      </c>
      <c r="AC199" s="7">
        <f t="shared" si="53"/>
        <v>1</v>
      </c>
      <c r="AD199" s="7" t="str">
        <f t="shared" si="54"/>
        <v>No</v>
      </c>
      <c r="AE199" s="7" t="str">
        <f t="shared" si="55"/>
        <v>High Risk</v>
      </c>
    </row>
    <row r="200" spans="1:31">
      <c r="A200" t="s">
        <v>792</v>
      </c>
      <c r="B200">
        <v>82963514</v>
      </c>
      <c r="C200" t="s">
        <v>793</v>
      </c>
      <c r="D200" t="s">
        <v>110</v>
      </c>
      <c r="E200" t="s">
        <v>20</v>
      </c>
      <c r="F200" t="s">
        <v>116</v>
      </c>
      <c r="G200" t="s">
        <v>98</v>
      </c>
      <c r="H200" t="s">
        <v>56</v>
      </c>
      <c r="I200" t="s">
        <v>3377</v>
      </c>
      <c r="J200">
        <v>11641.01</v>
      </c>
      <c r="K200" t="s">
        <v>27</v>
      </c>
      <c r="L200" t="s">
        <v>81</v>
      </c>
      <c r="M200" s="1">
        <v>43918.676388888889</v>
      </c>
      <c r="N200">
        <v>29</v>
      </c>
      <c r="O200" t="s">
        <v>68</v>
      </c>
      <c r="P200" t="s">
        <v>23</v>
      </c>
      <c r="Q200" t="s">
        <v>794</v>
      </c>
      <c r="R200" t="str">
        <f t="shared" si="42"/>
        <v>Susan Hernandez</v>
      </c>
      <c r="S200" t="str">
        <f t="shared" si="43"/>
        <v>Fatima Anderson</v>
      </c>
      <c r="T200" t="str">
        <f t="shared" si="44"/>
        <v>CHF</v>
      </c>
      <c r="U200" s="7" t="str">
        <f t="shared" si="45"/>
        <v>JPY</v>
      </c>
      <c r="V200" s="7" t="str">
        <f t="shared" si="46"/>
        <v>UAE</v>
      </c>
      <c r="W200" s="7" t="str">
        <f t="shared" si="47"/>
        <v>France</v>
      </c>
      <c r="X200" s="7" t="str">
        <f t="shared" si="48"/>
        <v>Inter-Transaction</v>
      </c>
      <c r="Y200" s="7">
        <f t="shared" si="49"/>
        <v>11641.01</v>
      </c>
      <c r="Z200" s="7">
        <f t="shared" si="50"/>
        <v>29</v>
      </c>
      <c r="AA200" s="7">
        <f t="shared" si="51"/>
        <v>2020</v>
      </c>
      <c r="AB200" s="7">
        <f t="shared" si="52"/>
        <v>3</v>
      </c>
      <c r="AC200" s="7">
        <f t="shared" si="53"/>
        <v>1</v>
      </c>
      <c r="AD200" s="7" t="str">
        <f t="shared" si="54"/>
        <v>No</v>
      </c>
      <c r="AE200" s="7" t="str">
        <f t="shared" si="55"/>
        <v>Normal</v>
      </c>
    </row>
    <row r="201" spans="1:31">
      <c r="A201" t="s">
        <v>795</v>
      </c>
      <c r="B201">
        <v>62008140</v>
      </c>
      <c r="C201" t="s">
        <v>796</v>
      </c>
      <c r="D201" t="s">
        <v>797</v>
      </c>
      <c r="E201" t="s">
        <v>3375</v>
      </c>
      <c r="F201" t="s">
        <v>21</v>
      </c>
      <c r="G201" t="s">
        <v>116</v>
      </c>
      <c r="H201" t="s">
        <v>25</v>
      </c>
      <c r="I201" t="s">
        <v>3371</v>
      </c>
      <c r="J201">
        <v>2687.8</v>
      </c>
      <c r="K201" t="s">
        <v>86</v>
      </c>
      <c r="L201" t="s">
        <v>48</v>
      </c>
      <c r="M201" s="1">
        <v>46095.359722222223</v>
      </c>
      <c r="N201">
        <v>54</v>
      </c>
      <c r="O201" t="s">
        <v>62</v>
      </c>
      <c r="P201" t="s">
        <v>68</v>
      </c>
      <c r="Q201" t="s">
        <v>798</v>
      </c>
      <c r="R201" t="str">
        <f t="shared" si="42"/>
        <v>William Taylor</v>
      </c>
      <c r="S201" t="str">
        <f t="shared" si="43"/>
        <v>Marta Thomas</v>
      </c>
      <c r="T201" t="str">
        <f t="shared" si="44"/>
        <v>GBP</v>
      </c>
      <c r="U201" s="7" t="str">
        <f t="shared" si="45"/>
        <v>CHF</v>
      </c>
      <c r="V201" s="7" t="str">
        <f t="shared" si="46"/>
        <v>Australia</v>
      </c>
      <c r="W201" s="7" t="str">
        <f t="shared" si="47"/>
        <v>UAE</v>
      </c>
      <c r="X201" s="7" t="str">
        <f t="shared" si="48"/>
        <v>Outer-Transaction</v>
      </c>
      <c r="Y201" s="7">
        <f t="shared" si="49"/>
        <v>2687.8</v>
      </c>
      <c r="Z201" s="7">
        <f t="shared" si="50"/>
        <v>54</v>
      </c>
      <c r="AA201" s="7">
        <f t="shared" si="51"/>
        <v>2026</v>
      </c>
      <c r="AB201" s="7">
        <f t="shared" si="52"/>
        <v>3</v>
      </c>
      <c r="AC201" s="7">
        <f t="shared" si="53"/>
        <v>1</v>
      </c>
      <c r="AD201" s="7" t="str">
        <f t="shared" si="54"/>
        <v>No</v>
      </c>
      <c r="AE201" s="7" t="str">
        <f t="shared" si="55"/>
        <v>Normal</v>
      </c>
    </row>
    <row r="202" spans="1:31">
      <c r="A202" t="s">
        <v>799</v>
      </c>
      <c r="B202">
        <v>44351488</v>
      </c>
      <c r="C202" t="s">
        <v>282</v>
      </c>
      <c r="D202" t="s">
        <v>741</v>
      </c>
      <c r="E202" t="s">
        <v>33</v>
      </c>
      <c r="F202" t="s">
        <v>80</v>
      </c>
      <c r="G202" t="s">
        <v>121</v>
      </c>
      <c r="H202" t="s">
        <v>103</v>
      </c>
      <c r="I202" t="s">
        <v>3376</v>
      </c>
      <c r="J202">
        <v>11154.73</v>
      </c>
      <c r="K202" t="s">
        <v>39</v>
      </c>
      <c r="L202" t="s">
        <v>75</v>
      </c>
      <c r="M202" s="1">
        <v>45879.407638888886</v>
      </c>
      <c r="N202">
        <v>49</v>
      </c>
      <c r="O202" t="s">
        <v>93</v>
      </c>
      <c r="P202" t="s">
        <v>62</v>
      </c>
      <c r="Q202" t="s">
        <v>800</v>
      </c>
      <c r="R202" t="str">
        <f t="shared" si="42"/>
        <v>Mary Lopez</v>
      </c>
      <c r="S202" t="str">
        <f t="shared" si="43"/>
        <v>Elizabeth Martin</v>
      </c>
      <c r="T202" t="str">
        <f t="shared" si="44"/>
        <v>USD</v>
      </c>
      <c r="U202" s="7" t="str">
        <f t="shared" si="45"/>
        <v>INR</v>
      </c>
      <c r="V202" s="7" t="str">
        <f t="shared" si="46"/>
        <v>USA</v>
      </c>
      <c r="W202" s="7" t="str">
        <f t="shared" si="47"/>
        <v>Australia</v>
      </c>
      <c r="X202" s="7" t="str">
        <f t="shared" si="48"/>
        <v>Internal</v>
      </c>
      <c r="Y202" s="7">
        <f t="shared" si="49"/>
        <v>11154.73</v>
      </c>
      <c r="Z202" s="7">
        <f t="shared" si="50"/>
        <v>49</v>
      </c>
      <c r="AA202" s="7">
        <f t="shared" si="51"/>
        <v>2025</v>
      </c>
      <c r="AB202" s="7">
        <f t="shared" si="52"/>
        <v>8</v>
      </c>
      <c r="AC202" s="7">
        <f t="shared" si="53"/>
        <v>1</v>
      </c>
      <c r="AD202" s="7" t="str">
        <f t="shared" si="54"/>
        <v>No</v>
      </c>
      <c r="AE202" s="7" t="str">
        <f t="shared" si="55"/>
        <v>High Risk</v>
      </c>
    </row>
    <row r="203" spans="1:31">
      <c r="A203" t="s">
        <v>801</v>
      </c>
      <c r="B203">
        <v>23586205</v>
      </c>
      <c r="C203" t="s">
        <v>802</v>
      </c>
      <c r="D203" t="s">
        <v>678</v>
      </c>
      <c r="E203" t="s">
        <v>20</v>
      </c>
      <c r="F203" t="s">
        <v>98</v>
      </c>
      <c r="G203" t="s">
        <v>45</v>
      </c>
      <c r="H203" t="s">
        <v>25</v>
      </c>
      <c r="I203" t="s">
        <v>3374</v>
      </c>
      <c r="J203">
        <v>8652.69</v>
      </c>
      <c r="K203" t="s">
        <v>39</v>
      </c>
      <c r="L203" t="s">
        <v>81</v>
      </c>
      <c r="M203" s="1">
        <v>44989.479861111111</v>
      </c>
      <c r="N203">
        <v>26</v>
      </c>
      <c r="O203" t="s">
        <v>24</v>
      </c>
      <c r="P203" t="s">
        <v>54</v>
      </c>
      <c r="Q203" t="s">
        <v>803</v>
      </c>
      <c r="R203" t="str">
        <f t="shared" si="42"/>
        <v>Fatima Davis</v>
      </c>
      <c r="S203" t="str">
        <f t="shared" si="43"/>
        <v>Karen Gonzalez</v>
      </c>
      <c r="T203" t="str">
        <f t="shared" si="44"/>
        <v>JPY</v>
      </c>
      <c r="U203" s="7" t="str">
        <f t="shared" si="45"/>
        <v>ZAR</v>
      </c>
      <c r="V203" s="7" t="str">
        <f t="shared" si="46"/>
        <v>Brazil</v>
      </c>
      <c r="W203" s="7" t="str">
        <f t="shared" si="47"/>
        <v>India</v>
      </c>
      <c r="X203" s="7" t="str">
        <f t="shared" si="48"/>
        <v>External</v>
      </c>
      <c r="Y203" s="7">
        <f t="shared" si="49"/>
        <v>8652.69</v>
      </c>
      <c r="Z203" s="7">
        <f t="shared" si="50"/>
        <v>26</v>
      </c>
      <c r="AA203" s="7">
        <f t="shared" si="51"/>
        <v>2023</v>
      </c>
      <c r="AB203" s="7">
        <f t="shared" si="52"/>
        <v>3</v>
      </c>
      <c r="AC203" s="7">
        <f t="shared" si="53"/>
        <v>1</v>
      </c>
      <c r="AD203" s="7" t="str">
        <f t="shared" si="54"/>
        <v>No</v>
      </c>
      <c r="AE203" s="7" t="str">
        <f t="shared" si="55"/>
        <v>Normal</v>
      </c>
    </row>
    <row r="204" spans="1:31">
      <c r="A204" t="s">
        <v>804</v>
      </c>
      <c r="C204" t="s">
        <v>805</v>
      </c>
      <c r="E204" t="s">
        <v>3375</v>
      </c>
      <c r="F204" t="s">
        <v>92</v>
      </c>
      <c r="H204" t="s">
        <v>38</v>
      </c>
      <c r="I204" t="s">
        <v>3374</v>
      </c>
      <c r="J204">
        <v>3818.8</v>
      </c>
      <c r="K204" t="s">
        <v>39</v>
      </c>
      <c r="L204" t="s">
        <v>81</v>
      </c>
      <c r="M204" s="1">
        <v>45551.261805555558</v>
      </c>
      <c r="N204">
        <v>36</v>
      </c>
      <c r="O204" t="s">
        <v>24</v>
      </c>
      <c r="P204" t="s">
        <v>93</v>
      </c>
      <c r="Q204" t="s">
        <v>806</v>
      </c>
      <c r="R204" t="str">
        <f t="shared" si="42"/>
        <v>Carlos Hernandez</v>
      </c>
      <c r="S204" t="str">
        <f t="shared" si="43"/>
        <v/>
      </c>
      <c r="T204" t="str">
        <f t="shared" si="44"/>
        <v>AUD</v>
      </c>
      <c r="U204" s="7" t="str">
        <f t="shared" si="45"/>
        <v/>
      </c>
      <c r="V204" s="7" t="str">
        <f t="shared" si="46"/>
        <v>Brazil</v>
      </c>
      <c r="W204" s="7" t="str">
        <f t="shared" si="47"/>
        <v>USA</v>
      </c>
      <c r="X204" s="7" t="str">
        <f t="shared" si="48"/>
        <v>External</v>
      </c>
      <c r="Y204" s="7">
        <f t="shared" si="49"/>
        <v>3818.8</v>
      </c>
      <c r="Z204" s="7">
        <f t="shared" si="50"/>
        <v>36</v>
      </c>
      <c r="AA204" s="7">
        <f t="shared" si="51"/>
        <v>2024</v>
      </c>
      <c r="AB204" s="7">
        <f t="shared" si="52"/>
        <v>9</v>
      </c>
      <c r="AC204" s="7">
        <f t="shared" si="53"/>
        <v>1</v>
      </c>
      <c r="AD204" s="7" t="str">
        <f t="shared" si="54"/>
        <v>No</v>
      </c>
      <c r="AE204" s="7" t="str">
        <f t="shared" si="55"/>
        <v>Normal</v>
      </c>
    </row>
    <row r="205" spans="1:31">
      <c r="A205" t="s">
        <v>807</v>
      </c>
      <c r="B205">
        <v>39781129</v>
      </c>
      <c r="C205" t="s">
        <v>808</v>
      </c>
      <c r="D205" t="s">
        <v>809</v>
      </c>
      <c r="E205" t="s">
        <v>3375</v>
      </c>
      <c r="F205" t="s">
        <v>22</v>
      </c>
      <c r="G205" t="s">
        <v>53</v>
      </c>
      <c r="H205" t="s">
        <v>56</v>
      </c>
      <c r="I205" t="s">
        <v>3378</v>
      </c>
      <c r="J205">
        <v>2350.0500000000002</v>
      </c>
      <c r="K205" t="s">
        <v>57</v>
      </c>
      <c r="L205" t="s">
        <v>75</v>
      </c>
      <c r="M205" s="1">
        <v>45205.604861111111</v>
      </c>
      <c r="N205">
        <v>65</v>
      </c>
      <c r="O205" t="s">
        <v>68</v>
      </c>
      <c r="P205" t="s">
        <v>36</v>
      </c>
      <c r="Q205" t="s">
        <v>810</v>
      </c>
      <c r="R205" t="str">
        <f t="shared" si="42"/>
        <v>William Malik</v>
      </c>
      <c r="S205" t="str">
        <f t="shared" si="43"/>
        <v>Richard Smith</v>
      </c>
      <c r="T205" t="str">
        <f t="shared" si="44"/>
        <v>BRL</v>
      </c>
      <c r="U205" s="7" t="str">
        <f t="shared" si="45"/>
        <v>AED</v>
      </c>
      <c r="V205" s="7" t="str">
        <f t="shared" si="46"/>
        <v>UAE</v>
      </c>
      <c r="W205" s="7" t="str">
        <f t="shared" si="47"/>
        <v>Germany</v>
      </c>
      <c r="X205" s="7" t="str">
        <f t="shared" si="48"/>
        <v>Inter-Transaction</v>
      </c>
      <c r="Y205" s="7">
        <f t="shared" si="49"/>
        <v>2350.0500000000002</v>
      </c>
      <c r="Z205" s="7">
        <f t="shared" si="50"/>
        <v>65</v>
      </c>
      <c r="AA205" s="7">
        <f t="shared" si="51"/>
        <v>2023</v>
      </c>
      <c r="AB205" s="7">
        <f t="shared" si="52"/>
        <v>10</v>
      </c>
      <c r="AC205" s="7">
        <f t="shared" si="53"/>
        <v>1</v>
      </c>
      <c r="AD205" s="7" t="str">
        <f t="shared" si="54"/>
        <v>No</v>
      </c>
      <c r="AE205" s="7" t="str">
        <f t="shared" si="55"/>
        <v>High Risk</v>
      </c>
    </row>
    <row r="206" spans="1:31">
      <c r="A206" t="s">
        <v>811</v>
      </c>
      <c r="B206">
        <v>74764506</v>
      </c>
      <c r="C206" t="s">
        <v>555</v>
      </c>
      <c r="E206" t="s">
        <v>20</v>
      </c>
      <c r="F206" t="s">
        <v>116</v>
      </c>
      <c r="G206" t="s">
        <v>35</v>
      </c>
      <c r="H206" t="s">
        <v>25</v>
      </c>
      <c r="I206" t="s">
        <v>3378</v>
      </c>
      <c r="J206">
        <v>5225.47</v>
      </c>
      <c r="K206" t="s">
        <v>39</v>
      </c>
      <c r="L206" t="s">
        <v>81</v>
      </c>
      <c r="M206" s="1">
        <v>46018.247916666667</v>
      </c>
      <c r="N206">
        <v>20</v>
      </c>
      <c r="O206" t="s">
        <v>54</v>
      </c>
      <c r="P206" t="s">
        <v>127</v>
      </c>
      <c r="Q206" t="s">
        <v>812</v>
      </c>
      <c r="R206" t="str">
        <f t="shared" si="42"/>
        <v>Linda Thomas</v>
      </c>
      <c r="S206" t="str">
        <f t="shared" si="43"/>
        <v/>
      </c>
      <c r="T206" t="str">
        <f t="shared" si="44"/>
        <v>CHF</v>
      </c>
      <c r="U206" s="7" t="str">
        <f t="shared" si="45"/>
        <v>EUR</v>
      </c>
      <c r="V206" s="7" t="str">
        <f t="shared" si="46"/>
        <v>India</v>
      </c>
      <c r="W206" s="7" t="str">
        <f t="shared" si="47"/>
        <v>Canada</v>
      </c>
      <c r="X206" s="7" t="str">
        <f t="shared" si="48"/>
        <v>Inter-Transaction</v>
      </c>
      <c r="Y206" s="7">
        <f t="shared" si="49"/>
        <v>5225.47</v>
      </c>
      <c r="Z206" s="7">
        <f t="shared" si="50"/>
        <v>20</v>
      </c>
      <c r="AA206" s="7">
        <f t="shared" si="51"/>
        <v>2025</v>
      </c>
      <c r="AB206" s="7">
        <f t="shared" si="52"/>
        <v>12</v>
      </c>
      <c r="AC206" s="7">
        <f t="shared" si="53"/>
        <v>1</v>
      </c>
      <c r="AD206" s="7" t="str">
        <f t="shared" si="54"/>
        <v>No</v>
      </c>
      <c r="AE206" s="7" t="str">
        <f t="shared" si="55"/>
        <v>Normal</v>
      </c>
    </row>
    <row r="207" spans="1:31">
      <c r="A207" t="s">
        <v>813</v>
      </c>
      <c r="B207">
        <v>15527388</v>
      </c>
      <c r="C207" t="s">
        <v>814</v>
      </c>
      <c r="D207" t="s">
        <v>815</v>
      </c>
      <c r="E207" t="s">
        <v>20</v>
      </c>
      <c r="F207" t="s">
        <v>22</v>
      </c>
      <c r="G207" t="s">
        <v>121</v>
      </c>
      <c r="H207" t="s">
        <v>38</v>
      </c>
      <c r="I207" t="s">
        <v>3376</v>
      </c>
      <c r="J207">
        <v>1360.34</v>
      </c>
      <c r="K207" t="s">
        <v>39</v>
      </c>
      <c r="L207" t="s">
        <v>75</v>
      </c>
      <c r="M207" s="1">
        <v>46011.487500000003</v>
      </c>
      <c r="N207">
        <v>37</v>
      </c>
      <c r="O207" t="s">
        <v>68</v>
      </c>
      <c r="P207" t="s">
        <v>93</v>
      </c>
      <c r="Q207" t="s">
        <v>816</v>
      </c>
      <c r="R207" t="str">
        <f t="shared" si="42"/>
        <v>Richard Moore</v>
      </c>
      <c r="S207" t="str">
        <f t="shared" si="43"/>
        <v>Christopher Jones</v>
      </c>
      <c r="T207" t="str">
        <f t="shared" si="44"/>
        <v>BRL</v>
      </c>
      <c r="U207" s="7" t="str">
        <f t="shared" si="45"/>
        <v>INR</v>
      </c>
      <c r="V207" s="7" t="str">
        <f t="shared" si="46"/>
        <v>UAE</v>
      </c>
      <c r="W207" s="7" t="str">
        <f t="shared" si="47"/>
        <v>USA</v>
      </c>
      <c r="X207" s="7" t="str">
        <f t="shared" si="48"/>
        <v>Internal</v>
      </c>
      <c r="Y207" s="7">
        <f t="shared" si="49"/>
        <v>1360.34</v>
      </c>
      <c r="Z207" s="7">
        <f t="shared" si="50"/>
        <v>37</v>
      </c>
      <c r="AA207" s="7">
        <f t="shared" si="51"/>
        <v>2025</v>
      </c>
      <c r="AB207" s="7">
        <f t="shared" si="52"/>
        <v>12</v>
      </c>
      <c r="AC207" s="7">
        <f t="shared" si="53"/>
        <v>2</v>
      </c>
      <c r="AD207" s="7" t="str">
        <f t="shared" si="54"/>
        <v>No</v>
      </c>
      <c r="AE207" s="7" t="str">
        <f t="shared" si="55"/>
        <v>High Risk</v>
      </c>
    </row>
    <row r="208" spans="1:31">
      <c r="A208" t="s">
        <v>817</v>
      </c>
      <c r="B208">
        <v>68316409</v>
      </c>
      <c r="C208" t="s">
        <v>818</v>
      </c>
      <c r="D208" t="s">
        <v>819</v>
      </c>
      <c r="E208" t="s">
        <v>20</v>
      </c>
      <c r="F208" t="s">
        <v>98</v>
      </c>
      <c r="G208" t="s">
        <v>121</v>
      </c>
      <c r="H208" t="s">
        <v>74</v>
      </c>
      <c r="I208" t="s">
        <v>3371</v>
      </c>
      <c r="J208">
        <v>1083.94</v>
      </c>
      <c r="K208" t="s">
        <v>39</v>
      </c>
      <c r="L208" t="s">
        <v>75</v>
      </c>
      <c r="M208" s="1">
        <v>45474.81527777778</v>
      </c>
      <c r="N208">
        <v>41</v>
      </c>
      <c r="O208" t="s">
        <v>54</v>
      </c>
      <c r="P208" t="s">
        <v>24</v>
      </c>
      <c r="Q208" t="s">
        <v>820</v>
      </c>
      <c r="R208" t="str">
        <f t="shared" si="42"/>
        <v>Jean-Pierre Rostova</v>
      </c>
      <c r="S208" t="str">
        <f t="shared" si="43"/>
        <v>Michael Dubois</v>
      </c>
      <c r="T208" t="str">
        <f t="shared" si="44"/>
        <v>JPY</v>
      </c>
      <c r="U208" s="7" t="str">
        <f t="shared" si="45"/>
        <v>INR</v>
      </c>
      <c r="V208" s="7" t="str">
        <f t="shared" si="46"/>
        <v>India</v>
      </c>
      <c r="W208" s="7" t="str">
        <f t="shared" si="47"/>
        <v>Brazil</v>
      </c>
      <c r="X208" s="7" t="str">
        <f t="shared" si="48"/>
        <v>Outer-Transaction</v>
      </c>
      <c r="Y208" s="7">
        <f t="shared" si="49"/>
        <v>1083.94</v>
      </c>
      <c r="Z208" s="7">
        <f t="shared" si="50"/>
        <v>41</v>
      </c>
      <c r="AA208" s="7">
        <f t="shared" si="51"/>
        <v>2024</v>
      </c>
      <c r="AB208" s="7">
        <f t="shared" si="52"/>
        <v>7</v>
      </c>
      <c r="AC208" s="7">
        <f t="shared" si="53"/>
        <v>1</v>
      </c>
      <c r="AD208" s="7" t="str">
        <f t="shared" si="54"/>
        <v>No</v>
      </c>
      <c r="AE208" s="7" t="str">
        <f t="shared" si="55"/>
        <v>High Risk</v>
      </c>
    </row>
    <row r="209" spans="1:31">
      <c r="A209" t="s">
        <v>821</v>
      </c>
      <c r="B209">
        <v>32717056</v>
      </c>
      <c r="C209" t="s">
        <v>822</v>
      </c>
      <c r="D209" t="s">
        <v>120</v>
      </c>
      <c r="E209" t="s">
        <v>20</v>
      </c>
      <c r="F209" t="s">
        <v>91</v>
      </c>
      <c r="G209" t="s">
        <v>44</v>
      </c>
      <c r="I209" t="s">
        <v>3377</v>
      </c>
      <c r="J209">
        <v>11096.33</v>
      </c>
      <c r="K209" t="s">
        <v>47</v>
      </c>
      <c r="L209" t="s">
        <v>48</v>
      </c>
      <c r="M209" s="1">
        <v>44008.067361111112</v>
      </c>
      <c r="N209">
        <v>71</v>
      </c>
      <c r="O209" t="s">
        <v>54</v>
      </c>
      <c r="P209" t="s">
        <v>55</v>
      </c>
      <c r="Q209" t="s">
        <v>823</v>
      </c>
      <c r="R209" t="str">
        <f t="shared" si="42"/>
        <v>Susan Martin</v>
      </c>
      <c r="S209" t="str">
        <f t="shared" si="43"/>
        <v>Amir Silva</v>
      </c>
      <c r="T209" t="str">
        <f t="shared" si="44"/>
        <v>gbp</v>
      </c>
      <c r="U209" s="7" t="str">
        <f t="shared" si="45"/>
        <v>SGD</v>
      </c>
      <c r="V209" s="7" t="str">
        <f t="shared" si="46"/>
        <v>India</v>
      </c>
      <c r="W209" s="7" t="str">
        <f t="shared" si="47"/>
        <v>UK</v>
      </c>
      <c r="X209" s="7" t="str">
        <f t="shared" si="48"/>
        <v>Inter-Transaction</v>
      </c>
      <c r="Y209" s="7">
        <f t="shared" si="49"/>
        <v>11096.33</v>
      </c>
      <c r="Z209" s="7">
        <f t="shared" si="50"/>
        <v>71</v>
      </c>
      <c r="AA209" s="7">
        <f t="shared" si="51"/>
        <v>2020</v>
      </c>
      <c r="AB209" s="7">
        <f t="shared" si="52"/>
        <v>6</v>
      </c>
      <c r="AC209" s="7">
        <f t="shared" si="53"/>
        <v>1</v>
      </c>
      <c r="AD209" s="7" t="str">
        <f t="shared" si="54"/>
        <v>No</v>
      </c>
      <c r="AE209" s="7" t="str">
        <f t="shared" si="55"/>
        <v>Normal</v>
      </c>
    </row>
    <row r="210" spans="1:31">
      <c r="A210" t="s">
        <v>824</v>
      </c>
      <c r="B210">
        <v>37353754</v>
      </c>
      <c r="C210" t="s">
        <v>825</v>
      </c>
      <c r="D210" t="s">
        <v>826</v>
      </c>
      <c r="E210" t="s">
        <v>20</v>
      </c>
      <c r="F210" t="s">
        <v>116</v>
      </c>
      <c r="G210" t="s">
        <v>22</v>
      </c>
      <c r="H210" t="s">
        <v>38</v>
      </c>
      <c r="I210" t="s">
        <v>3377</v>
      </c>
      <c r="J210">
        <v>3839.29</v>
      </c>
      <c r="K210" t="s">
        <v>86</v>
      </c>
      <c r="L210" t="s">
        <v>75</v>
      </c>
      <c r="M210" s="1">
        <v>45212.995138888888</v>
      </c>
      <c r="N210">
        <v>50</v>
      </c>
      <c r="O210" t="s">
        <v>36</v>
      </c>
      <c r="P210" t="s">
        <v>55</v>
      </c>
      <c r="Q210" t="s">
        <v>827</v>
      </c>
      <c r="R210" t="str">
        <f t="shared" si="42"/>
        <v>Karen Taylor</v>
      </c>
      <c r="S210" t="str">
        <f t="shared" si="43"/>
        <v>Jean-Pierre Rodriguez</v>
      </c>
      <c r="T210" t="str">
        <f t="shared" si="44"/>
        <v>CHF</v>
      </c>
      <c r="U210" s="7" t="str">
        <f t="shared" si="45"/>
        <v>BRL</v>
      </c>
      <c r="V210" s="7" t="str">
        <f t="shared" si="46"/>
        <v>Germany</v>
      </c>
      <c r="W210" s="7" t="str">
        <f t="shared" si="47"/>
        <v>UK</v>
      </c>
      <c r="X210" s="7" t="str">
        <f t="shared" si="48"/>
        <v>Inter-Transaction</v>
      </c>
      <c r="Y210" s="7">
        <f t="shared" si="49"/>
        <v>3839.29</v>
      </c>
      <c r="Z210" s="7">
        <f t="shared" si="50"/>
        <v>50</v>
      </c>
      <c r="AA210" s="7">
        <f t="shared" si="51"/>
        <v>2023</v>
      </c>
      <c r="AB210" s="7">
        <f t="shared" si="52"/>
        <v>10</v>
      </c>
      <c r="AC210" s="7">
        <f t="shared" si="53"/>
        <v>1</v>
      </c>
      <c r="AD210" s="7" t="str">
        <f t="shared" si="54"/>
        <v>No</v>
      </c>
      <c r="AE210" s="7" t="str">
        <f t="shared" si="55"/>
        <v>High Risk</v>
      </c>
    </row>
    <row r="211" spans="1:31">
      <c r="A211" t="s">
        <v>828</v>
      </c>
      <c r="B211">
        <v>98597172</v>
      </c>
      <c r="C211" t="s">
        <v>829</v>
      </c>
      <c r="D211" t="s">
        <v>18</v>
      </c>
      <c r="E211" t="s">
        <v>20</v>
      </c>
      <c r="G211" t="s">
        <v>92</v>
      </c>
      <c r="H211" t="s">
        <v>38</v>
      </c>
      <c r="I211" t="s">
        <v>3376</v>
      </c>
      <c r="J211">
        <v>1329.43</v>
      </c>
      <c r="K211" t="s">
        <v>47</v>
      </c>
      <c r="L211" t="s">
        <v>81</v>
      </c>
      <c r="M211" s="1">
        <v>46258.178472222222</v>
      </c>
      <c r="N211">
        <v>41</v>
      </c>
      <c r="O211" t="s">
        <v>36</v>
      </c>
      <c r="P211" t="s">
        <v>127</v>
      </c>
      <c r="Q211" t="s">
        <v>830</v>
      </c>
      <c r="R211" t="str">
        <f t="shared" si="42"/>
        <v>Susan Malik</v>
      </c>
      <c r="S211" t="str">
        <f t="shared" si="43"/>
        <v>Patricia Smith</v>
      </c>
      <c r="T211" t="str">
        <f t="shared" si="44"/>
        <v/>
      </c>
      <c r="U211" s="7" t="str">
        <f t="shared" si="45"/>
        <v>AUD</v>
      </c>
      <c r="V211" s="7" t="str">
        <f t="shared" si="46"/>
        <v>Germany</v>
      </c>
      <c r="W211" s="7" t="str">
        <f t="shared" si="47"/>
        <v>Canada</v>
      </c>
      <c r="X211" s="7" t="str">
        <f t="shared" si="48"/>
        <v>Internal</v>
      </c>
      <c r="Y211" s="7">
        <f t="shared" si="49"/>
        <v>1329.43</v>
      </c>
      <c r="Z211" s="7">
        <f t="shared" si="50"/>
        <v>41</v>
      </c>
      <c r="AA211" s="7">
        <f t="shared" si="51"/>
        <v>2026</v>
      </c>
      <c r="AB211" s="7">
        <f t="shared" si="52"/>
        <v>8</v>
      </c>
      <c r="AC211" s="7">
        <f t="shared" si="53"/>
        <v>1</v>
      </c>
      <c r="AD211" s="7" t="str">
        <f t="shared" si="54"/>
        <v>No</v>
      </c>
      <c r="AE211" s="7" t="str">
        <f t="shared" si="55"/>
        <v>Normal</v>
      </c>
    </row>
    <row r="212" spans="1:31">
      <c r="A212" t="s">
        <v>831</v>
      </c>
      <c r="B212">
        <v>57698045</v>
      </c>
      <c r="C212" t="s">
        <v>832</v>
      </c>
      <c r="D212" t="s">
        <v>833</v>
      </c>
      <c r="E212" t="s">
        <v>20</v>
      </c>
      <c r="F212" t="s">
        <v>80</v>
      </c>
      <c r="G212" t="s">
        <v>45</v>
      </c>
      <c r="H212" t="s">
        <v>103</v>
      </c>
      <c r="I212" t="s">
        <v>3371</v>
      </c>
      <c r="J212">
        <v>2284.11</v>
      </c>
      <c r="K212" t="s">
        <v>39</v>
      </c>
      <c r="L212" t="s">
        <v>48</v>
      </c>
      <c r="M212" s="1">
        <v>44738.629861111112</v>
      </c>
      <c r="N212">
        <v>53</v>
      </c>
      <c r="O212" t="s">
        <v>55</v>
      </c>
      <c r="P212" t="s">
        <v>37</v>
      </c>
      <c r="Q212" t="s">
        <v>834</v>
      </c>
      <c r="R212" t="str">
        <f t="shared" si="42"/>
        <v>Sanjay Martinez</v>
      </c>
      <c r="S212" t="str">
        <f t="shared" si="43"/>
        <v>Elizabeth Taylor</v>
      </c>
      <c r="T212" t="str">
        <f t="shared" si="44"/>
        <v>USD</v>
      </c>
      <c r="U212" s="7" t="str">
        <f t="shared" si="45"/>
        <v>ZAR</v>
      </c>
      <c r="V212" s="7" t="str">
        <f t="shared" si="46"/>
        <v>UK</v>
      </c>
      <c r="W212" s="7" t="str">
        <f t="shared" si="47"/>
        <v>South Africa</v>
      </c>
      <c r="X212" s="7" t="str">
        <f t="shared" si="48"/>
        <v>Outer-Transaction</v>
      </c>
      <c r="Y212" s="7">
        <f t="shared" si="49"/>
        <v>2284.11</v>
      </c>
      <c r="Z212" s="7">
        <f t="shared" si="50"/>
        <v>53</v>
      </c>
      <c r="AA212" s="7">
        <f t="shared" si="51"/>
        <v>2022</v>
      </c>
      <c r="AB212" s="7">
        <f t="shared" si="52"/>
        <v>6</v>
      </c>
      <c r="AC212" s="7">
        <f t="shared" si="53"/>
        <v>1</v>
      </c>
      <c r="AD212" s="7" t="str">
        <f t="shared" si="54"/>
        <v>No</v>
      </c>
      <c r="AE212" s="7" t="str">
        <f t="shared" si="55"/>
        <v>Normal</v>
      </c>
    </row>
    <row r="213" spans="1:31">
      <c r="A213" t="s">
        <v>835</v>
      </c>
      <c r="B213">
        <v>67239162</v>
      </c>
      <c r="C213" t="s">
        <v>107</v>
      </c>
      <c r="D213" t="s">
        <v>836</v>
      </c>
      <c r="E213" t="s">
        <v>20</v>
      </c>
      <c r="F213" t="s">
        <v>21</v>
      </c>
      <c r="G213" t="s">
        <v>121</v>
      </c>
      <c r="I213" t="s">
        <v>3374</v>
      </c>
      <c r="J213">
        <v>13480.66</v>
      </c>
      <c r="K213" t="s">
        <v>47</v>
      </c>
      <c r="L213" t="s">
        <v>81</v>
      </c>
      <c r="M213" s="1">
        <v>46328.806250000001</v>
      </c>
      <c r="N213">
        <v>55</v>
      </c>
      <c r="O213" t="s">
        <v>37</v>
      </c>
      <c r="P213" t="s">
        <v>37</v>
      </c>
      <c r="Q213" t="s">
        <v>837</v>
      </c>
      <c r="R213" t="str">
        <f t="shared" si="42"/>
        <v>Barbara Souza</v>
      </c>
      <c r="S213" t="str">
        <f t="shared" si="43"/>
        <v>Nancy Hernandez</v>
      </c>
      <c r="T213" t="str">
        <f t="shared" si="44"/>
        <v>GBP</v>
      </c>
      <c r="U213" s="7" t="str">
        <f t="shared" si="45"/>
        <v>INR</v>
      </c>
      <c r="V213" s="7" t="str">
        <f t="shared" si="46"/>
        <v>South Africa</v>
      </c>
      <c r="W213" s="7" t="str">
        <f t="shared" si="47"/>
        <v>South Africa</v>
      </c>
      <c r="X213" s="7" t="str">
        <f t="shared" si="48"/>
        <v>External</v>
      </c>
      <c r="Y213" s="7">
        <f t="shared" si="49"/>
        <v>13480.66</v>
      </c>
      <c r="Z213" s="7">
        <f t="shared" si="50"/>
        <v>55</v>
      </c>
      <c r="AA213" s="7">
        <f t="shared" si="51"/>
        <v>2026</v>
      </c>
      <c r="AB213" s="7">
        <f t="shared" si="52"/>
        <v>11</v>
      </c>
      <c r="AC213" s="7">
        <f t="shared" si="53"/>
        <v>1</v>
      </c>
      <c r="AD213" s="7" t="str">
        <f t="shared" si="54"/>
        <v>No</v>
      </c>
      <c r="AE213" s="7" t="str">
        <f t="shared" si="55"/>
        <v>Normal</v>
      </c>
    </row>
    <row r="214" spans="1:31">
      <c r="A214" t="s">
        <v>838</v>
      </c>
      <c r="B214">
        <v>29531743</v>
      </c>
      <c r="C214" t="s">
        <v>839</v>
      </c>
      <c r="D214" t="s">
        <v>840</v>
      </c>
      <c r="E214" t="s">
        <v>3373</v>
      </c>
      <c r="F214" t="s">
        <v>92</v>
      </c>
      <c r="G214" t="s">
        <v>92</v>
      </c>
      <c r="I214" t="s">
        <v>3371</v>
      </c>
      <c r="J214">
        <v>1610.5</v>
      </c>
      <c r="K214" t="s">
        <v>47</v>
      </c>
      <c r="L214" t="s">
        <v>28</v>
      </c>
      <c r="M214" s="1">
        <v>44416.42291666667</v>
      </c>
      <c r="N214">
        <v>42</v>
      </c>
      <c r="O214" t="s">
        <v>37</v>
      </c>
      <c r="P214" t="s">
        <v>62</v>
      </c>
      <c r="Q214" t="s">
        <v>841</v>
      </c>
      <c r="R214" t="str">
        <f t="shared" si="42"/>
        <v>Fatima Smith</v>
      </c>
      <c r="S214" t="str">
        <f t="shared" si="43"/>
        <v>Jean-Pierre Hernandez</v>
      </c>
      <c r="T214" t="str">
        <f t="shared" si="44"/>
        <v>AUD</v>
      </c>
      <c r="U214" s="7" t="str">
        <f t="shared" si="45"/>
        <v>AUD</v>
      </c>
      <c r="V214" s="7" t="str">
        <f t="shared" si="46"/>
        <v>South Africa</v>
      </c>
      <c r="W214" s="7" t="str">
        <f t="shared" si="47"/>
        <v>Australia</v>
      </c>
      <c r="X214" s="7" t="str">
        <f t="shared" si="48"/>
        <v>Outer-Transaction</v>
      </c>
      <c r="Y214" s="7">
        <f t="shared" si="49"/>
        <v>1610.5</v>
      </c>
      <c r="Z214" s="7">
        <f t="shared" si="50"/>
        <v>42</v>
      </c>
      <c r="AA214" s="7">
        <f t="shared" si="51"/>
        <v>2021</v>
      </c>
      <c r="AB214" s="7">
        <f t="shared" si="52"/>
        <v>8</v>
      </c>
      <c r="AC214" s="7">
        <f t="shared" si="53"/>
        <v>1</v>
      </c>
      <c r="AD214" s="7" t="str">
        <f t="shared" si="54"/>
        <v>No</v>
      </c>
      <c r="AE214" s="7" t="str">
        <f t="shared" si="55"/>
        <v>Normal</v>
      </c>
    </row>
    <row r="215" spans="1:31">
      <c r="A215" t="s">
        <v>842</v>
      </c>
      <c r="B215">
        <v>27996802</v>
      </c>
      <c r="C215" t="s">
        <v>843</v>
      </c>
      <c r="D215" t="s">
        <v>844</v>
      </c>
      <c r="E215" t="s">
        <v>33</v>
      </c>
      <c r="F215" t="s">
        <v>34</v>
      </c>
      <c r="G215" t="s">
        <v>21</v>
      </c>
      <c r="H215" t="s">
        <v>25</v>
      </c>
      <c r="I215" t="s">
        <v>3378</v>
      </c>
      <c r="J215">
        <v>14253.47</v>
      </c>
      <c r="K215" t="s">
        <v>47</v>
      </c>
      <c r="L215" t="s">
        <v>48</v>
      </c>
      <c r="M215" s="1">
        <v>46341.99722222222</v>
      </c>
      <c r="N215">
        <v>35</v>
      </c>
      <c r="O215" t="s">
        <v>93</v>
      </c>
      <c r="P215" t="s">
        <v>54</v>
      </c>
      <c r="Q215" t="s">
        <v>845</v>
      </c>
      <c r="R215" t="str">
        <f t="shared" si="42"/>
        <v>Charles Malik</v>
      </c>
      <c r="S215" t="str">
        <f t="shared" si="43"/>
        <v xml:space="preserve"> Nancy Thomas   </v>
      </c>
      <c r="T215" t="str">
        <f t="shared" si="44"/>
        <v>CAD</v>
      </c>
      <c r="U215" s="7" t="str">
        <f t="shared" si="45"/>
        <v>GBP</v>
      </c>
      <c r="V215" s="7" t="str">
        <f t="shared" si="46"/>
        <v>USA</v>
      </c>
      <c r="W215" s="7" t="str">
        <f t="shared" si="47"/>
        <v>India</v>
      </c>
      <c r="X215" s="7" t="str">
        <f t="shared" si="48"/>
        <v>Inter-Transaction</v>
      </c>
      <c r="Y215" s="7">
        <f t="shared" si="49"/>
        <v>14253.47</v>
      </c>
      <c r="Z215" s="7">
        <f t="shared" si="50"/>
        <v>35</v>
      </c>
      <c r="AA215" s="7">
        <f t="shared" si="51"/>
        <v>2026</v>
      </c>
      <c r="AB215" s="7">
        <f t="shared" si="52"/>
        <v>11</v>
      </c>
      <c r="AC215" s="7">
        <f t="shared" si="53"/>
        <v>1</v>
      </c>
      <c r="AD215" s="7" t="str">
        <f t="shared" si="54"/>
        <v>No</v>
      </c>
      <c r="AE215" s="7" t="str">
        <f t="shared" si="55"/>
        <v>Normal</v>
      </c>
    </row>
    <row r="216" spans="1:31">
      <c r="A216" t="s">
        <v>846</v>
      </c>
      <c r="B216">
        <v>43122766</v>
      </c>
      <c r="C216" t="s">
        <v>847</v>
      </c>
      <c r="D216" t="s">
        <v>848</v>
      </c>
      <c r="E216" t="s">
        <v>20</v>
      </c>
      <c r="F216" t="s">
        <v>92</v>
      </c>
      <c r="G216" t="s">
        <v>22</v>
      </c>
      <c r="I216" t="s">
        <v>3377</v>
      </c>
      <c r="J216">
        <v>7814.53</v>
      </c>
      <c r="K216" t="s">
        <v>39</v>
      </c>
      <c r="L216" t="s">
        <v>81</v>
      </c>
      <c r="M216" s="1">
        <v>44820.494444444441</v>
      </c>
      <c r="N216">
        <v>83</v>
      </c>
      <c r="O216" t="s">
        <v>37</v>
      </c>
      <c r="P216" t="s">
        <v>68</v>
      </c>
      <c r="Q216" t="s">
        <v>849</v>
      </c>
      <c r="R216" t="str">
        <f t="shared" si="42"/>
        <v>Jessica Gonzalez</v>
      </c>
      <c r="S216" t="str">
        <f t="shared" si="43"/>
        <v>Jean-Pierre Johnson</v>
      </c>
      <c r="T216" t="str">
        <f t="shared" si="44"/>
        <v>AUD</v>
      </c>
      <c r="U216" s="7" t="str">
        <f t="shared" si="45"/>
        <v>BRL</v>
      </c>
      <c r="V216" s="7" t="str">
        <f t="shared" si="46"/>
        <v>South Africa</v>
      </c>
      <c r="W216" s="7" t="str">
        <f t="shared" si="47"/>
        <v>UAE</v>
      </c>
      <c r="X216" s="7" t="str">
        <f t="shared" si="48"/>
        <v>Inter-Transaction</v>
      </c>
      <c r="Y216" s="7">
        <f t="shared" si="49"/>
        <v>7814.53</v>
      </c>
      <c r="Z216" s="7">
        <f t="shared" si="50"/>
        <v>83</v>
      </c>
      <c r="AA216" s="7">
        <f t="shared" si="51"/>
        <v>2022</v>
      </c>
      <c r="AB216" s="7">
        <f t="shared" si="52"/>
        <v>9</v>
      </c>
      <c r="AC216" s="7">
        <f t="shared" si="53"/>
        <v>1</v>
      </c>
      <c r="AD216" s="7" t="str">
        <f t="shared" si="54"/>
        <v>No</v>
      </c>
      <c r="AE216" s="7" t="str">
        <f t="shared" si="55"/>
        <v>Normal</v>
      </c>
    </row>
    <row r="217" spans="1:31">
      <c r="A217" t="s">
        <v>850</v>
      </c>
      <c r="B217">
        <v>35481281</v>
      </c>
      <c r="C217" t="s">
        <v>102</v>
      </c>
      <c r="D217" t="s">
        <v>147</v>
      </c>
      <c r="E217" t="s">
        <v>20</v>
      </c>
      <c r="F217" t="s">
        <v>53</v>
      </c>
      <c r="G217" t="s">
        <v>44</v>
      </c>
      <c r="H217" t="s">
        <v>56</v>
      </c>
      <c r="I217" t="s">
        <v>3374</v>
      </c>
      <c r="J217">
        <v>6780.95</v>
      </c>
      <c r="K217" t="s">
        <v>27</v>
      </c>
      <c r="L217" t="s">
        <v>28</v>
      </c>
      <c r="M217" s="1">
        <v>44962.248611111114</v>
      </c>
      <c r="N217">
        <v>71</v>
      </c>
      <c r="O217" t="s">
        <v>36</v>
      </c>
      <c r="P217" t="s">
        <v>24</v>
      </c>
      <c r="Q217" t="s">
        <v>851</v>
      </c>
      <c r="R217" t="str">
        <f t="shared" si="42"/>
        <v>Barbara Anderson</v>
      </c>
      <c r="S217" t="str">
        <f t="shared" si="43"/>
        <v>Joseph Volkov</v>
      </c>
      <c r="T217" t="str">
        <f t="shared" si="44"/>
        <v>AED</v>
      </c>
      <c r="U217" s="7" t="str">
        <f t="shared" si="45"/>
        <v>SGD</v>
      </c>
      <c r="V217" s="7" t="str">
        <f t="shared" si="46"/>
        <v>Germany</v>
      </c>
      <c r="W217" s="7" t="str">
        <f t="shared" si="47"/>
        <v>Brazil</v>
      </c>
      <c r="X217" s="7" t="str">
        <f t="shared" si="48"/>
        <v>External</v>
      </c>
      <c r="Y217" s="7">
        <f t="shared" si="49"/>
        <v>6780.95</v>
      </c>
      <c r="Z217" s="7">
        <f t="shared" si="50"/>
        <v>71</v>
      </c>
      <c r="AA217" s="7">
        <f t="shared" si="51"/>
        <v>2023</v>
      </c>
      <c r="AB217" s="7">
        <f t="shared" si="52"/>
        <v>2</v>
      </c>
      <c r="AC217" s="7">
        <f t="shared" si="53"/>
        <v>1</v>
      </c>
      <c r="AD217" s="7" t="str">
        <f t="shared" si="54"/>
        <v>No</v>
      </c>
      <c r="AE217" s="7" t="str">
        <f t="shared" si="55"/>
        <v>Normal</v>
      </c>
    </row>
    <row r="218" spans="1:31">
      <c r="A218" t="s">
        <v>852</v>
      </c>
      <c r="B218">
        <v>37102854</v>
      </c>
      <c r="C218" t="s">
        <v>853</v>
      </c>
      <c r="D218" t="s">
        <v>854</v>
      </c>
      <c r="E218" t="s">
        <v>20</v>
      </c>
      <c r="F218" t="s">
        <v>45</v>
      </c>
      <c r="G218" t="s">
        <v>22</v>
      </c>
      <c r="H218" t="s">
        <v>103</v>
      </c>
      <c r="I218" t="s">
        <v>3377</v>
      </c>
      <c r="J218">
        <v>7862.02</v>
      </c>
      <c r="K218" t="s">
        <v>39</v>
      </c>
      <c r="L218" t="s">
        <v>48</v>
      </c>
      <c r="M218" s="1">
        <v>46000.794444444444</v>
      </c>
      <c r="N218">
        <v>52</v>
      </c>
      <c r="O218" t="s">
        <v>55</v>
      </c>
      <c r="P218" t="s">
        <v>93</v>
      </c>
      <c r="Q218" t="s">
        <v>855</v>
      </c>
      <c r="R218" t="str">
        <f t="shared" si="42"/>
        <v>Carlos Anderson</v>
      </c>
      <c r="S218" t="str">
        <f t="shared" si="43"/>
        <v>Robert Rodriguez</v>
      </c>
      <c r="T218" t="str">
        <f t="shared" si="44"/>
        <v>ZAR</v>
      </c>
      <c r="U218" s="7" t="str">
        <f t="shared" si="45"/>
        <v>BRL</v>
      </c>
      <c r="V218" s="7" t="str">
        <f t="shared" si="46"/>
        <v>UK</v>
      </c>
      <c r="W218" s="7" t="str">
        <f t="shared" si="47"/>
        <v>USA</v>
      </c>
      <c r="X218" s="7" t="str">
        <f t="shared" si="48"/>
        <v>Inter-Transaction</v>
      </c>
      <c r="Y218" s="7">
        <f t="shared" si="49"/>
        <v>7862.02</v>
      </c>
      <c r="Z218" s="7">
        <f t="shared" si="50"/>
        <v>52</v>
      </c>
      <c r="AA218" s="7">
        <f t="shared" si="51"/>
        <v>2025</v>
      </c>
      <c r="AB218" s="7">
        <f t="shared" si="52"/>
        <v>12</v>
      </c>
      <c r="AC218" s="7">
        <f t="shared" si="53"/>
        <v>1</v>
      </c>
      <c r="AD218" s="7" t="str">
        <f t="shared" si="54"/>
        <v>No</v>
      </c>
      <c r="AE218" s="7" t="str">
        <f t="shared" si="55"/>
        <v>Normal</v>
      </c>
    </row>
    <row r="219" spans="1:31">
      <c r="A219" t="s">
        <v>856</v>
      </c>
      <c r="B219">
        <v>29408873</v>
      </c>
      <c r="C219" t="s">
        <v>857</v>
      </c>
      <c r="D219" t="s">
        <v>858</v>
      </c>
      <c r="E219" t="s">
        <v>20</v>
      </c>
      <c r="F219" t="s">
        <v>53</v>
      </c>
      <c r="G219" t="s">
        <v>22</v>
      </c>
      <c r="H219" t="s">
        <v>74</v>
      </c>
      <c r="I219" t="s">
        <v>3377</v>
      </c>
      <c r="J219">
        <v>9342.18</v>
      </c>
      <c r="K219" t="s">
        <v>57</v>
      </c>
      <c r="L219" t="s">
        <v>28</v>
      </c>
      <c r="M219" s="1">
        <v>45895.922222222223</v>
      </c>
      <c r="N219">
        <v>78</v>
      </c>
      <c r="O219" t="s">
        <v>55</v>
      </c>
      <c r="P219" t="s">
        <v>37</v>
      </c>
      <c r="Q219" t="s">
        <v>859</v>
      </c>
      <c r="R219" t="str">
        <f t="shared" si="42"/>
        <v>Linda Dubois</v>
      </c>
      <c r="S219" t="str">
        <f t="shared" si="43"/>
        <v>Elena Johnson</v>
      </c>
      <c r="T219" t="str">
        <f t="shared" si="44"/>
        <v>AED</v>
      </c>
      <c r="U219" s="7" t="str">
        <f t="shared" si="45"/>
        <v>BRL</v>
      </c>
      <c r="V219" s="7" t="str">
        <f t="shared" si="46"/>
        <v>UK</v>
      </c>
      <c r="W219" s="7" t="str">
        <f t="shared" si="47"/>
        <v>South Africa</v>
      </c>
      <c r="X219" s="7" t="str">
        <f t="shared" si="48"/>
        <v>Inter-Transaction</v>
      </c>
      <c r="Y219" s="7">
        <f t="shared" si="49"/>
        <v>9342.18</v>
      </c>
      <c r="Z219" s="7">
        <f t="shared" si="50"/>
        <v>78</v>
      </c>
      <c r="AA219" s="7">
        <f t="shared" si="51"/>
        <v>2025</v>
      </c>
      <c r="AB219" s="7">
        <f t="shared" si="52"/>
        <v>8</v>
      </c>
      <c r="AC219" s="7">
        <f t="shared" si="53"/>
        <v>1</v>
      </c>
      <c r="AD219" s="7" t="str">
        <f t="shared" si="54"/>
        <v>No</v>
      </c>
      <c r="AE219" s="7" t="str">
        <f t="shared" si="55"/>
        <v>Normal</v>
      </c>
    </row>
    <row r="220" spans="1:31">
      <c r="A220" t="s">
        <v>860</v>
      </c>
      <c r="B220">
        <v>70899748</v>
      </c>
      <c r="C220" t="s">
        <v>861</v>
      </c>
      <c r="D220" t="s">
        <v>448</v>
      </c>
      <c r="E220" t="s">
        <v>20</v>
      </c>
      <c r="F220" t="s">
        <v>121</v>
      </c>
      <c r="G220" t="s">
        <v>98</v>
      </c>
      <c r="H220" t="s">
        <v>25</v>
      </c>
      <c r="I220" t="s">
        <v>3374</v>
      </c>
      <c r="J220">
        <v>5241.8100000000004</v>
      </c>
      <c r="K220" t="s">
        <v>47</v>
      </c>
      <c r="L220" t="s">
        <v>28</v>
      </c>
      <c r="M220" s="1">
        <v>45050.661805555559</v>
      </c>
      <c r="N220">
        <v>58</v>
      </c>
      <c r="O220" t="s">
        <v>54</v>
      </c>
      <c r="P220" t="s">
        <v>62</v>
      </c>
      <c r="Q220" t="s">
        <v>862</v>
      </c>
      <c r="R220" t="str">
        <f t="shared" si="42"/>
        <v>Jessica Anderson</v>
      </c>
      <c r="S220" t="str">
        <f t="shared" si="43"/>
        <v>Robert Martin</v>
      </c>
      <c r="T220" t="str">
        <f t="shared" si="44"/>
        <v>INR</v>
      </c>
      <c r="U220" s="7" t="str">
        <f t="shared" si="45"/>
        <v>JPY</v>
      </c>
      <c r="V220" s="7" t="str">
        <f t="shared" si="46"/>
        <v>India</v>
      </c>
      <c r="W220" s="7" t="str">
        <f t="shared" si="47"/>
        <v>Australia</v>
      </c>
      <c r="X220" s="7" t="str">
        <f t="shared" si="48"/>
        <v>External</v>
      </c>
      <c r="Y220" s="7">
        <f t="shared" si="49"/>
        <v>5241.8100000000004</v>
      </c>
      <c r="Z220" s="7">
        <f t="shared" si="50"/>
        <v>58</v>
      </c>
      <c r="AA220" s="7">
        <f t="shared" si="51"/>
        <v>2023</v>
      </c>
      <c r="AB220" s="7">
        <f t="shared" si="52"/>
        <v>5</v>
      </c>
      <c r="AC220" s="7">
        <f t="shared" si="53"/>
        <v>1</v>
      </c>
      <c r="AD220" s="7" t="str">
        <f t="shared" si="54"/>
        <v>No</v>
      </c>
      <c r="AE220" s="7" t="str">
        <f t="shared" si="55"/>
        <v>Normal</v>
      </c>
    </row>
    <row r="221" spans="1:31">
      <c r="A221" t="s">
        <v>863</v>
      </c>
      <c r="B221">
        <v>89855385</v>
      </c>
      <c r="C221" t="s">
        <v>864</v>
      </c>
      <c r="D221" t="s">
        <v>865</v>
      </c>
      <c r="E221">
        <v>1</v>
      </c>
      <c r="F221" t="s">
        <v>22</v>
      </c>
      <c r="G221" t="s">
        <v>116</v>
      </c>
      <c r="H221" t="s">
        <v>25</v>
      </c>
      <c r="I221" t="s">
        <v>3372</v>
      </c>
      <c r="J221">
        <v>12651.21</v>
      </c>
      <c r="K221" t="s">
        <v>86</v>
      </c>
      <c r="L221" t="s">
        <v>75</v>
      </c>
      <c r="M221" s="1">
        <v>46205.556250000001</v>
      </c>
      <c r="N221">
        <v>50</v>
      </c>
      <c r="O221" t="s">
        <v>68</v>
      </c>
      <c r="P221" t="s">
        <v>62</v>
      </c>
      <c r="Q221" t="s">
        <v>866</v>
      </c>
      <c r="R221" t="str">
        <f t="shared" si="42"/>
        <v>Christopher Silva</v>
      </c>
      <c r="S221" t="str">
        <f t="shared" si="43"/>
        <v>Karen Garcia</v>
      </c>
      <c r="T221" t="str">
        <f t="shared" si="44"/>
        <v>BRL</v>
      </c>
      <c r="U221" s="7" t="str">
        <f t="shared" si="45"/>
        <v>CHF</v>
      </c>
      <c r="V221" s="7" t="str">
        <f t="shared" si="46"/>
        <v>UAE</v>
      </c>
      <c r="W221" s="7" t="str">
        <f t="shared" si="47"/>
        <v>Australia</v>
      </c>
      <c r="X221" s="7" t="str">
        <f t="shared" si="48"/>
        <v>Outer-Transaction</v>
      </c>
      <c r="Y221" s="7">
        <f t="shared" si="49"/>
        <v>12651.21</v>
      </c>
      <c r="Z221" s="7">
        <f t="shared" si="50"/>
        <v>50</v>
      </c>
      <c r="AA221" s="7">
        <f t="shared" si="51"/>
        <v>2026</v>
      </c>
      <c r="AB221" s="7">
        <f t="shared" si="52"/>
        <v>7</v>
      </c>
      <c r="AC221" s="7">
        <f t="shared" si="53"/>
        <v>1</v>
      </c>
      <c r="AD221" s="7" t="str">
        <f t="shared" si="54"/>
        <v>No</v>
      </c>
      <c r="AE221" s="7" t="str">
        <f t="shared" si="55"/>
        <v>High Risk</v>
      </c>
    </row>
    <row r="222" spans="1:31">
      <c r="A222" t="s">
        <v>867</v>
      </c>
      <c r="B222">
        <v>24670297</v>
      </c>
      <c r="C222" t="s">
        <v>868</v>
      </c>
      <c r="D222" t="s">
        <v>869</v>
      </c>
      <c r="E222" t="b">
        <v>1</v>
      </c>
      <c r="F222" t="s">
        <v>44</v>
      </c>
      <c r="G222" t="s">
        <v>22</v>
      </c>
      <c r="H222" t="s">
        <v>103</v>
      </c>
      <c r="I222" t="s">
        <v>3378</v>
      </c>
      <c r="J222">
        <v>7885.61</v>
      </c>
      <c r="K222" t="s">
        <v>27</v>
      </c>
      <c r="L222" t="s">
        <v>75</v>
      </c>
      <c r="M222" s="1">
        <v>44148.331944444442</v>
      </c>
      <c r="N222">
        <v>85</v>
      </c>
      <c r="O222" t="s">
        <v>93</v>
      </c>
      <c r="P222" t="s">
        <v>127</v>
      </c>
      <c r="Q222" t="s">
        <v>870</v>
      </c>
      <c r="R222" t="str">
        <f t="shared" si="42"/>
        <v>Christopher Al-Sayed</v>
      </c>
      <c r="S222" t="str">
        <f t="shared" si="43"/>
        <v>Sanjay Taylor</v>
      </c>
      <c r="T222" t="str">
        <f t="shared" si="44"/>
        <v>SGD</v>
      </c>
      <c r="U222" s="7" t="str">
        <f t="shared" si="45"/>
        <v>BRL</v>
      </c>
      <c r="V222" s="7" t="str">
        <f t="shared" si="46"/>
        <v>USA</v>
      </c>
      <c r="W222" s="7" t="str">
        <f t="shared" si="47"/>
        <v>Canada</v>
      </c>
      <c r="X222" s="7" t="str">
        <f t="shared" si="48"/>
        <v>Inter-Transaction</v>
      </c>
      <c r="Y222" s="7">
        <f t="shared" si="49"/>
        <v>7885.61</v>
      </c>
      <c r="Z222" s="7">
        <f t="shared" si="50"/>
        <v>85</v>
      </c>
      <c r="AA222" s="7">
        <f t="shared" si="51"/>
        <v>2020</v>
      </c>
      <c r="AB222" s="7">
        <f t="shared" si="52"/>
        <v>11</v>
      </c>
      <c r="AC222" s="7">
        <f t="shared" si="53"/>
        <v>1</v>
      </c>
      <c r="AD222" s="7" t="str">
        <f t="shared" si="54"/>
        <v>No</v>
      </c>
      <c r="AE222" s="7" t="str">
        <f t="shared" si="55"/>
        <v>High Risk</v>
      </c>
    </row>
    <row r="223" spans="1:31">
      <c r="A223" t="s">
        <v>871</v>
      </c>
      <c r="B223">
        <v>48988647</v>
      </c>
      <c r="C223" t="s">
        <v>728</v>
      </c>
      <c r="D223" t="s">
        <v>18</v>
      </c>
      <c r="E223" t="s">
        <v>20</v>
      </c>
      <c r="F223" t="s">
        <v>35</v>
      </c>
      <c r="G223" t="s">
        <v>22</v>
      </c>
      <c r="H223" t="s">
        <v>38</v>
      </c>
      <c r="I223" t="s">
        <v>3374</v>
      </c>
      <c r="J223">
        <v>3192.95</v>
      </c>
      <c r="K223" t="s">
        <v>47</v>
      </c>
      <c r="L223" t="s">
        <v>75</v>
      </c>
      <c r="M223" s="1">
        <v>45333.826388888891</v>
      </c>
      <c r="N223">
        <v>50</v>
      </c>
      <c r="O223" t="s">
        <v>54</v>
      </c>
      <c r="P223" t="s">
        <v>24</v>
      </c>
      <c r="Q223" t="s">
        <v>872</v>
      </c>
      <c r="R223" t="str">
        <f t="shared" si="42"/>
        <v>William Smith</v>
      </c>
      <c r="S223" t="str">
        <f t="shared" si="43"/>
        <v>Patricia Smith</v>
      </c>
      <c r="T223" t="str">
        <f t="shared" si="44"/>
        <v>EUR</v>
      </c>
      <c r="U223" s="7" t="str">
        <f t="shared" si="45"/>
        <v>BRL</v>
      </c>
      <c r="V223" s="7" t="str">
        <f t="shared" si="46"/>
        <v>India</v>
      </c>
      <c r="W223" s="7" t="str">
        <f t="shared" si="47"/>
        <v>Brazil</v>
      </c>
      <c r="X223" s="7" t="str">
        <f t="shared" si="48"/>
        <v>External</v>
      </c>
      <c r="Y223" s="7">
        <f t="shared" si="49"/>
        <v>3192.95</v>
      </c>
      <c r="Z223" s="7">
        <f t="shared" si="50"/>
        <v>50</v>
      </c>
      <c r="AA223" s="7">
        <f t="shared" si="51"/>
        <v>2024</v>
      </c>
      <c r="AB223" s="7">
        <f t="shared" si="52"/>
        <v>2</v>
      </c>
      <c r="AC223" s="7">
        <f t="shared" si="53"/>
        <v>1</v>
      </c>
      <c r="AD223" s="7" t="str">
        <f t="shared" si="54"/>
        <v>No</v>
      </c>
      <c r="AE223" s="7" t="str">
        <f t="shared" si="55"/>
        <v>High Risk</v>
      </c>
    </row>
    <row r="224" spans="1:31">
      <c r="A224" t="s">
        <v>873</v>
      </c>
      <c r="B224">
        <v>86359356</v>
      </c>
      <c r="C224" t="s">
        <v>874</v>
      </c>
      <c r="D224" t="s">
        <v>875</v>
      </c>
      <c r="E224" t="s">
        <v>20</v>
      </c>
      <c r="F224" t="s">
        <v>34</v>
      </c>
      <c r="G224" t="s">
        <v>180</v>
      </c>
      <c r="I224" t="s">
        <v>3376</v>
      </c>
      <c r="J224">
        <v>13439.97</v>
      </c>
      <c r="K224" t="s">
        <v>39</v>
      </c>
      <c r="L224" t="s">
        <v>81</v>
      </c>
      <c r="M224" s="1">
        <v>45865.568055555559</v>
      </c>
      <c r="N224">
        <v>31</v>
      </c>
      <c r="O224" t="s">
        <v>68</v>
      </c>
      <c r="P224" t="s">
        <v>23</v>
      </c>
      <c r="Q224" t="s">
        <v>876</v>
      </c>
      <c r="R224" t="str">
        <f t="shared" si="42"/>
        <v>Nancy Smith</v>
      </c>
      <c r="S224" t="str">
        <f t="shared" si="43"/>
        <v>Amir Garcia</v>
      </c>
      <c r="T224" t="str">
        <f t="shared" si="44"/>
        <v>CAD</v>
      </c>
      <c r="U224" s="7" t="str">
        <f t="shared" si="45"/>
        <v>zar</v>
      </c>
      <c r="V224" s="7" t="str">
        <f t="shared" si="46"/>
        <v>UAE</v>
      </c>
      <c r="W224" s="7" t="str">
        <f t="shared" si="47"/>
        <v>France</v>
      </c>
      <c r="X224" s="7" t="str">
        <f t="shared" si="48"/>
        <v>Internal</v>
      </c>
      <c r="Y224" s="7">
        <f t="shared" si="49"/>
        <v>13439.97</v>
      </c>
      <c r="Z224" s="7">
        <f t="shared" si="50"/>
        <v>31</v>
      </c>
      <c r="AA224" s="7">
        <f t="shared" si="51"/>
        <v>2025</v>
      </c>
      <c r="AB224" s="7">
        <f t="shared" si="52"/>
        <v>7</v>
      </c>
      <c r="AC224" s="7">
        <f t="shared" si="53"/>
        <v>1</v>
      </c>
      <c r="AD224" s="7" t="str">
        <f t="shared" si="54"/>
        <v>No</v>
      </c>
      <c r="AE224" s="7" t="str">
        <f t="shared" si="55"/>
        <v>Normal</v>
      </c>
    </row>
    <row r="225" spans="1:31">
      <c r="A225" t="s">
        <v>877</v>
      </c>
      <c r="B225">
        <v>57458790</v>
      </c>
      <c r="C225" t="s">
        <v>878</v>
      </c>
      <c r="D225" t="s">
        <v>879</v>
      </c>
      <c r="E225" t="s">
        <v>20</v>
      </c>
      <c r="F225" t="s">
        <v>92</v>
      </c>
      <c r="G225" t="s">
        <v>45</v>
      </c>
      <c r="H225" t="s">
        <v>103</v>
      </c>
      <c r="I225" t="s">
        <v>3374</v>
      </c>
      <c r="J225">
        <v>12868.71</v>
      </c>
      <c r="K225" t="s">
        <v>86</v>
      </c>
      <c r="L225" t="s">
        <v>75</v>
      </c>
      <c r="M225" s="1">
        <v>45873.200694444444</v>
      </c>
      <c r="N225">
        <v>38</v>
      </c>
      <c r="O225" t="s">
        <v>37</v>
      </c>
      <c r="P225" t="s">
        <v>68</v>
      </c>
      <c r="Q225" t="s">
        <v>880</v>
      </c>
      <c r="R225" t="str">
        <f t="shared" si="42"/>
        <v>Robert Jones</v>
      </c>
      <c r="S225" t="str">
        <f t="shared" si="43"/>
        <v>David Khan</v>
      </c>
      <c r="T225" t="str">
        <f t="shared" si="44"/>
        <v>AUD</v>
      </c>
      <c r="U225" s="7" t="str">
        <f t="shared" si="45"/>
        <v>ZAR</v>
      </c>
      <c r="V225" s="7" t="str">
        <f t="shared" si="46"/>
        <v>South Africa</v>
      </c>
      <c r="W225" s="7" t="str">
        <f t="shared" si="47"/>
        <v>UAE</v>
      </c>
      <c r="X225" s="7" t="str">
        <f t="shared" si="48"/>
        <v>External</v>
      </c>
      <c r="Y225" s="7">
        <f t="shared" si="49"/>
        <v>12868.71</v>
      </c>
      <c r="Z225" s="7">
        <f t="shared" si="50"/>
        <v>38</v>
      </c>
      <c r="AA225" s="7">
        <f t="shared" si="51"/>
        <v>2025</v>
      </c>
      <c r="AB225" s="7">
        <f t="shared" si="52"/>
        <v>8</v>
      </c>
      <c r="AC225" s="7">
        <f t="shared" si="53"/>
        <v>1</v>
      </c>
      <c r="AD225" s="7" t="str">
        <f t="shared" si="54"/>
        <v>No</v>
      </c>
      <c r="AE225" s="7" t="str">
        <f t="shared" si="55"/>
        <v>High Risk</v>
      </c>
    </row>
    <row r="226" spans="1:31">
      <c r="A226" t="s">
        <v>881</v>
      </c>
      <c r="B226">
        <v>60226379</v>
      </c>
      <c r="C226" t="s">
        <v>882</v>
      </c>
      <c r="D226" t="s">
        <v>183</v>
      </c>
      <c r="E226">
        <v>0</v>
      </c>
      <c r="F226" t="s">
        <v>686</v>
      </c>
      <c r="G226" t="s">
        <v>98</v>
      </c>
      <c r="I226" t="s">
        <v>3376</v>
      </c>
      <c r="J226">
        <v>4662.28</v>
      </c>
      <c r="K226" t="s">
        <v>57</v>
      </c>
      <c r="L226" t="s">
        <v>48</v>
      </c>
      <c r="M226" s="1">
        <v>44333.048611111109</v>
      </c>
      <c r="N226">
        <v>65</v>
      </c>
      <c r="O226" t="s">
        <v>54</v>
      </c>
      <c r="P226" t="s">
        <v>54</v>
      </c>
      <c r="Q226" t="s">
        <v>883</v>
      </c>
      <c r="R226" t="str">
        <f t="shared" si="42"/>
        <v>Lucas Johnson</v>
      </c>
      <c r="S226" t="str">
        <f t="shared" si="43"/>
        <v>Jean-Pierre Miller</v>
      </c>
      <c r="T226" t="str">
        <f t="shared" si="44"/>
        <v>sgd</v>
      </c>
      <c r="U226" s="7" t="str">
        <f t="shared" si="45"/>
        <v>JPY</v>
      </c>
      <c r="V226" s="7" t="str">
        <f t="shared" si="46"/>
        <v>India</v>
      </c>
      <c r="W226" s="7" t="str">
        <f t="shared" si="47"/>
        <v>India</v>
      </c>
      <c r="X226" s="7" t="str">
        <f t="shared" si="48"/>
        <v>Internal</v>
      </c>
      <c r="Y226" s="7">
        <f t="shared" si="49"/>
        <v>4662.28</v>
      </c>
      <c r="Z226" s="7">
        <f t="shared" si="50"/>
        <v>65</v>
      </c>
      <c r="AA226" s="7">
        <f t="shared" si="51"/>
        <v>2021</v>
      </c>
      <c r="AB226" s="7">
        <f t="shared" si="52"/>
        <v>5</v>
      </c>
      <c r="AC226" s="7">
        <f t="shared" si="53"/>
        <v>1</v>
      </c>
      <c r="AD226" s="7" t="str">
        <f t="shared" si="54"/>
        <v>No</v>
      </c>
      <c r="AE226" s="7" t="str">
        <f t="shared" si="55"/>
        <v>Normal</v>
      </c>
    </row>
    <row r="227" spans="1:31">
      <c r="A227" t="s">
        <v>884</v>
      </c>
      <c r="B227">
        <v>51739205</v>
      </c>
      <c r="C227" t="s">
        <v>885</v>
      </c>
      <c r="D227" t="s">
        <v>886</v>
      </c>
      <c r="E227" t="s">
        <v>20</v>
      </c>
      <c r="F227" t="s">
        <v>35</v>
      </c>
      <c r="G227" t="s">
        <v>34</v>
      </c>
      <c r="H227" t="s">
        <v>38</v>
      </c>
      <c r="I227" t="s">
        <v>3378</v>
      </c>
      <c r="J227">
        <v>9586.3700000000008</v>
      </c>
      <c r="K227" t="s">
        <v>47</v>
      </c>
      <c r="L227" t="s">
        <v>75</v>
      </c>
      <c r="M227" s="1">
        <v>45853.902083333334</v>
      </c>
      <c r="N227">
        <v>37</v>
      </c>
      <c r="O227" t="s">
        <v>127</v>
      </c>
      <c r="P227" t="s">
        <v>36</v>
      </c>
      <c r="Q227" t="s">
        <v>887</v>
      </c>
      <c r="R227" t="str">
        <f t="shared" si="42"/>
        <v>Priya Johnson</v>
      </c>
      <c r="S227" t="str">
        <f t="shared" si="43"/>
        <v>Marta Malik</v>
      </c>
      <c r="T227" t="str">
        <f t="shared" si="44"/>
        <v>EUR</v>
      </c>
      <c r="U227" s="7" t="str">
        <f t="shared" si="45"/>
        <v>CAD</v>
      </c>
      <c r="V227" s="7" t="str">
        <f t="shared" si="46"/>
        <v>Canada</v>
      </c>
      <c r="W227" s="7" t="str">
        <f t="shared" si="47"/>
        <v>Germany</v>
      </c>
      <c r="X227" s="7" t="str">
        <f t="shared" si="48"/>
        <v>Inter-Transaction</v>
      </c>
      <c r="Y227" s="7">
        <f t="shared" si="49"/>
        <v>9586.3700000000008</v>
      </c>
      <c r="Z227" s="7">
        <f t="shared" si="50"/>
        <v>37</v>
      </c>
      <c r="AA227" s="7">
        <f t="shared" si="51"/>
        <v>2025</v>
      </c>
      <c r="AB227" s="7">
        <f t="shared" si="52"/>
        <v>7</v>
      </c>
      <c r="AC227" s="7">
        <f t="shared" si="53"/>
        <v>1</v>
      </c>
      <c r="AD227" s="7" t="str">
        <f t="shared" si="54"/>
        <v>No</v>
      </c>
      <c r="AE227" s="7" t="str">
        <f t="shared" si="55"/>
        <v>High Risk</v>
      </c>
    </row>
    <row r="228" spans="1:31">
      <c r="A228" t="s">
        <v>888</v>
      </c>
      <c r="B228">
        <v>12047721</v>
      </c>
      <c r="C228" t="s">
        <v>151</v>
      </c>
      <c r="D228" t="s">
        <v>125</v>
      </c>
      <c r="E228" t="s">
        <v>20</v>
      </c>
      <c r="F228" t="s">
        <v>34</v>
      </c>
      <c r="G228" t="s">
        <v>98</v>
      </c>
      <c r="H228" t="s">
        <v>25</v>
      </c>
      <c r="I228" t="s">
        <v>3378</v>
      </c>
      <c r="J228">
        <v>9202.81</v>
      </c>
      <c r="K228" t="s">
        <v>57</v>
      </c>
      <c r="L228" t="s">
        <v>81</v>
      </c>
      <c r="M228" s="1">
        <v>43949.020833333336</v>
      </c>
      <c r="N228">
        <v>25</v>
      </c>
      <c r="O228" t="s">
        <v>37</v>
      </c>
      <c r="P228" t="s">
        <v>127</v>
      </c>
      <c r="Q228" t="s">
        <v>889</v>
      </c>
      <c r="R228" t="str">
        <f t="shared" si="42"/>
        <v>Nancy Moore</v>
      </c>
      <c r="S228" t="str">
        <f t="shared" si="43"/>
        <v>Charles Brown</v>
      </c>
      <c r="T228" t="str">
        <f t="shared" si="44"/>
        <v>CAD</v>
      </c>
      <c r="U228" s="7" t="str">
        <f t="shared" si="45"/>
        <v>JPY</v>
      </c>
      <c r="V228" s="7" t="str">
        <f t="shared" si="46"/>
        <v>South Africa</v>
      </c>
      <c r="W228" s="7" t="str">
        <f t="shared" si="47"/>
        <v>Canada</v>
      </c>
      <c r="X228" s="7" t="str">
        <f t="shared" si="48"/>
        <v>Inter-Transaction</v>
      </c>
      <c r="Y228" s="7">
        <f t="shared" si="49"/>
        <v>9202.81</v>
      </c>
      <c r="Z228" s="7">
        <f t="shared" si="50"/>
        <v>25</v>
      </c>
      <c r="AA228" s="7">
        <f t="shared" si="51"/>
        <v>2020</v>
      </c>
      <c r="AB228" s="7">
        <f t="shared" si="52"/>
        <v>4</v>
      </c>
      <c r="AC228" s="7">
        <f t="shared" si="53"/>
        <v>1</v>
      </c>
      <c r="AD228" s="7" t="str">
        <f t="shared" si="54"/>
        <v>No</v>
      </c>
      <c r="AE228" s="7" t="str">
        <f t="shared" si="55"/>
        <v>Normal</v>
      </c>
    </row>
    <row r="229" spans="1:31">
      <c r="A229" t="s">
        <v>890</v>
      </c>
      <c r="B229">
        <v>90010054</v>
      </c>
      <c r="C229" t="s">
        <v>891</v>
      </c>
      <c r="D229" t="s">
        <v>685</v>
      </c>
      <c r="E229" t="s">
        <v>20</v>
      </c>
      <c r="F229" t="s">
        <v>44</v>
      </c>
      <c r="G229" t="s">
        <v>116</v>
      </c>
      <c r="H229" t="s">
        <v>25</v>
      </c>
      <c r="I229" t="s">
        <v>3372</v>
      </c>
      <c r="J229">
        <v>8521.16</v>
      </c>
      <c r="K229" t="s">
        <v>86</v>
      </c>
      <c r="L229" t="s">
        <v>81</v>
      </c>
      <c r="M229" s="1">
        <v>44540.904861111114</v>
      </c>
      <c r="N229">
        <v>24</v>
      </c>
      <c r="O229" t="s">
        <v>68</v>
      </c>
      <c r="P229" t="s">
        <v>68</v>
      </c>
      <c r="Q229" t="s">
        <v>892</v>
      </c>
      <c r="R229" t="str">
        <f t="shared" si="42"/>
        <v>Carlos Jackson</v>
      </c>
      <c r="S229" t="str">
        <f t="shared" si="43"/>
        <v>Sanjay Khan</v>
      </c>
      <c r="T229" t="str">
        <f t="shared" si="44"/>
        <v>SGD</v>
      </c>
      <c r="U229" s="7" t="str">
        <f t="shared" si="45"/>
        <v>CHF</v>
      </c>
      <c r="V229" s="7" t="str">
        <f t="shared" si="46"/>
        <v>UAE</v>
      </c>
      <c r="W229" s="7" t="str">
        <f t="shared" si="47"/>
        <v>UAE</v>
      </c>
      <c r="X229" s="7" t="str">
        <f t="shared" si="48"/>
        <v>Outer-Transaction</v>
      </c>
      <c r="Y229" s="7">
        <f t="shared" si="49"/>
        <v>8521.16</v>
      </c>
      <c r="Z229" s="7">
        <f t="shared" si="50"/>
        <v>24</v>
      </c>
      <c r="AA229" s="7">
        <f t="shared" si="51"/>
        <v>2021</v>
      </c>
      <c r="AB229" s="7">
        <f t="shared" si="52"/>
        <v>12</v>
      </c>
      <c r="AC229" s="7">
        <f t="shared" si="53"/>
        <v>1</v>
      </c>
      <c r="AD229" s="7" t="str">
        <f t="shared" si="54"/>
        <v>No</v>
      </c>
      <c r="AE229" s="7" t="str">
        <f t="shared" si="55"/>
        <v>Normal</v>
      </c>
    </row>
    <row r="230" spans="1:31">
      <c r="A230" t="s">
        <v>893</v>
      </c>
      <c r="B230">
        <v>92804565</v>
      </c>
      <c r="C230" t="s">
        <v>894</v>
      </c>
      <c r="D230" t="s">
        <v>326</v>
      </c>
      <c r="E230" t="s">
        <v>20</v>
      </c>
      <c r="F230" t="s">
        <v>45</v>
      </c>
      <c r="G230" t="s">
        <v>34</v>
      </c>
      <c r="H230" t="s">
        <v>103</v>
      </c>
      <c r="I230" t="s">
        <v>3372</v>
      </c>
      <c r="J230">
        <v>6924.01</v>
      </c>
      <c r="K230" t="s">
        <v>47</v>
      </c>
      <c r="L230" t="s">
        <v>75</v>
      </c>
      <c r="M230" s="1">
        <v>43875.075694444444</v>
      </c>
      <c r="N230">
        <v>84</v>
      </c>
      <c r="O230" t="s">
        <v>93</v>
      </c>
      <c r="P230" t="s">
        <v>36</v>
      </c>
      <c r="Q230" t="s">
        <v>895</v>
      </c>
      <c r="R230" t="str">
        <f t="shared" si="42"/>
        <v>DAVID SOUZA</v>
      </c>
      <c r="S230" t="str">
        <f t="shared" si="43"/>
        <v>Susan Gonzalez</v>
      </c>
      <c r="T230" t="str">
        <f t="shared" si="44"/>
        <v>ZAR</v>
      </c>
      <c r="U230" s="7" t="str">
        <f t="shared" si="45"/>
        <v>CAD</v>
      </c>
      <c r="V230" s="7" t="str">
        <f t="shared" si="46"/>
        <v>USA</v>
      </c>
      <c r="W230" s="7" t="str">
        <f t="shared" si="47"/>
        <v>Germany</v>
      </c>
      <c r="X230" s="7" t="str">
        <f t="shared" si="48"/>
        <v>Outer-Transaction</v>
      </c>
      <c r="Y230" s="7">
        <f t="shared" si="49"/>
        <v>6924.01</v>
      </c>
      <c r="Z230" s="7">
        <f t="shared" si="50"/>
        <v>84</v>
      </c>
      <c r="AA230" s="7">
        <f t="shared" si="51"/>
        <v>2020</v>
      </c>
      <c r="AB230" s="7">
        <f t="shared" si="52"/>
        <v>2</v>
      </c>
      <c r="AC230" s="7">
        <f t="shared" si="53"/>
        <v>1</v>
      </c>
      <c r="AD230" s="7" t="str">
        <f t="shared" si="54"/>
        <v>No</v>
      </c>
      <c r="AE230" s="7" t="str">
        <f t="shared" si="55"/>
        <v>High Risk</v>
      </c>
    </row>
    <row r="231" spans="1:31">
      <c r="A231" t="s">
        <v>896</v>
      </c>
      <c r="B231">
        <v>50549608</v>
      </c>
      <c r="C231" t="s">
        <v>897</v>
      </c>
      <c r="D231" t="s">
        <v>559</v>
      </c>
      <c r="E231" t="s">
        <v>20</v>
      </c>
      <c r="F231" t="s">
        <v>116</v>
      </c>
      <c r="G231" t="s">
        <v>121</v>
      </c>
      <c r="H231" t="s">
        <v>38</v>
      </c>
      <c r="I231" t="s">
        <v>3372</v>
      </c>
      <c r="J231">
        <v>11766.87</v>
      </c>
      <c r="K231" t="s">
        <v>39</v>
      </c>
      <c r="L231" t="s">
        <v>75</v>
      </c>
      <c r="M231" s="1">
        <v>44144.289583333331</v>
      </c>
      <c r="N231">
        <v>34</v>
      </c>
      <c r="O231" t="s">
        <v>68</v>
      </c>
      <c r="P231" t="s">
        <v>36</v>
      </c>
      <c r="Q231" t="s">
        <v>898</v>
      </c>
      <c r="R231" t="str">
        <f t="shared" si="42"/>
        <v>Karen Anderson</v>
      </c>
      <c r="S231" t="str">
        <f t="shared" si="43"/>
        <v>Joseph Jackson</v>
      </c>
      <c r="T231" t="str">
        <f t="shared" si="44"/>
        <v>CHF</v>
      </c>
      <c r="U231" s="7" t="str">
        <f t="shared" si="45"/>
        <v>INR</v>
      </c>
      <c r="V231" s="7" t="str">
        <f t="shared" si="46"/>
        <v>UAE</v>
      </c>
      <c r="W231" s="7" t="str">
        <f t="shared" si="47"/>
        <v>Germany</v>
      </c>
      <c r="X231" s="7" t="str">
        <f t="shared" si="48"/>
        <v>Outer-Transaction</v>
      </c>
      <c r="Y231" s="7">
        <f t="shared" si="49"/>
        <v>11766.87</v>
      </c>
      <c r="Z231" s="7">
        <f t="shared" si="50"/>
        <v>34</v>
      </c>
      <c r="AA231" s="7">
        <f t="shared" si="51"/>
        <v>2020</v>
      </c>
      <c r="AB231" s="7">
        <f t="shared" si="52"/>
        <v>11</v>
      </c>
      <c r="AC231" s="7">
        <f t="shared" si="53"/>
        <v>1</v>
      </c>
      <c r="AD231" s="7" t="str">
        <f t="shared" si="54"/>
        <v>No</v>
      </c>
      <c r="AE231" s="7" t="str">
        <f t="shared" si="55"/>
        <v>High Risk</v>
      </c>
    </row>
    <row r="232" spans="1:31">
      <c r="A232" t="s">
        <v>899</v>
      </c>
      <c r="B232">
        <v>53671508</v>
      </c>
      <c r="C232" t="s">
        <v>900</v>
      </c>
      <c r="D232" t="s">
        <v>235</v>
      </c>
      <c r="E232" t="s">
        <v>20</v>
      </c>
      <c r="F232" t="s">
        <v>92</v>
      </c>
      <c r="G232" t="s">
        <v>35</v>
      </c>
      <c r="I232" t="s">
        <v>3374</v>
      </c>
      <c r="J232">
        <v>931.62</v>
      </c>
      <c r="K232" t="s">
        <v>47</v>
      </c>
      <c r="L232" t="s">
        <v>48</v>
      </c>
      <c r="M232" s="1">
        <v>44248.703472222223</v>
      </c>
      <c r="N232">
        <v>50</v>
      </c>
      <c r="O232" t="s">
        <v>54</v>
      </c>
      <c r="P232" t="s">
        <v>24</v>
      </c>
      <c r="Q232" t="s">
        <v>901</v>
      </c>
      <c r="R232" t="str">
        <f t="shared" si="42"/>
        <v>Karen Brown</v>
      </c>
      <c r="S232" t="str">
        <f t="shared" si="43"/>
        <v>Amir Anderson</v>
      </c>
      <c r="T232" t="str">
        <f t="shared" si="44"/>
        <v>AUD</v>
      </c>
      <c r="U232" s="7" t="str">
        <f t="shared" si="45"/>
        <v>EUR</v>
      </c>
      <c r="V232" s="7" t="str">
        <f t="shared" si="46"/>
        <v>India</v>
      </c>
      <c r="W232" s="7" t="str">
        <f t="shared" si="47"/>
        <v>Brazil</v>
      </c>
      <c r="X232" s="7" t="str">
        <f t="shared" si="48"/>
        <v>External</v>
      </c>
      <c r="Y232" s="7">
        <f t="shared" si="49"/>
        <v>931.62</v>
      </c>
      <c r="Z232" s="7">
        <f t="shared" si="50"/>
        <v>50</v>
      </c>
      <c r="AA232" s="7">
        <f t="shared" si="51"/>
        <v>2021</v>
      </c>
      <c r="AB232" s="7">
        <f t="shared" si="52"/>
        <v>2</v>
      </c>
      <c r="AC232" s="7">
        <f t="shared" si="53"/>
        <v>1</v>
      </c>
      <c r="AD232" s="7" t="str">
        <f t="shared" si="54"/>
        <v>No</v>
      </c>
      <c r="AE232" s="7" t="str">
        <f t="shared" si="55"/>
        <v>Normal</v>
      </c>
    </row>
    <row r="233" spans="1:31">
      <c r="A233" t="s">
        <v>902</v>
      </c>
      <c r="B233">
        <v>52493026</v>
      </c>
      <c r="C233" t="s">
        <v>903</v>
      </c>
      <c r="D233" t="s">
        <v>904</v>
      </c>
      <c r="E233" t="s">
        <v>20</v>
      </c>
      <c r="F233" t="s">
        <v>92</v>
      </c>
      <c r="G233" t="s">
        <v>22</v>
      </c>
      <c r="H233" t="s">
        <v>56</v>
      </c>
      <c r="I233" t="s">
        <v>3371</v>
      </c>
      <c r="J233">
        <v>12789.05</v>
      </c>
      <c r="K233" t="s">
        <v>86</v>
      </c>
      <c r="L233" t="s">
        <v>75</v>
      </c>
      <c r="M233" s="1">
        <v>44932.947916666664</v>
      </c>
      <c r="N233">
        <v>65</v>
      </c>
      <c r="O233" t="s">
        <v>54</v>
      </c>
      <c r="P233" t="s">
        <v>24</v>
      </c>
      <c r="Q233" t="s">
        <v>905</v>
      </c>
      <c r="R233" t="str">
        <f t="shared" si="42"/>
        <v>BARBARA JACKSON</v>
      </c>
      <c r="S233" t="str">
        <f t="shared" si="43"/>
        <v>Lucas Souza</v>
      </c>
      <c r="T233" t="str">
        <f t="shared" si="44"/>
        <v>AUD</v>
      </c>
      <c r="U233" s="7" t="str">
        <f t="shared" si="45"/>
        <v>BRL</v>
      </c>
      <c r="V233" s="7" t="str">
        <f t="shared" si="46"/>
        <v>India</v>
      </c>
      <c r="W233" s="7" t="str">
        <f t="shared" si="47"/>
        <v>Brazil</v>
      </c>
      <c r="X233" s="7" t="str">
        <f t="shared" si="48"/>
        <v>Outer-Transaction</v>
      </c>
      <c r="Y233" s="7">
        <f t="shared" si="49"/>
        <v>12789.05</v>
      </c>
      <c r="Z233" s="7">
        <f t="shared" si="50"/>
        <v>65</v>
      </c>
      <c r="AA233" s="7">
        <f t="shared" si="51"/>
        <v>2023</v>
      </c>
      <c r="AB233" s="7">
        <f t="shared" si="52"/>
        <v>1</v>
      </c>
      <c r="AC233" s="7">
        <f t="shared" si="53"/>
        <v>1</v>
      </c>
      <c r="AD233" s="7" t="str">
        <f t="shared" si="54"/>
        <v>No</v>
      </c>
      <c r="AE233" s="7" t="str">
        <f t="shared" si="55"/>
        <v>High Risk</v>
      </c>
    </row>
    <row r="234" spans="1:31">
      <c r="A234" t="s">
        <v>906</v>
      </c>
      <c r="C234" t="s">
        <v>497</v>
      </c>
      <c r="D234" t="s">
        <v>907</v>
      </c>
      <c r="E234" t="s">
        <v>20</v>
      </c>
      <c r="F234" t="s">
        <v>92</v>
      </c>
      <c r="G234" t="s">
        <v>92</v>
      </c>
      <c r="H234" t="s">
        <v>103</v>
      </c>
      <c r="I234" t="s">
        <v>3372</v>
      </c>
      <c r="J234">
        <v>2322.4699999999998</v>
      </c>
      <c r="K234" t="s">
        <v>47</v>
      </c>
      <c r="L234" t="s">
        <v>48</v>
      </c>
      <c r="M234" s="1">
        <v>44156.962500000001</v>
      </c>
      <c r="N234">
        <v>76</v>
      </c>
      <c r="O234" t="s">
        <v>24</v>
      </c>
      <c r="P234" t="s">
        <v>93</v>
      </c>
      <c r="Q234" t="s">
        <v>908</v>
      </c>
      <c r="R234" t="str">
        <f t="shared" si="42"/>
        <v>Joseph Nair</v>
      </c>
      <c r="S234" t="str">
        <f t="shared" si="43"/>
        <v>Richard Rostova</v>
      </c>
      <c r="T234" t="str">
        <f t="shared" si="44"/>
        <v>AUD</v>
      </c>
      <c r="U234" s="7" t="str">
        <f t="shared" si="45"/>
        <v>AUD</v>
      </c>
      <c r="V234" s="7" t="str">
        <f t="shared" si="46"/>
        <v>Brazil</v>
      </c>
      <c r="W234" s="7" t="str">
        <f t="shared" si="47"/>
        <v>USA</v>
      </c>
      <c r="X234" s="7" t="str">
        <f t="shared" si="48"/>
        <v>Outer-Transaction</v>
      </c>
      <c r="Y234" s="7">
        <f t="shared" si="49"/>
        <v>2322.4699999999998</v>
      </c>
      <c r="Z234" s="7">
        <f t="shared" si="50"/>
        <v>76</v>
      </c>
      <c r="AA234" s="7">
        <f t="shared" si="51"/>
        <v>2020</v>
      </c>
      <c r="AB234" s="7">
        <f t="shared" si="52"/>
        <v>11</v>
      </c>
      <c r="AC234" s="7">
        <f t="shared" si="53"/>
        <v>1</v>
      </c>
      <c r="AD234" s="7" t="str">
        <f t="shared" si="54"/>
        <v>No</v>
      </c>
      <c r="AE234" s="7" t="str">
        <f t="shared" si="55"/>
        <v>Normal</v>
      </c>
    </row>
    <row r="235" spans="1:31">
      <c r="A235" t="s">
        <v>909</v>
      </c>
      <c r="B235">
        <v>96200382</v>
      </c>
      <c r="C235" t="s">
        <v>463</v>
      </c>
      <c r="D235" t="s">
        <v>910</v>
      </c>
      <c r="E235" t="s">
        <v>3373</v>
      </c>
      <c r="F235" t="s">
        <v>22</v>
      </c>
      <c r="G235" t="s">
        <v>116</v>
      </c>
      <c r="H235" t="s">
        <v>56</v>
      </c>
      <c r="I235" t="s">
        <v>3378</v>
      </c>
      <c r="J235">
        <v>3393.86</v>
      </c>
      <c r="K235" t="s">
        <v>39</v>
      </c>
      <c r="L235" t="s">
        <v>28</v>
      </c>
      <c r="M235" s="1">
        <v>45270.89166666667</v>
      </c>
      <c r="N235">
        <v>39</v>
      </c>
      <c r="O235" t="s">
        <v>93</v>
      </c>
      <c r="P235" t="s">
        <v>62</v>
      </c>
      <c r="Q235" t="s">
        <v>911</v>
      </c>
      <c r="R235" t="str">
        <f t="shared" si="42"/>
        <v>Lucas Wilson</v>
      </c>
      <c r="S235" t="str">
        <f t="shared" si="43"/>
        <v>Zayn Anderson</v>
      </c>
      <c r="T235" t="str">
        <f t="shared" si="44"/>
        <v>BRL</v>
      </c>
      <c r="U235" s="7" t="str">
        <f t="shared" si="45"/>
        <v>CHF</v>
      </c>
      <c r="V235" s="7" t="str">
        <f t="shared" si="46"/>
        <v>USA</v>
      </c>
      <c r="W235" s="7" t="str">
        <f t="shared" si="47"/>
        <v>Australia</v>
      </c>
      <c r="X235" s="7" t="str">
        <f t="shared" si="48"/>
        <v>Inter-Transaction</v>
      </c>
      <c r="Y235" s="7">
        <f t="shared" si="49"/>
        <v>3393.86</v>
      </c>
      <c r="Z235" s="7">
        <f t="shared" si="50"/>
        <v>39</v>
      </c>
      <c r="AA235" s="7">
        <f t="shared" si="51"/>
        <v>2023</v>
      </c>
      <c r="AB235" s="7">
        <f t="shared" si="52"/>
        <v>12</v>
      </c>
      <c r="AC235" s="7">
        <f t="shared" si="53"/>
        <v>1</v>
      </c>
      <c r="AD235" s="7" t="str">
        <f t="shared" si="54"/>
        <v>No</v>
      </c>
      <c r="AE235" s="7" t="str">
        <f t="shared" si="55"/>
        <v>Normal</v>
      </c>
    </row>
    <row r="236" spans="1:31">
      <c r="A236" t="s">
        <v>912</v>
      </c>
      <c r="B236">
        <v>74863150</v>
      </c>
      <c r="C236" t="s">
        <v>913</v>
      </c>
      <c r="D236" t="s">
        <v>158</v>
      </c>
      <c r="E236" t="s">
        <v>20</v>
      </c>
      <c r="F236" t="s">
        <v>22</v>
      </c>
      <c r="G236" t="s">
        <v>35</v>
      </c>
      <c r="H236" t="s">
        <v>56</v>
      </c>
      <c r="I236" t="s">
        <v>3376</v>
      </c>
      <c r="J236">
        <v>1182.74</v>
      </c>
      <c r="K236" t="s">
        <v>27</v>
      </c>
      <c r="L236" t="s">
        <v>28</v>
      </c>
      <c r="M236" s="1">
        <v>45817.123611111114</v>
      </c>
      <c r="N236">
        <v>47</v>
      </c>
      <c r="O236" t="s">
        <v>23</v>
      </c>
      <c r="P236" t="s">
        <v>68</v>
      </c>
      <c r="Q236" t="s">
        <v>914</v>
      </c>
      <c r="R236" t="str">
        <f t="shared" si="42"/>
        <v>Elena Lopez</v>
      </c>
      <c r="S236" t="str">
        <f t="shared" si="43"/>
        <v>Patricia Jackson</v>
      </c>
      <c r="T236" t="str">
        <f t="shared" si="44"/>
        <v>BRL</v>
      </c>
      <c r="U236" s="7" t="str">
        <f t="shared" si="45"/>
        <v>EUR</v>
      </c>
      <c r="V236" s="7" t="str">
        <f t="shared" si="46"/>
        <v>France</v>
      </c>
      <c r="W236" s="7" t="str">
        <f t="shared" si="47"/>
        <v>UAE</v>
      </c>
      <c r="X236" s="7" t="str">
        <f t="shared" si="48"/>
        <v>Internal</v>
      </c>
      <c r="Y236" s="7">
        <f t="shared" si="49"/>
        <v>1182.74</v>
      </c>
      <c r="Z236" s="7">
        <f t="shared" si="50"/>
        <v>47</v>
      </c>
      <c r="AA236" s="7">
        <f t="shared" si="51"/>
        <v>2025</v>
      </c>
      <c r="AB236" s="7">
        <f t="shared" si="52"/>
        <v>6</v>
      </c>
      <c r="AC236" s="7">
        <f t="shared" si="53"/>
        <v>1</v>
      </c>
      <c r="AD236" s="7" t="str">
        <f t="shared" si="54"/>
        <v>No</v>
      </c>
      <c r="AE236" s="7" t="str">
        <f t="shared" si="55"/>
        <v>Normal</v>
      </c>
    </row>
    <row r="237" spans="1:31">
      <c r="A237" t="s">
        <v>915</v>
      </c>
      <c r="B237">
        <v>17083242</v>
      </c>
      <c r="C237" t="s">
        <v>805</v>
      </c>
      <c r="D237" t="s">
        <v>916</v>
      </c>
      <c r="E237" t="s">
        <v>20</v>
      </c>
      <c r="F237" t="s">
        <v>44</v>
      </c>
      <c r="G237" t="s">
        <v>98</v>
      </c>
      <c r="H237" t="s">
        <v>103</v>
      </c>
      <c r="I237" t="s">
        <v>3378</v>
      </c>
      <c r="J237">
        <v>2520.9499999999998</v>
      </c>
      <c r="K237" t="s">
        <v>27</v>
      </c>
      <c r="L237" t="s">
        <v>75</v>
      </c>
      <c r="M237" s="1">
        <v>46092.22152777778</v>
      </c>
      <c r="N237">
        <v>55</v>
      </c>
      <c r="O237" t="s">
        <v>37</v>
      </c>
      <c r="P237" t="s">
        <v>127</v>
      </c>
      <c r="Q237" t="s">
        <v>917</v>
      </c>
      <c r="R237" t="str">
        <f t="shared" si="42"/>
        <v>Carlos Hernandez</v>
      </c>
      <c r="S237" t="str">
        <f t="shared" si="43"/>
        <v>Karen Dubois</v>
      </c>
      <c r="T237" t="str">
        <f t="shared" si="44"/>
        <v>SGD</v>
      </c>
      <c r="U237" s="7" t="str">
        <f t="shared" si="45"/>
        <v>JPY</v>
      </c>
      <c r="V237" s="7" t="str">
        <f t="shared" si="46"/>
        <v>South Africa</v>
      </c>
      <c r="W237" s="7" t="str">
        <f t="shared" si="47"/>
        <v>Canada</v>
      </c>
      <c r="X237" s="7" t="str">
        <f t="shared" si="48"/>
        <v>Inter-Transaction</v>
      </c>
      <c r="Y237" s="7">
        <f t="shared" si="49"/>
        <v>2520.9499999999998</v>
      </c>
      <c r="Z237" s="7">
        <f t="shared" si="50"/>
        <v>55</v>
      </c>
      <c r="AA237" s="7">
        <f t="shared" si="51"/>
        <v>2026</v>
      </c>
      <c r="AB237" s="7">
        <f t="shared" si="52"/>
        <v>3</v>
      </c>
      <c r="AC237" s="7">
        <f t="shared" si="53"/>
        <v>1</v>
      </c>
      <c r="AD237" s="7" t="str">
        <f t="shared" si="54"/>
        <v>No</v>
      </c>
      <c r="AE237" s="7" t="str">
        <f t="shared" si="55"/>
        <v>High Risk</v>
      </c>
    </row>
    <row r="238" spans="1:31">
      <c r="A238" t="s">
        <v>918</v>
      </c>
      <c r="B238">
        <v>48495745</v>
      </c>
      <c r="C238" t="s">
        <v>919</v>
      </c>
      <c r="D238" t="s">
        <v>408</v>
      </c>
      <c r="E238" t="s">
        <v>20</v>
      </c>
      <c r="F238" t="s">
        <v>53</v>
      </c>
      <c r="G238" t="s">
        <v>53</v>
      </c>
      <c r="H238" t="s">
        <v>74</v>
      </c>
      <c r="I238" t="s">
        <v>3376</v>
      </c>
      <c r="J238">
        <v>11087.12</v>
      </c>
      <c r="K238" t="s">
        <v>39</v>
      </c>
      <c r="L238" t="s">
        <v>75</v>
      </c>
      <c r="M238" s="1">
        <v>43904.074999999997</v>
      </c>
      <c r="N238">
        <v>68</v>
      </c>
      <c r="O238" t="s">
        <v>55</v>
      </c>
      <c r="P238" t="s">
        <v>55</v>
      </c>
      <c r="Q238" t="s">
        <v>920</v>
      </c>
      <c r="R238" t="str">
        <f t="shared" si="42"/>
        <v>SARAH WILLIAMS</v>
      </c>
      <c r="S238" t="str">
        <f t="shared" si="43"/>
        <v>Michael Taylor</v>
      </c>
      <c r="T238" t="str">
        <f t="shared" si="44"/>
        <v>AED</v>
      </c>
      <c r="U238" s="7" t="str">
        <f t="shared" si="45"/>
        <v>AED</v>
      </c>
      <c r="V238" s="7" t="str">
        <f t="shared" si="46"/>
        <v>UK</v>
      </c>
      <c r="W238" s="7" t="str">
        <f t="shared" si="47"/>
        <v>UK</v>
      </c>
      <c r="X238" s="7" t="str">
        <f t="shared" si="48"/>
        <v>Internal</v>
      </c>
      <c r="Y238" s="7">
        <f t="shared" si="49"/>
        <v>11087.12</v>
      </c>
      <c r="Z238" s="7">
        <f t="shared" si="50"/>
        <v>68</v>
      </c>
      <c r="AA238" s="7">
        <f t="shared" si="51"/>
        <v>2020</v>
      </c>
      <c r="AB238" s="7">
        <f t="shared" si="52"/>
        <v>3</v>
      </c>
      <c r="AC238" s="7">
        <f t="shared" si="53"/>
        <v>1</v>
      </c>
      <c r="AD238" s="7" t="str">
        <f t="shared" si="54"/>
        <v>No</v>
      </c>
      <c r="AE238" s="7" t="str">
        <f t="shared" si="55"/>
        <v>High Risk</v>
      </c>
    </row>
    <row r="239" spans="1:31">
      <c r="A239" t="s">
        <v>921</v>
      </c>
      <c r="B239">
        <v>29470999</v>
      </c>
      <c r="C239" t="s">
        <v>922</v>
      </c>
      <c r="D239" t="s">
        <v>923</v>
      </c>
      <c r="E239" t="s">
        <v>3375</v>
      </c>
      <c r="F239" t="s">
        <v>92</v>
      </c>
      <c r="G239" t="s">
        <v>92</v>
      </c>
      <c r="H239" t="s">
        <v>103</v>
      </c>
      <c r="I239" t="s">
        <v>3377</v>
      </c>
      <c r="J239">
        <v>9637.49</v>
      </c>
      <c r="K239" t="s">
        <v>86</v>
      </c>
      <c r="L239" t="s">
        <v>28</v>
      </c>
      <c r="M239" s="1">
        <v>45433.488194444442</v>
      </c>
      <c r="N239">
        <v>71</v>
      </c>
      <c r="O239" t="s">
        <v>93</v>
      </c>
      <c r="P239" t="s">
        <v>127</v>
      </c>
      <c r="Q239" t="s">
        <v>924</v>
      </c>
      <c r="R239" t="str">
        <f t="shared" si="42"/>
        <v>Nancy Souza</v>
      </c>
      <c r="S239" t="str">
        <f t="shared" si="43"/>
        <v>Amir Jones</v>
      </c>
      <c r="T239" t="str">
        <f t="shared" si="44"/>
        <v>AUD</v>
      </c>
      <c r="U239" s="7" t="str">
        <f t="shared" si="45"/>
        <v>AUD</v>
      </c>
      <c r="V239" s="7" t="str">
        <f t="shared" si="46"/>
        <v>USA</v>
      </c>
      <c r="W239" s="7" t="str">
        <f t="shared" si="47"/>
        <v>Canada</v>
      </c>
      <c r="X239" s="7" t="str">
        <f t="shared" si="48"/>
        <v>Inter-Transaction</v>
      </c>
      <c r="Y239" s="7">
        <f t="shared" si="49"/>
        <v>9637.49</v>
      </c>
      <c r="Z239" s="7">
        <f t="shared" si="50"/>
        <v>71</v>
      </c>
      <c r="AA239" s="7">
        <f t="shared" si="51"/>
        <v>2024</v>
      </c>
      <c r="AB239" s="7">
        <f t="shared" si="52"/>
        <v>5</v>
      </c>
      <c r="AC239" s="7">
        <f t="shared" si="53"/>
        <v>1</v>
      </c>
      <c r="AD239" s="7" t="str">
        <f t="shared" si="54"/>
        <v>No</v>
      </c>
      <c r="AE239" s="7" t="str">
        <f t="shared" si="55"/>
        <v>Normal</v>
      </c>
    </row>
    <row r="240" spans="1:31">
      <c r="A240" t="s">
        <v>925</v>
      </c>
      <c r="B240">
        <v>62354374</v>
      </c>
      <c r="C240" t="s">
        <v>362</v>
      </c>
      <c r="D240" t="s">
        <v>408</v>
      </c>
      <c r="E240" t="s">
        <v>3373</v>
      </c>
      <c r="F240" t="s">
        <v>80</v>
      </c>
      <c r="G240" t="s">
        <v>53</v>
      </c>
      <c r="H240" t="s">
        <v>25</v>
      </c>
      <c r="I240" t="s">
        <v>3377</v>
      </c>
      <c r="J240">
        <v>13766.5</v>
      </c>
      <c r="K240" t="s">
        <v>57</v>
      </c>
      <c r="L240" t="s">
        <v>81</v>
      </c>
      <c r="M240" s="1">
        <v>44339.706944444442</v>
      </c>
      <c r="N240">
        <v>25</v>
      </c>
      <c r="O240" t="s">
        <v>55</v>
      </c>
      <c r="P240" t="s">
        <v>93</v>
      </c>
      <c r="Q240" t="s">
        <v>926</v>
      </c>
      <c r="R240" t="str">
        <f t="shared" si="42"/>
        <v>Sarah Rodriguez</v>
      </c>
      <c r="S240" t="str">
        <f t="shared" si="43"/>
        <v>Michael Taylor</v>
      </c>
      <c r="T240" t="str">
        <f t="shared" si="44"/>
        <v>USD</v>
      </c>
      <c r="U240" s="7" t="str">
        <f t="shared" si="45"/>
        <v>AED</v>
      </c>
      <c r="V240" s="7" t="str">
        <f t="shared" si="46"/>
        <v>UK</v>
      </c>
      <c r="W240" s="7" t="str">
        <f t="shared" si="47"/>
        <v>USA</v>
      </c>
      <c r="X240" s="7" t="str">
        <f t="shared" si="48"/>
        <v>Inter-Transaction</v>
      </c>
      <c r="Y240" s="7">
        <f t="shared" si="49"/>
        <v>13766.5</v>
      </c>
      <c r="Z240" s="7">
        <f t="shared" si="50"/>
        <v>25</v>
      </c>
      <c r="AA240" s="7">
        <f t="shared" si="51"/>
        <v>2021</v>
      </c>
      <c r="AB240" s="7">
        <f t="shared" si="52"/>
        <v>5</v>
      </c>
      <c r="AC240" s="7">
        <f t="shared" si="53"/>
        <v>1</v>
      </c>
      <c r="AD240" s="7" t="str">
        <f t="shared" si="54"/>
        <v>No</v>
      </c>
      <c r="AE240" s="7" t="str">
        <f t="shared" si="55"/>
        <v>Normal</v>
      </c>
    </row>
    <row r="241" spans="1:31">
      <c r="A241" t="s">
        <v>927</v>
      </c>
      <c r="C241" t="s">
        <v>928</v>
      </c>
      <c r="D241" t="s">
        <v>929</v>
      </c>
      <c r="E241" t="s">
        <v>20</v>
      </c>
      <c r="F241" t="s">
        <v>21</v>
      </c>
      <c r="G241" t="s">
        <v>34</v>
      </c>
      <c r="H241" t="s">
        <v>25</v>
      </c>
      <c r="I241" t="s">
        <v>3374</v>
      </c>
      <c r="J241">
        <v>6694.67</v>
      </c>
      <c r="K241" t="s">
        <v>47</v>
      </c>
      <c r="L241" t="s">
        <v>75</v>
      </c>
      <c r="M241" s="1">
        <v>46210.398611111108</v>
      </c>
      <c r="N241">
        <v>44</v>
      </c>
      <c r="O241" t="s">
        <v>93</v>
      </c>
      <c r="P241" t="s">
        <v>54</v>
      </c>
      <c r="Q241" t="s">
        <v>930</v>
      </c>
      <c r="R241" t="str">
        <f t="shared" si="42"/>
        <v>JEAN-PIERRE MILLER</v>
      </c>
      <c r="S241" t="str">
        <f t="shared" si="43"/>
        <v>Charles Hernandez</v>
      </c>
      <c r="T241" t="str">
        <f t="shared" si="44"/>
        <v>GBP</v>
      </c>
      <c r="U241" s="7" t="str">
        <f t="shared" si="45"/>
        <v>CAD</v>
      </c>
      <c r="V241" s="7" t="str">
        <f t="shared" si="46"/>
        <v>USA</v>
      </c>
      <c r="W241" s="7" t="str">
        <f t="shared" si="47"/>
        <v>India</v>
      </c>
      <c r="X241" s="7" t="str">
        <f t="shared" si="48"/>
        <v>External</v>
      </c>
      <c r="Y241" s="7">
        <f t="shared" si="49"/>
        <v>6694.67</v>
      </c>
      <c r="Z241" s="7">
        <f t="shared" si="50"/>
        <v>44</v>
      </c>
      <c r="AA241" s="7">
        <f t="shared" si="51"/>
        <v>2026</v>
      </c>
      <c r="AB241" s="7">
        <f t="shared" si="52"/>
        <v>7</v>
      </c>
      <c r="AC241" s="7">
        <f t="shared" si="53"/>
        <v>1</v>
      </c>
      <c r="AD241" s="7" t="str">
        <f t="shared" si="54"/>
        <v>No</v>
      </c>
      <c r="AE241" s="7" t="str">
        <f t="shared" si="55"/>
        <v>High Risk</v>
      </c>
    </row>
    <row r="242" spans="1:31">
      <c r="A242" t="s">
        <v>931</v>
      </c>
      <c r="B242">
        <v>95642035</v>
      </c>
      <c r="C242" t="s">
        <v>932</v>
      </c>
      <c r="D242" t="s">
        <v>569</v>
      </c>
      <c r="E242" t="s">
        <v>3373</v>
      </c>
      <c r="F242" t="s">
        <v>21</v>
      </c>
      <c r="G242" t="s">
        <v>92</v>
      </c>
      <c r="I242" t="s">
        <v>3371</v>
      </c>
      <c r="J242">
        <v>3807.5</v>
      </c>
      <c r="K242" t="s">
        <v>39</v>
      </c>
      <c r="L242" t="s">
        <v>28</v>
      </c>
      <c r="M242" s="1">
        <v>44518.803472222222</v>
      </c>
      <c r="N242">
        <v>44</v>
      </c>
      <c r="O242" t="s">
        <v>93</v>
      </c>
      <c r="P242" t="s">
        <v>62</v>
      </c>
      <c r="Q242" t="s">
        <v>933</v>
      </c>
      <c r="R242" t="str">
        <f t="shared" si="42"/>
        <v>Patricia Rostova</v>
      </c>
      <c r="S242" t="str">
        <f t="shared" si="43"/>
        <v>Patricia Williams</v>
      </c>
      <c r="T242" t="str">
        <f t="shared" si="44"/>
        <v>GBP</v>
      </c>
      <c r="U242" s="7" t="str">
        <f t="shared" si="45"/>
        <v>AUD</v>
      </c>
      <c r="V242" s="7" t="str">
        <f t="shared" si="46"/>
        <v>USA</v>
      </c>
      <c r="W242" s="7" t="str">
        <f t="shared" si="47"/>
        <v>Australia</v>
      </c>
      <c r="X242" s="7" t="str">
        <f t="shared" si="48"/>
        <v>Outer-Transaction</v>
      </c>
      <c r="Y242" s="7">
        <f t="shared" si="49"/>
        <v>3807.5</v>
      </c>
      <c r="Z242" s="7">
        <f t="shared" si="50"/>
        <v>44</v>
      </c>
      <c r="AA242" s="7">
        <f t="shared" si="51"/>
        <v>2021</v>
      </c>
      <c r="AB242" s="7">
        <f t="shared" si="52"/>
        <v>11</v>
      </c>
      <c r="AC242" s="7">
        <f t="shared" si="53"/>
        <v>1</v>
      </c>
      <c r="AD242" s="7" t="str">
        <f t="shared" si="54"/>
        <v>No</v>
      </c>
      <c r="AE242" s="7" t="str">
        <f t="shared" si="55"/>
        <v>Normal</v>
      </c>
    </row>
    <row r="243" spans="1:31">
      <c r="A243" t="s">
        <v>934</v>
      </c>
      <c r="B243">
        <v>18373492</v>
      </c>
      <c r="C243" t="s">
        <v>935</v>
      </c>
      <c r="D243" t="s">
        <v>936</v>
      </c>
      <c r="E243" t="s">
        <v>20</v>
      </c>
      <c r="F243" t="s">
        <v>53</v>
      </c>
      <c r="H243" t="s">
        <v>56</v>
      </c>
      <c r="I243" t="s">
        <v>3377</v>
      </c>
      <c r="J243">
        <v>2166.65</v>
      </c>
      <c r="K243" t="s">
        <v>39</v>
      </c>
      <c r="L243" t="s">
        <v>48</v>
      </c>
      <c r="M243" s="1">
        <v>44487.529861111114</v>
      </c>
      <c r="N243">
        <v>38</v>
      </c>
      <c r="O243" t="s">
        <v>68</v>
      </c>
      <c r="P243" t="s">
        <v>55</v>
      </c>
      <c r="Q243" t="s">
        <v>937</v>
      </c>
      <c r="R243" t="str">
        <f t="shared" si="42"/>
        <v>Joseph Gonzalez</v>
      </c>
      <c r="S243" t="str">
        <f t="shared" si="43"/>
        <v>Richard Johnson</v>
      </c>
      <c r="T243" t="str">
        <f t="shared" si="44"/>
        <v>AED</v>
      </c>
      <c r="U243" s="7" t="str">
        <f t="shared" si="45"/>
        <v/>
      </c>
      <c r="V243" s="7" t="str">
        <f t="shared" si="46"/>
        <v>UAE</v>
      </c>
      <c r="W243" s="7" t="str">
        <f t="shared" si="47"/>
        <v>UK</v>
      </c>
      <c r="X243" s="7" t="str">
        <f t="shared" si="48"/>
        <v>Inter-Transaction</v>
      </c>
      <c r="Y243" s="7">
        <f t="shared" si="49"/>
        <v>2166.65</v>
      </c>
      <c r="Z243" s="7">
        <f t="shared" si="50"/>
        <v>38</v>
      </c>
      <c r="AA243" s="7">
        <f t="shared" si="51"/>
        <v>2021</v>
      </c>
      <c r="AB243" s="7">
        <f t="shared" si="52"/>
        <v>10</v>
      </c>
      <c r="AC243" s="7">
        <f t="shared" si="53"/>
        <v>1</v>
      </c>
      <c r="AD243" s="7" t="str">
        <f t="shared" si="54"/>
        <v>No</v>
      </c>
      <c r="AE243" s="7" t="str">
        <f t="shared" si="55"/>
        <v>Normal</v>
      </c>
    </row>
    <row r="244" spans="1:31">
      <c r="A244" t="s">
        <v>938</v>
      </c>
      <c r="B244">
        <v>76800348</v>
      </c>
      <c r="C244" t="s">
        <v>939</v>
      </c>
      <c r="D244" t="s">
        <v>940</v>
      </c>
      <c r="E244">
        <v>0</v>
      </c>
      <c r="F244" t="s">
        <v>45</v>
      </c>
      <c r="G244" t="s">
        <v>92</v>
      </c>
      <c r="H244" t="s">
        <v>56</v>
      </c>
      <c r="I244" t="s">
        <v>3372</v>
      </c>
      <c r="J244">
        <v>6546.5</v>
      </c>
      <c r="K244" t="s">
        <v>86</v>
      </c>
      <c r="L244" t="s">
        <v>48</v>
      </c>
      <c r="M244" s="1">
        <v>45373.690972222219</v>
      </c>
      <c r="N244">
        <v>47</v>
      </c>
      <c r="O244" t="s">
        <v>93</v>
      </c>
      <c r="P244" t="s">
        <v>37</v>
      </c>
      <c r="Q244" t="s">
        <v>941</v>
      </c>
      <c r="R244" t="str">
        <f t="shared" si="42"/>
        <v>Michael Nair</v>
      </c>
      <c r="S244" t="str">
        <f t="shared" si="43"/>
        <v>Sanjay Smith</v>
      </c>
      <c r="T244" t="str">
        <f t="shared" si="44"/>
        <v>ZAR</v>
      </c>
      <c r="U244" s="7" t="str">
        <f t="shared" si="45"/>
        <v>AUD</v>
      </c>
      <c r="V244" s="7" t="str">
        <f t="shared" si="46"/>
        <v>USA</v>
      </c>
      <c r="W244" s="7" t="str">
        <f t="shared" si="47"/>
        <v>South Africa</v>
      </c>
      <c r="X244" s="7" t="str">
        <f t="shared" si="48"/>
        <v>Outer-Transaction</v>
      </c>
      <c r="Y244" s="7">
        <f t="shared" si="49"/>
        <v>6546.5</v>
      </c>
      <c r="Z244" s="7">
        <f t="shared" si="50"/>
        <v>47</v>
      </c>
      <c r="AA244" s="7">
        <f t="shared" si="51"/>
        <v>2024</v>
      </c>
      <c r="AB244" s="7">
        <f t="shared" si="52"/>
        <v>3</v>
      </c>
      <c r="AC244" s="7">
        <f t="shared" si="53"/>
        <v>1</v>
      </c>
      <c r="AD244" s="7" t="str">
        <f t="shared" si="54"/>
        <v>No</v>
      </c>
      <c r="AE244" s="7" t="str">
        <f t="shared" si="55"/>
        <v>Normal</v>
      </c>
    </row>
    <row r="245" spans="1:31">
      <c r="A245" t="s">
        <v>942</v>
      </c>
      <c r="B245">
        <v>63769608</v>
      </c>
      <c r="C245" t="s">
        <v>943</v>
      </c>
      <c r="D245" t="s">
        <v>278</v>
      </c>
      <c r="E245" t="s">
        <v>20</v>
      </c>
      <c r="F245" t="s">
        <v>34</v>
      </c>
      <c r="G245" t="s">
        <v>35</v>
      </c>
      <c r="I245" t="s">
        <v>3374</v>
      </c>
      <c r="J245">
        <v>2873.14</v>
      </c>
      <c r="K245" t="s">
        <v>39</v>
      </c>
      <c r="L245" t="s">
        <v>28</v>
      </c>
      <c r="M245" s="1">
        <v>45123.938194444447</v>
      </c>
      <c r="N245">
        <v>45</v>
      </c>
      <c r="O245" t="s">
        <v>24</v>
      </c>
      <c r="P245" t="s">
        <v>54</v>
      </c>
      <c r="Q245" t="s">
        <v>944</v>
      </c>
      <c r="R245" t="str">
        <f t="shared" si="42"/>
        <v>Mary Nair</v>
      </c>
      <c r="S245" t="str">
        <f t="shared" si="43"/>
        <v>Sanjay Williams</v>
      </c>
      <c r="T245" t="str">
        <f t="shared" si="44"/>
        <v>CAD</v>
      </c>
      <c r="U245" s="7" t="str">
        <f t="shared" si="45"/>
        <v>EUR</v>
      </c>
      <c r="V245" s="7" t="str">
        <f t="shared" si="46"/>
        <v>Brazil</v>
      </c>
      <c r="W245" s="7" t="str">
        <f t="shared" si="47"/>
        <v>India</v>
      </c>
      <c r="X245" s="7" t="str">
        <f t="shared" si="48"/>
        <v>External</v>
      </c>
      <c r="Y245" s="7">
        <f t="shared" si="49"/>
        <v>2873.14</v>
      </c>
      <c r="Z245" s="7">
        <f t="shared" si="50"/>
        <v>45</v>
      </c>
      <c r="AA245" s="7">
        <f t="shared" si="51"/>
        <v>2023</v>
      </c>
      <c r="AB245" s="7">
        <f t="shared" si="52"/>
        <v>7</v>
      </c>
      <c r="AC245" s="7">
        <f t="shared" si="53"/>
        <v>1</v>
      </c>
      <c r="AD245" s="7" t="str">
        <f t="shared" si="54"/>
        <v>No</v>
      </c>
      <c r="AE245" s="7" t="str">
        <f t="shared" si="55"/>
        <v>Normal</v>
      </c>
    </row>
    <row r="246" spans="1:31">
      <c r="A246" t="s">
        <v>945</v>
      </c>
      <c r="B246">
        <v>42008932</v>
      </c>
      <c r="C246" t="s">
        <v>946</v>
      </c>
      <c r="D246" t="s">
        <v>947</v>
      </c>
      <c r="E246" t="s">
        <v>20</v>
      </c>
      <c r="F246" t="s">
        <v>53</v>
      </c>
      <c r="G246" t="s">
        <v>44</v>
      </c>
      <c r="H246" t="s">
        <v>25</v>
      </c>
      <c r="I246" t="s">
        <v>3378</v>
      </c>
      <c r="J246">
        <v>11818.8</v>
      </c>
      <c r="K246" t="s">
        <v>86</v>
      </c>
      <c r="L246" t="s">
        <v>81</v>
      </c>
      <c r="M246" s="1">
        <v>45230.381944444445</v>
      </c>
      <c r="N246">
        <v>81</v>
      </c>
      <c r="O246" t="s">
        <v>23</v>
      </c>
      <c r="P246" t="s">
        <v>24</v>
      </c>
      <c r="Q246" t="s">
        <v>948</v>
      </c>
      <c r="R246" t="str">
        <f t="shared" si="42"/>
        <v>Sarah Gonzalez</v>
      </c>
      <c r="S246" t="str">
        <f t="shared" si="43"/>
        <v xml:space="preserve"> Robert Silva   </v>
      </c>
      <c r="T246" t="str">
        <f t="shared" si="44"/>
        <v>AED</v>
      </c>
      <c r="U246" s="7" t="str">
        <f t="shared" si="45"/>
        <v>SGD</v>
      </c>
      <c r="V246" s="7" t="str">
        <f t="shared" si="46"/>
        <v>France</v>
      </c>
      <c r="W246" s="7" t="str">
        <f t="shared" si="47"/>
        <v>Brazil</v>
      </c>
      <c r="X246" s="7" t="str">
        <f t="shared" si="48"/>
        <v>Inter-Transaction</v>
      </c>
      <c r="Y246" s="7">
        <f t="shared" si="49"/>
        <v>11818.8</v>
      </c>
      <c r="Z246" s="7">
        <f t="shared" si="50"/>
        <v>81</v>
      </c>
      <c r="AA246" s="7">
        <f t="shared" si="51"/>
        <v>2023</v>
      </c>
      <c r="AB246" s="7">
        <f t="shared" si="52"/>
        <v>10</v>
      </c>
      <c r="AC246" s="7">
        <f t="shared" si="53"/>
        <v>1</v>
      </c>
      <c r="AD246" s="7" t="str">
        <f t="shared" si="54"/>
        <v>No</v>
      </c>
      <c r="AE246" s="7" t="str">
        <f t="shared" si="55"/>
        <v>Normal</v>
      </c>
    </row>
    <row r="247" spans="1:31">
      <c r="A247" t="s">
        <v>949</v>
      </c>
      <c r="B247">
        <v>41270805</v>
      </c>
      <c r="C247" t="s">
        <v>950</v>
      </c>
      <c r="D247" t="s">
        <v>951</v>
      </c>
      <c r="E247" t="s">
        <v>20</v>
      </c>
      <c r="F247" t="s">
        <v>45</v>
      </c>
      <c r="G247" t="s">
        <v>112</v>
      </c>
      <c r="H247" t="s">
        <v>74</v>
      </c>
      <c r="I247" t="s">
        <v>3374</v>
      </c>
      <c r="J247">
        <v>758.87</v>
      </c>
      <c r="K247" t="s">
        <v>57</v>
      </c>
      <c r="L247" t="s">
        <v>28</v>
      </c>
      <c r="M247" s="1">
        <v>45383.211805555555</v>
      </c>
      <c r="N247">
        <v>78</v>
      </c>
      <c r="O247" t="s">
        <v>54</v>
      </c>
      <c r="P247" t="s">
        <v>36</v>
      </c>
      <c r="Q247" t="s">
        <v>952</v>
      </c>
      <c r="R247" t="str">
        <f t="shared" si="42"/>
        <v>Priya Williams</v>
      </c>
      <c r="S247" t="str">
        <f t="shared" si="43"/>
        <v>Mary Al-Sayed</v>
      </c>
      <c r="T247" t="str">
        <f t="shared" si="44"/>
        <v>ZAR</v>
      </c>
      <c r="U247" s="7" t="str">
        <f t="shared" si="45"/>
        <v>usd</v>
      </c>
      <c r="V247" s="7" t="str">
        <f t="shared" si="46"/>
        <v>India</v>
      </c>
      <c r="W247" s="7" t="str">
        <f t="shared" si="47"/>
        <v>Germany</v>
      </c>
      <c r="X247" s="7" t="str">
        <f t="shared" si="48"/>
        <v>External</v>
      </c>
      <c r="Y247" s="7">
        <f t="shared" si="49"/>
        <v>758.87</v>
      </c>
      <c r="Z247" s="7">
        <f t="shared" si="50"/>
        <v>78</v>
      </c>
      <c r="AA247" s="7">
        <f t="shared" si="51"/>
        <v>2024</v>
      </c>
      <c r="AB247" s="7">
        <f t="shared" si="52"/>
        <v>4</v>
      </c>
      <c r="AC247" s="7">
        <f t="shared" si="53"/>
        <v>1</v>
      </c>
      <c r="AD247" s="7" t="str">
        <f t="shared" si="54"/>
        <v>No</v>
      </c>
      <c r="AE247" s="7" t="str">
        <f t="shared" si="55"/>
        <v>Normal</v>
      </c>
    </row>
    <row r="248" spans="1:31">
      <c r="A248" t="s">
        <v>953</v>
      </c>
      <c r="B248">
        <v>18470495</v>
      </c>
      <c r="C248" t="s">
        <v>954</v>
      </c>
      <c r="D248" t="s">
        <v>130</v>
      </c>
      <c r="E248" t="s">
        <v>3375</v>
      </c>
      <c r="F248" t="s">
        <v>22</v>
      </c>
      <c r="G248" t="s">
        <v>45</v>
      </c>
      <c r="H248" t="s">
        <v>74</v>
      </c>
      <c r="I248" t="s">
        <v>3377</v>
      </c>
      <c r="J248">
        <v>8900.35</v>
      </c>
      <c r="K248" t="s">
        <v>57</v>
      </c>
      <c r="L248" t="s">
        <v>28</v>
      </c>
      <c r="M248" s="1">
        <v>44906.365277777775</v>
      </c>
      <c r="N248">
        <v>65</v>
      </c>
      <c r="O248" t="s">
        <v>62</v>
      </c>
      <c r="P248" t="s">
        <v>37</v>
      </c>
      <c r="Q248" t="s">
        <v>955</v>
      </c>
      <c r="R248" t="str">
        <f t="shared" si="42"/>
        <v>Lucas Miller</v>
      </c>
      <c r="S248" t="str">
        <f t="shared" si="43"/>
        <v>Jessica Hernandez</v>
      </c>
      <c r="T248" t="str">
        <f t="shared" si="44"/>
        <v>BRL</v>
      </c>
      <c r="U248" s="7" t="str">
        <f t="shared" si="45"/>
        <v>ZAR</v>
      </c>
      <c r="V248" s="7" t="str">
        <f t="shared" si="46"/>
        <v>Australia</v>
      </c>
      <c r="W248" s="7" t="str">
        <f t="shared" si="47"/>
        <v>South Africa</v>
      </c>
      <c r="X248" s="7" t="str">
        <f t="shared" si="48"/>
        <v>Inter-Transaction</v>
      </c>
      <c r="Y248" s="7">
        <f t="shared" si="49"/>
        <v>8900.35</v>
      </c>
      <c r="Z248" s="7">
        <f t="shared" si="50"/>
        <v>65</v>
      </c>
      <c r="AA248" s="7">
        <f t="shared" si="51"/>
        <v>2022</v>
      </c>
      <c r="AB248" s="7">
        <f t="shared" si="52"/>
        <v>12</v>
      </c>
      <c r="AC248" s="7">
        <f t="shared" si="53"/>
        <v>1</v>
      </c>
      <c r="AD248" s="7" t="str">
        <f t="shared" si="54"/>
        <v>No</v>
      </c>
      <c r="AE248" s="7" t="str">
        <f t="shared" si="55"/>
        <v>Normal</v>
      </c>
    </row>
    <row r="249" spans="1:31">
      <c r="A249" t="s">
        <v>956</v>
      </c>
      <c r="B249">
        <v>27900736</v>
      </c>
      <c r="C249" t="s">
        <v>957</v>
      </c>
      <c r="D249" t="s">
        <v>211</v>
      </c>
      <c r="E249" t="s">
        <v>20</v>
      </c>
      <c r="F249" t="s">
        <v>21</v>
      </c>
      <c r="G249" t="s">
        <v>112</v>
      </c>
      <c r="H249" t="s">
        <v>38</v>
      </c>
      <c r="I249" t="s">
        <v>3378</v>
      </c>
      <c r="J249">
        <v>6249.17</v>
      </c>
      <c r="K249" t="s">
        <v>39</v>
      </c>
      <c r="L249" t="s">
        <v>48</v>
      </c>
      <c r="M249" s="1">
        <v>44155.065972222219</v>
      </c>
      <c r="N249">
        <v>36</v>
      </c>
      <c r="O249" t="s">
        <v>55</v>
      </c>
      <c r="P249" t="s">
        <v>127</v>
      </c>
      <c r="Q249" t="s">
        <v>958</v>
      </c>
      <c r="R249" t="str">
        <f t="shared" si="42"/>
        <v>Patricia Silva</v>
      </c>
      <c r="S249" t="str">
        <f t="shared" si="43"/>
        <v>Zayn Nair</v>
      </c>
      <c r="T249" t="str">
        <f t="shared" si="44"/>
        <v>GBP</v>
      </c>
      <c r="U249" s="7" t="str">
        <f t="shared" si="45"/>
        <v>usd</v>
      </c>
      <c r="V249" s="7" t="str">
        <f t="shared" si="46"/>
        <v>UK</v>
      </c>
      <c r="W249" s="7" t="str">
        <f t="shared" si="47"/>
        <v>Canada</v>
      </c>
      <c r="X249" s="7" t="str">
        <f t="shared" si="48"/>
        <v>Inter-Transaction</v>
      </c>
      <c r="Y249" s="7">
        <f t="shared" si="49"/>
        <v>6249.17</v>
      </c>
      <c r="Z249" s="7">
        <f t="shared" si="50"/>
        <v>36</v>
      </c>
      <c r="AA249" s="7">
        <f t="shared" si="51"/>
        <v>2020</v>
      </c>
      <c r="AB249" s="7">
        <f t="shared" si="52"/>
        <v>11</v>
      </c>
      <c r="AC249" s="7">
        <f t="shared" si="53"/>
        <v>1</v>
      </c>
      <c r="AD249" s="7" t="str">
        <f t="shared" si="54"/>
        <v>No</v>
      </c>
      <c r="AE249" s="7" t="str">
        <f t="shared" si="55"/>
        <v>Normal</v>
      </c>
    </row>
    <row r="250" spans="1:31">
      <c r="A250" t="s">
        <v>959</v>
      </c>
      <c r="B250">
        <v>77093782</v>
      </c>
      <c r="C250" t="s">
        <v>960</v>
      </c>
      <c r="D250" t="s">
        <v>685</v>
      </c>
      <c r="E250" t="s">
        <v>3375</v>
      </c>
      <c r="F250" t="s">
        <v>393</v>
      </c>
      <c r="G250" t="s">
        <v>92</v>
      </c>
      <c r="H250" t="s">
        <v>103</v>
      </c>
      <c r="I250" t="s">
        <v>3376</v>
      </c>
      <c r="J250">
        <v>7618.04</v>
      </c>
      <c r="K250" t="s">
        <v>39</v>
      </c>
      <c r="L250" t="s">
        <v>48</v>
      </c>
      <c r="M250" s="1">
        <v>44822.177777777775</v>
      </c>
      <c r="N250">
        <v>21</v>
      </c>
      <c r="O250" t="s">
        <v>54</v>
      </c>
      <c r="P250" t="s">
        <v>127</v>
      </c>
      <c r="Q250" t="s">
        <v>961</v>
      </c>
      <c r="R250" t="str">
        <f t="shared" si="42"/>
        <v>Nancy Williams</v>
      </c>
      <c r="S250" t="str">
        <f t="shared" si="43"/>
        <v>Sanjay Khan</v>
      </c>
      <c r="T250" t="str">
        <f t="shared" si="44"/>
        <v>cad</v>
      </c>
      <c r="U250" s="7" t="str">
        <f t="shared" si="45"/>
        <v>AUD</v>
      </c>
      <c r="V250" s="7" t="str">
        <f t="shared" si="46"/>
        <v>India</v>
      </c>
      <c r="W250" s="7" t="str">
        <f t="shared" si="47"/>
        <v>Canada</v>
      </c>
      <c r="X250" s="7" t="str">
        <f t="shared" si="48"/>
        <v>Internal</v>
      </c>
      <c r="Y250" s="7">
        <f t="shared" si="49"/>
        <v>7618.04</v>
      </c>
      <c r="Z250" s="7">
        <f t="shared" si="50"/>
        <v>21</v>
      </c>
      <c r="AA250" s="7">
        <f t="shared" si="51"/>
        <v>2022</v>
      </c>
      <c r="AB250" s="7">
        <f t="shared" si="52"/>
        <v>9</v>
      </c>
      <c r="AC250" s="7">
        <f t="shared" si="53"/>
        <v>1</v>
      </c>
      <c r="AD250" s="7" t="str">
        <f t="shared" si="54"/>
        <v>No</v>
      </c>
      <c r="AE250" s="7" t="str">
        <f t="shared" si="55"/>
        <v>Normal</v>
      </c>
    </row>
    <row r="251" spans="1:31">
      <c r="A251" t="s">
        <v>962</v>
      </c>
      <c r="B251">
        <v>15786878</v>
      </c>
      <c r="C251" t="s">
        <v>943</v>
      </c>
      <c r="D251" t="s">
        <v>963</v>
      </c>
      <c r="E251" t="s">
        <v>20</v>
      </c>
      <c r="F251" t="s">
        <v>53</v>
      </c>
      <c r="G251" t="s">
        <v>34</v>
      </c>
      <c r="H251" t="s">
        <v>38</v>
      </c>
      <c r="I251" t="s">
        <v>3371</v>
      </c>
      <c r="J251">
        <v>2379.1</v>
      </c>
      <c r="K251" t="s">
        <v>86</v>
      </c>
      <c r="L251" t="s">
        <v>81</v>
      </c>
      <c r="M251" s="1">
        <v>45824.318749999999</v>
      </c>
      <c r="N251">
        <v>52</v>
      </c>
      <c r="O251" t="s">
        <v>62</v>
      </c>
      <c r="P251" t="s">
        <v>24</v>
      </c>
      <c r="Q251" t="s">
        <v>964</v>
      </c>
      <c r="R251" t="str">
        <f t="shared" si="42"/>
        <v>Mary Nair</v>
      </c>
      <c r="S251" t="str">
        <f t="shared" si="43"/>
        <v xml:space="preserve"> Susan Martinez   </v>
      </c>
      <c r="T251" t="str">
        <f t="shared" si="44"/>
        <v>AED</v>
      </c>
      <c r="U251" s="7" t="str">
        <f t="shared" si="45"/>
        <v>CAD</v>
      </c>
      <c r="V251" s="7" t="str">
        <f t="shared" si="46"/>
        <v>Australia</v>
      </c>
      <c r="W251" s="7" t="str">
        <f t="shared" si="47"/>
        <v>Brazil</v>
      </c>
      <c r="X251" s="7" t="str">
        <f t="shared" si="48"/>
        <v>Outer-Transaction</v>
      </c>
      <c r="Y251" s="7">
        <f t="shared" si="49"/>
        <v>2379.1</v>
      </c>
      <c r="Z251" s="7">
        <f t="shared" si="50"/>
        <v>52</v>
      </c>
      <c r="AA251" s="7">
        <f t="shared" si="51"/>
        <v>2025</v>
      </c>
      <c r="AB251" s="7">
        <f t="shared" si="52"/>
        <v>6</v>
      </c>
      <c r="AC251" s="7">
        <f t="shared" si="53"/>
        <v>1</v>
      </c>
      <c r="AD251" s="7" t="str">
        <f t="shared" si="54"/>
        <v>No</v>
      </c>
      <c r="AE251" s="7" t="str">
        <f t="shared" si="55"/>
        <v>Normal</v>
      </c>
    </row>
    <row r="252" spans="1:31">
      <c r="A252" t="s">
        <v>965</v>
      </c>
      <c r="B252">
        <v>40878564</v>
      </c>
      <c r="C252" t="s">
        <v>966</v>
      </c>
      <c r="D252" t="s">
        <v>522</v>
      </c>
      <c r="E252" t="s">
        <v>20</v>
      </c>
      <c r="F252" t="s">
        <v>22</v>
      </c>
      <c r="G252" t="s">
        <v>92</v>
      </c>
      <c r="H252" t="s">
        <v>56</v>
      </c>
      <c r="I252" t="s">
        <v>3371</v>
      </c>
      <c r="J252">
        <v>3250.32</v>
      </c>
      <c r="K252" t="s">
        <v>27</v>
      </c>
      <c r="L252" t="s">
        <v>81</v>
      </c>
      <c r="M252" s="1">
        <v>44547.882638888892</v>
      </c>
      <c r="N252">
        <v>81</v>
      </c>
      <c r="O252" t="s">
        <v>23</v>
      </c>
      <c r="P252" t="s">
        <v>93</v>
      </c>
      <c r="Q252" t="s">
        <v>967</v>
      </c>
      <c r="R252" t="str">
        <f t="shared" si="42"/>
        <v>Jean-Pierre Brown</v>
      </c>
      <c r="S252" t="str">
        <f t="shared" si="43"/>
        <v>Richard Davis</v>
      </c>
      <c r="T252" t="str">
        <f t="shared" si="44"/>
        <v>BRL</v>
      </c>
      <c r="U252" s="7" t="str">
        <f t="shared" si="45"/>
        <v>AUD</v>
      </c>
      <c r="V252" s="7" t="str">
        <f t="shared" si="46"/>
        <v>France</v>
      </c>
      <c r="W252" s="7" t="str">
        <f t="shared" si="47"/>
        <v>USA</v>
      </c>
      <c r="X252" s="7" t="str">
        <f t="shared" si="48"/>
        <v>Outer-Transaction</v>
      </c>
      <c r="Y252" s="7">
        <f t="shared" si="49"/>
        <v>3250.32</v>
      </c>
      <c r="Z252" s="7">
        <f t="shared" si="50"/>
        <v>81</v>
      </c>
      <c r="AA252" s="7">
        <f t="shared" si="51"/>
        <v>2021</v>
      </c>
      <c r="AB252" s="7">
        <f t="shared" si="52"/>
        <v>12</v>
      </c>
      <c r="AC252" s="7">
        <f t="shared" si="53"/>
        <v>1</v>
      </c>
      <c r="AD252" s="7" t="str">
        <f t="shared" si="54"/>
        <v>No</v>
      </c>
      <c r="AE252" s="7" t="str">
        <f t="shared" si="55"/>
        <v>Normal</v>
      </c>
    </row>
    <row r="253" spans="1:31">
      <c r="A253" t="s">
        <v>968</v>
      </c>
      <c r="B253">
        <v>86325036</v>
      </c>
      <c r="C253" t="s">
        <v>969</v>
      </c>
      <c r="D253" t="s">
        <v>970</v>
      </c>
      <c r="E253" t="s">
        <v>3373</v>
      </c>
      <c r="F253" t="s">
        <v>44</v>
      </c>
      <c r="I253" t="s">
        <v>3376</v>
      </c>
      <c r="J253">
        <v>13584.62</v>
      </c>
      <c r="K253" t="s">
        <v>27</v>
      </c>
      <c r="L253" t="s">
        <v>48</v>
      </c>
      <c r="M253" s="1">
        <v>44107.86041666667</v>
      </c>
      <c r="N253">
        <v>66</v>
      </c>
      <c r="O253" t="s">
        <v>23</v>
      </c>
      <c r="P253" t="s">
        <v>68</v>
      </c>
      <c r="Q253" t="s">
        <v>971</v>
      </c>
      <c r="R253" t="str">
        <f t="shared" si="42"/>
        <v>Mary Rodriguez</v>
      </c>
      <c r="S253" t="str">
        <f t="shared" si="43"/>
        <v>Michael Brown</v>
      </c>
      <c r="T253" t="str">
        <f t="shared" si="44"/>
        <v>SGD</v>
      </c>
      <c r="U253" s="7" t="str">
        <f t="shared" si="45"/>
        <v/>
      </c>
      <c r="V253" s="7" t="str">
        <f t="shared" si="46"/>
        <v>France</v>
      </c>
      <c r="W253" s="7" t="str">
        <f t="shared" si="47"/>
        <v>UAE</v>
      </c>
      <c r="X253" s="7" t="str">
        <f t="shared" si="48"/>
        <v>Internal</v>
      </c>
      <c r="Y253" s="7">
        <f t="shared" si="49"/>
        <v>13584.62</v>
      </c>
      <c r="Z253" s="7">
        <f t="shared" si="50"/>
        <v>66</v>
      </c>
      <c r="AA253" s="7">
        <f t="shared" si="51"/>
        <v>2020</v>
      </c>
      <c r="AB253" s="7">
        <f t="shared" si="52"/>
        <v>10</v>
      </c>
      <c r="AC253" s="7">
        <f t="shared" si="53"/>
        <v>1</v>
      </c>
      <c r="AD253" s="7" t="str">
        <f t="shared" si="54"/>
        <v>No</v>
      </c>
      <c r="AE253" s="7" t="str">
        <f t="shared" si="55"/>
        <v>Normal</v>
      </c>
    </row>
    <row r="254" spans="1:31">
      <c r="A254" t="s">
        <v>972</v>
      </c>
      <c r="B254">
        <v>67460000</v>
      </c>
      <c r="C254" t="s">
        <v>346</v>
      </c>
      <c r="D254" t="s">
        <v>973</v>
      </c>
      <c r="E254" t="s">
        <v>20</v>
      </c>
      <c r="F254" t="s">
        <v>116</v>
      </c>
      <c r="G254" t="s">
        <v>121</v>
      </c>
      <c r="H254" t="s">
        <v>25</v>
      </c>
      <c r="I254" t="s">
        <v>3377</v>
      </c>
      <c r="J254">
        <v>14869.19</v>
      </c>
      <c r="K254" t="s">
        <v>27</v>
      </c>
      <c r="L254" t="s">
        <v>28</v>
      </c>
      <c r="M254" s="1">
        <v>43982.751388888886</v>
      </c>
      <c r="N254">
        <v>34</v>
      </c>
      <c r="O254" t="s">
        <v>55</v>
      </c>
      <c r="P254" t="s">
        <v>37</v>
      </c>
      <c r="Q254" t="s">
        <v>974</v>
      </c>
      <c r="R254" t="str">
        <f t="shared" si="42"/>
        <v>Fatima Malik</v>
      </c>
      <c r="S254" t="str">
        <f t="shared" si="43"/>
        <v xml:space="preserve"> Elizabeth Davis   </v>
      </c>
      <c r="T254" t="str">
        <f t="shared" si="44"/>
        <v>CHF</v>
      </c>
      <c r="U254" s="7" t="str">
        <f t="shared" si="45"/>
        <v>INR</v>
      </c>
      <c r="V254" s="7" t="str">
        <f t="shared" si="46"/>
        <v>UK</v>
      </c>
      <c r="W254" s="7" t="str">
        <f t="shared" si="47"/>
        <v>South Africa</v>
      </c>
      <c r="X254" s="7" t="str">
        <f t="shared" si="48"/>
        <v>Inter-Transaction</v>
      </c>
      <c r="Y254" s="7">
        <f t="shared" si="49"/>
        <v>14869.19</v>
      </c>
      <c r="Z254" s="7">
        <f t="shared" si="50"/>
        <v>34</v>
      </c>
      <c r="AA254" s="7">
        <f t="shared" si="51"/>
        <v>2020</v>
      </c>
      <c r="AB254" s="7">
        <f t="shared" si="52"/>
        <v>5</v>
      </c>
      <c r="AC254" s="7">
        <f t="shared" si="53"/>
        <v>1</v>
      </c>
      <c r="AD254" s="7" t="str">
        <f t="shared" si="54"/>
        <v>No</v>
      </c>
      <c r="AE254" s="7" t="str">
        <f t="shared" si="55"/>
        <v>Normal</v>
      </c>
    </row>
    <row r="255" spans="1:31">
      <c r="A255" t="s">
        <v>975</v>
      </c>
      <c r="B255">
        <v>11667385</v>
      </c>
      <c r="C255" t="s">
        <v>335</v>
      </c>
      <c r="D255" t="s">
        <v>976</v>
      </c>
      <c r="E255" t="s">
        <v>20</v>
      </c>
      <c r="G255" t="s">
        <v>121</v>
      </c>
      <c r="H255" t="s">
        <v>38</v>
      </c>
      <c r="I255" t="s">
        <v>3374</v>
      </c>
      <c r="J255">
        <v>8759.07</v>
      </c>
      <c r="K255" t="s">
        <v>39</v>
      </c>
      <c r="L255" t="s">
        <v>81</v>
      </c>
      <c r="M255" s="1">
        <v>44785.744444444441</v>
      </c>
      <c r="N255">
        <v>61</v>
      </c>
      <c r="O255" t="s">
        <v>55</v>
      </c>
      <c r="P255" t="s">
        <v>37</v>
      </c>
      <c r="Q255" t="s">
        <v>977</v>
      </c>
      <c r="R255" t="str">
        <f t="shared" si="42"/>
        <v>Elena Al-Sayed</v>
      </c>
      <c r="S255" t="str">
        <f t="shared" si="43"/>
        <v>Jessica Miller</v>
      </c>
      <c r="T255" t="str">
        <f t="shared" si="44"/>
        <v/>
      </c>
      <c r="U255" s="7" t="str">
        <f t="shared" si="45"/>
        <v>INR</v>
      </c>
      <c r="V255" s="7" t="str">
        <f t="shared" si="46"/>
        <v>UK</v>
      </c>
      <c r="W255" s="7" t="str">
        <f t="shared" si="47"/>
        <v>South Africa</v>
      </c>
      <c r="X255" s="7" t="str">
        <f t="shared" si="48"/>
        <v>External</v>
      </c>
      <c r="Y255" s="7">
        <f t="shared" si="49"/>
        <v>8759.07</v>
      </c>
      <c r="Z255" s="7">
        <f t="shared" si="50"/>
        <v>61</v>
      </c>
      <c r="AA255" s="7">
        <f t="shared" si="51"/>
        <v>2022</v>
      </c>
      <c r="AB255" s="7">
        <f t="shared" si="52"/>
        <v>8</v>
      </c>
      <c r="AC255" s="7">
        <f t="shared" si="53"/>
        <v>1</v>
      </c>
      <c r="AD255" s="7" t="str">
        <f t="shared" si="54"/>
        <v>No</v>
      </c>
      <c r="AE255" s="7" t="str">
        <f t="shared" si="55"/>
        <v>Normal</v>
      </c>
    </row>
    <row r="256" spans="1:31">
      <c r="A256" t="s">
        <v>978</v>
      </c>
      <c r="B256">
        <v>61657620</v>
      </c>
      <c r="C256" t="s">
        <v>979</v>
      </c>
      <c r="D256" t="s">
        <v>980</v>
      </c>
      <c r="E256" t="s">
        <v>20</v>
      </c>
      <c r="F256" t="s">
        <v>92</v>
      </c>
      <c r="G256" t="s">
        <v>53</v>
      </c>
      <c r="H256" t="s">
        <v>38</v>
      </c>
      <c r="I256" t="s">
        <v>3378</v>
      </c>
      <c r="J256">
        <v>11039.05</v>
      </c>
      <c r="K256" t="s">
        <v>86</v>
      </c>
      <c r="L256" t="s">
        <v>75</v>
      </c>
      <c r="M256" s="1">
        <v>45337.762499999997</v>
      </c>
      <c r="N256">
        <v>47</v>
      </c>
      <c r="O256" t="s">
        <v>23</v>
      </c>
      <c r="P256" t="s">
        <v>23</v>
      </c>
      <c r="Q256" t="s">
        <v>981</v>
      </c>
      <c r="R256" t="str">
        <f t="shared" si="42"/>
        <v>Carlos Rostova</v>
      </c>
      <c r="S256" t="str">
        <f t="shared" si="43"/>
        <v>Richard Taylor</v>
      </c>
      <c r="T256" t="str">
        <f t="shared" si="44"/>
        <v>AUD</v>
      </c>
      <c r="U256" s="7" t="str">
        <f t="shared" si="45"/>
        <v>AED</v>
      </c>
      <c r="V256" s="7" t="str">
        <f t="shared" si="46"/>
        <v>France</v>
      </c>
      <c r="W256" s="7" t="str">
        <f t="shared" si="47"/>
        <v>France</v>
      </c>
      <c r="X256" s="7" t="str">
        <f t="shared" si="48"/>
        <v>Inter-Transaction</v>
      </c>
      <c r="Y256" s="7">
        <f t="shared" si="49"/>
        <v>11039.05</v>
      </c>
      <c r="Z256" s="7">
        <f t="shared" si="50"/>
        <v>47</v>
      </c>
      <c r="AA256" s="7">
        <f t="shared" si="51"/>
        <v>2024</v>
      </c>
      <c r="AB256" s="7">
        <f t="shared" si="52"/>
        <v>2</v>
      </c>
      <c r="AC256" s="7">
        <f t="shared" si="53"/>
        <v>1</v>
      </c>
      <c r="AD256" s="7" t="str">
        <f t="shared" si="54"/>
        <v>No</v>
      </c>
      <c r="AE256" s="7" t="str">
        <f t="shared" si="55"/>
        <v>High Risk</v>
      </c>
    </row>
    <row r="257" spans="1:31">
      <c r="A257" t="s">
        <v>982</v>
      </c>
      <c r="B257">
        <v>37476059</v>
      </c>
      <c r="C257" t="s">
        <v>983</v>
      </c>
      <c r="D257" t="s">
        <v>297</v>
      </c>
      <c r="E257" t="s">
        <v>20</v>
      </c>
      <c r="F257" t="s">
        <v>44</v>
      </c>
      <c r="G257" t="s">
        <v>22</v>
      </c>
      <c r="H257" t="s">
        <v>74</v>
      </c>
      <c r="I257" t="s">
        <v>3378</v>
      </c>
      <c r="J257">
        <v>5297.15</v>
      </c>
      <c r="K257" t="s">
        <v>57</v>
      </c>
      <c r="L257" t="s">
        <v>81</v>
      </c>
      <c r="M257" s="1">
        <v>44089.586805555555</v>
      </c>
      <c r="N257">
        <v>63</v>
      </c>
      <c r="O257" t="s">
        <v>62</v>
      </c>
      <c r="P257" t="s">
        <v>54</v>
      </c>
      <c r="Q257" t="s">
        <v>984</v>
      </c>
      <c r="R257" t="str">
        <f t="shared" si="42"/>
        <v>Michael Hernandez</v>
      </c>
      <c r="S257" t="str">
        <f t="shared" si="43"/>
        <v>Elizabeth Moore</v>
      </c>
      <c r="T257" t="str">
        <f t="shared" si="44"/>
        <v>SGD</v>
      </c>
      <c r="U257" s="7" t="str">
        <f t="shared" si="45"/>
        <v>BRL</v>
      </c>
      <c r="V257" s="7" t="str">
        <f t="shared" si="46"/>
        <v>Australia</v>
      </c>
      <c r="W257" s="7" t="str">
        <f t="shared" si="47"/>
        <v>India</v>
      </c>
      <c r="X257" s="7" t="str">
        <f t="shared" si="48"/>
        <v>Inter-Transaction</v>
      </c>
      <c r="Y257" s="7">
        <f t="shared" si="49"/>
        <v>5297.15</v>
      </c>
      <c r="Z257" s="7">
        <f t="shared" si="50"/>
        <v>63</v>
      </c>
      <c r="AA257" s="7">
        <f t="shared" si="51"/>
        <v>2020</v>
      </c>
      <c r="AB257" s="7">
        <f t="shared" si="52"/>
        <v>9</v>
      </c>
      <c r="AC257" s="7">
        <f t="shared" si="53"/>
        <v>1</v>
      </c>
      <c r="AD257" s="7" t="str">
        <f t="shared" si="54"/>
        <v>No</v>
      </c>
      <c r="AE257" s="7" t="str">
        <f t="shared" si="55"/>
        <v>Normal</v>
      </c>
    </row>
    <row r="258" spans="1:31">
      <c r="A258" t="s">
        <v>985</v>
      </c>
      <c r="B258">
        <v>81518649</v>
      </c>
      <c r="C258" t="s">
        <v>339</v>
      </c>
      <c r="D258" t="s">
        <v>986</v>
      </c>
      <c r="E258" t="s">
        <v>20</v>
      </c>
      <c r="F258" t="s">
        <v>45</v>
      </c>
      <c r="G258" t="s">
        <v>392</v>
      </c>
      <c r="H258" t="s">
        <v>25</v>
      </c>
      <c r="I258" t="s">
        <v>3372</v>
      </c>
      <c r="J258">
        <v>13470.21</v>
      </c>
      <c r="K258" t="s">
        <v>57</v>
      </c>
      <c r="L258" t="s">
        <v>28</v>
      </c>
      <c r="M258" s="1">
        <v>46202.629861111112</v>
      </c>
      <c r="N258">
        <v>23</v>
      </c>
      <c r="O258" t="s">
        <v>93</v>
      </c>
      <c r="P258" t="s">
        <v>62</v>
      </c>
      <c r="Q258" t="s">
        <v>987</v>
      </c>
      <c r="R258" t="str">
        <f t="shared" ref="R258:R321" si="56">TRIM(C258)</f>
        <v>Carlos Martinez</v>
      </c>
      <c r="S258" t="str">
        <f t="shared" ref="S258:S321" si="57">PROPER(D258)</f>
        <v>Thomas Martin</v>
      </c>
      <c r="T258" t="str">
        <f t="shared" ref="T258:T321" si="58">TRIM(F258)</f>
        <v>ZAR</v>
      </c>
      <c r="U258" s="7" t="str">
        <f t="shared" ref="U258:U321" si="59">TRIM(G258)</f>
        <v>brl</v>
      </c>
      <c r="V258" s="7" t="str">
        <f t="shared" ref="V258:V321" si="60">TRIM(O258)</f>
        <v>USA</v>
      </c>
      <c r="W258" s="7" t="str">
        <f t="shared" ref="W258:W321" si="61">TRIM(P258)</f>
        <v>Australia</v>
      </c>
      <c r="X258" s="7" t="str">
        <f t="shared" ref="X258:X321" si="62">PROPER(I258)</f>
        <v>Outer-Transaction</v>
      </c>
      <c r="Y258" s="7">
        <f t="shared" ref="Y258:Y321" si="63">IF(J258="",AVERAGE($J:$J),J258)</f>
        <v>13470.21</v>
      </c>
      <c r="Z258" s="7">
        <f t="shared" ref="Z258:Z321" si="64">IF(N258="",AVERAGE($N:$N),N258)</f>
        <v>23</v>
      </c>
      <c r="AA258" s="7">
        <f t="shared" ref="AA258:AA321" si="65">YEAR(M258)</f>
        <v>2026</v>
      </c>
      <c r="AB258" s="7">
        <f t="shared" ref="AB258:AB321" si="66">MONTH(M258)</f>
        <v>6</v>
      </c>
      <c r="AC258" s="7">
        <f t="shared" ref="AC258:AC321" si="67">COUNTIF(A:A,A258)</f>
        <v>1</v>
      </c>
      <c r="AD258" s="7" t="str">
        <f t="shared" ref="AD258:AD321" si="68">IF(C258="YES","Yes","No")</f>
        <v>No</v>
      </c>
      <c r="AE258" s="7" t="str">
        <f t="shared" ref="AE258:AE321" si="69">IF(L258="HIGH","High Risk","Normal")</f>
        <v>Normal</v>
      </c>
    </row>
    <row r="259" spans="1:31">
      <c r="A259" t="s">
        <v>988</v>
      </c>
      <c r="B259">
        <v>65906603</v>
      </c>
      <c r="C259" t="s">
        <v>989</v>
      </c>
      <c r="D259" t="s">
        <v>150</v>
      </c>
      <c r="E259" t="s">
        <v>20</v>
      </c>
      <c r="F259" t="s">
        <v>92</v>
      </c>
      <c r="G259" t="s">
        <v>44</v>
      </c>
      <c r="H259" t="s">
        <v>38</v>
      </c>
      <c r="I259" t="s">
        <v>3374</v>
      </c>
      <c r="J259">
        <v>5044.8</v>
      </c>
      <c r="K259" t="s">
        <v>27</v>
      </c>
      <c r="L259" t="s">
        <v>75</v>
      </c>
      <c r="M259" s="1">
        <v>44699.636805555558</v>
      </c>
      <c r="N259">
        <v>54</v>
      </c>
      <c r="O259" t="s">
        <v>37</v>
      </c>
      <c r="P259" t="s">
        <v>54</v>
      </c>
      <c r="Q259" t="s">
        <v>990</v>
      </c>
      <c r="R259" t="str">
        <f t="shared" si="56"/>
        <v>MARTA MOORE</v>
      </c>
      <c r="S259" t="str">
        <f t="shared" si="57"/>
        <v>Priya Jones</v>
      </c>
      <c r="T259" t="str">
        <f t="shared" si="58"/>
        <v>AUD</v>
      </c>
      <c r="U259" s="7" t="str">
        <f t="shared" si="59"/>
        <v>SGD</v>
      </c>
      <c r="V259" s="7" t="str">
        <f t="shared" si="60"/>
        <v>South Africa</v>
      </c>
      <c r="W259" s="7" t="str">
        <f t="shared" si="61"/>
        <v>India</v>
      </c>
      <c r="X259" s="7" t="str">
        <f t="shared" si="62"/>
        <v>External</v>
      </c>
      <c r="Y259" s="7">
        <f t="shared" si="63"/>
        <v>5044.8</v>
      </c>
      <c r="Z259" s="7">
        <f t="shared" si="64"/>
        <v>54</v>
      </c>
      <c r="AA259" s="7">
        <f t="shared" si="65"/>
        <v>2022</v>
      </c>
      <c r="AB259" s="7">
        <f t="shared" si="66"/>
        <v>5</v>
      </c>
      <c r="AC259" s="7">
        <f t="shared" si="67"/>
        <v>1</v>
      </c>
      <c r="AD259" s="7" t="str">
        <f t="shared" si="68"/>
        <v>No</v>
      </c>
      <c r="AE259" s="7" t="str">
        <f t="shared" si="69"/>
        <v>High Risk</v>
      </c>
    </row>
    <row r="260" spans="1:31">
      <c r="A260" t="s">
        <v>991</v>
      </c>
      <c r="B260">
        <v>51137063</v>
      </c>
      <c r="C260" t="s">
        <v>536</v>
      </c>
      <c r="D260" t="s">
        <v>452</v>
      </c>
      <c r="E260" t="s">
        <v>20</v>
      </c>
      <c r="F260" t="s">
        <v>53</v>
      </c>
      <c r="G260" t="s">
        <v>80</v>
      </c>
      <c r="H260" t="s">
        <v>38</v>
      </c>
      <c r="I260" t="s">
        <v>3378</v>
      </c>
      <c r="J260">
        <v>2742.38</v>
      </c>
      <c r="K260" t="s">
        <v>47</v>
      </c>
      <c r="L260" t="s">
        <v>48</v>
      </c>
      <c r="M260" s="1">
        <v>45022.824305555558</v>
      </c>
      <c r="N260">
        <v>41</v>
      </c>
      <c r="O260" t="s">
        <v>127</v>
      </c>
      <c r="P260" t="s">
        <v>68</v>
      </c>
      <c r="Q260" t="s">
        <v>992</v>
      </c>
      <c r="R260" t="str">
        <f t="shared" si="56"/>
        <v>Linda Silva</v>
      </c>
      <c r="S260" t="str">
        <f t="shared" si="57"/>
        <v>David Davis</v>
      </c>
      <c r="T260" t="str">
        <f t="shared" si="58"/>
        <v>AED</v>
      </c>
      <c r="U260" s="7" t="str">
        <f t="shared" si="59"/>
        <v>USD</v>
      </c>
      <c r="V260" s="7" t="str">
        <f t="shared" si="60"/>
        <v>Canada</v>
      </c>
      <c r="W260" s="7" t="str">
        <f t="shared" si="61"/>
        <v>UAE</v>
      </c>
      <c r="X260" s="7" t="str">
        <f t="shared" si="62"/>
        <v>Inter-Transaction</v>
      </c>
      <c r="Y260" s="7">
        <f t="shared" si="63"/>
        <v>2742.38</v>
      </c>
      <c r="Z260" s="7">
        <f t="shared" si="64"/>
        <v>41</v>
      </c>
      <c r="AA260" s="7">
        <f t="shared" si="65"/>
        <v>2023</v>
      </c>
      <c r="AB260" s="7">
        <f t="shared" si="66"/>
        <v>4</v>
      </c>
      <c r="AC260" s="7">
        <f t="shared" si="67"/>
        <v>1</v>
      </c>
      <c r="AD260" s="7" t="str">
        <f t="shared" si="68"/>
        <v>No</v>
      </c>
      <c r="AE260" s="7" t="str">
        <f t="shared" si="69"/>
        <v>Normal</v>
      </c>
    </row>
    <row r="261" spans="1:31">
      <c r="A261" t="s">
        <v>993</v>
      </c>
      <c r="B261">
        <v>14655890</v>
      </c>
      <c r="C261" t="s">
        <v>994</v>
      </c>
      <c r="D261" t="s">
        <v>995</v>
      </c>
      <c r="E261" t="s">
        <v>20</v>
      </c>
      <c r="F261" t="s">
        <v>98</v>
      </c>
      <c r="G261" t="s">
        <v>91</v>
      </c>
      <c r="H261" t="s">
        <v>56</v>
      </c>
      <c r="I261" t="s">
        <v>3378</v>
      </c>
      <c r="J261">
        <v>2349.2399999999998</v>
      </c>
      <c r="K261" t="s">
        <v>27</v>
      </c>
      <c r="L261" t="s">
        <v>75</v>
      </c>
      <c r="M261" s="1">
        <v>44518.443055555559</v>
      </c>
      <c r="N261">
        <v>63</v>
      </c>
      <c r="O261" t="s">
        <v>54</v>
      </c>
      <c r="P261" t="s">
        <v>127</v>
      </c>
      <c r="Q261" t="s">
        <v>996</v>
      </c>
      <c r="R261" t="str">
        <f t="shared" si="56"/>
        <v>Marta Hernandez</v>
      </c>
      <c r="S261" t="str">
        <f t="shared" si="57"/>
        <v>Susan Jones</v>
      </c>
      <c r="T261" t="str">
        <f t="shared" si="58"/>
        <v>JPY</v>
      </c>
      <c r="U261" s="7" t="str">
        <f t="shared" si="59"/>
        <v>gbp</v>
      </c>
      <c r="V261" s="7" t="str">
        <f t="shared" si="60"/>
        <v>India</v>
      </c>
      <c r="W261" s="7" t="str">
        <f t="shared" si="61"/>
        <v>Canada</v>
      </c>
      <c r="X261" s="7" t="str">
        <f t="shared" si="62"/>
        <v>Inter-Transaction</v>
      </c>
      <c r="Y261" s="7">
        <f t="shared" si="63"/>
        <v>2349.2399999999998</v>
      </c>
      <c r="Z261" s="7">
        <f t="shared" si="64"/>
        <v>63</v>
      </c>
      <c r="AA261" s="7">
        <f t="shared" si="65"/>
        <v>2021</v>
      </c>
      <c r="AB261" s="7">
        <f t="shared" si="66"/>
        <v>11</v>
      </c>
      <c r="AC261" s="7">
        <f t="shared" si="67"/>
        <v>1</v>
      </c>
      <c r="AD261" s="7" t="str">
        <f t="shared" si="68"/>
        <v>No</v>
      </c>
      <c r="AE261" s="7" t="str">
        <f t="shared" si="69"/>
        <v>High Risk</v>
      </c>
    </row>
    <row r="262" spans="1:31">
      <c r="A262" t="s">
        <v>997</v>
      </c>
      <c r="C262" t="s">
        <v>907</v>
      </c>
      <c r="D262" t="s">
        <v>998</v>
      </c>
      <c r="E262" t="s">
        <v>20</v>
      </c>
      <c r="F262" t="s">
        <v>80</v>
      </c>
      <c r="G262" t="s">
        <v>91</v>
      </c>
      <c r="H262" t="s">
        <v>103</v>
      </c>
      <c r="I262" t="s">
        <v>3377</v>
      </c>
      <c r="J262">
        <v>4902.2299999999996</v>
      </c>
      <c r="K262" t="s">
        <v>27</v>
      </c>
      <c r="L262" t="s">
        <v>48</v>
      </c>
      <c r="M262" s="1">
        <v>44140.7</v>
      </c>
      <c r="N262">
        <v>70</v>
      </c>
      <c r="O262" t="s">
        <v>68</v>
      </c>
      <c r="P262" t="s">
        <v>127</v>
      </c>
      <c r="Q262" t="s">
        <v>999</v>
      </c>
      <c r="R262" t="str">
        <f t="shared" si="56"/>
        <v>Richard Rostova</v>
      </c>
      <c r="S262" t="str">
        <f t="shared" si="57"/>
        <v>Patricia Al-Sayed</v>
      </c>
      <c r="T262" t="str">
        <f t="shared" si="58"/>
        <v>USD</v>
      </c>
      <c r="U262" s="7" t="str">
        <f t="shared" si="59"/>
        <v>gbp</v>
      </c>
      <c r="V262" s="7" t="str">
        <f t="shared" si="60"/>
        <v>UAE</v>
      </c>
      <c r="W262" s="7" t="str">
        <f t="shared" si="61"/>
        <v>Canada</v>
      </c>
      <c r="X262" s="7" t="str">
        <f t="shared" si="62"/>
        <v>Inter-Transaction</v>
      </c>
      <c r="Y262" s="7">
        <f t="shared" si="63"/>
        <v>4902.2299999999996</v>
      </c>
      <c r="Z262" s="7">
        <f t="shared" si="64"/>
        <v>70</v>
      </c>
      <c r="AA262" s="7">
        <f t="shared" si="65"/>
        <v>2020</v>
      </c>
      <c r="AB262" s="7">
        <f t="shared" si="66"/>
        <v>11</v>
      </c>
      <c r="AC262" s="7">
        <f t="shared" si="67"/>
        <v>1</v>
      </c>
      <c r="AD262" s="7" t="str">
        <f t="shared" si="68"/>
        <v>No</v>
      </c>
      <c r="AE262" s="7" t="str">
        <f t="shared" si="69"/>
        <v>Normal</v>
      </c>
    </row>
    <row r="263" spans="1:31">
      <c r="A263" t="s">
        <v>1000</v>
      </c>
      <c r="B263">
        <v>36098642</v>
      </c>
      <c r="C263" t="s">
        <v>1001</v>
      </c>
      <c r="D263" t="s">
        <v>1002</v>
      </c>
      <c r="E263" t="s">
        <v>20</v>
      </c>
      <c r="F263" t="s">
        <v>80</v>
      </c>
      <c r="G263" t="s">
        <v>45</v>
      </c>
      <c r="H263" t="s">
        <v>103</v>
      </c>
      <c r="I263" t="s">
        <v>3378</v>
      </c>
      <c r="J263">
        <v>5276.81</v>
      </c>
      <c r="K263" t="s">
        <v>39</v>
      </c>
      <c r="L263" t="s">
        <v>28</v>
      </c>
      <c r="M263" s="1">
        <v>45333.488888888889</v>
      </c>
      <c r="N263">
        <v>77</v>
      </c>
      <c r="O263" t="s">
        <v>54</v>
      </c>
      <c r="P263" t="s">
        <v>127</v>
      </c>
      <c r="Q263" t="s">
        <v>1003</v>
      </c>
      <c r="R263" t="str">
        <f t="shared" si="56"/>
        <v>Sarah Hernandez</v>
      </c>
      <c r="S263" t="str">
        <f t="shared" si="57"/>
        <v>Nancy Martin</v>
      </c>
      <c r="T263" t="str">
        <f t="shared" si="58"/>
        <v>USD</v>
      </c>
      <c r="U263" s="7" t="str">
        <f t="shared" si="59"/>
        <v>ZAR</v>
      </c>
      <c r="V263" s="7" t="str">
        <f t="shared" si="60"/>
        <v>India</v>
      </c>
      <c r="W263" s="7" t="str">
        <f t="shared" si="61"/>
        <v>Canada</v>
      </c>
      <c r="X263" s="7" t="str">
        <f t="shared" si="62"/>
        <v>Inter-Transaction</v>
      </c>
      <c r="Y263" s="7">
        <f t="shared" si="63"/>
        <v>5276.81</v>
      </c>
      <c r="Z263" s="7">
        <f t="shared" si="64"/>
        <v>77</v>
      </c>
      <c r="AA263" s="7">
        <f t="shared" si="65"/>
        <v>2024</v>
      </c>
      <c r="AB263" s="7">
        <f t="shared" si="66"/>
        <v>2</v>
      </c>
      <c r="AC263" s="7">
        <f t="shared" si="67"/>
        <v>1</v>
      </c>
      <c r="AD263" s="7" t="str">
        <f t="shared" si="68"/>
        <v>No</v>
      </c>
      <c r="AE263" s="7" t="str">
        <f t="shared" si="69"/>
        <v>Normal</v>
      </c>
    </row>
    <row r="264" spans="1:31">
      <c r="A264" t="s">
        <v>1004</v>
      </c>
      <c r="B264">
        <v>66885794</v>
      </c>
      <c r="C264" t="s">
        <v>1005</v>
      </c>
      <c r="D264" t="s">
        <v>1006</v>
      </c>
      <c r="E264" t="s">
        <v>3375</v>
      </c>
      <c r="F264" t="s">
        <v>116</v>
      </c>
      <c r="G264" t="s">
        <v>35</v>
      </c>
      <c r="H264" t="s">
        <v>38</v>
      </c>
      <c r="I264" t="s">
        <v>3372</v>
      </c>
      <c r="J264">
        <v>1335.84</v>
      </c>
      <c r="K264" t="s">
        <v>39</v>
      </c>
      <c r="L264" t="s">
        <v>75</v>
      </c>
      <c r="M264" s="1">
        <v>44303.379166666666</v>
      </c>
      <c r="N264">
        <v>80</v>
      </c>
      <c r="O264" t="s">
        <v>68</v>
      </c>
      <c r="P264" t="s">
        <v>23</v>
      </c>
      <c r="Q264" t="s">
        <v>1007</v>
      </c>
      <c r="R264" t="str">
        <f t="shared" si="56"/>
        <v>Fatima Volkov</v>
      </c>
      <c r="S264" t="str">
        <f t="shared" si="57"/>
        <v>Jessica Jones</v>
      </c>
      <c r="T264" t="str">
        <f t="shared" si="58"/>
        <v>CHF</v>
      </c>
      <c r="U264" s="7" t="str">
        <f t="shared" si="59"/>
        <v>EUR</v>
      </c>
      <c r="V264" s="7" t="str">
        <f t="shared" si="60"/>
        <v>UAE</v>
      </c>
      <c r="W264" s="7" t="str">
        <f t="shared" si="61"/>
        <v>France</v>
      </c>
      <c r="X264" s="7" t="str">
        <f t="shared" si="62"/>
        <v>Outer-Transaction</v>
      </c>
      <c r="Y264" s="7">
        <f t="shared" si="63"/>
        <v>1335.84</v>
      </c>
      <c r="Z264" s="7">
        <f t="shared" si="64"/>
        <v>80</v>
      </c>
      <c r="AA264" s="7">
        <f t="shared" si="65"/>
        <v>2021</v>
      </c>
      <c r="AB264" s="7">
        <f t="shared" si="66"/>
        <v>4</v>
      </c>
      <c r="AC264" s="7">
        <f t="shared" si="67"/>
        <v>1</v>
      </c>
      <c r="AD264" s="7" t="str">
        <f t="shared" si="68"/>
        <v>No</v>
      </c>
      <c r="AE264" s="7" t="str">
        <f t="shared" si="69"/>
        <v>High Risk</v>
      </c>
    </row>
    <row r="265" spans="1:31">
      <c r="A265" t="s">
        <v>1008</v>
      </c>
      <c r="B265">
        <v>75845287</v>
      </c>
      <c r="C265" t="s">
        <v>1009</v>
      </c>
      <c r="D265" t="s">
        <v>1010</v>
      </c>
      <c r="E265" t="s">
        <v>3375</v>
      </c>
      <c r="F265" t="s">
        <v>53</v>
      </c>
      <c r="G265" t="s">
        <v>686</v>
      </c>
      <c r="I265" t="s">
        <v>3374</v>
      </c>
      <c r="J265">
        <v>7093.39</v>
      </c>
      <c r="K265" t="s">
        <v>57</v>
      </c>
      <c r="L265" t="s">
        <v>81</v>
      </c>
      <c r="M265" s="1">
        <v>46339.57916666667</v>
      </c>
      <c r="N265">
        <v>49</v>
      </c>
      <c r="O265" t="s">
        <v>62</v>
      </c>
      <c r="P265" t="s">
        <v>127</v>
      </c>
      <c r="Q265" t="s">
        <v>1011</v>
      </c>
      <c r="R265" t="str">
        <f t="shared" si="56"/>
        <v>MARY KHAN</v>
      </c>
      <c r="S265" t="str">
        <f t="shared" si="57"/>
        <v>Amir Martinez</v>
      </c>
      <c r="T265" t="str">
        <f t="shared" si="58"/>
        <v>AED</v>
      </c>
      <c r="U265" s="7" t="str">
        <f t="shared" si="59"/>
        <v>sgd</v>
      </c>
      <c r="V265" s="7" t="str">
        <f t="shared" si="60"/>
        <v>Australia</v>
      </c>
      <c r="W265" s="7" t="str">
        <f t="shared" si="61"/>
        <v>Canada</v>
      </c>
      <c r="X265" s="7" t="str">
        <f t="shared" si="62"/>
        <v>External</v>
      </c>
      <c r="Y265" s="7">
        <f t="shared" si="63"/>
        <v>7093.39</v>
      </c>
      <c r="Z265" s="7">
        <f t="shared" si="64"/>
        <v>49</v>
      </c>
      <c r="AA265" s="7">
        <f t="shared" si="65"/>
        <v>2026</v>
      </c>
      <c r="AB265" s="7">
        <f t="shared" si="66"/>
        <v>11</v>
      </c>
      <c r="AC265" s="7">
        <f t="shared" si="67"/>
        <v>1</v>
      </c>
      <c r="AD265" s="7" t="str">
        <f t="shared" si="68"/>
        <v>No</v>
      </c>
      <c r="AE265" s="7" t="str">
        <f t="shared" si="69"/>
        <v>Normal</v>
      </c>
    </row>
    <row r="266" spans="1:31">
      <c r="A266" t="s">
        <v>1012</v>
      </c>
      <c r="B266">
        <v>58554539</v>
      </c>
      <c r="C266" t="s">
        <v>1013</v>
      </c>
      <c r="D266" t="s">
        <v>1014</v>
      </c>
      <c r="E266" t="s">
        <v>3373</v>
      </c>
      <c r="F266" t="s">
        <v>45</v>
      </c>
      <c r="G266" t="s">
        <v>45</v>
      </c>
      <c r="H266" t="s">
        <v>103</v>
      </c>
      <c r="I266" t="s">
        <v>3371</v>
      </c>
      <c r="J266">
        <v>8729</v>
      </c>
      <c r="K266" t="s">
        <v>47</v>
      </c>
      <c r="L266" t="s">
        <v>75</v>
      </c>
      <c r="M266" s="1">
        <v>44644.033333333333</v>
      </c>
      <c r="N266">
        <v>50</v>
      </c>
      <c r="O266" t="s">
        <v>68</v>
      </c>
      <c r="P266" t="s">
        <v>68</v>
      </c>
      <c r="Q266" t="s">
        <v>1015</v>
      </c>
      <c r="R266" t="str">
        <f t="shared" si="56"/>
        <v>Christopher Thomas</v>
      </c>
      <c r="S266" t="str">
        <f t="shared" si="57"/>
        <v>Christopher Wilson</v>
      </c>
      <c r="T266" t="str">
        <f t="shared" si="58"/>
        <v>ZAR</v>
      </c>
      <c r="U266" s="7" t="str">
        <f t="shared" si="59"/>
        <v>ZAR</v>
      </c>
      <c r="V266" s="7" t="str">
        <f t="shared" si="60"/>
        <v>UAE</v>
      </c>
      <c r="W266" s="7" t="str">
        <f t="shared" si="61"/>
        <v>UAE</v>
      </c>
      <c r="X266" s="7" t="str">
        <f t="shared" si="62"/>
        <v>Outer-Transaction</v>
      </c>
      <c r="Y266" s="7">
        <f t="shared" si="63"/>
        <v>8729</v>
      </c>
      <c r="Z266" s="7">
        <f t="shared" si="64"/>
        <v>50</v>
      </c>
      <c r="AA266" s="7">
        <f t="shared" si="65"/>
        <v>2022</v>
      </c>
      <c r="AB266" s="7">
        <f t="shared" si="66"/>
        <v>3</v>
      </c>
      <c r="AC266" s="7">
        <f t="shared" si="67"/>
        <v>1</v>
      </c>
      <c r="AD266" s="7" t="str">
        <f t="shared" si="68"/>
        <v>No</v>
      </c>
      <c r="AE266" s="7" t="str">
        <f t="shared" si="69"/>
        <v>High Risk</v>
      </c>
    </row>
    <row r="267" spans="1:31">
      <c r="A267" t="s">
        <v>1016</v>
      </c>
      <c r="B267">
        <v>49146492</v>
      </c>
      <c r="C267" t="s">
        <v>285</v>
      </c>
      <c r="D267" t="s">
        <v>950</v>
      </c>
      <c r="E267" t="s">
        <v>20</v>
      </c>
      <c r="F267" t="s">
        <v>45</v>
      </c>
      <c r="G267" t="s">
        <v>21</v>
      </c>
      <c r="I267" t="s">
        <v>3378</v>
      </c>
      <c r="J267">
        <v>4079.17</v>
      </c>
      <c r="K267" t="s">
        <v>57</v>
      </c>
      <c r="L267" t="s">
        <v>28</v>
      </c>
      <c r="M267" s="1">
        <v>44676.138888888891</v>
      </c>
      <c r="N267">
        <v>84</v>
      </c>
      <c r="O267" t="s">
        <v>55</v>
      </c>
      <c r="P267" t="s">
        <v>24</v>
      </c>
      <c r="Q267" t="s">
        <v>1017</v>
      </c>
      <c r="R267" t="str">
        <f t="shared" si="56"/>
        <v>Charles Nair</v>
      </c>
      <c r="S267" t="str">
        <f t="shared" si="57"/>
        <v>Priya Williams</v>
      </c>
      <c r="T267" t="str">
        <f t="shared" si="58"/>
        <v>ZAR</v>
      </c>
      <c r="U267" s="7" t="str">
        <f t="shared" si="59"/>
        <v>GBP</v>
      </c>
      <c r="V267" s="7" t="str">
        <f t="shared" si="60"/>
        <v>UK</v>
      </c>
      <c r="W267" s="7" t="str">
        <f t="shared" si="61"/>
        <v>Brazil</v>
      </c>
      <c r="X267" s="7" t="str">
        <f t="shared" si="62"/>
        <v>Inter-Transaction</v>
      </c>
      <c r="Y267" s="7">
        <f t="shared" si="63"/>
        <v>4079.17</v>
      </c>
      <c r="Z267" s="7">
        <f t="shared" si="64"/>
        <v>84</v>
      </c>
      <c r="AA267" s="7">
        <f t="shared" si="65"/>
        <v>2022</v>
      </c>
      <c r="AB267" s="7">
        <f t="shared" si="66"/>
        <v>4</v>
      </c>
      <c r="AC267" s="7">
        <f t="shared" si="67"/>
        <v>1</v>
      </c>
      <c r="AD267" s="7" t="str">
        <f t="shared" si="68"/>
        <v>No</v>
      </c>
      <c r="AE267" s="7" t="str">
        <f t="shared" si="69"/>
        <v>Normal</v>
      </c>
    </row>
    <row r="268" spans="1:31">
      <c r="A268" t="s">
        <v>1018</v>
      </c>
      <c r="B268">
        <v>39242850</v>
      </c>
      <c r="C268" t="s">
        <v>408</v>
      </c>
      <c r="D268" t="s">
        <v>51</v>
      </c>
      <c r="E268" t="s">
        <v>20</v>
      </c>
      <c r="F268" t="s">
        <v>98</v>
      </c>
      <c r="G268" t="s">
        <v>116</v>
      </c>
      <c r="H268" t="s">
        <v>25</v>
      </c>
      <c r="I268" t="s">
        <v>3372</v>
      </c>
      <c r="J268">
        <v>6912.77</v>
      </c>
      <c r="K268" t="s">
        <v>86</v>
      </c>
      <c r="L268" t="s">
        <v>28</v>
      </c>
      <c r="M268" s="1">
        <v>44995.20208333333</v>
      </c>
      <c r="N268">
        <v>35</v>
      </c>
      <c r="O268" t="s">
        <v>37</v>
      </c>
      <c r="P268" t="s">
        <v>62</v>
      </c>
      <c r="Q268" t="s">
        <v>1019</v>
      </c>
      <c r="R268" t="str">
        <f t="shared" si="56"/>
        <v>Michael Taylor</v>
      </c>
      <c r="S268" t="str">
        <f t="shared" si="57"/>
        <v>Elizabeth Khan</v>
      </c>
      <c r="T268" t="str">
        <f t="shared" si="58"/>
        <v>JPY</v>
      </c>
      <c r="U268" s="7" t="str">
        <f t="shared" si="59"/>
        <v>CHF</v>
      </c>
      <c r="V268" s="7" t="str">
        <f t="shared" si="60"/>
        <v>South Africa</v>
      </c>
      <c r="W268" s="7" t="str">
        <f t="shared" si="61"/>
        <v>Australia</v>
      </c>
      <c r="X268" s="7" t="str">
        <f t="shared" si="62"/>
        <v>Outer-Transaction</v>
      </c>
      <c r="Y268" s="7">
        <f t="shared" si="63"/>
        <v>6912.77</v>
      </c>
      <c r="Z268" s="7">
        <f t="shared" si="64"/>
        <v>35</v>
      </c>
      <c r="AA268" s="7">
        <f t="shared" si="65"/>
        <v>2023</v>
      </c>
      <c r="AB268" s="7">
        <f t="shared" si="66"/>
        <v>3</v>
      </c>
      <c r="AC268" s="7">
        <f t="shared" si="67"/>
        <v>1</v>
      </c>
      <c r="AD268" s="7" t="str">
        <f t="shared" si="68"/>
        <v>No</v>
      </c>
      <c r="AE268" s="7" t="str">
        <f t="shared" si="69"/>
        <v>Normal</v>
      </c>
    </row>
    <row r="269" spans="1:31">
      <c r="A269" t="s">
        <v>1020</v>
      </c>
      <c r="B269">
        <v>55908520</v>
      </c>
      <c r="C269" t="s">
        <v>1021</v>
      </c>
      <c r="D269" t="s">
        <v>1022</v>
      </c>
      <c r="E269" t="s">
        <v>33</v>
      </c>
      <c r="F269" t="s">
        <v>35</v>
      </c>
      <c r="G269" t="s">
        <v>121</v>
      </c>
      <c r="H269" t="s">
        <v>25</v>
      </c>
      <c r="I269" t="s">
        <v>3372</v>
      </c>
      <c r="J269">
        <v>10365.36</v>
      </c>
      <c r="K269" t="s">
        <v>86</v>
      </c>
      <c r="L269" t="s">
        <v>28</v>
      </c>
      <c r="M269" s="1">
        <v>44497.995833333334</v>
      </c>
      <c r="N269">
        <v>42</v>
      </c>
      <c r="O269" t="s">
        <v>37</v>
      </c>
      <c r="P269" t="s">
        <v>68</v>
      </c>
      <c r="Q269" t="s">
        <v>1023</v>
      </c>
      <c r="R269" t="str">
        <f t="shared" si="56"/>
        <v>Linda Rostova</v>
      </c>
      <c r="S269" t="str">
        <f t="shared" si="57"/>
        <v>Barbara Smith</v>
      </c>
      <c r="T269" t="str">
        <f t="shared" si="58"/>
        <v>EUR</v>
      </c>
      <c r="U269" s="7" t="str">
        <f t="shared" si="59"/>
        <v>INR</v>
      </c>
      <c r="V269" s="7" t="str">
        <f t="shared" si="60"/>
        <v>South Africa</v>
      </c>
      <c r="W269" s="7" t="str">
        <f t="shared" si="61"/>
        <v>UAE</v>
      </c>
      <c r="X269" s="7" t="str">
        <f t="shared" si="62"/>
        <v>Outer-Transaction</v>
      </c>
      <c r="Y269" s="7">
        <f t="shared" si="63"/>
        <v>10365.36</v>
      </c>
      <c r="Z269" s="7">
        <f t="shared" si="64"/>
        <v>42</v>
      </c>
      <c r="AA269" s="7">
        <f t="shared" si="65"/>
        <v>2021</v>
      </c>
      <c r="AB269" s="7">
        <f t="shared" si="66"/>
        <v>10</v>
      </c>
      <c r="AC269" s="7">
        <f t="shared" si="67"/>
        <v>1</v>
      </c>
      <c r="AD269" s="7" t="str">
        <f t="shared" si="68"/>
        <v>No</v>
      </c>
      <c r="AE269" s="7" t="str">
        <f t="shared" si="69"/>
        <v>Normal</v>
      </c>
    </row>
    <row r="270" spans="1:31">
      <c r="A270" t="s">
        <v>1024</v>
      </c>
      <c r="B270">
        <v>43958759</v>
      </c>
      <c r="C270" t="s">
        <v>1025</v>
      </c>
      <c r="D270" t="s">
        <v>1026</v>
      </c>
      <c r="E270" t="s">
        <v>20</v>
      </c>
      <c r="F270" t="s">
        <v>35</v>
      </c>
      <c r="G270" t="s">
        <v>35</v>
      </c>
      <c r="H270" t="s">
        <v>25</v>
      </c>
      <c r="I270" t="s">
        <v>3371</v>
      </c>
      <c r="J270">
        <v>12689.46</v>
      </c>
      <c r="K270" t="s">
        <v>57</v>
      </c>
      <c r="L270" t="s">
        <v>75</v>
      </c>
      <c r="M270" s="1">
        <v>46140.27847222222</v>
      </c>
      <c r="N270">
        <v>71</v>
      </c>
      <c r="O270" t="s">
        <v>55</v>
      </c>
      <c r="P270" t="s">
        <v>62</v>
      </c>
      <c r="Q270" t="s">
        <v>1027</v>
      </c>
      <c r="R270" t="str">
        <f t="shared" si="56"/>
        <v>Mary Williams</v>
      </c>
      <c r="S270" t="str">
        <f t="shared" si="57"/>
        <v>Barbara Velez</v>
      </c>
      <c r="T270" t="str">
        <f t="shared" si="58"/>
        <v>EUR</v>
      </c>
      <c r="U270" s="7" t="str">
        <f t="shared" si="59"/>
        <v>EUR</v>
      </c>
      <c r="V270" s="7" t="str">
        <f t="shared" si="60"/>
        <v>UK</v>
      </c>
      <c r="W270" s="7" t="str">
        <f t="shared" si="61"/>
        <v>Australia</v>
      </c>
      <c r="X270" s="7" t="str">
        <f t="shared" si="62"/>
        <v>Outer-Transaction</v>
      </c>
      <c r="Y270" s="7">
        <f t="shared" si="63"/>
        <v>12689.46</v>
      </c>
      <c r="Z270" s="7">
        <f t="shared" si="64"/>
        <v>71</v>
      </c>
      <c r="AA270" s="7">
        <f t="shared" si="65"/>
        <v>2026</v>
      </c>
      <c r="AB270" s="7">
        <f t="shared" si="66"/>
        <v>4</v>
      </c>
      <c r="AC270" s="7">
        <f t="shared" si="67"/>
        <v>1</v>
      </c>
      <c r="AD270" s="7" t="str">
        <f t="shared" si="68"/>
        <v>No</v>
      </c>
      <c r="AE270" s="7" t="str">
        <f t="shared" si="69"/>
        <v>High Risk</v>
      </c>
    </row>
    <row r="271" spans="1:31">
      <c r="A271" t="s">
        <v>1028</v>
      </c>
      <c r="B271">
        <v>11876942</v>
      </c>
      <c r="C271" t="s">
        <v>1029</v>
      </c>
      <c r="D271" t="s">
        <v>369</v>
      </c>
      <c r="E271">
        <v>1</v>
      </c>
      <c r="F271" t="s">
        <v>91</v>
      </c>
      <c r="G271" t="s">
        <v>98</v>
      </c>
      <c r="H271" t="s">
        <v>56</v>
      </c>
      <c r="I271" t="s">
        <v>3378</v>
      </c>
      <c r="J271">
        <v>10475.01</v>
      </c>
      <c r="K271" t="s">
        <v>47</v>
      </c>
      <c r="L271" t="s">
        <v>81</v>
      </c>
      <c r="M271" s="1">
        <v>45639.686111111114</v>
      </c>
      <c r="N271">
        <v>75</v>
      </c>
      <c r="O271" t="s">
        <v>24</v>
      </c>
      <c r="P271" t="s">
        <v>68</v>
      </c>
      <c r="Q271" t="s">
        <v>1030</v>
      </c>
      <c r="R271" t="str">
        <f t="shared" si="56"/>
        <v>Charles Miller</v>
      </c>
      <c r="S271" t="str">
        <f t="shared" si="57"/>
        <v>Elena Miller</v>
      </c>
      <c r="T271" t="str">
        <f t="shared" si="58"/>
        <v>gbp</v>
      </c>
      <c r="U271" s="7" t="str">
        <f t="shared" si="59"/>
        <v>JPY</v>
      </c>
      <c r="V271" s="7" t="str">
        <f t="shared" si="60"/>
        <v>Brazil</v>
      </c>
      <c r="W271" s="7" t="str">
        <f t="shared" si="61"/>
        <v>UAE</v>
      </c>
      <c r="X271" s="7" t="str">
        <f t="shared" si="62"/>
        <v>Inter-Transaction</v>
      </c>
      <c r="Y271" s="7">
        <f t="shared" si="63"/>
        <v>10475.01</v>
      </c>
      <c r="Z271" s="7">
        <f t="shared" si="64"/>
        <v>75</v>
      </c>
      <c r="AA271" s="7">
        <f t="shared" si="65"/>
        <v>2024</v>
      </c>
      <c r="AB271" s="7">
        <f t="shared" si="66"/>
        <v>12</v>
      </c>
      <c r="AC271" s="7">
        <f t="shared" si="67"/>
        <v>1</v>
      </c>
      <c r="AD271" s="7" t="str">
        <f t="shared" si="68"/>
        <v>No</v>
      </c>
      <c r="AE271" s="7" t="str">
        <f t="shared" si="69"/>
        <v>Normal</v>
      </c>
    </row>
    <row r="272" spans="1:31">
      <c r="A272" t="s">
        <v>1031</v>
      </c>
      <c r="B272">
        <v>26591378</v>
      </c>
      <c r="C272" t="s">
        <v>1032</v>
      </c>
      <c r="D272" t="s">
        <v>1033</v>
      </c>
      <c r="E272" t="s">
        <v>20</v>
      </c>
      <c r="F272" t="s">
        <v>34</v>
      </c>
      <c r="G272" t="s">
        <v>22</v>
      </c>
      <c r="H272" t="s">
        <v>56</v>
      </c>
      <c r="I272" t="s">
        <v>3376</v>
      </c>
      <c r="J272">
        <v>11045.25</v>
      </c>
      <c r="K272" t="s">
        <v>39</v>
      </c>
      <c r="L272" t="s">
        <v>48</v>
      </c>
      <c r="M272" s="1">
        <v>45274.272222222222</v>
      </c>
      <c r="N272">
        <v>84</v>
      </c>
      <c r="O272" t="s">
        <v>62</v>
      </c>
      <c r="P272" t="s">
        <v>127</v>
      </c>
      <c r="Q272" t="s">
        <v>1034</v>
      </c>
      <c r="R272" t="str">
        <f t="shared" si="56"/>
        <v>Thomas Brown</v>
      </c>
      <c r="S272" t="str">
        <f t="shared" si="57"/>
        <v>Charles Jones</v>
      </c>
      <c r="T272" t="str">
        <f t="shared" si="58"/>
        <v>CAD</v>
      </c>
      <c r="U272" s="7" t="str">
        <f t="shared" si="59"/>
        <v>BRL</v>
      </c>
      <c r="V272" s="7" t="str">
        <f t="shared" si="60"/>
        <v>Australia</v>
      </c>
      <c r="W272" s="7" t="str">
        <f t="shared" si="61"/>
        <v>Canada</v>
      </c>
      <c r="X272" s="7" t="str">
        <f t="shared" si="62"/>
        <v>Internal</v>
      </c>
      <c r="Y272" s="7">
        <f t="shared" si="63"/>
        <v>11045.25</v>
      </c>
      <c r="Z272" s="7">
        <f t="shared" si="64"/>
        <v>84</v>
      </c>
      <c r="AA272" s="7">
        <f t="shared" si="65"/>
        <v>2023</v>
      </c>
      <c r="AB272" s="7">
        <f t="shared" si="66"/>
        <v>12</v>
      </c>
      <c r="AC272" s="7">
        <f t="shared" si="67"/>
        <v>1</v>
      </c>
      <c r="AD272" s="7" t="str">
        <f t="shared" si="68"/>
        <v>No</v>
      </c>
      <c r="AE272" s="7" t="str">
        <f t="shared" si="69"/>
        <v>Normal</v>
      </c>
    </row>
    <row r="273" spans="1:31">
      <c r="A273" t="s">
        <v>1035</v>
      </c>
      <c r="B273">
        <v>11716086</v>
      </c>
      <c r="C273" t="s">
        <v>797</v>
      </c>
      <c r="D273" t="s">
        <v>1036</v>
      </c>
      <c r="E273" t="s">
        <v>20</v>
      </c>
      <c r="F273" t="s">
        <v>98</v>
      </c>
      <c r="G273" t="s">
        <v>45</v>
      </c>
      <c r="I273" t="s">
        <v>3371</v>
      </c>
      <c r="J273">
        <v>980.01</v>
      </c>
      <c r="K273" t="s">
        <v>47</v>
      </c>
      <c r="L273" t="s">
        <v>75</v>
      </c>
      <c r="M273" s="1">
        <v>45598.289583333331</v>
      </c>
      <c r="N273">
        <v>63</v>
      </c>
      <c r="O273" t="s">
        <v>24</v>
      </c>
      <c r="P273" t="s">
        <v>24</v>
      </c>
      <c r="Q273" t="s">
        <v>1037</v>
      </c>
      <c r="R273" t="str">
        <f t="shared" si="56"/>
        <v>Marta Thomas</v>
      </c>
      <c r="S273" t="str">
        <f t="shared" si="57"/>
        <v>Marta Brown</v>
      </c>
      <c r="T273" t="str">
        <f t="shared" si="58"/>
        <v>JPY</v>
      </c>
      <c r="U273" s="7" t="str">
        <f t="shared" si="59"/>
        <v>ZAR</v>
      </c>
      <c r="V273" s="7" t="str">
        <f t="shared" si="60"/>
        <v>Brazil</v>
      </c>
      <c r="W273" s="7" t="str">
        <f t="shared" si="61"/>
        <v>Brazil</v>
      </c>
      <c r="X273" s="7" t="str">
        <f t="shared" si="62"/>
        <v>Outer-Transaction</v>
      </c>
      <c r="Y273" s="7">
        <f t="shared" si="63"/>
        <v>980.01</v>
      </c>
      <c r="Z273" s="7">
        <f t="shared" si="64"/>
        <v>63</v>
      </c>
      <c r="AA273" s="7">
        <f t="shared" si="65"/>
        <v>2024</v>
      </c>
      <c r="AB273" s="7">
        <f t="shared" si="66"/>
        <v>11</v>
      </c>
      <c r="AC273" s="7">
        <f t="shared" si="67"/>
        <v>1</v>
      </c>
      <c r="AD273" s="7" t="str">
        <f t="shared" si="68"/>
        <v>No</v>
      </c>
      <c r="AE273" s="7" t="str">
        <f t="shared" si="69"/>
        <v>High Risk</v>
      </c>
    </row>
    <row r="274" spans="1:31">
      <c r="A274" t="s">
        <v>1038</v>
      </c>
      <c r="C274" t="s">
        <v>343</v>
      </c>
      <c r="D274" t="s">
        <v>1039</v>
      </c>
      <c r="E274" t="s">
        <v>3375</v>
      </c>
      <c r="F274" t="s">
        <v>92</v>
      </c>
      <c r="G274" t="s">
        <v>34</v>
      </c>
      <c r="H274" t="s">
        <v>56</v>
      </c>
      <c r="I274" t="s">
        <v>3377</v>
      </c>
      <c r="J274">
        <v>1841.63</v>
      </c>
      <c r="K274" t="s">
        <v>39</v>
      </c>
      <c r="L274" t="s">
        <v>81</v>
      </c>
      <c r="M274" s="1">
        <v>45095.965277777781</v>
      </c>
      <c r="N274">
        <v>41</v>
      </c>
      <c r="O274" t="s">
        <v>24</v>
      </c>
      <c r="P274" t="s">
        <v>37</v>
      </c>
      <c r="Q274" t="s">
        <v>1040</v>
      </c>
      <c r="R274" t="str">
        <f t="shared" si="56"/>
        <v>Christopher Rodriguez</v>
      </c>
      <c r="S274" t="str">
        <f t="shared" si="57"/>
        <v>Jean-Pierre Silva</v>
      </c>
      <c r="T274" t="str">
        <f t="shared" si="58"/>
        <v>AUD</v>
      </c>
      <c r="U274" s="7" t="str">
        <f t="shared" si="59"/>
        <v>CAD</v>
      </c>
      <c r="V274" s="7" t="str">
        <f t="shared" si="60"/>
        <v>Brazil</v>
      </c>
      <c r="W274" s="7" t="str">
        <f t="shared" si="61"/>
        <v>South Africa</v>
      </c>
      <c r="X274" s="7" t="str">
        <f t="shared" si="62"/>
        <v>Inter-Transaction</v>
      </c>
      <c r="Y274" s="7">
        <f t="shared" si="63"/>
        <v>1841.63</v>
      </c>
      <c r="Z274" s="7">
        <f t="shared" si="64"/>
        <v>41</v>
      </c>
      <c r="AA274" s="7">
        <f t="shared" si="65"/>
        <v>2023</v>
      </c>
      <c r="AB274" s="7">
        <f t="shared" si="66"/>
        <v>6</v>
      </c>
      <c r="AC274" s="7">
        <f t="shared" si="67"/>
        <v>1</v>
      </c>
      <c r="AD274" s="7" t="str">
        <f t="shared" si="68"/>
        <v>No</v>
      </c>
      <c r="AE274" s="7" t="str">
        <f t="shared" si="69"/>
        <v>Normal</v>
      </c>
    </row>
    <row r="275" spans="1:31">
      <c r="A275" t="s">
        <v>1041</v>
      </c>
      <c r="B275">
        <v>91145880</v>
      </c>
      <c r="C275" t="s">
        <v>994</v>
      </c>
      <c r="D275" t="s">
        <v>1042</v>
      </c>
      <c r="E275" t="s">
        <v>20</v>
      </c>
      <c r="F275" t="s">
        <v>35</v>
      </c>
      <c r="G275" t="s">
        <v>35</v>
      </c>
      <c r="H275" t="s">
        <v>56</v>
      </c>
      <c r="I275" t="s">
        <v>3372</v>
      </c>
      <c r="J275">
        <v>7576.87</v>
      </c>
      <c r="K275" t="s">
        <v>27</v>
      </c>
      <c r="L275" t="s">
        <v>75</v>
      </c>
      <c r="M275" s="1">
        <v>44185.34097222222</v>
      </c>
      <c r="N275">
        <v>49</v>
      </c>
      <c r="O275" t="s">
        <v>54</v>
      </c>
      <c r="P275" t="s">
        <v>54</v>
      </c>
      <c r="Q275" t="s">
        <v>1043</v>
      </c>
      <c r="R275" t="str">
        <f t="shared" si="56"/>
        <v>Marta Hernandez</v>
      </c>
      <c r="S275" t="str">
        <f t="shared" si="57"/>
        <v>Michael Martinez</v>
      </c>
      <c r="T275" t="str">
        <f t="shared" si="58"/>
        <v>EUR</v>
      </c>
      <c r="U275" s="7" t="str">
        <f t="shared" si="59"/>
        <v>EUR</v>
      </c>
      <c r="V275" s="7" t="str">
        <f t="shared" si="60"/>
        <v>India</v>
      </c>
      <c r="W275" s="7" t="str">
        <f t="shared" si="61"/>
        <v>India</v>
      </c>
      <c r="X275" s="7" t="str">
        <f t="shared" si="62"/>
        <v>Outer-Transaction</v>
      </c>
      <c r="Y275" s="7">
        <f t="shared" si="63"/>
        <v>7576.87</v>
      </c>
      <c r="Z275" s="7">
        <f t="shared" si="64"/>
        <v>49</v>
      </c>
      <c r="AA275" s="7">
        <f t="shared" si="65"/>
        <v>2020</v>
      </c>
      <c r="AB275" s="7">
        <f t="shared" si="66"/>
        <v>12</v>
      </c>
      <c r="AC275" s="7">
        <f t="shared" si="67"/>
        <v>1</v>
      </c>
      <c r="AD275" s="7" t="str">
        <f t="shared" si="68"/>
        <v>No</v>
      </c>
      <c r="AE275" s="7" t="str">
        <f t="shared" si="69"/>
        <v>High Risk</v>
      </c>
    </row>
    <row r="276" spans="1:31">
      <c r="A276" t="s">
        <v>1044</v>
      </c>
      <c r="B276">
        <v>33738978</v>
      </c>
      <c r="C276" t="s">
        <v>1045</v>
      </c>
      <c r="D276" t="s">
        <v>139</v>
      </c>
      <c r="E276" t="s">
        <v>20</v>
      </c>
      <c r="F276" t="s">
        <v>22</v>
      </c>
      <c r="G276" t="s">
        <v>21</v>
      </c>
      <c r="I276" t="s">
        <v>3372</v>
      </c>
      <c r="J276">
        <v>9904.58</v>
      </c>
      <c r="K276" t="s">
        <v>27</v>
      </c>
      <c r="L276" t="s">
        <v>81</v>
      </c>
      <c r="M276" s="1">
        <v>45703.085416666669</v>
      </c>
      <c r="N276">
        <v>64</v>
      </c>
      <c r="O276" t="s">
        <v>23</v>
      </c>
      <c r="P276" t="s">
        <v>36</v>
      </c>
      <c r="Q276" t="s">
        <v>1046</v>
      </c>
      <c r="R276" t="str">
        <f t="shared" si="56"/>
        <v>Karen Velez</v>
      </c>
      <c r="S276" t="str">
        <f t="shared" si="57"/>
        <v>Zayn Dubois</v>
      </c>
      <c r="T276" t="str">
        <f t="shared" si="58"/>
        <v>BRL</v>
      </c>
      <c r="U276" s="7" t="str">
        <f t="shared" si="59"/>
        <v>GBP</v>
      </c>
      <c r="V276" s="7" t="str">
        <f t="shared" si="60"/>
        <v>France</v>
      </c>
      <c r="W276" s="7" t="str">
        <f t="shared" si="61"/>
        <v>Germany</v>
      </c>
      <c r="X276" s="7" t="str">
        <f t="shared" si="62"/>
        <v>Outer-Transaction</v>
      </c>
      <c r="Y276" s="7">
        <f t="shared" si="63"/>
        <v>9904.58</v>
      </c>
      <c r="Z276" s="7">
        <f t="shared" si="64"/>
        <v>64</v>
      </c>
      <c r="AA276" s="7">
        <f t="shared" si="65"/>
        <v>2025</v>
      </c>
      <c r="AB276" s="7">
        <f t="shared" si="66"/>
        <v>2</v>
      </c>
      <c r="AC276" s="7">
        <f t="shared" si="67"/>
        <v>1</v>
      </c>
      <c r="AD276" s="7" t="str">
        <f t="shared" si="68"/>
        <v>No</v>
      </c>
      <c r="AE276" s="7" t="str">
        <f t="shared" si="69"/>
        <v>Normal</v>
      </c>
    </row>
    <row r="277" spans="1:31">
      <c r="A277" t="s">
        <v>1047</v>
      </c>
      <c r="B277">
        <v>48176560</v>
      </c>
      <c r="C277" t="s">
        <v>936</v>
      </c>
      <c r="D277" t="s">
        <v>224</v>
      </c>
      <c r="E277" t="s">
        <v>20</v>
      </c>
      <c r="F277" t="s">
        <v>34</v>
      </c>
      <c r="G277" t="s">
        <v>34</v>
      </c>
      <c r="H277" t="s">
        <v>56</v>
      </c>
      <c r="I277" t="s">
        <v>3378</v>
      </c>
      <c r="J277">
        <v>14879.26</v>
      </c>
      <c r="K277" t="s">
        <v>39</v>
      </c>
      <c r="L277" t="s">
        <v>75</v>
      </c>
      <c r="M277" s="1">
        <v>45855.143750000003</v>
      </c>
      <c r="N277">
        <v>40</v>
      </c>
      <c r="O277" t="s">
        <v>54</v>
      </c>
      <c r="P277" t="s">
        <v>24</v>
      </c>
      <c r="Q277" t="s">
        <v>1048</v>
      </c>
      <c r="R277" t="str">
        <f t="shared" si="56"/>
        <v>Richard Johnson</v>
      </c>
      <c r="S277" t="str">
        <f t="shared" si="57"/>
        <v>John Jackson</v>
      </c>
      <c r="T277" t="str">
        <f t="shared" si="58"/>
        <v>CAD</v>
      </c>
      <c r="U277" s="7" t="str">
        <f t="shared" si="59"/>
        <v>CAD</v>
      </c>
      <c r="V277" s="7" t="str">
        <f t="shared" si="60"/>
        <v>India</v>
      </c>
      <c r="W277" s="7" t="str">
        <f t="shared" si="61"/>
        <v>Brazil</v>
      </c>
      <c r="X277" s="7" t="str">
        <f t="shared" si="62"/>
        <v>Inter-Transaction</v>
      </c>
      <c r="Y277" s="7">
        <f t="shared" si="63"/>
        <v>14879.26</v>
      </c>
      <c r="Z277" s="7">
        <f t="shared" si="64"/>
        <v>40</v>
      </c>
      <c r="AA277" s="7">
        <f t="shared" si="65"/>
        <v>2025</v>
      </c>
      <c r="AB277" s="7">
        <f t="shared" si="66"/>
        <v>7</v>
      </c>
      <c r="AC277" s="7">
        <f t="shared" si="67"/>
        <v>1</v>
      </c>
      <c r="AD277" s="7" t="str">
        <f t="shared" si="68"/>
        <v>No</v>
      </c>
      <c r="AE277" s="7" t="str">
        <f t="shared" si="69"/>
        <v>High Risk</v>
      </c>
    </row>
    <row r="278" spans="1:31">
      <c r="A278" t="s">
        <v>1049</v>
      </c>
      <c r="B278">
        <v>55311134</v>
      </c>
      <c r="C278" t="s">
        <v>1050</v>
      </c>
      <c r="D278" t="s">
        <v>1051</v>
      </c>
      <c r="E278" t="s">
        <v>20</v>
      </c>
      <c r="F278" t="s">
        <v>45</v>
      </c>
      <c r="G278" t="s">
        <v>92</v>
      </c>
      <c r="H278" t="s">
        <v>103</v>
      </c>
      <c r="I278" t="s">
        <v>3372</v>
      </c>
      <c r="J278">
        <v>8559.6</v>
      </c>
      <c r="K278" t="s">
        <v>57</v>
      </c>
      <c r="L278" t="s">
        <v>28</v>
      </c>
      <c r="M278" s="1">
        <v>44010.515277777777</v>
      </c>
      <c r="N278">
        <v>83</v>
      </c>
      <c r="O278" t="s">
        <v>23</v>
      </c>
      <c r="P278" t="s">
        <v>37</v>
      </c>
      <c r="Q278" t="s">
        <v>1052</v>
      </c>
      <c r="R278" t="str">
        <f t="shared" si="56"/>
        <v>Linda Smith</v>
      </c>
      <c r="S278" t="str">
        <f t="shared" si="57"/>
        <v>Karen Hernandez</v>
      </c>
      <c r="T278" t="str">
        <f t="shared" si="58"/>
        <v>ZAR</v>
      </c>
      <c r="U278" s="7" t="str">
        <f t="shared" si="59"/>
        <v>AUD</v>
      </c>
      <c r="V278" s="7" t="str">
        <f t="shared" si="60"/>
        <v>France</v>
      </c>
      <c r="W278" s="7" t="str">
        <f t="shared" si="61"/>
        <v>South Africa</v>
      </c>
      <c r="X278" s="7" t="str">
        <f t="shared" si="62"/>
        <v>Outer-Transaction</v>
      </c>
      <c r="Y278" s="7">
        <f t="shared" si="63"/>
        <v>8559.6</v>
      </c>
      <c r="Z278" s="7">
        <f t="shared" si="64"/>
        <v>83</v>
      </c>
      <c r="AA278" s="7">
        <f t="shared" si="65"/>
        <v>2020</v>
      </c>
      <c r="AB278" s="7">
        <f t="shared" si="66"/>
        <v>6</v>
      </c>
      <c r="AC278" s="7">
        <f t="shared" si="67"/>
        <v>1</v>
      </c>
      <c r="AD278" s="7" t="str">
        <f t="shared" si="68"/>
        <v>No</v>
      </c>
      <c r="AE278" s="7" t="str">
        <f t="shared" si="69"/>
        <v>Normal</v>
      </c>
    </row>
    <row r="279" spans="1:31">
      <c r="A279" t="s">
        <v>1053</v>
      </c>
      <c r="B279">
        <v>58765904</v>
      </c>
      <c r="C279" t="s">
        <v>976</v>
      </c>
      <c r="D279" t="s">
        <v>376</v>
      </c>
      <c r="E279" t="s">
        <v>3375</v>
      </c>
      <c r="F279" t="s">
        <v>35</v>
      </c>
      <c r="G279" t="s">
        <v>98</v>
      </c>
      <c r="H279" t="s">
        <v>38</v>
      </c>
      <c r="I279" t="s">
        <v>3374</v>
      </c>
      <c r="J279">
        <v>14369.54</v>
      </c>
      <c r="K279" t="s">
        <v>27</v>
      </c>
      <c r="L279" t="s">
        <v>28</v>
      </c>
      <c r="M279" s="1">
        <v>43896.77847222222</v>
      </c>
      <c r="N279">
        <v>44</v>
      </c>
      <c r="O279" t="s">
        <v>127</v>
      </c>
      <c r="P279" t="s">
        <v>93</v>
      </c>
      <c r="Q279" t="s">
        <v>1054</v>
      </c>
      <c r="R279" t="str">
        <f t="shared" si="56"/>
        <v>Jessica Miller</v>
      </c>
      <c r="S279" t="str">
        <f t="shared" si="57"/>
        <v>Sarah Nair</v>
      </c>
      <c r="T279" t="str">
        <f t="shared" si="58"/>
        <v>EUR</v>
      </c>
      <c r="U279" s="7" t="str">
        <f t="shared" si="59"/>
        <v>JPY</v>
      </c>
      <c r="V279" s="7" t="str">
        <f t="shared" si="60"/>
        <v>Canada</v>
      </c>
      <c r="W279" s="7" t="str">
        <f t="shared" si="61"/>
        <v>USA</v>
      </c>
      <c r="X279" s="7" t="str">
        <f t="shared" si="62"/>
        <v>External</v>
      </c>
      <c r="Y279" s="7">
        <f t="shared" si="63"/>
        <v>14369.54</v>
      </c>
      <c r="Z279" s="7">
        <f t="shared" si="64"/>
        <v>44</v>
      </c>
      <c r="AA279" s="7">
        <f t="shared" si="65"/>
        <v>2020</v>
      </c>
      <c r="AB279" s="7">
        <f t="shared" si="66"/>
        <v>3</v>
      </c>
      <c r="AC279" s="7">
        <f t="shared" si="67"/>
        <v>1</v>
      </c>
      <c r="AD279" s="7" t="str">
        <f t="shared" si="68"/>
        <v>No</v>
      </c>
      <c r="AE279" s="7" t="str">
        <f t="shared" si="69"/>
        <v>Normal</v>
      </c>
    </row>
    <row r="280" spans="1:31">
      <c r="A280" t="s">
        <v>1055</v>
      </c>
      <c r="B280">
        <v>77731571</v>
      </c>
      <c r="C280" t="s">
        <v>526</v>
      </c>
      <c r="D280" t="s">
        <v>1056</v>
      </c>
      <c r="E280" t="s">
        <v>20</v>
      </c>
      <c r="F280" t="s">
        <v>121</v>
      </c>
      <c r="G280" t="s">
        <v>92</v>
      </c>
      <c r="H280" t="s">
        <v>25</v>
      </c>
      <c r="I280" t="s">
        <v>3374</v>
      </c>
      <c r="J280">
        <v>10552.94</v>
      </c>
      <c r="K280" t="s">
        <v>47</v>
      </c>
      <c r="L280" t="s">
        <v>81</v>
      </c>
      <c r="M280" s="1">
        <v>44650.193055555559</v>
      </c>
      <c r="N280">
        <v>19</v>
      </c>
      <c r="O280" t="s">
        <v>68</v>
      </c>
      <c r="P280" t="s">
        <v>68</v>
      </c>
      <c r="Q280" t="s">
        <v>1057</v>
      </c>
      <c r="R280" t="str">
        <f t="shared" si="56"/>
        <v>Lucas Martinez</v>
      </c>
      <c r="S280" t="str">
        <f t="shared" si="57"/>
        <v>Jessica Velez</v>
      </c>
      <c r="T280" t="str">
        <f t="shared" si="58"/>
        <v>INR</v>
      </c>
      <c r="U280" s="7" t="str">
        <f t="shared" si="59"/>
        <v>AUD</v>
      </c>
      <c r="V280" s="7" t="str">
        <f t="shared" si="60"/>
        <v>UAE</v>
      </c>
      <c r="W280" s="7" t="str">
        <f t="shared" si="61"/>
        <v>UAE</v>
      </c>
      <c r="X280" s="7" t="str">
        <f t="shared" si="62"/>
        <v>External</v>
      </c>
      <c r="Y280" s="7">
        <f t="shared" si="63"/>
        <v>10552.94</v>
      </c>
      <c r="Z280" s="7">
        <f t="shared" si="64"/>
        <v>19</v>
      </c>
      <c r="AA280" s="7">
        <f t="shared" si="65"/>
        <v>2022</v>
      </c>
      <c r="AB280" s="7">
        <f t="shared" si="66"/>
        <v>3</v>
      </c>
      <c r="AC280" s="7">
        <f t="shared" si="67"/>
        <v>1</v>
      </c>
      <c r="AD280" s="7" t="str">
        <f t="shared" si="68"/>
        <v>No</v>
      </c>
      <c r="AE280" s="7" t="str">
        <f t="shared" si="69"/>
        <v>Normal</v>
      </c>
    </row>
    <row r="281" spans="1:31">
      <c r="A281" t="s">
        <v>1058</v>
      </c>
      <c r="B281">
        <v>68213514</v>
      </c>
      <c r="C281" t="s">
        <v>1059</v>
      </c>
      <c r="D281" t="s">
        <v>453</v>
      </c>
      <c r="E281" t="s">
        <v>20</v>
      </c>
      <c r="F281" t="s">
        <v>121</v>
      </c>
      <c r="G281" t="s">
        <v>34</v>
      </c>
      <c r="H281" t="s">
        <v>56</v>
      </c>
      <c r="I281" t="s">
        <v>3378</v>
      </c>
      <c r="J281">
        <v>12904.19</v>
      </c>
      <c r="K281" t="s">
        <v>86</v>
      </c>
      <c r="L281" t="s">
        <v>48</v>
      </c>
      <c r="M281" s="1">
        <v>45202.96875</v>
      </c>
      <c r="N281">
        <v>34</v>
      </c>
      <c r="O281" t="s">
        <v>23</v>
      </c>
      <c r="P281" t="s">
        <v>93</v>
      </c>
      <c r="Q281" t="s">
        <v>1060</v>
      </c>
      <c r="R281" t="str">
        <f t="shared" si="56"/>
        <v>Priya Jackson</v>
      </c>
      <c r="S281" t="str">
        <f t="shared" si="57"/>
        <v>Fatima Nair</v>
      </c>
      <c r="T281" t="str">
        <f t="shared" si="58"/>
        <v>INR</v>
      </c>
      <c r="U281" s="7" t="str">
        <f t="shared" si="59"/>
        <v>CAD</v>
      </c>
      <c r="V281" s="7" t="str">
        <f t="shared" si="60"/>
        <v>France</v>
      </c>
      <c r="W281" s="7" t="str">
        <f t="shared" si="61"/>
        <v>USA</v>
      </c>
      <c r="X281" s="7" t="str">
        <f t="shared" si="62"/>
        <v>Inter-Transaction</v>
      </c>
      <c r="Y281" s="7">
        <f t="shared" si="63"/>
        <v>12904.19</v>
      </c>
      <c r="Z281" s="7">
        <f t="shared" si="64"/>
        <v>34</v>
      </c>
      <c r="AA281" s="7">
        <f t="shared" si="65"/>
        <v>2023</v>
      </c>
      <c r="AB281" s="7">
        <f t="shared" si="66"/>
        <v>10</v>
      </c>
      <c r="AC281" s="7">
        <f t="shared" si="67"/>
        <v>1</v>
      </c>
      <c r="AD281" s="7" t="str">
        <f t="shared" si="68"/>
        <v>No</v>
      </c>
      <c r="AE281" s="7" t="str">
        <f t="shared" si="69"/>
        <v>Normal</v>
      </c>
    </row>
    <row r="282" spans="1:31">
      <c r="A282" t="s">
        <v>1061</v>
      </c>
      <c r="B282">
        <v>13718391</v>
      </c>
      <c r="C282" t="s">
        <v>1062</v>
      </c>
      <c r="D282" t="s">
        <v>1063</v>
      </c>
      <c r="E282" t="s">
        <v>20</v>
      </c>
      <c r="F282" t="s">
        <v>98</v>
      </c>
      <c r="G282" t="s">
        <v>92</v>
      </c>
      <c r="H282" t="s">
        <v>103</v>
      </c>
      <c r="I282" t="s">
        <v>3374</v>
      </c>
      <c r="J282">
        <v>8265.08</v>
      </c>
      <c r="K282" t="s">
        <v>86</v>
      </c>
      <c r="L282" t="s">
        <v>81</v>
      </c>
      <c r="M282" s="1">
        <v>44001.007638888892</v>
      </c>
      <c r="N282">
        <v>50</v>
      </c>
      <c r="O282" t="s">
        <v>55</v>
      </c>
      <c r="P282" t="s">
        <v>37</v>
      </c>
      <c r="Q282" t="s">
        <v>1064</v>
      </c>
      <c r="R282" t="str">
        <f t="shared" si="56"/>
        <v>Elizabeth Silva</v>
      </c>
      <c r="S282" t="str">
        <f t="shared" si="57"/>
        <v xml:space="preserve"> Amir Martinez   </v>
      </c>
      <c r="T282" t="str">
        <f t="shared" si="58"/>
        <v>JPY</v>
      </c>
      <c r="U282" s="7" t="str">
        <f t="shared" si="59"/>
        <v>AUD</v>
      </c>
      <c r="V282" s="7" t="str">
        <f t="shared" si="60"/>
        <v>UK</v>
      </c>
      <c r="W282" s="7" t="str">
        <f t="shared" si="61"/>
        <v>South Africa</v>
      </c>
      <c r="X282" s="7" t="str">
        <f t="shared" si="62"/>
        <v>External</v>
      </c>
      <c r="Y282" s="7">
        <f t="shared" si="63"/>
        <v>8265.08</v>
      </c>
      <c r="Z282" s="7">
        <f t="shared" si="64"/>
        <v>50</v>
      </c>
      <c r="AA282" s="7">
        <f t="shared" si="65"/>
        <v>2020</v>
      </c>
      <c r="AB282" s="7">
        <f t="shared" si="66"/>
        <v>6</v>
      </c>
      <c r="AC282" s="7">
        <f t="shared" si="67"/>
        <v>1</v>
      </c>
      <c r="AD282" s="7" t="str">
        <f t="shared" si="68"/>
        <v>No</v>
      </c>
      <c r="AE282" s="7" t="str">
        <f t="shared" si="69"/>
        <v>Normal</v>
      </c>
    </row>
    <row r="283" spans="1:31">
      <c r="A283" t="s">
        <v>1065</v>
      </c>
      <c r="B283">
        <v>98238841</v>
      </c>
      <c r="C283" t="s">
        <v>1066</v>
      </c>
      <c r="D283" t="s">
        <v>1067</v>
      </c>
      <c r="E283" t="s">
        <v>33</v>
      </c>
      <c r="F283" t="s">
        <v>21</v>
      </c>
      <c r="G283" t="s">
        <v>121</v>
      </c>
      <c r="H283" t="s">
        <v>38</v>
      </c>
      <c r="I283" t="s">
        <v>3378</v>
      </c>
      <c r="J283">
        <v>7451.8</v>
      </c>
      <c r="K283" t="s">
        <v>86</v>
      </c>
      <c r="L283" t="s">
        <v>48</v>
      </c>
      <c r="M283" s="1">
        <v>46352.04583333333</v>
      </c>
      <c r="N283">
        <v>26</v>
      </c>
      <c r="O283" t="s">
        <v>54</v>
      </c>
      <c r="P283" t="s">
        <v>24</v>
      </c>
      <c r="Q283" t="s">
        <v>1068</v>
      </c>
      <c r="R283" t="str">
        <f t="shared" si="56"/>
        <v>Carlos Williams</v>
      </c>
      <c r="S283" t="str">
        <f t="shared" si="57"/>
        <v>Joseph Khan</v>
      </c>
      <c r="T283" t="str">
        <f t="shared" si="58"/>
        <v>GBP</v>
      </c>
      <c r="U283" s="7" t="str">
        <f t="shared" si="59"/>
        <v>INR</v>
      </c>
      <c r="V283" s="7" t="str">
        <f t="shared" si="60"/>
        <v>India</v>
      </c>
      <c r="W283" s="7" t="str">
        <f t="shared" si="61"/>
        <v>Brazil</v>
      </c>
      <c r="X283" s="7" t="str">
        <f t="shared" si="62"/>
        <v>Inter-Transaction</v>
      </c>
      <c r="Y283" s="7">
        <f t="shared" si="63"/>
        <v>7451.8</v>
      </c>
      <c r="Z283" s="7">
        <f t="shared" si="64"/>
        <v>26</v>
      </c>
      <c r="AA283" s="7">
        <f t="shared" si="65"/>
        <v>2026</v>
      </c>
      <c r="AB283" s="7">
        <f t="shared" si="66"/>
        <v>11</v>
      </c>
      <c r="AC283" s="7">
        <f t="shared" si="67"/>
        <v>1</v>
      </c>
      <c r="AD283" s="7" t="str">
        <f t="shared" si="68"/>
        <v>No</v>
      </c>
      <c r="AE283" s="7" t="str">
        <f t="shared" si="69"/>
        <v>Normal</v>
      </c>
    </row>
    <row r="284" spans="1:31">
      <c r="A284" t="s">
        <v>1069</v>
      </c>
      <c r="B284">
        <v>24336334</v>
      </c>
      <c r="D284" t="s">
        <v>1070</v>
      </c>
      <c r="E284" t="s">
        <v>20</v>
      </c>
      <c r="F284" t="s">
        <v>116</v>
      </c>
      <c r="G284" t="s">
        <v>80</v>
      </c>
      <c r="I284" t="s">
        <v>3371</v>
      </c>
      <c r="J284">
        <v>14450.1</v>
      </c>
      <c r="K284" t="s">
        <v>47</v>
      </c>
      <c r="L284" t="s">
        <v>75</v>
      </c>
      <c r="M284" s="1">
        <v>45221.4375</v>
      </c>
      <c r="N284">
        <v>60</v>
      </c>
      <c r="O284" t="s">
        <v>62</v>
      </c>
      <c r="P284" t="s">
        <v>68</v>
      </c>
      <c r="Q284" t="s">
        <v>1071</v>
      </c>
      <c r="R284" t="str">
        <f t="shared" si="56"/>
        <v/>
      </c>
      <c r="S284" t="str">
        <f t="shared" si="57"/>
        <v>David Anderson</v>
      </c>
      <c r="T284" t="str">
        <f t="shared" si="58"/>
        <v>CHF</v>
      </c>
      <c r="U284" s="7" t="str">
        <f t="shared" si="59"/>
        <v>USD</v>
      </c>
      <c r="V284" s="7" t="str">
        <f t="shared" si="60"/>
        <v>Australia</v>
      </c>
      <c r="W284" s="7" t="str">
        <f t="shared" si="61"/>
        <v>UAE</v>
      </c>
      <c r="X284" s="7" t="str">
        <f t="shared" si="62"/>
        <v>Outer-Transaction</v>
      </c>
      <c r="Y284" s="7">
        <f t="shared" si="63"/>
        <v>14450.1</v>
      </c>
      <c r="Z284" s="7">
        <f t="shared" si="64"/>
        <v>60</v>
      </c>
      <c r="AA284" s="7">
        <f t="shared" si="65"/>
        <v>2023</v>
      </c>
      <c r="AB284" s="7">
        <f t="shared" si="66"/>
        <v>10</v>
      </c>
      <c r="AC284" s="7">
        <f t="shared" si="67"/>
        <v>1</v>
      </c>
      <c r="AD284" s="7" t="str">
        <f t="shared" si="68"/>
        <v>No</v>
      </c>
      <c r="AE284" s="7" t="str">
        <f t="shared" si="69"/>
        <v>High Risk</v>
      </c>
    </row>
    <row r="285" spans="1:31">
      <c r="A285" t="s">
        <v>1072</v>
      </c>
      <c r="B285">
        <v>17337997</v>
      </c>
      <c r="C285" t="s">
        <v>491</v>
      </c>
      <c r="D285" t="s">
        <v>1073</v>
      </c>
      <c r="E285" t="s">
        <v>20</v>
      </c>
      <c r="F285" t="s">
        <v>98</v>
      </c>
      <c r="G285" t="s">
        <v>92</v>
      </c>
      <c r="H285" t="s">
        <v>74</v>
      </c>
      <c r="I285" t="s">
        <v>3372</v>
      </c>
      <c r="J285">
        <v>5833.18</v>
      </c>
      <c r="K285" t="s">
        <v>39</v>
      </c>
      <c r="L285" t="s">
        <v>75</v>
      </c>
      <c r="M285" s="1">
        <v>44961.520833333336</v>
      </c>
      <c r="N285">
        <v>65</v>
      </c>
      <c r="O285" t="s">
        <v>68</v>
      </c>
      <c r="P285" t="s">
        <v>36</v>
      </c>
      <c r="Q285" t="s">
        <v>1074</v>
      </c>
      <c r="R285" t="str">
        <f t="shared" si="56"/>
        <v>Elena Souza</v>
      </c>
      <c r="S285" t="str">
        <f t="shared" si="57"/>
        <v>Lucas Velez</v>
      </c>
      <c r="T285" t="str">
        <f t="shared" si="58"/>
        <v>JPY</v>
      </c>
      <c r="U285" s="7" t="str">
        <f t="shared" si="59"/>
        <v>AUD</v>
      </c>
      <c r="V285" s="7" t="str">
        <f t="shared" si="60"/>
        <v>UAE</v>
      </c>
      <c r="W285" s="7" t="str">
        <f t="shared" si="61"/>
        <v>Germany</v>
      </c>
      <c r="X285" s="7" t="str">
        <f t="shared" si="62"/>
        <v>Outer-Transaction</v>
      </c>
      <c r="Y285" s="7">
        <f t="shared" si="63"/>
        <v>5833.18</v>
      </c>
      <c r="Z285" s="7">
        <f t="shared" si="64"/>
        <v>65</v>
      </c>
      <c r="AA285" s="7">
        <f t="shared" si="65"/>
        <v>2023</v>
      </c>
      <c r="AB285" s="7">
        <f t="shared" si="66"/>
        <v>2</v>
      </c>
      <c r="AC285" s="7">
        <f t="shared" si="67"/>
        <v>1</v>
      </c>
      <c r="AD285" s="7" t="str">
        <f t="shared" si="68"/>
        <v>No</v>
      </c>
      <c r="AE285" s="7" t="str">
        <f t="shared" si="69"/>
        <v>High Risk</v>
      </c>
    </row>
    <row r="286" spans="1:31">
      <c r="A286" t="s">
        <v>1075</v>
      </c>
      <c r="B286">
        <v>96493863</v>
      </c>
      <c r="C286" t="s">
        <v>1076</v>
      </c>
      <c r="D286" t="s">
        <v>969</v>
      </c>
      <c r="E286" t="s">
        <v>3373</v>
      </c>
      <c r="F286" t="s">
        <v>44</v>
      </c>
      <c r="G286" t="s">
        <v>44</v>
      </c>
      <c r="H286" t="s">
        <v>25</v>
      </c>
      <c r="I286" t="s">
        <v>3371</v>
      </c>
      <c r="J286">
        <v>10480.25</v>
      </c>
      <c r="K286" t="s">
        <v>27</v>
      </c>
      <c r="L286" t="s">
        <v>28</v>
      </c>
      <c r="M286" s="1">
        <v>46317.068055555559</v>
      </c>
      <c r="N286">
        <v>56</v>
      </c>
      <c r="O286" t="s">
        <v>127</v>
      </c>
      <c r="P286" t="s">
        <v>127</v>
      </c>
      <c r="Q286" t="s">
        <v>1077</v>
      </c>
      <c r="R286" t="str">
        <f t="shared" si="56"/>
        <v>Jessica Silva</v>
      </c>
      <c r="S286" t="str">
        <f t="shared" si="57"/>
        <v>Mary Rodriguez</v>
      </c>
      <c r="T286" t="str">
        <f t="shared" si="58"/>
        <v>SGD</v>
      </c>
      <c r="U286" s="7" t="str">
        <f t="shared" si="59"/>
        <v>SGD</v>
      </c>
      <c r="V286" s="7" t="str">
        <f t="shared" si="60"/>
        <v>Canada</v>
      </c>
      <c r="W286" s="7" t="str">
        <f t="shared" si="61"/>
        <v>Canada</v>
      </c>
      <c r="X286" s="7" t="str">
        <f t="shared" si="62"/>
        <v>Outer-Transaction</v>
      </c>
      <c r="Y286" s="7">
        <f t="shared" si="63"/>
        <v>10480.25</v>
      </c>
      <c r="Z286" s="7">
        <f t="shared" si="64"/>
        <v>56</v>
      </c>
      <c r="AA286" s="7">
        <f t="shared" si="65"/>
        <v>2026</v>
      </c>
      <c r="AB286" s="7">
        <f t="shared" si="66"/>
        <v>10</v>
      </c>
      <c r="AC286" s="7">
        <f t="shared" si="67"/>
        <v>1</v>
      </c>
      <c r="AD286" s="7" t="str">
        <f t="shared" si="68"/>
        <v>No</v>
      </c>
      <c r="AE286" s="7" t="str">
        <f t="shared" si="69"/>
        <v>Normal</v>
      </c>
    </row>
    <row r="287" spans="1:31">
      <c r="A287" t="s">
        <v>1078</v>
      </c>
      <c r="B287">
        <v>34661114</v>
      </c>
      <c r="C287" t="s">
        <v>1079</v>
      </c>
      <c r="D287" t="s">
        <v>1080</v>
      </c>
      <c r="E287" t="s">
        <v>20</v>
      </c>
      <c r="F287" t="s">
        <v>92</v>
      </c>
      <c r="G287" t="s">
        <v>121</v>
      </c>
      <c r="I287" t="s">
        <v>3371</v>
      </c>
      <c r="J287">
        <v>12705.94</v>
      </c>
      <c r="K287" t="s">
        <v>39</v>
      </c>
      <c r="L287" t="s">
        <v>75</v>
      </c>
      <c r="M287" s="1">
        <v>44665.62222222222</v>
      </c>
      <c r="N287">
        <v>59</v>
      </c>
      <c r="O287" t="s">
        <v>23</v>
      </c>
      <c r="P287" t="s">
        <v>68</v>
      </c>
      <c r="Q287" t="s">
        <v>1081</v>
      </c>
      <c r="R287" t="str">
        <f t="shared" si="56"/>
        <v>Sanjay Anderson</v>
      </c>
      <c r="S287" t="str">
        <f t="shared" si="57"/>
        <v>Lucas Nair</v>
      </c>
      <c r="T287" t="str">
        <f t="shared" si="58"/>
        <v>AUD</v>
      </c>
      <c r="U287" s="7" t="str">
        <f t="shared" si="59"/>
        <v>INR</v>
      </c>
      <c r="V287" s="7" t="str">
        <f t="shared" si="60"/>
        <v>France</v>
      </c>
      <c r="W287" s="7" t="str">
        <f t="shared" si="61"/>
        <v>UAE</v>
      </c>
      <c r="X287" s="7" t="str">
        <f t="shared" si="62"/>
        <v>Outer-Transaction</v>
      </c>
      <c r="Y287" s="7">
        <f t="shared" si="63"/>
        <v>12705.94</v>
      </c>
      <c r="Z287" s="7">
        <f t="shared" si="64"/>
        <v>59</v>
      </c>
      <c r="AA287" s="7">
        <f t="shared" si="65"/>
        <v>2022</v>
      </c>
      <c r="AB287" s="7">
        <f t="shared" si="66"/>
        <v>4</v>
      </c>
      <c r="AC287" s="7">
        <f t="shared" si="67"/>
        <v>1</v>
      </c>
      <c r="AD287" s="7" t="str">
        <f t="shared" si="68"/>
        <v>No</v>
      </c>
      <c r="AE287" s="7" t="str">
        <f t="shared" si="69"/>
        <v>High Risk</v>
      </c>
    </row>
    <row r="288" spans="1:31">
      <c r="A288" t="s">
        <v>1082</v>
      </c>
      <c r="B288">
        <v>65632768</v>
      </c>
      <c r="C288" t="s">
        <v>1083</v>
      </c>
      <c r="D288" t="s">
        <v>147</v>
      </c>
      <c r="E288" t="s">
        <v>20</v>
      </c>
      <c r="F288" t="s">
        <v>1084</v>
      </c>
      <c r="H288" t="s">
        <v>25</v>
      </c>
      <c r="I288" t="s">
        <v>3372</v>
      </c>
      <c r="J288">
        <v>2982.01</v>
      </c>
      <c r="K288" t="s">
        <v>47</v>
      </c>
      <c r="L288" t="s">
        <v>28</v>
      </c>
      <c r="M288" s="1">
        <v>44057.439583333333</v>
      </c>
      <c r="N288">
        <v>43</v>
      </c>
      <c r="O288" t="s">
        <v>127</v>
      </c>
      <c r="P288" t="s">
        <v>68</v>
      </c>
      <c r="Q288" t="s">
        <v>1085</v>
      </c>
      <c r="R288" t="str">
        <f t="shared" si="56"/>
        <v>Susan Garcia</v>
      </c>
      <c r="S288" t="str">
        <f t="shared" si="57"/>
        <v>Joseph Volkov</v>
      </c>
      <c r="T288" t="str">
        <f t="shared" si="58"/>
        <v>chf</v>
      </c>
      <c r="U288" s="7" t="str">
        <f t="shared" si="59"/>
        <v/>
      </c>
      <c r="V288" s="7" t="str">
        <f t="shared" si="60"/>
        <v>Canada</v>
      </c>
      <c r="W288" s="7" t="str">
        <f t="shared" si="61"/>
        <v>UAE</v>
      </c>
      <c r="X288" s="7" t="str">
        <f t="shared" si="62"/>
        <v>Outer-Transaction</v>
      </c>
      <c r="Y288" s="7">
        <f t="shared" si="63"/>
        <v>2982.01</v>
      </c>
      <c r="Z288" s="7">
        <f t="shared" si="64"/>
        <v>43</v>
      </c>
      <c r="AA288" s="7">
        <f t="shared" si="65"/>
        <v>2020</v>
      </c>
      <c r="AB288" s="7">
        <f t="shared" si="66"/>
        <v>8</v>
      </c>
      <c r="AC288" s="7">
        <f t="shared" si="67"/>
        <v>1</v>
      </c>
      <c r="AD288" s="7" t="str">
        <f t="shared" si="68"/>
        <v>No</v>
      </c>
      <c r="AE288" s="7" t="str">
        <f t="shared" si="69"/>
        <v>Normal</v>
      </c>
    </row>
    <row r="289" spans="1:31">
      <c r="A289" t="s">
        <v>1086</v>
      </c>
      <c r="B289">
        <v>80576741</v>
      </c>
      <c r="C289" t="s">
        <v>1087</v>
      </c>
      <c r="D289" t="s">
        <v>1088</v>
      </c>
      <c r="E289" t="s">
        <v>20</v>
      </c>
      <c r="F289" t="s">
        <v>45</v>
      </c>
      <c r="G289" t="s">
        <v>44</v>
      </c>
      <c r="H289" t="s">
        <v>103</v>
      </c>
      <c r="I289" t="s">
        <v>3374</v>
      </c>
      <c r="J289">
        <v>7417.58</v>
      </c>
      <c r="K289" t="s">
        <v>47</v>
      </c>
      <c r="L289" t="s">
        <v>81</v>
      </c>
      <c r="M289" s="1">
        <v>44272.252083333333</v>
      </c>
      <c r="N289">
        <v>67</v>
      </c>
      <c r="O289" t="s">
        <v>62</v>
      </c>
      <c r="P289" t="s">
        <v>24</v>
      </c>
      <c r="Q289" t="s">
        <v>1089</v>
      </c>
      <c r="R289" t="str">
        <f t="shared" si="56"/>
        <v>Jessica Dubois</v>
      </c>
      <c r="S289" t="str">
        <f t="shared" si="57"/>
        <v>Priya Souza</v>
      </c>
      <c r="T289" t="str">
        <f t="shared" si="58"/>
        <v>ZAR</v>
      </c>
      <c r="U289" s="7" t="str">
        <f t="shared" si="59"/>
        <v>SGD</v>
      </c>
      <c r="V289" s="7" t="str">
        <f t="shared" si="60"/>
        <v>Australia</v>
      </c>
      <c r="W289" s="7" t="str">
        <f t="shared" si="61"/>
        <v>Brazil</v>
      </c>
      <c r="X289" s="7" t="str">
        <f t="shared" si="62"/>
        <v>External</v>
      </c>
      <c r="Y289" s="7">
        <f t="shared" si="63"/>
        <v>7417.58</v>
      </c>
      <c r="Z289" s="7">
        <f t="shared" si="64"/>
        <v>67</v>
      </c>
      <c r="AA289" s="7">
        <f t="shared" si="65"/>
        <v>2021</v>
      </c>
      <c r="AB289" s="7">
        <f t="shared" si="66"/>
        <v>3</v>
      </c>
      <c r="AC289" s="7">
        <f t="shared" si="67"/>
        <v>1</v>
      </c>
      <c r="AD289" s="7" t="str">
        <f t="shared" si="68"/>
        <v>No</v>
      </c>
      <c r="AE289" s="7" t="str">
        <f t="shared" si="69"/>
        <v>Normal</v>
      </c>
    </row>
    <row r="290" spans="1:31">
      <c r="A290" t="s">
        <v>1090</v>
      </c>
      <c r="B290">
        <v>48949039</v>
      </c>
      <c r="C290" t="s">
        <v>452</v>
      </c>
      <c r="D290" t="s">
        <v>1091</v>
      </c>
      <c r="E290">
        <v>0</v>
      </c>
      <c r="F290" t="s">
        <v>34</v>
      </c>
      <c r="G290" t="s">
        <v>1084</v>
      </c>
      <c r="I290" t="s">
        <v>3372</v>
      </c>
      <c r="J290">
        <v>10305.92</v>
      </c>
      <c r="K290" t="s">
        <v>39</v>
      </c>
      <c r="L290" t="s">
        <v>81</v>
      </c>
      <c r="M290" s="1">
        <v>46274.436111111114</v>
      </c>
      <c r="N290">
        <v>42</v>
      </c>
      <c r="O290" t="s">
        <v>24</v>
      </c>
      <c r="P290" t="s">
        <v>24</v>
      </c>
      <c r="Q290" t="s">
        <v>1092</v>
      </c>
      <c r="R290" t="str">
        <f t="shared" si="56"/>
        <v>David Davis</v>
      </c>
      <c r="S290" t="str">
        <f t="shared" si="57"/>
        <v>Nancy Anderson</v>
      </c>
      <c r="T290" t="str">
        <f t="shared" si="58"/>
        <v>CAD</v>
      </c>
      <c r="U290" s="7" t="str">
        <f t="shared" si="59"/>
        <v>chf</v>
      </c>
      <c r="V290" s="7" t="str">
        <f t="shared" si="60"/>
        <v>Brazil</v>
      </c>
      <c r="W290" s="7" t="str">
        <f t="shared" si="61"/>
        <v>Brazil</v>
      </c>
      <c r="X290" s="7" t="str">
        <f t="shared" si="62"/>
        <v>Outer-Transaction</v>
      </c>
      <c r="Y290" s="7">
        <f t="shared" si="63"/>
        <v>10305.92</v>
      </c>
      <c r="Z290" s="7">
        <f t="shared" si="64"/>
        <v>42</v>
      </c>
      <c r="AA290" s="7">
        <f t="shared" si="65"/>
        <v>2026</v>
      </c>
      <c r="AB290" s="7">
        <f t="shared" si="66"/>
        <v>9</v>
      </c>
      <c r="AC290" s="7">
        <f t="shared" si="67"/>
        <v>1</v>
      </c>
      <c r="AD290" s="7" t="str">
        <f t="shared" si="68"/>
        <v>No</v>
      </c>
      <c r="AE290" s="7" t="str">
        <f t="shared" si="69"/>
        <v>Normal</v>
      </c>
    </row>
    <row r="291" spans="1:31">
      <c r="A291" t="s">
        <v>1093</v>
      </c>
      <c r="B291">
        <v>90293348</v>
      </c>
      <c r="C291" t="s">
        <v>335</v>
      </c>
      <c r="D291" t="s">
        <v>882</v>
      </c>
      <c r="E291" t="s">
        <v>20</v>
      </c>
      <c r="F291" t="s">
        <v>98</v>
      </c>
      <c r="G291" t="s">
        <v>116</v>
      </c>
      <c r="H291" t="s">
        <v>25</v>
      </c>
      <c r="I291" t="s">
        <v>3376</v>
      </c>
      <c r="J291">
        <v>2698.79</v>
      </c>
      <c r="K291" t="s">
        <v>47</v>
      </c>
      <c r="L291" t="s">
        <v>81</v>
      </c>
      <c r="M291" s="1">
        <v>44558.052083333336</v>
      </c>
      <c r="N291">
        <v>41</v>
      </c>
      <c r="O291" t="s">
        <v>37</v>
      </c>
      <c r="P291" t="s">
        <v>37</v>
      </c>
      <c r="Q291" t="s">
        <v>1094</v>
      </c>
      <c r="R291" t="str">
        <f t="shared" si="56"/>
        <v>Elena Al-Sayed</v>
      </c>
      <c r="S291" t="str">
        <f t="shared" si="57"/>
        <v>Lucas Johnson</v>
      </c>
      <c r="T291" t="str">
        <f t="shared" si="58"/>
        <v>JPY</v>
      </c>
      <c r="U291" s="7" t="str">
        <f t="shared" si="59"/>
        <v>CHF</v>
      </c>
      <c r="V291" s="7" t="str">
        <f t="shared" si="60"/>
        <v>South Africa</v>
      </c>
      <c r="W291" s="7" t="str">
        <f t="shared" si="61"/>
        <v>South Africa</v>
      </c>
      <c r="X291" s="7" t="str">
        <f t="shared" si="62"/>
        <v>Internal</v>
      </c>
      <c r="Y291" s="7">
        <f t="shared" si="63"/>
        <v>2698.79</v>
      </c>
      <c r="Z291" s="7">
        <f t="shared" si="64"/>
        <v>41</v>
      </c>
      <c r="AA291" s="7">
        <f t="shared" si="65"/>
        <v>2021</v>
      </c>
      <c r="AB291" s="7">
        <f t="shared" si="66"/>
        <v>12</v>
      </c>
      <c r="AC291" s="7">
        <f t="shared" si="67"/>
        <v>1</v>
      </c>
      <c r="AD291" s="7" t="str">
        <f t="shared" si="68"/>
        <v>No</v>
      </c>
      <c r="AE291" s="7" t="str">
        <f t="shared" si="69"/>
        <v>Normal</v>
      </c>
    </row>
    <row r="292" spans="1:31">
      <c r="A292" t="s">
        <v>1095</v>
      </c>
      <c r="B292">
        <v>77002914</v>
      </c>
      <c r="C292" t="s">
        <v>483</v>
      </c>
      <c r="D292" t="s">
        <v>1096</v>
      </c>
      <c r="E292" t="s">
        <v>20</v>
      </c>
      <c r="F292" t="s">
        <v>92</v>
      </c>
      <c r="G292" t="s">
        <v>53</v>
      </c>
      <c r="H292" t="s">
        <v>56</v>
      </c>
      <c r="I292" t="s">
        <v>3371</v>
      </c>
      <c r="J292">
        <v>4739.99</v>
      </c>
      <c r="K292" t="s">
        <v>39</v>
      </c>
      <c r="L292" t="s">
        <v>48</v>
      </c>
      <c r="M292" s="1">
        <v>45435.258333333331</v>
      </c>
      <c r="N292">
        <v>30</v>
      </c>
      <c r="O292" t="s">
        <v>62</v>
      </c>
      <c r="P292" t="s">
        <v>55</v>
      </c>
      <c r="Q292" t="s">
        <v>1097</v>
      </c>
      <c r="R292" t="str">
        <f t="shared" si="56"/>
        <v>Zayn Khan</v>
      </c>
      <c r="S292" t="str">
        <f t="shared" si="57"/>
        <v>David Al-Sayed</v>
      </c>
      <c r="T292" t="str">
        <f t="shared" si="58"/>
        <v>AUD</v>
      </c>
      <c r="U292" s="7" t="str">
        <f t="shared" si="59"/>
        <v>AED</v>
      </c>
      <c r="V292" s="7" t="str">
        <f t="shared" si="60"/>
        <v>Australia</v>
      </c>
      <c r="W292" s="7" t="str">
        <f t="shared" si="61"/>
        <v>UK</v>
      </c>
      <c r="X292" s="7" t="str">
        <f t="shared" si="62"/>
        <v>Outer-Transaction</v>
      </c>
      <c r="Y292" s="7">
        <f t="shared" si="63"/>
        <v>4739.99</v>
      </c>
      <c r="Z292" s="7">
        <f t="shared" si="64"/>
        <v>30</v>
      </c>
      <c r="AA292" s="7">
        <f t="shared" si="65"/>
        <v>2024</v>
      </c>
      <c r="AB292" s="7">
        <f t="shared" si="66"/>
        <v>5</v>
      </c>
      <c r="AC292" s="7">
        <f t="shared" si="67"/>
        <v>1</v>
      </c>
      <c r="AD292" s="7" t="str">
        <f t="shared" si="68"/>
        <v>No</v>
      </c>
      <c r="AE292" s="7" t="str">
        <f t="shared" si="69"/>
        <v>Normal</v>
      </c>
    </row>
    <row r="293" spans="1:31">
      <c r="A293" t="s">
        <v>1098</v>
      </c>
      <c r="B293">
        <v>76425800</v>
      </c>
      <c r="C293" t="s">
        <v>1099</v>
      </c>
      <c r="D293" t="s">
        <v>1100</v>
      </c>
      <c r="E293" t="s">
        <v>20</v>
      </c>
      <c r="F293" t="s">
        <v>44</v>
      </c>
      <c r="G293" t="s">
        <v>44</v>
      </c>
      <c r="H293" t="s">
        <v>103</v>
      </c>
      <c r="I293" t="s">
        <v>3371</v>
      </c>
      <c r="J293">
        <v>12525.96</v>
      </c>
      <c r="K293" t="s">
        <v>27</v>
      </c>
      <c r="L293" t="s">
        <v>75</v>
      </c>
      <c r="M293" s="1">
        <v>45962.177777777775</v>
      </c>
      <c r="N293">
        <v>77</v>
      </c>
      <c r="O293" t="s">
        <v>36</v>
      </c>
      <c r="P293" t="s">
        <v>68</v>
      </c>
      <c r="Q293" t="s">
        <v>1101</v>
      </c>
      <c r="R293" t="str">
        <f t="shared" si="56"/>
        <v>Mary Anderson</v>
      </c>
      <c r="S293" t="str">
        <f t="shared" si="57"/>
        <v>Susan Rostova</v>
      </c>
      <c r="T293" t="str">
        <f t="shared" si="58"/>
        <v>SGD</v>
      </c>
      <c r="U293" s="7" t="str">
        <f t="shared" si="59"/>
        <v>SGD</v>
      </c>
      <c r="V293" s="7" t="str">
        <f t="shared" si="60"/>
        <v>Germany</v>
      </c>
      <c r="W293" s="7" t="str">
        <f t="shared" si="61"/>
        <v>UAE</v>
      </c>
      <c r="X293" s="7" t="str">
        <f t="shared" si="62"/>
        <v>Outer-Transaction</v>
      </c>
      <c r="Y293" s="7">
        <f t="shared" si="63"/>
        <v>12525.96</v>
      </c>
      <c r="Z293" s="7">
        <f t="shared" si="64"/>
        <v>77</v>
      </c>
      <c r="AA293" s="7">
        <f t="shared" si="65"/>
        <v>2025</v>
      </c>
      <c r="AB293" s="7">
        <f t="shared" si="66"/>
        <v>11</v>
      </c>
      <c r="AC293" s="7">
        <f t="shared" si="67"/>
        <v>1</v>
      </c>
      <c r="AD293" s="7" t="str">
        <f t="shared" si="68"/>
        <v>No</v>
      </c>
      <c r="AE293" s="7" t="str">
        <f t="shared" si="69"/>
        <v>High Risk</v>
      </c>
    </row>
    <row r="294" spans="1:31">
      <c r="A294" t="s">
        <v>1102</v>
      </c>
      <c r="B294">
        <v>54111700</v>
      </c>
      <c r="C294" t="s">
        <v>1103</v>
      </c>
      <c r="D294" t="s">
        <v>1104</v>
      </c>
      <c r="E294" t="s">
        <v>20</v>
      </c>
      <c r="F294" t="s">
        <v>34</v>
      </c>
      <c r="G294" t="s">
        <v>116</v>
      </c>
      <c r="I294" t="s">
        <v>3374</v>
      </c>
      <c r="J294">
        <v>7203.03</v>
      </c>
      <c r="K294" t="s">
        <v>57</v>
      </c>
      <c r="L294" t="s">
        <v>28</v>
      </c>
      <c r="M294" s="1">
        <v>44867.863194444442</v>
      </c>
      <c r="N294">
        <v>24</v>
      </c>
      <c r="O294" t="s">
        <v>62</v>
      </c>
      <c r="P294" t="s">
        <v>54</v>
      </c>
      <c r="Q294" t="s">
        <v>1105</v>
      </c>
      <c r="R294" t="str">
        <f t="shared" si="56"/>
        <v>JOHN MARTINEZ</v>
      </c>
      <c r="S294" t="str">
        <f t="shared" si="57"/>
        <v>Marta Velez</v>
      </c>
      <c r="T294" t="str">
        <f t="shared" si="58"/>
        <v>CAD</v>
      </c>
      <c r="U294" s="7" t="str">
        <f t="shared" si="59"/>
        <v>CHF</v>
      </c>
      <c r="V294" s="7" t="str">
        <f t="shared" si="60"/>
        <v>Australia</v>
      </c>
      <c r="W294" s="7" t="str">
        <f t="shared" si="61"/>
        <v>India</v>
      </c>
      <c r="X294" s="7" t="str">
        <f t="shared" si="62"/>
        <v>External</v>
      </c>
      <c r="Y294" s="7">
        <f t="shared" si="63"/>
        <v>7203.03</v>
      </c>
      <c r="Z294" s="7">
        <f t="shared" si="64"/>
        <v>24</v>
      </c>
      <c r="AA294" s="7">
        <f t="shared" si="65"/>
        <v>2022</v>
      </c>
      <c r="AB294" s="7">
        <f t="shared" si="66"/>
        <v>11</v>
      </c>
      <c r="AC294" s="7">
        <f t="shared" si="67"/>
        <v>1</v>
      </c>
      <c r="AD294" s="7" t="str">
        <f t="shared" si="68"/>
        <v>No</v>
      </c>
      <c r="AE294" s="7" t="str">
        <f t="shared" si="69"/>
        <v>Normal</v>
      </c>
    </row>
    <row r="295" spans="1:31">
      <c r="A295" t="s">
        <v>1106</v>
      </c>
      <c r="B295">
        <v>27357063</v>
      </c>
      <c r="C295" t="s">
        <v>808</v>
      </c>
      <c r="D295" t="s">
        <v>52</v>
      </c>
      <c r="E295" t="s">
        <v>20</v>
      </c>
      <c r="F295" t="s">
        <v>34</v>
      </c>
      <c r="G295" t="s">
        <v>80</v>
      </c>
      <c r="H295" t="s">
        <v>74</v>
      </c>
      <c r="I295" t="s">
        <v>3372</v>
      </c>
      <c r="J295">
        <v>1346.93</v>
      </c>
      <c r="K295" t="s">
        <v>47</v>
      </c>
      <c r="L295" t="s">
        <v>48</v>
      </c>
      <c r="M295" s="1">
        <v>45663.754166666666</v>
      </c>
      <c r="N295">
        <v>74</v>
      </c>
      <c r="O295" t="s">
        <v>127</v>
      </c>
      <c r="P295" t="s">
        <v>68</v>
      </c>
      <c r="Q295" t="s">
        <v>1107</v>
      </c>
      <c r="R295" t="str">
        <f t="shared" si="56"/>
        <v>William Malik</v>
      </c>
      <c r="S295" t="str">
        <f t="shared" si="57"/>
        <v>Mary Silva</v>
      </c>
      <c r="T295" t="str">
        <f t="shared" si="58"/>
        <v>CAD</v>
      </c>
      <c r="U295" s="7" t="str">
        <f t="shared" si="59"/>
        <v>USD</v>
      </c>
      <c r="V295" s="7" t="str">
        <f t="shared" si="60"/>
        <v>Canada</v>
      </c>
      <c r="W295" s="7" t="str">
        <f t="shared" si="61"/>
        <v>UAE</v>
      </c>
      <c r="X295" s="7" t="str">
        <f t="shared" si="62"/>
        <v>Outer-Transaction</v>
      </c>
      <c r="Y295" s="7">
        <f t="shared" si="63"/>
        <v>1346.93</v>
      </c>
      <c r="Z295" s="7">
        <f t="shared" si="64"/>
        <v>74</v>
      </c>
      <c r="AA295" s="7">
        <f t="shared" si="65"/>
        <v>2025</v>
      </c>
      <c r="AB295" s="7">
        <f t="shared" si="66"/>
        <v>1</v>
      </c>
      <c r="AC295" s="7">
        <f t="shared" si="67"/>
        <v>1</v>
      </c>
      <c r="AD295" s="7" t="str">
        <f t="shared" si="68"/>
        <v>No</v>
      </c>
      <c r="AE295" s="7" t="str">
        <f t="shared" si="69"/>
        <v>Normal</v>
      </c>
    </row>
    <row r="296" spans="1:31">
      <c r="A296" t="s">
        <v>1108</v>
      </c>
      <c r="B296">
        <v>51621092</v>
      </c>
      <c r="C296" t="s">
        <v>486</v>
      </c>
      <c r="D296" t="s">
        <v>1109</v>
      </c>
      <c r="E296" t="s">
        <v>20</v>
      </c>
      <c r="F296" t="s">
        <v>35</v>
      </c>
      <c r="G296" t="s">
        <v>34</v>
      </c>
      <c r="H296" t="s">
        <v>56</v>
      </c>
      <c r="I296" t="s">
        <v>3377</v>
      </c>
      <c r="J296">
        <v>11349.79</v>
      </c>
      <c r="K296" t="s">
        <v>57</v>
      </c>
      <c r="L296" t="s">
        <v>48</v>
      </c>
      <c r="M296" s="1">
        <v>45679.213194444441</v>
      </c>
      <c r="N296">
        <v>53</v>
      </c>
      <c r="O296" t="s">
        <v>55</v>
      </c>
      <c r="P296" t="s">
        <v>37</v>
      </c>
      <c r="Q296" t="s">
        <v>1110</v>
      </c>
      <c r="R296" t="str">
        <f t="shared" si="56"/>
        <v>Carlos Velez</v>
      </c>
      <c r="S296" t="str">
        <f t="shared" si="57"/>
        <v>Nancy Jones</v>
      </c>
      <c r="T296" t="str">
        <f t="shared" si="58"/>
        <v>EUR</v>
      </c>
      <c r="U296" s="7" t="str">
        <f t="shared" si="59"/>
        <v>CAD</v>
      </c>
      <c r="V296" s="7" t="str">
        <f t="shared" si="60"/>
        <v>UK</v>
      </c>
      <c r="W296" s="7" t="str">
        <f t="shared" si="61"/>
        <v>South Africa</v>
      </c>
      <c r="X296" s="7" t="str">
        <f t="shared" si="62"/>
        <v>Inter-Transaction</v>
      </c>
      <c r="Y296" s="7">
        <f t="shared" si="63"/>
        <v>11349.79</v>
      </c>
      <c r="Z296" s="7">
        <f t="shared" si="64"/>
        <v>53</v>
      </c>
      <c r="AA296" s="7">
        <f t="shared" si="65"/>
        <v>2025</v>
      </c>
      <c r="AB296" s="7">
        <f t="shared" si="66"/>
        <v>1</v>
      </c>
      <c r="AC296" s="7">
        <f t="shared" si="67"/>
        <v>1</v>
      </c>
      <c r="AD296" s="7" t="str">
        <f t="shared" si="68"/>
        <v>No</v>
      </c>
      <c r="AE296" s="7" t="str">
        <f t="shared" si="69"/>
        <v>Normal</v>
      </c>
    </row>
    <row r="297" spans="1:31">
      <c r="A297" t="s">
        <v>1111</v>
      </c>
      <c r="B297">
        <v>76481027</v>
      </c>
      <c r="C297" t="s">
        <v>285</v>
      </c>
      <c r="D297" t="s">
        <v>869</v>
      </c>
      <c r="E297" t="s">
        <v>20</v>
      </c>
      <c r="F297" t="s">
        <v>686</v>
      </c>
      <c r="G297" t="s">
        <v>92</v>
      </c>
      <c r="H297" t="s">
        <v>103</v>
      </c>
      <c r="I297" t="s">
        <v>3371</v>
      </c>
      <c r="J297">
        <v>7851.15</v>
      </c>
      <c r="K297" t="s">
        <v>57</v>
      </c>
      <c r="L297" t="s">
        <v>28</v>
      </c>
      <c r="M297" s="1">
        <v>44323.525000000001</v>
      </c>
      <c r="N297">
        <v>62</v>
      </c>
      <c r="O297" t="s">
        <v>54</v>
      </c>
      <c r="P297" t="s">
        <v>62</v>
      </c>
      <c r="Q297" t="s">
        <v>1112</v>
      </c>
      <c r="R297" t="str">
        <f t="shared" si="56"/>
        <v>Charles Nair</v>
      </c>
      <c r="S297" t="str">
        <f t="shared" si="57"/>
        <v>Sanjay Taylor</v>
      </c>
      <c r="T297" t="str">
        <f t="shared" si="58"/>
        <v>sgd</v>
      </c>
      <c r="U297" s="7" t="str">
        <f t="shared" si="59"/>
        <v>AUD</v>
      </c>
      <c r="V297" s="7" t="str">
        <f t="shared" si="60"/>
        <v>India</v>
      </c>
      <c r="W297" s="7" t="str">
        <f t="shared" si="61"/>
        <v>Australia</v>
      </c>
      <c r="X297" s="7" t="str">
        <f t="shared" si="62"/>
        <v>Outer-Transaction</v>
      </c>
      <c r="Y297" s="7">
        <f t="shared" si="63"/>
        <v>7851.15</v>
      </c>
      <c r="Z297" s="7">
        <f t="shared" si="64"/>
        <v>62</v>
      </c>
      <c r="AA297" s="7">
        <f t="shared" si="65"/>
        <v>2021</v>
      </c>
      <c r="AB297" s="7">
        <f t="shared" si="66"/>
        <v>5</v>
      </c>
      <c r="AC297" s="7">
        <f t="shared" si="67"/>
        <v>2</v>
      </c>
      <c r="AD297" s="7" t="str">
        <f t="shared" si="68"/>
        <v>No</v>
      </c>
      <c r="AE297" s="7" t="str">
        <f t="shared" si="69"/>
        <v>Normal</v>
      </c>
    </row>
    <row r="298" spans="1:31">
      <c r="A298" t="s">
        <v>1113</v>
      </c>
      <c r="B298">
        <v>44206757</v>
      </c>
      <c r="C298" t="s">
        <v>1114</v>
      </c>
      <c r="D298" t="s">
        <v>174</v>
      </c>
      <c r="E298" t="s">
        <v>20</v>
      </c>
      <c r="F298" t="s">
        <v>22</v>
      </c>
      <c r="G298" t="s">
        <v>45</v>
      </c>
      <c r="I298" t="s">
        <v>3378</v>
      </c>
      <c r="J298">
        <v>4716.0600000000004</v>
      </c>
      <c r="K298" t="s">
        <v>39</v>
      </c>
      <c r="L298" t="s">
        <v>81</v>
      </c>
      <c r="M298" s="1">
        <v>45379.069444444445</v>
      </c>
      <c r="N298">
        <v>37</v>
      </c>
      <c r="O298" t="s">
        <v>55</v>
      </c>
      <c r="P298" t="s">
        <v>93</v>
      </c>
      <c r="Q298" t="s">
        <v>1115</v>
      </c>
      <c r="R298" t="str">
        <f t="shared" si="56"/>
        <v>CHRISTOPHER WILLIAMS</v>
      </c>
      <c r="S298" t="str">
        <f t="shared" si="57"/>
        <v>Jean-Pierre Taylor</v>
      </c>
      <c r="T298" t="str">
        <f t="shared" si="58"/>
        <v>BRL</v>
      </c>
      <c r="U298" s="7" t="str">
        <f t="shared" si="59"/>
        <v>ZAR</v>
      </c>
      <c r="V298" s="7" t="str">
        <f t="shared" si="60"/>
        <v>UK</v>
      </c>
      <c r="W298" s="7" t="str">
        <f t="shared" si="61"/>
        <v>USA</v>
      </c>
      <c r="X298" s="7" t="str">
        <f t="shared" si="62"/>
        <v>Inter-Transaction</v>
      </c>
      <c r="Y298" s="7">
        <f t="shared" si="63"/>
        <v>4716.0600000000004</v>
      </c>
      <c r="Z298" s="7">
        <f t="shared" si="64"/>
        <v>37</v>
      </c>
      <c r="AA298" s="7">
        <f t="shared" si="65"/>
        <v>2024</v>
      </c>
      <c r="AB298" s="7">
        <f t="shared" si="66"/>
        <v>3</v>
      </c>
      <c r="AC298" s="7">
        <f t="shared" si="67"/>
        <v>1</v>
      </c>
      <c r="AD298" s="7" t="str">
        <f t="shared" si="68"/>
        <v>No</v>
      </c>
      <c r="AE298" s="7" t="str">
        <f t="shared" si="69"/>
        <v>Normal</v>
      </c>
    </row>
    <row r="299" spans="1:31">
      <c r="A299" t="s">
        <v>1116</v>
      </c>
      <c r="B299">
        <v>24271459</v>
      </c>
      <c r="D299" t="s">
        <v>1117</v>
      </c>
      <c r="E299" t="s">
        <v>20</v>
      </c>
      <c r="F299" t="s">
        <v>80</v>
      </c>
      <c r="G299" t="s">
        <v>21</v>
      </c>
      <c r="I299" t="s">
        <v>3372</v>
      </c>
      <c r="J299">
        <v>4548.97</v>
      </c>
      <c r="K299" t="s">
        <v>27</v>
      </c>
      <c r="L299" t="s">
        <v>75</v>
      </c>
      <c r="M299" s="1">
        <v>44974.432638888888</v>
      </c>
      <c r="N299">
        <v>82</v>
      </c>
      <c r="O299" t="s">
        <v>127</v>
      </c>
      <c r="P299" t="s">
        <v>127</v>
      </c>
      <c r="Q299" t="s">
        <v>1118</v>
      </c>
      <c r="R299" t="str">
        <f t="shared" si="56"/>
        <v/>
      </c>
      <c r="S299" t="str">
        <f t="shared" si="57"/>
        <v>John Smith</v>
      </c>
      <c r="T299" t="str">
        <f t="shared" si="58"/>
        <v>USD</v>
      </c>
      <c r="U299" s="7" t="str">
        <f t="shared" si="59"/>
        <v>GBP</v>
      </c>
      <c r="V299" s="7" t="str">
        <f t="shared" si="60"/>
        <v>Canada</v>
      </c>
      <c r="W299" s="7" t="str">
        <f t="shared" si="61"/>
        <v>Canada</v>
      </c>
      <c r="X299" s="7" t="str">
        <f t="shared" si="62"/>
        <v>Outer-Transaction</v>
      </c>
      <c r="Y299" s="7">
        <f t="shared" si="63"/>
        <v>4548.97</v>
      </c>
      <c r="Z299" s="7">
        <f t="shared" si="64"/>
        <v>82</v>
      </c>
      <c r="AA299" s="7">
        <f t="shared" si="65"/>
        <v>2023</v>
      </c>
      <c r="AB299" s="7">
        <f t="shared" si="66"/>
        <v>2</v>
      </c>
      <c r="AC299" s="7">
        <f t="shared" si="67"/>
        <v>1</v>
      </c>
      <c r="AD299" s="7" t="str">
        <f t="shared" si="68"/>
        <v>No</v>
      </c>
      <c r="AE299" s="7" t="str">
        <f t="shared" si="69"/>
        <v>High Risk</v>
      </c>
    </row>
    <row r="300" spans="1:31">
      <c r="A300" t="s">
        <v>1119</v>
      </c>
      <c r="B300">
        <v>38082305</v>
      </c>
      <c r="C300" t="s">
        <v>376</v>
      </c>
      <c r="D300" t="s">
        <v>1120</v>
      </c>
      <c r="E300" t="s">
        <v>20</v>
      </c>
      <c r="F300" t="s">
        <v>45</v>
      </c>
      <c r="G300" t="s">
        <v>98</v>
      </c>
      <c r="H300" t="s">
        <v>74</v>
      </c>
      <c r="I300" t="s">
        <v>3371</v>
      </c>
      <c r="J300">
        <v>11084.33</v>
      </c>
      <c r="K300" t="s">
        <v>39</v>
      </c>
      <c r="L300" t="s">
        <v>81</v>
      </c>
      <c r="M300" s="1">
        <v>44800.225694444445</v>
      </c>
      <c r="N300">
        <v>25</v>
      </c>
      <c r="O300" t="s">
        <v>54</v>
      </c>
      <c r="P300" t="s">
        <v>55</v>
      </c>
      <c r="Q300" t="s">
        <v>1121</v>
      </c>
      <c r="R300" t="str">
        <f t="shared" si="56"/>
        <v>Sarah Nair</v>
      </c>
      <c r="S300" t="str">
        <f t="shared" si="57"/>
        <v xml:space="preserve"> Michael Nair   </v>
      </c>
      <c r="T300" t="str">
        <f t="shared" si="58"/>
        <v>ZAR</v>
      </c>
      <c r="U300" s="7" t="str">
        <f t="shared" si="59"/>
        <v>JPY</v>
      </c>
      <c r="V300" s="7" t="str">
        <f t="shared" si="60"/>
        <v>India</v>
      </c>
      <c r="W300" s="7" t="str">
        <f t="shared" si="61"/>
        <v>UK</v>
      </c>
      <c r="X300" s="7" t="str">
        <f t="shared" si="62"/>
        <v>Outer-Transaction</v>
      </c>
      <c r="Y300" s="7">
        <f t="shared" si="63"/>
        <v>11084.33</v>
      </c>
      <c r="Z300" s="7">
        <f t="shared" si="64"/>
        <v>25</v>
      </c>
      <c r="AA300" s="7">
        <f t="shared" si="65"/>
        <v>2022</v>
      </c>
      <c r="AB300" s="7">
        <f t="shared" si="66"/>
        <v>8</v>
      </c>
      <c r="AC300" s="7">
        <f t="shared" si="67"/>
        <v>1</v>
      </c>
      <c r="AD300" s="7" t="str">
        <f t="shared" si="68"/>
        <v>No</v>
      </c>
      <c r="AE300" s="7" t="str">
        <f t="shared" si="69"/>
        <v>Normal</v>
      </c>
    </row>
    <row r="301" spans="1:31">
      <c r="A301" t="s">
        <v>1122</v>
      </c>
      <c r="B301">
        <v>23779264</v>
      </c>
      <c r="C301" t="s">
        <v>1123</v>
      </c>
      <c r="D301" t="s">
        <v>31</v>
      </c>
      <c r="E301" t="b">
        <v>1</v>
      </c>
      <c r="F301" t="s">
        <v>44</v>
      </c>
      <c r="G301" t="s">
        <v>22</v>
      </c>
      <c r="H301" t="s">
        <v>38</v>
      </c>
      <c r="I301" t="s">
        <v>3376</v>
      </c>
      <c r="J301">
        <v>10871.97</v>
      </c>
      <c r="K301" t="s">
        <v>39</v>
      </c>
      <c r="L301" t="s">
        <v>48</v>
      </c>
      <c r="M301" s="1">
        <v>46231.288888888892</v>
      </c>
      <c r="N301">
        <v>33</v>
      </c>
      <c r="O301" t="s">
        <v>36</v>
      </c>
      <c r="P301" t="s">
        <v>36</v>
      </c>
      <c r="Q301" t="s">
        <v>1124</v>
      </c>
      <c r="R301" t="str">
        <f t="shared" si="56"/>
        <v>SANJAY MALIK</v>
      </c>
      <c r="S301" t="str">
        <f t="shared" si="57"/>
        <v>Elena Wilson</v>
      </c>
      <c r="T301" t="str">
        <f t="shared" si="58"/>
        <v>SGD</v>
      </c>
      <c r="U301" s="7" t="str">
        <f t="shared" si="59"/>
        <v>BRL</v>
      </c>
      <c r="V301" s="7" t="str">
        <f t="shared" si="60"/>
        <v>Germany</v>
      </c>
      <c r="W301" s="7" t="str">
        <f t="shared" si="61"/>
        <v>Germany</v>
      </c>
      <c r="X301" s="7" t="str">
        <f t="shared" si="62"/>
        <v>Internal</v>
      </c>
      <c r="Y301" s="7">
        <f t="shared" si="63"/>
        <v>10871.97</v>
      </c>
      <c r="Z301" s="7">
        <f t="shared" si="64"/>
        <v>33</v>
      </c>
      <c r="AA301" s="7">
        <f t="shared" si="65"/>
        <v>2026</v>
      </c>
      <c r="AB301" s="7">
        <f t="shared" si="66"/>
        <v>7</v>
      </c>
      <c r="AC301" s="7">
        <f t="shared" si="67"/>
        <v>1</v>
      </c>
      <c r="AD301" s="7" t="str">
        <f t="shared" si="68"/>
        <v>No</v>
      </c>
      <c r="AE301" s="7" t="str">
        <f t="shared" si="69"/>
        <v>Normal</v>
      </c>
    </row>
    <row r="302" spans="1:31">
      <c r="A302" t="s">
        <v>1125</v>
      </c>
      <c r="B302">
        <v>76409428</v>
      </c>
      <c r="C302" t="s">
        <v>1126</v>
      </c>
      <c r="D302" t="s">
        <v>1127</v>
      </c>
      <c r="E302" t="s">
        <v>20</v>
      </c>
      <c r="F302" t="s">
        <v>80</v>
      </c>
      <c r="G302" t="s">
        <v>21</v>
      </c>
      <c r="I302" t="s">
        <v>3378</v>
      </c>
      <c r="J302">
        <v>13826.82</v>
      </c>
      <c r="K302" t="s">
        <v>39</v>
      </c>
      <c r="L302" t="s">
        <v>48</v>
      </c>
      <c r="M302" s="1">
        <v>45918.262499999997</v>
      </c>
      <c r="N302">
        <v>31</v>
      </c>
      <c r="O302" t="s">
        <v>37</v>
      </c>
      <c r="P302" t="s">
        <v>36</v>
      </c>
      <c r="Q302" t="s">
        <v>1128</v>
      </c>
      <c r="R302" t="str">
        <f t="shared" si="56"/>
        <v>Nancy Nair</v>
      </c>
      <c r="S302" t="str">
        <f t="shared" si="57"/>
        <v>Susan Anderson</v>
      </c>
      <c r="T302" t="str">
        <f t="shared" si="58"/>
        <v>USD</v>
      </c>
      <c r="U302" s="7" t="str">
        <f t="shared" si="59"/>
        <v>GBP</v>
      </c>
      <c r="V302" s="7" t="str">
        <f t="shared" si="60"/>
        <v>South Africa</v>
      </c>
      <c r="W302" s="7" t="str">
        <f t="shared" si="61"/>
        <v>Germany</v>
      </c>
      <c r="X302" s="7" t="str">
        <f t="shared" si="62"/>
        <v>Inter-Transaction</v>
      </c>
      <c r="Y302" s="7">
        <f t="shared" si="63"/>
        <v>13826.82</v>
      </c>
      <c r="Z302" s="7">
        <f t="shared" si="64"/>
        <v>31</v>
      </c>
      <c r="AA302" s="7">
        <f t="shared" si="65"/>
        <v>2025</v>
      </c>
      <c r="AB302" s="7">
        <f t="shared" si="66"/>
        <v>9</v>
      </c>
      <c r="AC302" s="7">
        <f t="shared" si="67"/>
        <v>1</v>
      </c>
      <c r="AD302" s="7" t="str">
        <f t="shared" si="68"/>
        <v>No</v>
      </c>
      <c r="AE302" s="7" t="str">
        <f t="shared" si="69"/>
        <v>Normal</v>
      </c>
    </row>
    <row r="303" spans="1:31">
      <c r="A303" t="s">
        <v>1129</v>
      </c>
      <c r="B303">
        <v>31746728</v>
      </c>
      <c r="C303" t="s">
        <v>1130</v>
      </c>
      <c r="D303" t="s">
        <v>1131</v>
      </c>
      <c r="E303" t="s">
        <v>33</v>
      </c>
      <c r="F303" t="s">
        <v>45</v>
      </c>
      <c r="G303" t="s">
        <v>44</v>
      </c>
      <c r="H303" t="s">
        <v>56</v>
      </c>
      <c r="I303" t="s">
        <v>3378</v>
      </c>
      <c r="J303">
        <v>3528.44</v>
      </c>
      <c r="K303" t="s">
        <v>27</v>
      </c>
      <c r="L303" t="s">
        <v>28</v>
      </c>
      <c r="M303" s="1">
        <v>44470.237500000003</v>
      </c>
      <c r="N303">
        <v>32</v>
      </c>
      <c r="O303" t="s">
        <v>68</v>
      </c>
      <c r="P303" t="s">
        <v>36</v>
      </c>
      <c r="Q303" t="s">
        <v>1132</v>
      </c>
      <c r="R303" t="str">
        <f t="shared" si="56"/>
        <v>Nancy Miller</v>
      </c>
      <c r="S303" t="str">
        <f t="shared" si="57"/>
        <v>Barbara Rostova</v>
      </c>
      <c r="T303" t="str">
        <f t="shared" si="58"/>
        <v>ZAR</v>
      </c>
      <c r="U303" s="7" t="str">
        <f t="shared" si="59"/>
        <v>SGD</v>
      </c>
      <c r="V303" s="7" t="str">
        <f t="shared" si="60"/>
        <v>UAE</v>
      </c>
      <c r="W303" s="7" t="str">
        <f t="shared" si="61"/>
        <v>Germany</v>
      </c>
      <c r="X303" s="7" t="str">
        <f t="shared" si="62"/>
        <v>Inter-Transaction</v>
      </c>
      <c r="Y303" s="7">
        <f t="shared" si="63"/>
        <v>3528.44</v>
      </c>
      <c r="Z303" s="7">
        <f t="shared" si="64"/>
        <v>32</v>
      </c>
      <c r="AA303" s="7">
        <f t="shared" si="65"/>
        <v>2021</v>
      </c>
      <c r="AB303" s="7">
        <f t="shared" si="66"/>
        <v>10</v>
      </c>
      <c r="AC303" s="7">
        <f t="shared" si="67"/>
        <v>1</v>
      </c>
      <c r="AD303" s="7" t="str">
        <f t="shared" si="68"/>
        <v>No</v>
      </c>
      <c r="AE303" s="7" t="str">
        <f t="shared" si="69"/>
        <v>Normal</v>
      </c>
    </row>
    <row r="304" spans="1:31">
      <c r="A304" t="s">
        <v>1133</v>
      </c>
      <c r="B304">
        <v>55329991</v>
      </c>
      <c r="C304" t="s">
        <v>1134</v>
      </c>
      <c r="D304" t="s">
        <v>1135</v>
      </c>
      <c r="E304" t="s">
        <v>20</v>
      </c>
      <c r="F304" t="s">
        <v>121</v>
      </c>
      <c r="G304" t="s">
        <v>44</v>
      </c>
      <c r="H304" t="s">
        <v>103</v>
      </c>
      <c r="I304" t="s">
        <v>3371</v>
      </c>
      <c r="J304">
        <v>12802.59</v>
      </c>
      <c r="K304" t="s">
        <v>27</v>
      </c>
      <c r="L304" t="s">
        <v>28</v>
      </c>
      <c r="M304" s="1">
        <v>44003.443055555559</v>
      </c>
      <c r="N304">
        <v>83</v>
      </c>
      <c r="O304" t="s">
        <v>127</v>
      </c>
      <c r="P304" t="s">
        <v>24</v>
      </c>
      <c r="Q304" t="s">
        <v>1136</v>
      </c>
      <c r="R304" t="str">
        <f t="shared" si="56"/>
        <v>JESSICA BROWN</v>
      </c>
      <c r="S304" t="str">
        <f t="shared" si="57"/>
        <v>Nancy Davis</v>
      </c>
      <c r="T304" t="str">
        <f t="shared" si="58"/>
        <v>INR</v>
      </c>
      <c r="U304" s="7" t="str">
        <f t="shared" si="59"/>
        <v>SGD</v>
      </c>
      <c r="V304" s="7" t="str">
        <f t="shared" si="60"/>
        <v>Canada</v>
      </c>
      <c r="W304" s="7" t="str">
        <f t="shared" si="61"/>
        <v>Brazil</v>
      </c>
      <c r="X304" s="7" t="str">
        <f t="shared" si="62"/>
        <v>Outer-Transaction</v>
      </c>
      <c r="Y304" s="7">
        <f t="shared" si="63"/>
        <v>12802.59</v>
      </c>
      <c r="Z304" s="7">
        <f t="shared" si="64"/>
        <v>83</v>
      </c>
      <c r="AA304" s="7">
        <f t="shared" si="65"/>
        <v>2020</v>
      </c>
      <c r="AB304" s="7">
        <f t="shared" si="66"/>
        <v>6</v>
      </c>
      <c r="AC304" s="7">
        <f t="shared" si="67"/>
        <v>1</v>
      </c>
      <c r="AD304" s="7" t="str">
        <f t="shared" si="68"/>
        <v>No</v>
      </c>
      <c r="AE304" s="7" t="str">
        <f t="shared" si="69"/>
        <v>Normal</v>
      </c>
    </row>
    <row r="305" spans="1:31">
      <c r="A305" t="s">
        <v>1137</v>
      </c>
      <c r="B305">
        <v>23672496</v>
      </c>
      <c r="C305" t="s">
        <v>106</v>
      </c>
      <c r="D305" t="s">
        <v>647</v>
      </c>
      <c r="E305" t="s">
        <v>20</v>
      </c>
      <c r="F305" t="s">
        <v>45</v>
      </c>
      <c r="G305" t="s">
        <v>35</v>
      </c>
      <c r="H305" t="s">
        <v>38</v>
      </c>
      <c r="I305" t="s">
        <v>3372</v>
      </c>
      <c r="J305">
        <v>10990.95</v>
      </c>
      <c r="K305" t="s">
        <v>86</v>
      </c>
      <c r="L305" t="s">
        <v>48</v>
      </c>
      <c r="M305" s="1">
        <v>45401.054166666669</v>
      </c>
      <c r="N305">
        <v>49</v>
      </c>
      <c r="O305" t="s">
        <v>23</v>
      </c>
      <c r="P305" t="s">
        <v>36</v>
      </c>
      <c r="Q305" t="s">
        <v>1138</v>
      </c>
      <c r="R305" t="str">
        <f t="shared" si="56"/>
        <v>Amir Moore</v>
      </c>
      <c r="S305" t="str">
        <f t="shared" si="57"/>
        <v>Mary Taylor</v>
      </c>
      <c r="T305" t="str">
        <f t="shared" si="58"/>
        <v>ZAR</v>
      </c>
      <c r="U305" s="7" t="str">
        <f t="shared" si="59"/>
        <v>EUR</v>
      </c>
      <c r="V305" s="7" t="str">
        <f t="shared" si="60"/>
        <v>France</v>
      </c>
      <c r="W305" s="7" t="str">
        <f t="shared" si="61"/>
        <v>Germany</v>
      </c>
      <c r="X305" s="7" t="str">
        <f t="shared" si="62"/>
        <v>Outer-Transaction</v>
      </c>
      <c r="Y305" s="7">
        <f t="shared" si="63"/>
        <v>10990.95</v>
      </c>
      <c r="Z305" s="7">
        <f t="shared" si="64"/>
        <v>49</v>
      </c>
      <c r="AA305" s="7">
        <f t="shared" si="65"/>
        <v>2024</v>
      </c>
      <c r="AB305" s="7">
        <f t="shared" si="66"/>
        <v>4</v>
      </c>
      <c r="AC305" s="7">
        <f t="shared" si="67"/>
        <v>1</v>
      </c>
      <c r="AD305" s="7" t="str">
        <f t="shared" si="68"/>
        <v>No</v>
      </c>
      <c r="AE305" s="7" t="str">
        <f t="shared" si="69"/>
        <v>Normal</v>
      </c>
    </row>
    <row r="306" spans="1:31">
      <c r="A306" t="s">
        <v>1139</v>
      </c>
      <c r="B306">
        <v>73574016</v>
      </c>
      <c r="C306" t="s">
        <v>661</v>
      </c>
      <c r="D306" t="s">
        <v>1140</v>
      </c>
      <c r="E306" t="s">
        <v>20</v>
      </c>
      <c r="F306" t="s">
        <v>34</v>
      </c>
      <c r="G306" t="s">
        <v>22</v>
      </c>
      <c r="H306" t="s">
        <v>56</v>
      </c>
      <c r="I306" t="s">
        <v>3371</v>
      </c>
      <c r="J306">
        <v>2078.54</v>
      </c>
      <c r="K306" t="s">
        <v>39</v>
      </c>
      <c r="L306" t="s">
        <v>81</v>
      </c>
      <c r="M306" s="1">
        <v>44089.164583333331</v>
      </c>
      <c r="N306">
        <v>80</v>
      </c>
      <c r="O306" t="s">
        <v>127</v>
      </c>
      <c r="P306" t="s">
        <v>127</v>
      </c>
      <c r="Q306" t="s">
        <v>1141</v>
      </c>
      <c r="R306" t="str">
        <f t="shared" si="56"/>
        <v>Richard Martinez</v>
      </c>
      <c r="S306" t="str">
        <f t="shared" si="57"/>
        <v>Charles Garcia</v>
      </c>
      <c r="T306" t="str">
        <f t="shared" si="58"/>
        <v>CAD</v>
      </c>
      <c r="U306" s="7" t="str">
        <f t="shared" si="59"/>
        <v>BRL</v>
      </c>
      <c r="V306" s="7" t="str">
        <f t="shared" si="60"/>
        <v>Canada</v>
      </c>
      <c r="W306" s="7" t="str">
        <f t="shared" si="61"/>
        <v>Canada</v>
      </c>
      <c r="X306" s="7" t="str">
        <f t="shared" si="62"/>
        <v>Outer-Transaction</v>
      </c>
      <c r="Y306" s="7">
        <f t="shared" si="63"/>
        <v>2078.54</v>
      </c>
      <c r="Z306" s="7">
        <f t="shared" si="64"/>
        <v>80</v>
      </c>
      <c r="AA306" s="7">
        <f t="shared" si="65"/>
        <v>2020</v>
      </c>
      <c r="AB306" s="7">
        <f t="shared" si="66"/>
        <v>9</v>
      </c>
      <c r="AC306" s="7">
        <f t="shared" si="67"/>
        <v>1</v>
      </c>
      <c r="AD306" s="7" t="str">
        <f t="shared" si="68"/>
        <v>No</v>
      </c>
      <c r="AE306" s="7" t="str">
        <f t="shared" si="69"/>
        <v>Normal</v>
      </c>
    </row>
    <row r="307" spans="1:31">
      <c r="A307" t="s">
        <v>1142</v>
      </c>
      <c r="B307">
        <v>79437366</v>
      </c>
      <c r="C307" t="s">
        <v>1143</v>
      </c>
      <c r="D307" t="s">
        <v>1144</v>
      </c>
      <c r="E307" t="s">
        <v>20</v>
      </c>
      <c r="F307" t="s">
        <v>91</v>
      </c>
      <c r="H307" t="s">
        <v>25</v>
      </c>
      <c r="I307" t="s">
        <v>3374</v>
      </c>
      <c r="J307">
        <v>14700.91</v>
      </c>
      <c r="K307" t="s">
        <v>27</v>
      </c>
      <c r="L307" t="s">
        <v>75</v>
      </c>
      <c r="M307" s="1">
        <v>44347.241666666669</v>
      </c>
      <c r="N307">
        <v>68</v>
      </c>
      <c r="O307" t="s">
        <v>127</v>
      </c>
      <c r="P307" t="s">
        <v>93</v>
      </c>
      <c r="Q307" t="s">
        <v>1145</v>
      </c>
      <c r="R307" t="str">
        <f t="shared" si="56"/>
        <v>Robert Williams</v>
      </c>
      <c r="S307" t="str">
        <f t="shared" si="57"/>
        <v>Richard Hernandez</v>
      </c>
      <c r="T307" t="str">
        <f t="shared" si="58"/>
        <v>gbp</v>
      </c>
      <c r="U307" s="7" t="str">
        <f t="shared" si="59"/>
        <v/>
      </c>
      <c r="V307" s="7" t="str">
        <f t="shared" si="60"/>
        <v>Canada</v>
      </c>
      <c r="W307" s="7" t="str">
        <f t="shared" si="61"/>
        <v>USA</v>
      </c>
      <c r="X307" s="7" t="str">
        <f t="shared" si="62"/>
        <v>External</v>
      </c>
      <c r="Y307" s="7">
        <f t="shared" si="63"/>
        <v>14700.91</v>
      </c>
      <c r="Z307" s="7">
        <f t="shared" si="64"/>
        <v>68</v>
      </c>
      <c r="AA307" s="7">
        <f t="shared" si="65"/>
        <v>2021</v>
      </c>
      <c r="AB307" s="7">
        <f t="shared" si="66"/>
        <v>5</v>
      </c>
      <c r="AC307" s="7">
        <f t="shared" si="67"/>
        <v>1</v>
      </c>
      <c r="AD307" s="7" t="str">
        <f t="shared" si="68"/>
        <v>No</v>
      </c>
      <c r="AE307" s="7" t="str">
        <f t="shared" si="69"/>
        <v>High Risk</v>
      </c>
    </row>
    <row r="308" spans="1:31">
      <c r="A308" t="s">
        <v>1146</v>
      </c>
      <c r="B308">
        <v>47551535</v>
      </c>
      <c r="C308" t="s">
        <v>358</v>
      </c>
      <c r="D308" t="s">
        <v>922</v>
      </c>
      <c r="E308" t="s">
        <v>20</v>
      </c>
      <c r="F308" t="s">
        <v>92</v>
      </c>
      <c r="G308" t="s">
        <v>44</v>
      </c>
      <c r="H308" t="s">
        <v>103</v>
      </c>
      <c r="I308" t="s">
        <v>3374</v>
      </c>
      <c r="J308">
        <v>6073.54</v>
      </c>
      <c r="K308" t="s">
        <v>47</v>
      </c>
      <c r="L308" t="s">
        <v>75</v>
      </c>
      <c r="M308" s="1">
        <v>44353.185416666667</v>
      </c>
      <c r="N308">
        <v>42</v>
      </c>
      <c r="O308" t="s">
        <v>54</v>
      </c>
      <c r="P308" t="s">
        <v>36</v>
      </c>
      <c r="Q308" t="s">
        <v>1147</v>
      </c>
      <c r="R308" t="str">
        <f t="shared" si="56"/>
        <v>Carlos Taylor</v>
      </c>
      <c r="S308" t="str">
        <f t="shared" si="57"/>
        <v>Nancy Souza</v>
      </c>
      <c r="T308" t="str">
        <f t="shared" si="58"/>
        <v>AUD</v>
      </c>
      <c r="U308" s="7" t="str">
        <f t="shared" si="59"/>
        <v>SGD</v>
      </c>
      <c r="V308" s="7" t="str">
        <f t="shared" si="60"/>
        <v>India</v>
      </c>
      <c r="W308" s="7" t="str">
        <f t="shared" si="61"/>
        <v>Germany</v>
      </c>
      <c r="X308" s="7" t="str">
        <f t="shared" si="62"/>
        <v>External</v>
      </c>
      <c r="Y308" s="7">
        <f t="shared" si="63"/>
        <v>6073.54</v>
      </c>
      <c r="Z308" s="7">
        <f t="shared" si="64"/>
        <v>42</v>
      </c>
      <c r="AA308" s="7">
        <f t="shared" si="65"/>
        <v>2021</v>
      </c>
      <c r="AB308" s="7">
        <f t="shared" si="66"/>
        <v>6</v>
      </c>
      <c r="AC308" s="7">
        <f t="shared" si="67"/>
        <v>1</v>
      </c>
      <c r="AD308" s="7" t="str">
        <f t="shared" si="68"/>
        <v>No</v>
      </c>
      <c r="AE308" s="7" t="str">
        <f t="shared" si="69"/>
        <v>High Risk</v>
      </c>
    </row>
    <row r="309" spans="1:31">
      <c r="A309" t="s">
        <v>1148</v>
      </c>
      <c r="B309">
        <v>22458031</v>
      </c>
      <c r="C309" t="s">
        <v>270</v>
      </c>
      <c r="D309" t="s">
        <v>135</v>
      </c>
      <c r="E309" t="s">
        <v>20</v>
      </c>
      <c r="F309" t="s">
        <v>180</v>
      </c>
      <c r="G309" t="s">
        <v>21</v>
      </c>
      <c r="H309" t="s">
        <v>103</v>
      </c>
      <c r="I309" t="s">
        <v>3374</v>
      </c>
      <c r="J309">
        <v>6346.96</v>
      </c>
      <c r="K309" t="s">
        <v>27</v>
      </c>
      <c r="L309" t="s">
        <v>28</v>
      </c>
      <c r="M309" s="1">
        <v>45748.255555555559</v>
      </c>
      <c r="N309">
        <v>75</v>
      </c>
      <c r="O309" t="s">
        <v>93</v>
      </c>
      <c r="P309" t="s">
        <v>68</v>
      </c>
      <c r="Q309" t="s">
        <v>1149</v>
      </c>
      <c r="R309" t="str">
        <f t="shared" si="56"/>
        <v>Charles Moore</v>
      </c>
      <c r="S309" t="str">
        <f t="shared" si="57"/>
        <v>Barbara Taylor</v>
      </c>
      <c r="T309" t="str">
        <f t="shared" si="58"/>
        <v>zar</v>
      </c>
      <c r="U309" s="7" t="str">
        <f t="shared" si="59"/>
        <v>GBP</v>
      </c>
      <c r="V309" s="7" t="str">
        <f t="shared" si="60"/>
        <v>USA</v>
      </c>
      <c r="W309" s="7" t="str">
        <f t="shared" si="61"/>
        <v>UAE</v>
      </c>
      <c r="X309" s="7" t="str">
        <f t="shared" si="62"/>
        <v>External</v>
      </c>
      <c r="Y309" s="7">
        <f t="shared" si="63"/>
        <v>6346.96</v>
      </c>
      <c r="Z309" s="7">
        <f t="shared" si="64"/>
        <v>75</v>
      </c>
      <c r="AA309" s="7">
        <f t="shared" si="65"/>
        <v>2025</v>
      </c>
      <c r="AB309" s="7">
        <f t="shared" si="66"/>
        <v>4</v>
      </c>
      <c r="AC309" s="7">
        <f t="shared" si="67"/>
        <v>1</v>
      </c>
      <c r="AD309" s="7" t="str">
        <f t="shared" si="68"/>
        <v>No</v>
      </c>
      <c r="AE309" s="7" t="str">
        <f t="shared" si="69"/>
        <v>Normal</v>
      </c>
    </row>
    <row r="310" spans="1:31">
      <c r="A310" t="s">
        <v>1150</v>
      </c>
      <c r="B310">
        <v>10699730</v>
      </c>
      <c r="C310" t="s">
        <v>1151</v>
      </c>
      <c r="D310" t="s">
        <v>1062</v>
      </c>
      <c r="E310" t="s">
        <v>33</v>
      </c>
      <c r="F310" t="s">
        <v>116</v>
      </c>
      <c r="G310" t="s">
        <v>116</v>
      </c>
      <c r="H310" t="s">
        <v>103</v>
      </c>
      <c r="I310" t="s">
        <v>3378</v>
      </c>
      <c r="J310">
        <v>10007.17</v>
      </c>
      <c r="K310" t="s">
        <v>27</v>
      </c>
      <c r="L310" t="s">
        <v>48</v>
      </c>
      <c r="M310" s="1">
        <v>45995</v>
      </c>
      <c r="N310">
        <v>80</v>
      </c>
      <c r="O310" t="s">
        <v>62</v>
      </c>
      <c r="P310" t="s">
        <v>68</v>
      </c>
      <c r="Q310" t="s">
        <v>1152</v>
      </c>
      <c r="R310" t="str">
        <f t="shared" si="56"/>
        <v>Thomas Hernandez</v>
      </c>
      <c r="S310" t="str">
        <f t="shared" si="57"/>
        <v>Elizabeth Silva</v>
      </c>
      <c r="T310" t="str">
        <f t="shared" si="58"/>
        <v>CHF</v>
      </c>
      <c r="U310" s="7" t="str">
        <f t="shared" si="59"/>
        <v>CHF</v>
      </c>
      <c r="V310" s="7" t="str">
        <f t="shared" si="60"/>
        <v>Australia</v>
      </c>
      <c r="W310" s="7" t="str">
        <f t="shared" si="61"/>
        <v>UAE</v>
      </c>
      <c r="X310" s="7" t="str">
        <f t="shared" si="62"/>
        <v>Inter-Transaction</v>
      </c>
      <c r="Y310" s="7">
        <f t="shared" si="63"/>
        <v>10007.17</v>
      </c>
      <c r="Z310" s="7">
        <f t="shared" si="64"/>
        <v>80</v>
      </c>
      <c r="AA310" s="7">
        <f t="shared" si="65"/>
        <v>2025</v>
      </c>
      <c r="AB310" s="7">
        <f t="shared" si="66"/>
        <v>12</v>
      </c>
      <c r="AC310" s="7">
        <f t="shared" si="67"/>
        <v>1</v>
      </c>
      <c r="AD310" s="7" t="str">
        <f t="shared" si="68"/>
        <v>No</v>
      </c>
      <c r="AE310" s="7" t="str">
        <f t="shared" si="69"/>
        <v>Normal</v>
      </c>
    </row>
    <row r="311" spans="1:31">
      <c r="A311" t="s">
        <v>1153</v>
      </c>
      <c r="B311">
        <v>67135430</v>
      </c>
      <c r="C311" t="s">
        <v>1154</v>
      </c>
      <c r="D311" t="s">
        <v>1143</v>
      </c>
      <c r="E311" t="s">
        <v>20</v>
      </c>
      <c r="F311" t="s">
        <v>21</v>
      </c>
      <c r="G311" t="s">
        <v>44</v>
      </c>
      <c r="H311" t="s">
        <v>56</v>
      </c>
      <c r="I311" t="s">
        <v>3378</v>
      </c>
      <c r="J311">
        <v>8768.7099999999991</v>
      </c>
      <c r="K311" t="s">
        <v>39</v>
      </c>
      <c r="L311" t="s">
        <v>81</v>
      </c>
      <c r="M311" s="1">
        <v>46062.753472222219</v>
      </c>
      <c r="N311">
        <v>79</v>
      </c>
      <c r="O311" t="s">
        <v>93</v>
      </c>
      <c r="P311" t="s">
        <v>24</v>
      </c>
      <c r="Q311" t="s">
        <v>1155</v>
      </c>
      <c r="R311" t="str">
        <f t="shared" si="56"/>
        <v>Amir Wilson</v>
      </c>
      <c r="S311" t="str">
        <f t="shared" si="57"/>
        <v>Robert Williams</v>
      </c>
      <c r="T311" t="str">
        <f t="shared" si="58"/>
        <v>GBP</v>
      </c>
      <c r="U311" s="7" t="str">
        <f t="shared" si="59"/>
        <v>SGD</v>
      </c>
      <c r="V311" s="7" t="str">
        <f t="shared" si="60"/>
        <v>USA</v>
      </c>
      <c r="W311" s="7" t="str">
        <f t="shared" si="61"/>
        <v>Brazil</v>
      </c>
      <c r="X311" s="7" t="str">
        <f t="shared" si="62"/>
        <v>Inter-Transaction</v>
      </c>
      <c r="Y311" s="7">
        <f t="shared" si="63"/>
        <v>8768.7099999999991</v>
      </c>
      <c r="Z311" s="7">
        <f t="shared" si="64"/>
        <v>79</v>
      </c>
      <c r="AA311" s="7">
        <f t="shared" si="65"/>
        <v>2026</v>
      </c>
      <c r="AB311" s="7">
        <f t="shared" si="66"/>
        <v>2</v>
      </c>
      <c r="AC311" s="7">
        <f t="shared" si="67"/>
        <v>1</v>
      </c>
      <c r="AD311" s="7" t="str">
        <f t="shared" si="68"/>
        <v>No</v>
      </c>
      <c r="AE311" s="7" t="str">
        <f t="shared" si="69"/>
        <v>Normal</v>
      </c>
    </row>
    <row r="312" spans="1:31">
      <c r="A312" t="s">
        <v>1156</v>
      </c>
      <c r="B312">
        <v>81020117</v>
      </c>
      <c r="C312" t="s">
        <v>932</v>
      </c>
      <c r="D312" t="s">
        <v>742</v>
      </c>
      <c r="E312" t="s">
        <v>20</v>
      </c>
      <c r="F312" t="s">
        <v>22</v>
      </c>
      <c r="G312" t="s">
        <v>21</v>
      </c>
      <c r="H312" t="s">
        <v>25</v>
      </c>
      <c r="I312" t="s">
        <v>3378</v>
      </c>
      <c r="J312">
        <v>8580.75</v>
      </c>
      <c r="K312" t="s">
        <v>86</v>
      </c>
      <c r="L312" t="s">
        <v>48</v>
      </c>
      <c r="M312" s="1">
        <v>45760.714583333334</v>
      </c>
      <c r="N312">
        <v>39</v>
      </c>
      <c r="O312" t="s">
        <v>36</v>
      </c>
      <c r="P312" t="s">
        <v>127</v>
      </c>
      <c r="Q312" t="s">
        <v>1157</v>
      </c>
      <c r="R312" t="str">
        <f t="shared" si="56"/>
        <v>Patricia Rostova</v>
      </c>
      <c r="S312" t="str">
        <f t="shared" si="57"/>
        <v>William Anderson</v>
      </c>
      <c r="T312" t="str">
        <f t="shared" si="58"/>
        <v>BRL</v>
      </c>
      <c r="U312" s="7" t="str">
        <f t="shared" si="59"/>
        <v>GBP</v>
      </c>
      <c r="V312" s="7" t="str">
        <f t="shared" si="60"/>
        <v>Germany</v>
      </c>
      <c r="W312" s="7" t="str">
        <f t="shared" si="61"/>
        <v>Canada</v>
      </c>
      <c r="X312" s="7" t="str">
        <f t="shared" si="62"/>
        <v>Inter-Transaction</v>
      </c>
      <c r="Y312" s="7">
        <f t="shared" si="63"/>
        <v>8580.75</v>
      </c>
      <c r="Z312" s="7">
        <f t="shared" si="64"/>
        <v>39</v>
      </c>
      <c r="AA312" s="7">
        <f t="shared" si="65"/>
        <v>2025</v>
      </c>
      <c r="AB312" s="7">
        <f t="shared" si="66"/>
        <v>4</v>
      </c>
      <c r="AC312" s="7">
        <f t="shared" si="67"/>
        <v>1</v>
      </c>
      <c r="AD312" s="7" t="str">
        <f t="shared" si="68"/>
        <v>No</v>
      </c>
      <c r="AE312" s="7" t="str">
        <f t="shared" si="69"/>
        <v>Normal</v>
      </c>
    </row>
    <row r="313" spans="1:31">
      <c r="A313" t="s">
        <v>1158</v>
      </c>
      <c r="B313">
        <v>16529832</v>
      </c>
      <c r="C313" t="s">
        <v>1159</v>
      </c>
      <c r="D313" t="s">
        <v>1160</v>
      </c>
      <c r="E313" t="s">
        <v>20</v>
      </c>
      <c r="F313" t="s">
        <v>21</v>
      </c>
      <c r="G313" t="s">
        <v>22</v>
      </c>
      <c r="H313" t="s">
        <v>38</v>
      </c>
      <c r="I313" t="s">
        <v>3378</v>
      </c>
      <c r="J313">
        <v>8490.7999999999993</v>
      </c>
      <c r="K313" t="s">
        <v>57</v>
      </c>
      <c r="L313" t="s">
        <v>81</v>
      </c>
      <c r="M313" s="1">
        <v>44970.438888888886</v>
      </c>
      <c r="N313">
        <v>75</v>
      </c>
      <c r="O313" t="s">
        <v>23</v>
      </c>
      <c r="P313" t="s">
        <v>93</v>
      </c>
      <c r="Q313" t="s">
        <v>1161</v>
      </c>
      <c r="R313" t="str">
        <f t="shared" si="56"/>
        <v>Priya Volkov</v>
      </c>
      <c r="S313" t="str">
        <f t="shared" si="57"/>
        <v>Barbara Volkov</v>
      </c>
      <c r="T313" t="str">
        <f t="shared" si="58"/>
        <v>GBP</v>
      </c>
      <c r="U313" s="7" t="str">
        <f t="shared" si="59"/>
        <v>BRL</v>
      </c>
      <c r="V313" s="7" t="str">
        <f t="shared" si="60"/>
        <v>France</v>
      </c>
      <c r="W313" s="7" t="str">
        <f t="shared" si="61"/>
        <v>USA</v>
      </c>
      <c r="X313" s="7" t="str">
        <f t="shared" si="62"/>
        <v>Inter-Transaction</v>
      </c>
      <c r="Y313" s="7">
        <f t="shared" si="63"/>
        <v>8490.7999999999993</v>
      </c>
      <c r="Z313" s="7">
        <f t="shared" si="64"/>
        <v>75</v>
      </c>
      <c r="AA313" s="7">
        <f t="shared" si="65"/>
        <v>2023</v>
      </c>
      <c r="AB313" s="7">
        <f t="shared" si="66"/>
        <v>2</v>
      </c>
      <c r="AC313" s="7">
        <f t="shared" si="67"/>
        <v>1</v>
      </c>
      <c r="AD313" s="7" t="str">
        <f t="shared" si="68"/>
        <v>No</v>
      </c>
      <c r="AE313" s="7" t="str">
        <f t="shared" si="69"/>
        <v>Normal</v>
      </c>
    </row>
    <row r="314" spans="1:31">
      <c r="A314" t="s">
        <v>1162</v>
      </c>
      <c r="B314">
        <v>53649791</v>
      </c>
      <c r="C314" t="s">
        <v>1163</v>
      </c>
      <c r="D314" t="s">
        <v>1164</v>
      </c>
      <c r="E314" t="s">
        <v>20</v>
      </c>
      <c r="F314" t="s">
        <v>92</v>
      </c>
      <c r="G314" t="s">
        <v>126</v>
      </c>
      <c r="H314" t="s">
        <v>103</v>
      </c>
      <c r="I314" t="s">
        <v>3374</v>
      </c>
      <c r="J314">
        <v>1337.06</v>
      </c>
      <c r="K314" t="s">
        <v>47</v>
      </c>
      <c r="L314" t="s">
        <v>28</v>
      </c>
      <c r="M314" s="1">
        <v>46040.008333333331</v>
      </c>
      <c r="N314">
        <v>75</v>
      </c>
      <c r="O314" t="s">
        <v>37</v>
      </c>
      <c r="P314" t="s">
        <v>55</v>
      </c>
      <c r="Q314" t="s">
        <v>1165</v>
      </c>
      <c r="R314" t="str">
        <f t="shared" si="56"/>
        <v>Robert Silva</v>
      </c>
      <c r="S314" t="str">
        <f t="shared" si="57"/>
        <v>Nancy Velez</v>
      </c>
      <c r="T314" t="str">
        <f t="shared" si="58"/>
        <v>AUD</v>
      </c>
      <c r="U314" s="7" t="str">
        <f t="shared" si="59"/>
        <v>inr</v>
      </c>
      <c r="V314" s="7" t="str">
        <f t="shared" si="60"/>
        <v>South Africa</v>
      </c>
      <c r="W314" s="7" t="str">
        <f t="shared" si="61"/>
        <v>UK</v>
      </c>
      <c r="X314" s="7" t="str">
        <f t="shared" si="62"/>
        <v>External</v>
      </c>
      <c r="Y314" s="7">
        <f t="shared" si="63"/>
        <v>1337.06</v>
      </c>
      <c r="Z314" s="7">
        <f t="shared" si="64"/>
        <v>75</v>
      </c>
      <c r="AA314" s="7">
        <f t="shared" si="65"/>
        <v>2026</v>
      </c>
      <c r="AB314" s="7">
        <f t="shared" si="66"/>
        <v>1</v>
      </c>
      <c r="AC314" s="7">
        <f t="shared" si="67"/>
        <v>1</v>
      </c>
      <c r="AD314" s="7" t="str">
        <f t="shared" si="68"/>
        <v>No</v>
      </c>
      <c r="AE314" s="7" t="str">
        <f t="shared" si="69"/>
        <v>Normal</v>
      </c>
    </row>
    <row r="315" spans="1:31">
      <c r="A315" t="s">
        <v>1166</v>
      </c>
      <c r="B315">
        <v>86536905</v>
      </c>
      <c r="C315" t="s">
        <v>1029</v>
      </c>
      <c r="D315" t="s">
        <v>1167</v>
      </c>
      <c r="E315" t="s">
        <v>20</v>
      </c>
      <c r="F315" t="s">
        <v>80</v>
      </c>
      <c r="G315" t="s">
        <v>35</v>
      </c>
      <c r="I315" t="s">
        <v>3376</v>
      </c>
      <c r="J315">
        <v>6669</v>
      </c>
      <c r="K315" t="s">
        <v>27</v>
      </c>
      <c r="L315" t="s">
        <v>75</v>
      </c>
      <c r="M315" s="1">
        <v>44669.179861111108</v>
      </c>
      <c r="N315">
        <v>66</v>
      </c>
      <c r="O315" t="s">
        <v>24</v>
      </c>
      <c r="P315" t="s">
        <v>37</v>
      </c>
      <c r="Q315" t="s">
        <v>1168</v>
      </c>
      <c r="R315" t="str">
        <f t="shared" si="56"/>
        <v>Charles Miller</v>
      </c>
      <c r="S315" t="str">
        <f t="shared" si="57"/>
        <v>Jean-Pierre Thomas</v>
      </c>
      <c r="T315" t="str">
        <f t="shared" si="58"/>
        <v>USD</v>
      </c>
      <c r="U315" s="7" t="str">
        <f t="shared" si="59"/>
        <v>EUR</v>
      </c>
      <c r="V315" s="7" t="str">
        <f t="shared" si="60"/>
        <v>Brazil</v>
      </c>
      <c r="W315" s="7" t="str">
        <f t="shared" si="61"/>
        <v>South Africa</v>
      </c>
      <c r="X315" s="7" t="str">
        <f t="shared" si="62"/>
        <v>Internal</v>
      </c>
      <c r="Y315" s="7">
        <f t="shared" si="63"/>
        <v>6669</v>
      </c>
      <c r="Z315" s="7">
        <f t="shared" si="64"/>
        <v>66</v>
      </c>
      <c r="AA315" s="7">
        <f t="shared" si="65"/>
        <v>2022</v>
      </c>
      <c r="AB315" s="7">
        <f t="shared" si="66"/>
        <v>4</v>
      </c>
      <c r="AC315" s="7">
        <f t="shared" si="67"/>
        <v>1</v>
      </c>
      <c r="AD315" s="7" t="str">
        <f t="shared" si="68"/>
        <v>No</v>
      </c>
      <c r="AE315" s="7" t="str">
        <f t="shared" si="69"/>
        <v>High Risk</v>
      </c>
    </row>
    <row r="316" spans="1:31">
      <c r="A316" t="s">
        <v>1169</v>
      </c>
      <c r="B316">
        <v>61272646</v>
      </c>
      <c r="C316" t="s">
        <v>577</v>
      </c>
      <c r="D316" t="s">
        <v>768</v>
      </c>
      <c r="E316" t="s">
        <v>20</v>
      </c>
      <c r="F316" t="s">
        <v>53</v>
      </c>
      <c r="G316" t="s">
        <v>21</v>
      </c>
      <c r="H316" t="s">
        <v>25</v>
      </c>
      <c r="I316" t="s">
        <v>3376</v>
      </c>
      <c r="J316">
        <v>14417.24</v>
      </c>
      <c r="K316" t="s">
        <v>47</v>
      </c>
      <c r="L316" t="s">
        <v>28</v>
      </c>
      <c r="M316" s="1">
        <v>44920.035416666666</v>
      </c>
      <c r="N316">
        <v>69</v>
      </c>
      <c r="O316" t="s">
        <v>36</v>
      </c>
      <c r="P316" t="s">
        <v>93</v>
      </c>
      <c r="Q316" t="s">
        <v>1170</v>
      </c>
      <c r="R316" t="str">
        <f t="shared" si="56"/>
        <v>David Williams</v>
      </c>
      <c r="S316" t="str">
        <f t="shared" si="57"/>
        <v>Patricia Brown</v>
      </c>
      <c r="T316" t="str">
        <f t="shared" si="58"/>
        <v>AED</v>
      </c>
      <c r="U316" s="7" t="str">
        <f t="shared" si="59"/>
        <v>GBP</v>
      </c>
      <c r="V316" s="7" t="str">
        <f t="shared" si="60"/>
        <v>Germany</v>
      </c>
      <c r="W316" s="7" t="str">
        <f t="shared" si="61"/>
        <v>USA</v>
      </c>
      <c r="X316" s="7" t="str">
        <f t="shared" si="62"/>
        <v>Internal</v>
      </c>
      <c r="Y316" s="7">
        <f t="shared" si="63"/>
        <v>14417.24</v>
      </c>
      <c r="Z316" s="7">
        <f t="shared" si="64"/>
        <v>69</v>
      </c>
      <c r="AA316" s="7">
        <f t="shared" si="65"/>
        <v>2022</v>
      </c>
      <c r="AB316" s="7">
        <f t="shared" si="66"/>
        <v>12</v>
      </c>
      <c r="AC316" s="7">
        <f t="shared" si="67"/>
        <v>1</v>
      </c>
      <c r="AD316" s="7" t="str">
        <f t="shared" si="68"/>
        <v>No</v>
      </c>
      <c r="AE316" s="7" t="str">
        <f t="shared" si="69"/>
        <v>Normal</v>
      </c>
    </row>
    <row r="317" spans="1:31">
      <c r="A317" t="s">
        <v>1171</v>
      </c>
      <c r="B317">
        <v>16962963</v>
      </c>
      <c r="C317" t="s">
        <v>1172</v>
      </c>
      <c r="D317" t="s">
        <v>1173</v>
      </c>
      <c r="E317" t="s">
        <v>20</v>
      </c>
      <c r="F317" t="s">
        <v>44</v>
      </c>
      <c r="G317" t="s">
        <v>98</v>
      </c>
      <c r="H317" t="s">
        <v>56</v>
      </c>
      <c r="I317" t="s">
        <v>3377</v>
      </c>
      <c r="J317">
        <v>7267.73</v>
      </c>
      <c r="K317" t="s">
        <v>39</v>
      </c>
      <c r="L317" t="s">
        <v>48</v>
      </c>
      <c r="M317" s="1">
        <v>44924.095138888886</v>
      </c>
      <c r="N317">
        <v>59</v>
      </c>
      <c r="O317" t="s">
        <v>24</v>
      </c>
      <c r="P317" t="s">
        <v>37</v>
      </c>
      <c r="Q317" t="s">
        <v>1174</v>
      </c>
      <c r="R317" t="str">
        <f t="shared" si="56"/>
        <v>WILLIAM DAVIS</v>
      </c>
      <c r="S317" t="str">
        <f t="shared" si="57"/>
        <v>Jean-Pierre Martin</v>
      </c>
      <c r="T317" t="str">
        <f t="shared" si="58"/>
        <v>SGD</v>
      </c>
      <c r="U317" s="7" t="str">
        <f t="shared" si="59"/>
        <v>JPY</v>
      </c>
      <c r="V317" s="7" t="str">
        <f t="shared" si="60"/>
        <v>Brazil</v>
      </c>
      <c r="W317" s="7" t="str">
        <f t="shared" si="61"/>
        <v>South Africa</v>
      </c>
      <c r="X317" s="7" t="str">
        <f t="shared" si="62"/>
        <v>Inter-Transaction</v>
      </c>
      <c r="Y317" s="7">
        <f t="shared" si="63"/>
        <v>7267.73</v>
      </c>
      <c r="Z317" s="7">
        <f t="shared" si="64"/>
        <v>59</v>
      </c>
      <c r="AA317" s="7">
        <f t="shared" si="65"/>
        <v>2022</v>
      </c>
      <c r="AB317" s="7">
        <f t="shared" si="66"/>
        <v>12</v>
      </c>
      <c r="AC317" s="7">
        <f t="shared" si="67"/>
        <v>1</v>
      </c>
      <c r="AD317" s="7" t="str">
        <f t="shared" si="68"/>
        <v>No</v>
      </c>
      <c r="AE317" s="7" t="str">
        <f t="shared" si="69"/>
        <v>Normal</v>
      </c>
    </row>
    <row r="318" spans="1:31">
      <c r="A318" t="s">
        <v>1175</v>
      </c>
      <c r="B318">
        <v>64592513</v>
      </c>
      <c r="C318" t="s">
        <v>1176</v>
      </c>
      <c r="D318" t="s">
        <v>211</v>
      </c>
      <c r="E318" t="s">
        <v>20</v>
      </c>
      <c r="F318" t="s">
        <v>21</v>
      </c>
      <c r="G318" t="s">
        <v>34</v>
      </c>
      <c r="H318" t="s">
        <v>38</v>
      </c>
      <c r="I318" t="s">
        <v>3372</v>
      </c>
      <c r="J318">
        <v>636.46</v>
      </c>
      <c r="K318" t="s">
        <v>39</v>
      </c>
      <c r="L318" t="s">
        <v>75</v>
      </c>
      <c r="M318" s="1">
        <v>46325.342361111114</v>
      </c>
      <c r="N318">
        <v>32</v>
      </c>
      <c r="O318" t="s">
        <v>24</v>
      </c>
      <c r="P318" t="s">
        <v>62</v>
      </c>
      <c r="Q318" t="s">
        <v>1177</v>
      </c>
      <c r="R318" t="str">
        <f t="shared" si="56"/>
        <v>Thomas Williams</v>
      </c>
      <c r="S318" t="str">
        <f t="shared" si="57"/>
        <v>Zayn Nair</v>
      </c>
      <c r="T318" t="str">
        <f t="shared" si="58"/>
        <v>GBP</v>
      </c>
      <c r="U318" s="7" t="str">
        <f t="shared" si="59"/>
        <v>CAD</v>
      </c>
      <c r="V318" s="7" t="str">
        <f t="shared" si="60"/>
        <v>Brazil</v>
      </c>
      <c r="W318" s="7" t="str">
        <f t="shared" si="61"/>
        <v>Australia</v>
      </c>
      <c r="X318" s="7" t="str">
        <f t="shared" si="62"/>
        <v>Outer-Transaction</v>
      </c>
      <c r="Y318" s="7">
        <f t="shared" si="63"/>
        <v>636.46</v>
      </c>
      <c r="Z318" s="7">
        <f t="shared" si="64"/>
        <v>32</v>
      </c>
      <c r="AA318" s="7">
        <f t="shared" si="65"/>
        <v>2026</v>
      </c>
      <c r="AB318" s="7">
        <f t="shared" si="66"/>
        <v>10</v>
      </c>
      <c r="AC318" s="7">
        <f t="shared" si="67"/>
        <v>1</v>
      </c>
      <c r="AD318" s="7" t="str">
        <f t="shared" si="68"/>
        <v>No</v>
      </c>
      <c r="AE318" s="7" t="str">
        <f t="shared" si="69"/>
        <v>High Risk</v>
      </c>
    </row>
    <row r="319" spans="1:31">
      <c r="A319" t="s">
        <v>1178</v>
      </c>
      <c r="B319">
        <v>94853379</v>
      </c>
      <c r="C319" t="s">
        <v>1179</v>
      </c>
      <c r="D319" t="s">
        <v>1180</v>
      </c>
      <c r="E319" t="s">
        <v>20</v>
      </c>
      <c r="F319" t="s">
        <v>21</v>
      </c>
      <c r="G319" t="s">
        <v>22</v>
      </c>
      <c r="I319" t="s">
        <v>3376</v>
      </c>
      <c r="J319">
        <v>14982.33</v>
      </c>
      <c r="K319" t="s">
        <v>39</v>
      </c>
      <c r="L319" t="s">
        <v>48</v>
      </c>
      <c r="M319" s="1">
        <v>46294.70416666667</v>
      </c>
      <c r="N319">
        <v>71</v>
      </c>
      <c r="O319" t="s">
        <v>37</v>
      </c>
      <c r="P319" t="s">
        <v>37</v>
      </c>
      <c r="Q319" t="s">
        <v>1181</v>
      </c>
      <c r="R319" t="str">
        <f t="shared" si="56"/>
        <v>William Jackson</v>
      </c>
      <c r="S319" t="str">
        <f t="shared" si="57"/>
        <v>Amir Taylor</v>
      </c>
      <c r="T319" t="str">
        <f t="shared" si="58"/>
        <v>GBP</v>
      </c>
      <c r="U319" s="7" t="str">
        <f t="shared" si="59"/>
        <v>BRL</v>
      </c>
      <c r="V319" s="7" t="str">
        <f t="shared" si="60"/>
        <v>South Africa</v>
      </c>
      <c r="W319" s="7" t="str">
        <f t="shared" si="61"/>
        <v>South Africa</v>
      </c>
      <c r="X319" s="7" t="str">
        <f t="shared" si="62"/>
        <v>Internal</v>
      </c>
      <c r="Y319" s="7">
        <f t="shared" si="63"/>
        <v>14982.33</v>
      </c>
      <c r="Z319" s="7">
        <f t="shared" si="64"/>
        <v>71</v>
      </c>
      <c r="AA319" s="7">
        <f t="shared" si="65"/>
        <v>2026</v>
      </c>
      <c r="AB319" s="7">
        <f t="shared" si="66"/>
        <v>9</v>
      </c>
      <c r="AC319" s="7">
        <f t="shared" si="67"/>
        <v>1</v>
      </c>
      <c r="AD319" s="7" t="str">
        <f t="shared" si="68"/>
        <v>No</v>
      </c>
      <c r="AE319" s="7" t="str">
        <f t="shared" si="69"/>
        <v>Normal</v>
      </c>
    </row>
    <row r="320" spans="1:31">
      <c r="A320" t="s">
        <v>1182</v>
      </c>
      <c r="B320">
        <v>53169555</v>
      </c>
      <c r="C320" t="s">
        <v>1183</v>
      </c>
      <c r="D320" t="s">
        <v>986</v>
      </c>
      <c r="E320" t="s">
        <v>20</v>
      </c>
      <c r="F320" t="s">
        <v>22</v>
      </c>
      <c r="G320" t="s">
        <v>21</v>
      </c>
      <c r="H320" t="s">
        <v>56</v>
      </c>
      <c r="I320" t="s">
        <v>3376</v>
      </c>
      <c r="J320">
        <v>13430.07</v>
      </c>
      <c r="K320" t="s">
        <v>39</v>
      </c>
      <c r="L320" t="s">
        <v>81</v>
      </c>
      <c r="M320" s="1">
        <v>46319.561111111114</v>
      </c>
      <c r="N320">
        <v>77</v>
      </c>
      <c r="O320" t="s">
        <v>55</v>
      </c>
      <c r="P320" t="s">
        <v>54</v>
      </c>
      <c r="Q320" t="s">
        <v>1184</v>
      </c>
      <c r="R320" t="str">
        <f t="shared" si="56"/>
        <v>Richard Miller</v>
      </c>
      <c r="S320" t="str">
        <f t="shared" si="57"/>
        <v>Thomas Martin</v>
      </c>
      <c r="T320" t="str">
        <f t="shared" si="58"/>
        <v>BRL</v>
      </c>
      <c r="U320" s="7" t="str">
        <f t="shared" si="59"/>
        <v>GBP</v>
      </c>
      <c r="V320" s="7" t="str">
        <f t="shared" si="60"/>
        <v>UK</v>
      </c>
      <c r="W320" s="7" t="str">
        <f t="shared" si="61"/>
        <v>India</v>
      </c>
      <c r="X320" s="7" t="str">
        <f t="shared" si="62"/>
        <v>Internal</v>
      </c>
      <c r="Y320" s="7">
        <f t="shared" si="63"/>
        <v>13430.07</v>
      </c>
      <c r="Z320" s="7">
        <f t="shared" si="64"/>
        <v>77</v>
      </c>
      <c r="AA320" s="7">
        <f t="shared" si="65"/>
        <v>2026</v>
      </c>
      <c r="AB320" s="7">
        <f t="shared" si="66"/>
        <v>10</v>
      </c>
      <c r="AC320" s="7">
        <f t="shared" si="67"/>
        <v>1</v>
      </c>
      <c r="AD320" s="7" t="str">
        <f t="shared" si="68"/>
        <v>No</v>
      </c>
      <c r="AE320" s="7" t="str">
        <f t="shared" si="69"/>
        <v>Normal</v>
      </c>
    </row>
    <row r="321" spans="1:31">
      <c r="A321" t="s">
        <v>1185</v>
      </c>
      <c r="B321">
        <v>60516391</v>
      </c>
      <c r="C321" t="s">
        <v>1186</v>
      </c>
      <c r="D321" t="s">
        <v>326</v>
      </c>
      <c r="E321" t="s">
        <v>20</v>
      </c>
      <c r="F321" t="s">
        <v>22</v>
      </c>
      <c r="G321" t="s">
        <v>80</v>
      </c>
      <c r="H321" t="s">
        <v>103</v>
      </c>
      <c r="I321" t="s">
        <v>3374</v>
      </c>
      <c r="J321">
        <v>13821.77</v>
      </c>
      <c r="K321" t="s">
        <v>57</v>
      </c>
      <c r="L321" t="s">
        <v>48</v>
      </c>
      <c r="M321" s="1">
        <v>45800.15</v>
      </c>
      <c r="N321">
        <v>25</v>
      </c>
      <c r="O321" t="s">
        <v>93</v>
      </c>
      <c r="P321" t="s">
        <v>68</v>
      </c>
      <c r="Q321" t="s">
        <v>1187</v>
      </c>
      <c r="R321" t="str">
        <f t="shared" si="56"/>
        <v>AMIR MARTIN</v>
      </c>
      <c r="S321" t="str">
        <f t="shared" si="57"/>
        <v>Susan Gonzalez</v>
      </c>
      <c r="T321" t="str">
        <f t="shared" si="58"/>
        <v>BRL</v>
      </c>
      <c r="U321" s="7" t="str">
        <f t="shared" si="59"/>
        <v>USD</v>
      </c>
      <c r="V321" s="7" t="str">
        <f t="shared" si="60"/>
        <v>USA</v>
      </c>
      <c r="W321" s="7" t="str">
        <f t="shared" si="61"/>
        <v>UAE</v>
      </c>
      <c r="X321" s="7" t="str">
        <f t="shared" si="62"/>
        <v>External</v>
      </c>
      <c r="Y321" s="7">
        <f t="shared" si="63"/>
        <v>13821.77</v>
      </c>
      <c r="Z321" s="7">
        <f t="shared" si="64"/>
        <v>25</v>
      </c>
      <c r="AA321" s="7">
        <f t="shared" si="65"/>
        <v>2025</v>
      </c>
      <c r="AB321" s="7">
        <f t="shared" si="66"/>
        <v>5</v>
      </c>
      <c r="AC321" s="7">
        <f t="shared" si="67"/>
        <v>1</v>
      </c>
      <c r="AD321" s="7" t="str">
        <f t="shared" si="68"/>
        <v>No</v>
      </c>
      <c r="AE321" s="7" t="str">
        <f t="shared" si="69"/>
        <v>Normal</v>
      </c>
    </row>
    <row r="322" spans="1:31">
      <c r="A322" t="s">
        <v>1188</v>
      </c>
      <c r="B322">
        <v>91339562</v>
      </c>
      <c r="C322" t="s">
        <v>728</v>
      </c>
      <c r="D322" t="s">
        <v>585</v>
      </c>
      <c r="E322" t="s">
        <v>20</v>
      </c>
      <c r="F322" t="s">
        <v>35</v>
      </c>
      <c r="G322" t="s">
        <v>53</v>
      </c>
      <c r="I322" t="s">
        <v>3376</v>
      </c>
      <c r="J322">
        <v>8481.4500000000007</v>
      </c>
      <c r="K322" t="s">
        <v>86</v>
      </c>
      <c r="L322" t="s">
        <v>48</v>
      </c>
      <c r="M322" s="1">
        <v>46342.844444444447</v>
      </c>
      <c r="N322">
        <v>70</v>
      </c>
      <c r="O322" t="s">
        <v>127</v>
      </c>
      <c r="P322" t="s">
        <v>127</v>
      </c>
      <c r="Q322" t="s">
        <v>1189</v>
      </c>
      <c r="R322" t="str">
        <f t="shared" ref="R322:R385" si="70">TRIM(C322)</f>
        <v>William Smith</v>
      </c>
      <c r="S322" t="str">
        <f t="shared" ref="S322:S385" si="71">PROPER(D322)</f>
        <v>William Khan</v>
      </c>
      <c r="T322" t="str">
        <f t="shared" ref="T322:T385" si="72">TRIM(F322)</f>
        <v>EUR</v>
      </c>
      <c r="U322" s="7" t="str">
        <f t="shared" ref="U322:U385" si="73">TRIM(G322)</f>
        <v>AED</v>
      </c>
      <c r="V322" s="7" t="str">
        <f t="shared" ref="V322:V385" si="74">TRIM(O322)</f>
        <v>Canada</v>
      </c>
      <c r="W322" s="7" t="str">
        <f t="shared" ref="W322:W385" si="75">TRIM(P322)</f>
        <v>Canada</v>
      </c>
      <c r="X322" s="7" t="str">
        <f t="shared" ref="X322:X385" si="76">PROPER(I322)</f>
        <v>Internal</v>
      </c>
      <c r="Y322" s="7">
        <f t="shared" ref="Y322:Y385" si="77">IF(J322="",AVERAGE($J:$J),J322)</f>
        <v>8481.4500000000007</v>
      </c>
      <c r="Z322" s="7">
        <f t="shared" ref="Z322:Z385" si="78">IF(N322="",AVERAGE($N:$N),N322)</f>
        <v>70</v>
      </c>
      <c r="AA322" s="7">
        <f t="shared" ref="AA322:AA385" si="79">YEAR(M322)</f>
        <v>2026</v>
      </c>
      <c r="AB322" s="7">
        <f t="shared" ref="AB322:AB385" si="80">MONTH(M322)</f>
        <v>11</v>
      </c>
      <c r="AC322" s="7">
        <f t="shared" ref="AC322:AC385" si="81">COUNTIF(A:A,A322)</f>
        <v>1</v>
      </c>
      <c r="AD322" s="7" t="str">
        <f t="shared" ref="AD322:AD385" si="82">IF(C322="YES","Yes","No")</f>
        <v>No</v>
      </c>
      <c r="AE322" s="7" t="str">
        <f t="shared" ref="AE322:AE385" si="83">IF(L322="HIGH","High Risk","Normal")</f>
        <v>Normal</v>
      </c>
    </row>
    <row r="323" spans="1:31">
      <c r="A323" t="s">
        <v>1190</v>
      </c>
      <c r="B323">
        <v>13102778</v>
      </c>
      <c r="C323" t="s">
        <v>1191</v>
      </c>
      <c r="D323" t="s">
        <v>1192</v>
      </c>
      <c r="E323" t="s">
        <v>20</v>
      </c>
      <c r="F323" t="s">
        <v>294</v>
      </c>
      <c r="G323" t="s">
        <v>44</v>
      </c>
      <c r="H323" t="s">
        <v>103</v>
      </c>
      <c r="I323" t="s">
        <v>3372</v>
      </c>
      <c r="J323">
        <v>12666.68</v>
      </c>
      <c r="K323" t="s">
        <v>39</v>
      </c>
      <c r="L323" t="s">
        <v>75</v>
      </c>
      <c r="M323" s="1">
        <v>46274.89166666667</v>
      </c>
      <c r="N323">
        <v>77</v>
      </c>
      <c r="O323" t="s">
        <v>68</v>
      </c>
      <c r="P323" t="s">
        <v>23</v>
      </c>
      <c r="Q323" t="s">
        <v>1193</v>
      </c>
      <c r="R323" t="str">
        <f t="shared" si="70"/>
        <v>Elena Velez</v>
      </c>
      <c r="S323" t="str">
        <f t="shared" si="71"/>
        <v>Karen Martin</v>
      </c>
      <c r="T323" t="str">
        <f t="shared" si="72"/>
        <v>jpy</v>
      </c>
      <c r="U323" s="7" t="str">
        <f t="shared" si="73"/>
        <v>SGD</v>
      </c>
      <c r="V323" s="7" t="str">
        <f t="shared" si="74"/>
        <v>UAE</v>
      </c>
      <c r="W323" s="7" t="str">
        <f t="shared" si="75"/>
        <v>France</v>
      </c>
      <c r="X323" s="7" t="str">
        <f t="shared" si="76"/>
        <v>Outer-Transaction</v>
      </c>
      <c r="Y323" s="7">
        <f t="shared" si="77"/>
        <v>12666.68</v>
      </c>
      <c r="Z323" s="7">
        <f t="shared" si="78"/>
        <v>77</v>
      </c>
      <c r="AA323" s="7">
        <f t="shared" si="79"/>
        <v>2026</v>
      </c>
      <c r="AB323" s="7">
        <f t="shared" si="80"/>
        <v>9</v>
      </c>
      <c r="AC323" s="7">
        <f t="shared" si="81"/>
        <v>1</v>
      </c>
      <c r="AD323" s="7" t="str">
        <f t="shared" si="82"/>
        <v>No</v>
      </c>
      <c r="AE323" s="7" t="str">
        <f t="shared" si="83"/>
        <v>High Risk</v>
      </c>
    </row>
    <row r="324" spans="1:31">
      <c r="A324" t="s">
        <v>1194</v>
      </c>
      <c r="B324">
        <v>66379776</v>
      </c>
      <c r="C324" t="s">
        <v>897</v>
      </c>
      <c r="D324" t="s">
        <v>809</v>
      </c>
      <c r="E324" t="s">
        <v>20</v>
      </c>
      <c r="F324" t="s">
        <v>34</v>
      </c>
      <c r="G324" t="s">
        <v>35</v>
      </c>
      <c r="H324" t="s">
        <v>25</v>
      </c>
      <c r="I324" t="s">
        <v>3371</v>
      </c>
      <c r="J324">
        <v>2961.18</v>
      </c>
      <c r="K324" t="s">
        <v>57</v>
      </c>
      <c r="L324" t="s">
        <v>75</v>
      </c>
      <c r="M324" s="1">
        <v>45405.07916666667</v>
      </c>
      <c r="N324">
        <v>22</v>
      </c>
      <c r="O324" t="s">
        <v>24</v>
      </c>
      <c r="P324" t="s">
        <v>24</v>
      </c>
      <c r="Q324" t="s">
        <v>1195</v>
      </c>
      <c r="R324" t="str">
        <f t="shared" si="70"/>
        <v>Karen Anderson</v>
      </c>
      <c r="S324" t="str">
        <f t="shared" si="71"/>
        <v>Richard Smith</v>
      </c>
      <c r="T324" t="str">
        <f t="shared" si="72"/>
        <v>CAD</v>
      </c>
      <c r="U324" s="7" t="str">
        <f t="shared" si="73"/>
        <v>EUR</v>
      </c>
      <c r="V324" s="7" t="str">
        <f t="shared" si="74"/>
        <v>Brazil</v>
      </c>
      <c r="W324" s="7" t="str">
        <f t="shared" si="75"/>
        <v>Brazil</v>
      </c>
      <c r="X324" s="7" t="str">
        <f t="shared" si="76"/>
        <v>Outer-Transaction</v>
      </c>
      <c r="Y324" s="7">
        <f t="shared" si="77"/>
        <v>2961.18</v>
      </c>
      <c r="Z324" s="7">
        <f t="shared" si="78"/>
        <v>22</v>
      </c>
      <c r="AA324" s="7">
        <f t="shared" si="79"/>
        <v>2024</v>
      </c>
      <c r="AB324" s="7">
        <f t="shared" si="80"/>
        <v>4</v>
      </c>
      <c r="AC324" s="7">
        <f t="shared" si="81"/>
        <v>1</v>
      </c>
      <c r="AD324" s="7" t="str">
        <f t="shared" si="82"/>
        <v>No</v>
      </c>
      <c r="AE324" s="7" t="str">
        <f t="shared" si="83"/>
        <v>High Risk</v>
      </c>
    </row>
    <row r="325" spans="1:31">
      <c r="A325" t="s">
        <v>1196</v>
      </c>
      <c r="B325">
        <v>43609390</v>
      </c>
      <c r="C325" t="s">
        <v>574</v>
      </c>
      <c r="D325" t="s">
        <v>1197</v>
      </c>
      <c r="E325">
        <v>1</v>
      </c>
      <c r="F325" t="s">
        <v>80</v>
      </c>
      <c r="G325" t="s">
        <v>393</v>
      </c>
      <c r="H325" t="s">
        <v>25</v>
      </c>
      <c r="I325" t="s">
        <v>3374</v>
      </c>
      <c r="J325">
        <v>6702.38</v>
      </c>
      <c r="K325" t="s">
        <v>86</v>
      </c>
      <c r="L325" t="s">
        <v>28</v>
      </c>
      <c r="M325" s="1">
        <v>45411.87777777778</v>
      </c>
      <c r="N325">
        <v>85</v>
      </c>
      <c r="O325" t="s">
        <v>23</v>
      </c>
      <c r="P325" t="s">
        <v>54</v>
      </c>
      <c r="Q325" t="s">
        <v>1198</v>
      </c>
      <c r="R325" t="str">
        <f t="shared" si="70"/>
        <v>Elizabeth Brown</v>
      </c>
      <c r="S325" t="str">
        <f t="shared" si="71"/>
        <v>Sarah Davis</v>
      </c>
      <c r="T325" t="str">
        <f t="shared" si="72"/>
        <v>USD</v>
      </c>
      <c r="U325" s="7" t="str">
        <f t="shared" si="73"/>
        <v>cad</v>
      </c>
      <c r="V325" s="7" t="str">
        <f t="shared" si="74"/>
        <v>France</v>
      </c>
      <c r="W325" s="7" t="str">
        <f t="shared" si="75"/>
        <v>India</v>
      </c>
      <c r="X325" s="7" t="str">
        <f t="shared" si="76"/>
        <v>External</v>
      </c>
      <c r="Y325" s="7">
        <f t="shared" si="77"/>
        <v>6702.38</v>
      </c>
      <c r="Z325" s="7">
        <f t="shared" si="78"/>
        <v>85</v>
      </c>
      <c r="AA325" s="7">
        <f t="shared" si="79"/>
        <v>2024</v>
      </c>
      <c r="AB325" s="7">
        <f t="shared" si="80"/>
        <v>4</v>
      </c>
      <c r="AC325" s="7">
        <f t="shared" si="81"/>
        <v>1</v>
      </c>
      <c r="AD325" s="7" t="str">
        <f t="shared" si="82"/>
        <v>No</v>
      </c>
      <c r="AE325" s="7" t="str">
        <f t="shared" si="83"/>
        <v>Normal</v>
      </c>
    </row>
    <row r="326" spans="1:31">
      <c r="A326" t="s">
        <v>1199</v>
      </c>
      <c r="B326">
        <v>50462762</v>
      </c>
      <c r="C326" t="s">
        <v>1126</v>
      </c>
      <c r="D326" t="s">
        <v>1200</v>
      </c>
      <c r="E326" t="s">
        <v>20</v>
      </c>
      <c r="F326" t="s">
        <v>112</v>
      </c>
      <c r="G326" t="s">
        <v>98</v>
      </c>
      <c r="H326" t="s">
        <v>38</v>
      </c>
      <c r="I326" t="s">
        <v>3374</v>
      </c>
      <c r="J326">
        <v>9363.8799999999992</v>
      </c>
      <c r="K326" t="s">
        <v>39</v>
      </c>
      <c r="L326" t="s">
        <v>81</v>
      </c>
      <c r="M326" s="1">
        <v>46273.149305555555</v>
      </c>
      <c r="N326">
        <v>23</v>
      </c>
      <c r="O326" t="s">
        <v>36</v>
      </c>
      <c r="P326" t="s">
        <v>37</v>
      </c>
      <c r="Q326" t="s">
        <v>1201</v>
      </c>
      <c r="R326" t="str">
        <f t="shared" si="70"/>
        <v>Nancy Nair</v>
      </c>
      <c r="S326" t="str">
        <f t="shared" si="71"/>
        <v>Jessica Williams</v>
      </c>
      <c r="T326" t="str">
        <f t="shared" si="72"/>
        <v>usd</v>
      </c>
      <c r="U326" s="7" t="str">
        <f t="shared" si="73"/>
        <v>JPY</v>
      </c>
      <c r="V326" s="7" t="str">
        <f t="shared" si="74"/>
        <v>Germany</v>
      </c>
      <c r="W326" s="7" t="str">
        <f t="shared" si="75"/>
        <v>South Africa</v>
      </c>
      <c r="X326" s="7" t="str">
        <f t="shared" si="76"/>
        <v>External</v>
      </c>
      <c r="Y326" s="7">
        <f t="shared" si="77"/>
        <v>9363.8799999999992</v>
      </c>
      <c r="Z326" s="7">
        <f t="shared" si="78"/>
        <v>23</v>
      </c>
      <c r="AA326" s="7">
        <f t="shared" si="79"/>
        <v>2026</v>
      </c>
      <c r="AB326" s="7">
        <f t="shared" si="80"/>
        <v>9</v>
      </c>
      <c r="AC326" s="7">
        <f t="shared" si="81"/>
        <v>1</v>
      </c>
      <c r="AD326" s="7" t="str">
        <f t="shared" si="82"/>
        <v>No</v>
      </c>
      <c r="AE326" s="7" t="str">
        <f t="shared" si="83"/>
        <v>Normal</v>
      </c>
    </row>
    <row r="327" spans="1:31">
      <c r="A327" t="s">
        <v>1202</v>
      </c>
      <c r="B327">
        <v>88894973</v>
      </c>
      <c r="C327" t="s">
        <v>787</v>
      </c>
      <c r="D327" t="s">
        <v>18</v>
      </c>
      <c r="E327" t="s">
        <v>20</v>
      </c>
      <c r="F327" t="s">
        <v>35</v>
      </c>
      <c r="G327" t="s">
        <v>116</v>
      </c>
      <c r="H327" t="s">
        <v>56</v>
      </c>
      <c r="I327" t="s">
        <v>3372</v>
      </c>
      <c r="J327">
        <v>10872.1</v>
      </c>
      <c r="K327" t="s">
        <v>39</v>
      </c>
      <c r="L327" t="s">
        <v>48</v>
      </c>
      <c r="M327" s="1">
        <v>46204.243750000001</v>
      </c>
      <c r="N327">
        <v>64</v>
      </c>
      <c r="O327" t="s">
        <v>55</v>
      </c>
      <c r="P327" t="s">
        <v>36</v>
      </c>
      <c r="Q327" t="s">
        <v>1203</v>
      </c>
      <c r="R327" t="str">
        <f t="shared" si="70"/>
        <v>William Brown</v>
      </c>
      <c r="S327" t="str">
        <f t="shared" si="71"/>
        <v>Patricia Smith</v>
      </c>
      <c r="T327" t="str">
        <f t="shared" si="72"/>
        <v>EUR</v>
      </c>
      <c r="U327" s="7" t="str">
        <f t="shared" si="73"/>
        <v>CHF</v>
      </c>
      <c r="V327" s="7" t="str">
        <f t="shared" si="74"/>
        <v>UK</v>
      </c>
      <c r="W327" s="7" t="str">
        <f t="shared" si="75"/>
        <v>Germany</v>
      </c>
      <c r="X327" s="7" t="str">
        <f t="shared" si="76"/>
        <v>Outer-Transaction</v>
      </c>
      <c r="Y327" s="7">
        <f t="shared" si="77"/>
        <v>10872.1</v>
      </c>
      <c r="Z327" s="7">
        <f t="shared" si="78"/>
        <v>64</v>
      </c>
      <c r="AA327" s="7">
        <f t="shared" si="79"/>
        <v>2026</v>
      </c>
      <c r="AB327" s="7">
        <f t="shared" si="80"/>
        <v>7</v>
      </c>
      <c r="AC327" s="7">
        <f t="shared" si="81"/>
        <v>1</v>
      </c>
      <c r="AD327" s="7" t="str">
        <f t="shared" si="82"/>
        <v>No</v>
      </c>
      <c r="AE327" s="7" t="str">
        <f t="shared" si="83"/>
        <v>Normal</v>
      </c>
    </row>
    <row r="328" spans="1:31">
      <c r="A328" t="s">
        <v>1204</v>
      </c>
      <c r="B328">
        <v>88338313</v>
      </c>
      <c r="C328" t="s">
        <v>704</v>
      </c>
      <c r="D328" t="s">
        <v>1205</v>
      </c>
      <c r="E328" t="s">
        <v>20</v>
      </c>
      <c r="F328" t="s">
        <v>53</v>
      </c>
      <c r="G328" t="s">
        <v>1084</v>
      </c>
      <c r="H328" t="s">
        <v>25</v>
      </c>
      <c r="I328" t="s">
        <v>3371</v>
      </c>
      <c r="J328">
        <v>7611.55</v>
      </c>
      <c r="K328" t="s">
        <v>27</v>
      </c>
      <c r="L328" t="s">
        <v>28</v>
      </c>
      <c r="M328" s="1">
        <v>44945.841666666667</v>
      </c>
      <c r="N328">
        <v>72</v>
      </c>
      <c r="O328" t="s">
        <v>24</v>
      </c>
      <c r="P328" t="s">
        <v>127</v>
      </c>
      <c r="Q328" t="s">
        <v>1206</v>
      </c>
      <c r="R328" t="str">
        <f t="shared" si="70"/>
        <v>Carlos Moore</v>
      </c>
      <c r="S328" t="str">
        <f t="shared" si="71"/>
        <v>Jean-Pierre Jones</v>
      </c>
      <c r="T328" t="str">
        <f t="shared" si="72"/>
        <v>AED</v>
      </c>
      <c r="U328" s="7" t="str">
        <f t="shared" si="73"/>
        <v>chf</v>
      </c>
      <c r="V328" s="7" t="str">
        <f t="shared" si="74"/>
        <v>Brazil</v>
      </c>
      <c r="W328" s="7" t="str">
        <f t="shared" si="75"/>
        <v>Canada</v>
      </c>
      <c r="X328" s="7" t="str">
        <f t="shared" si="76"/>
        <v>Outer-Transaction</v>
      </c>
      <c r="Y328" s="7">
        <f t="shared" si="77"/>
        <v>7611.55</v>
      </c>
      <c r="Z328" s="7">
        <f t="shared" si="78"/>
        <v>72</v>
      </c>
      <c r="AA328" s="7">
        <f t="shared" si="79"/>
        <v>2023</v>
      </c>
      <c r="AB328" s="7">
        <f t="shared" si="80"/>
        <v>1</v>
      </c>
      <c r="AC328" s="7">
        <f t="shared" si="81"/>
        <v>1</v>
      </c>
      <c r="AD328" s="7" t="str">
        <f t="shared" si="82"/>
        <v>No</v>
      </c>
      <c r="AE328" s="7" t="str">
        <f t="shared" si="83"/>
        <v>Normal</v>
      </c>
    </row>
    <row r="329" spans="1:31">
      <c r="A329" t="s">
        <v>1207</v>
      </c>
      <c r="B329">
        <v>72733686</v>
      </c>
      <c r="C329" t="s">
        <v>629</v>
      </c>
      <c r="D329" t="s">
        <v>1208</v>
      </c>
      <c r="E329" t="s">
        <v>20</v>
      </c>
      <c r="F329" t="s">
        <v>34</v>
      </c>
      <c r="G329" t="s">
        <v>116</v>
      </c>
      <c r="H329" t="s">
        <v>56</v>
      </c>
      <c r="I329" t="s">
        <v>3371</v>
      </c>
      <c r="J329">
        <v>13800.1</v>
      </c>
      <c r="K329" t="s">
        <v>47</v>
      </c>
      <c r="L329" t="s">
        <v>48</v>
      </c>
      <c r="M329" s="1">
        <v>44580.9</v>
      </c>
      <c r="N329">
        <v>57</v>
      </c>
      <c r="O329" t="s">
        <v>55</v>
      </c>
      <c r="P329" t="s">
        <v>54</v>
      </c>
      <c r="Q329" t="s">
        <v>1209</v>
      </c>
      <c r="R329" t="str">
        <f t="shared" si="70"/>
        <v>Nancy Rostova</v>
      </c>
      <c r="S329" t="str">
        <f t="shared" si="71"/>
        <v>Richard Malik</v>
      </c>
      <c r="T329" t="str">
        <f t="shared" si="72"/>
        <v>CAD</v>
      </c>
      <c r="U329" s="7" t="str">
        <f t="shared" si="73"/>
        <v>CHF</v>
      </c>
      <c r="V329" s="7" t="str">
        <f t="shared" si="74"/>
        <v>UK</v>
      </c>
      <c r="W329" s="7" t="str">
        <f t="shared" si="75"/>
        <v>India</v>
      </c>
      <c r="X329" s="7" t="str">
        <f t="shared" si="76"/>
        <v>Outer-Transaction</v>
      </c>
      <c r="Y329" s="7">
        <f t="shared" si="77"/>
        <v>13800.1</v>
      </c>
      <c r="Z329" s="7">
        <f t="shared" si="78"/>
        <v>57</v>
      </c>
      <c r="AA329" s="7">
        <f t="shared" si="79"/>
        <v>2022</v>
      </c>
      <c r="AB329" s="7">
        <f t="shared" si="80"/>
        <v>1</v>
      </c>
      <c r="AC329" s="7">
        <f t="shared" si="81"/>
        <v>1</v>
      </c>
      <c r="AD329" s="7" t="str">
        <f t="shared" si="82"/>
        <v>No</v>
      </c>
      <c r="AE329" s="7" t="str">
        <f t="shared" si="83"/>
        <v>Normal</v>
      </c>
    </row>
    <row r="330" spans="1:31">
      <c r="A330" t="s">
        <v>1210</v>
      </c>
      <c r="B330">
        <v>34728879</v>
      </c>
      <c r="C330" t="s">
        <v>783</v>
      </c>
      <c r="D330" t="s">
        <v>693</v>
      </c>
      <c r="E330" t="s">
        <v>20</v>
      </c>
      <c r="F330" t="s">
        <v>80</v>
      </c>
      <c r="G330" t="s">
        <v>98</v>
      </c>
      <c r="H330" t="s">
        <v>25</v>
      </c>
      <c r="I330" t="s">
        <v>3377</v>
      </c>
      <c r="J330">
        <v>2994.85</v>
      </c>
      <c r="K330" t="s">
        <v>57</v>
      </c>
      <c r="L330" t="s">
        <v>48</v>
      </c>
      <c r="M330" s="1">
        <v>44924.933333333334</v>
      </c>
      <c r="N330">
        <v>69</v>
      </c>
      <c r="O330" t="s">
        <v>55</v>
      </c>
      <c r="P330" t="s">
        <v>24</v>
      </c>
      <c r="Q330" t="s">
        <v>1211</v>
      </c>
      <c r="R330" t="str">
        <f t="shared" si="70"/>
        <v>Amir Smith</v>
      </c>
      <c r="S330" t="str">
        <f t="shared" si="71"/>
        <v>Susan Smith</v>
      </c>
      <c r="T330" t="str">
        <f t="shared" si="72"/>
        <v>USD</v>
      </c>
      <c r="U330" s="7" t="str">
        <f t="shared" si="73"/>
        <v>JPY</v>
      </c>
      <c r="V330" s="7" t="str">
        <f t="shared" si="74"/>
        <v>UK</v>
      </c>
      <c r="W330" s="7" t="str">
        <f t="shared" si="75"/>
        <v>Brazil</v>
      </c>
      <c r="X330" s="7" t="str">
        <f t="shared" si="76"/>
        <v>Inter-Transaction</v>
      </c>
      <c r="Y330" s="7">
        <f t="shared" si="77"/>
        <v>2994.85</v>
      </c>
      <c r="Z330" s="7">
        <f t="shared" si="78"/>
        <v>69</v>
      </c>
      <c r="AA330" s="7">
        <f t="shared" si="79"/>
        <v>2022</v>
      </c>
      <c r="AB330" s="7">
        <f t="shared" si="80"/>
        <v>12</v>
      </c>
      <c r="AC330" s="7">
        <f t="shared" si="81"/>
        <v>1</v>
      </c>
      <c r="AD330" s="7" t="str">
        <f t="shared" si="82"/>
        <v>No</v>
      </c>
      <c r="AE330" s="7" t="str">
        <f t="shared" si="83"/>
        <v>Normal</v>
      </c>
    </row>
    <row r="331" spans="1:31">
      <c r="A331" t="s">
        <v>1212</v>
      </c>
      <c r="B331">
        <v>23581521</v>
      </c>
      <c r="C331" t="s">
        <v>1213</v>
      </c>
      <c r="D331" t="s">
        <v>290</v>
      </c>
      <c r="E331" t="s">
        <v>20</v>
      </c>
      <c r="F331" t="s">
        <v>35</v>
      </c>
      <c r="G331" t="s">
        <v>34</v>
      </c>
      <c r="H331" t="s">
        <v>38</v>
      </c>
      <c r="I331" t="s">
        <v>3376</v>
      </c>
      <c r="J331">
        <v>13226.14</v>
      </c>
      <c r="K331" t="s">
        <v>86</v>
      </c>
      <c r="L331" t="s">
        <v>28</v>
      </c>
      <c r="M331" s="1">
        <v>45020.943055555559</v>
      </c>
      <c r="N331">
        <v>33</v>
      </c>
      <c r="O331" t="s">
        <v>24</v>
      </c>
      <c r="P331" t="s">
        <v>68</v>
      </c>
      <c r="Q331" t="s">
        <v>1214</v>
      </c>
      <c r="R331" t="str">
        <f t="shared" si="70"/>
        <v>John Khan</v>
      </c>
      <c r="S331" t="str">
        <f t="shared" si="71"/>
        <v>Marta Jones</v>
      </c>
      <c r="T331" t="str">
        <f t="shared" si="72"/>
        <v>EUR</v>
      </c>
      <c r="U331" s="7" t="str">
        <f t="shared" si="73"/>
        <v>CAD</v>
      </c>
      <c r="V331" s="7" t="str">
        <f t="shared" si="74"/>
        <v>Brazil</v>
      </c>
      <c r="W331" s="7" t="str">
        <f t="shared" si="75"/>
        <v>UAE</v>
      </c>
      <c r="X331" s="7" t="str">
        <f t="shared" si="76"/>
        <v>Internal</v>
      </c>
      <c r="Y331" s="7">
        <f t="shared" si="77"/>
        <v>13226.14</v>
      </c>
      <c r="Z331" s="7">
        <f t="shared" si="78"/>
        <v>33</v>
      </c>
      <c r="AA331" s="7">
        <f t="shared" si="79"/>
        <v>2023</v>
      </c>
      <c r="AB331" s="7">
        <f t="shared" si="80"/>
        <v>4</v>
      </c>
      <c r="AC331" s="7">
        <f t="shared" si="81"/>
        <v>1</v>
      </c>
      <c r="AD331" s="7" t="str">
        <f t="shared" si="82"/>
        <v>No</v>
      </c>
      <c r="AE331" s="7" t="str">
        <f t="shared" si="83"/>
        <v>Normal</v>
      </c>
    </row>
    <row r="332" spans="1:31">
      <c r="A332" t="s">
        <v>1215</v>
      </c>
      <c r="B332">
        <v>16200213</v>
      </c>
      <c r="C332" t="s">
        <v>1173</v>
      </c>
      <c r="D332" t="s">
        <v>1216</v>
      </c>
      <c r="E332" t="s">
        <v>3373</v>
      </c>
      <c r="F332" t="s">
        <v>53</v>
      </c>
      <c r="G332" t="s">
        <v>21</v>
      </c>
      <c r="H332" t="s">
        <v>38</v>
      </c>
      <c r="I332" t="s">
        <v>3372</v>
      </c>
      <c r="J332">
        <v>3146.47</v>
      </c>
      <c r="K332" t="s">
        <v>86</v>
      </c>
      <c r="L332" t="s">
        <v>81</v>
      </c>
      <c r="M332" s="1">
        <v>46092.813888888886</v>
      </c>
      <c r="N332">
        <v>30</v>
      </c>
      <c r="O332" t="s">
        <v>54</v>
      </c>
      <c r="P332" t="s">
        <v>127</v>
      </c>
      <c r="Q332" t="s">
        <v>1217</v>
      </c>
      <c r="R332" t="str">
        <f t="shared" si="70"/>
        <v>Jean-Pierre Martin</v>
      </c>
      <c r="S332" t="str">
        <f t="shared" si="71"/>
        <v>Christopher Miller</v>
      </c>
      <c r="T332" t="str">
        <f t="shared" si="72"/>
        <v>AED</v>
      </c>
      <c r="U332" s="7" t="str">
        <f t="shared" si="73"/>
        <v>GBP</v>
      </c>
      <c r="V332" s="7" t="str">
        <f t="shared" si="74"/>
        <v>India</v>
      </c>
      <c r="W332" s="7" t="str">
        <f t="shared" si="75"/>
        <v>Canada</v>
      </c>
      <c r="X332" s="7" t="str">
        <f t="shared" si="76"/>
        <v>Outer-Transaction</v>
      </c>
      <c r="Y332" s="7">
        <f t="shared" si="77"/>
        <v>3146.47</v>
      </c>
      <c r="Z332" s="7">
        <f t="shared" si="78"/>
        <v>30</v>
      </c>
      <c r="AA332" s="7">
        <f t="shared" si="79"/>
        <v>2026</v>
      </c>
      <c r="AB332" s="7">
        <f t="shared" si="80"/>
        <v>3</v>
      </c>
      <c r="AC332" s="7">
        <f t="shared" si="81"/>
        <v>1</v>
      </c>
      <c r="AD332" s="7" t="str">
        <f t="shared" si="82"/>
        <v>No</v>
      </c>
      <c r="AE332" s="7" t="str">
        <f t="shared" si="83"/>
        <v>Normal</v>
      </c>
    </row>
    <row r="333" spans="1:31">
      <c r="A333" t="s">
        <v>1218</v>
      </c>
      <c r="B333">
        <v>60181152</v>
      </c>
      <c r="C333" t="s">
        <v>1219</v>
      </c>
      <c r="D333" t="s">
        <v>1220</v>
      </c>
      <c r="E333">
        <v>1</v>
      </c>
      <c r="F333" t="s">
        <v>44</v>
      </c>
      <c r="G333" t="s">
        <v>53</v>
      </c>
      <c r="H333" t="s">
        <v>74</v>
      </c>
      <c r="I333" t="s">
        <v>3372</v>
      </c>
      <c r="J333">
        <v>12948.89</v>
      </c>
      <c r="K333" t="s">
        <v>39</v>
      </c>
      <c r="L333" t="s">
        <v>48</v>
      </c>
      <c r="M333" s="1">
        <v>45706.579861111109</v>
      </c>
      <c r="N333">
        <v>47</v>
      </c>
      <c r="O333" t="s">
        <v>62</v>
      </c>
      <c r="P333" t="s">
        <v>24</v>
      </c>
      <c r="Q333" t="s">
        <v>1221</v>
      </c>
      <c r="R333" t="str">
        <f t="shared" si="70"/>
        <v>Charles Rostova</v>
      </c>
      <c r="S333" t="str">
        <f t="shared" si="71"/>
        <v>Sarah Rostova</v>
      </c>
      <c r="T333" t="str">
        <f t="shared" si="72"/>
        <v>SGD</v>
      </c>
      <c r="U333" s="7" t="str">
        <f t="shared" si="73"/>
        <v>AED</v>
      </c>
      <c r="V333" s="7" t="str">
        <f t="shared" si="74"/>
        <v>Australia</v>
      </c>
      <c r="W333" s="7" t="str">
        <f t="shared" si="75"/>
        <v>Brazil</v>
      </c>
      <c r="X333" s="7" t="str">
        <f t="shared" si="76"/>
        <v>Outer-Transaction</v>
      </c>
      <c r="Y333" s="7">
        <f t="shared" si="77"/>
        <v>12948.89</v>
      </c>
      <c r="Z333" s="7">
        <f t="shared" si="78"/>
        <v>47</v>
      </c>
      <c r="AA333" s="7">
        <f t="shared" si="79"/>
        <v>2025</v>
      </c>
      <c r="AB333" s="7">
        <f t="shared" si="80"/>
        <v>2</v>
      </c>
      <c r="AC333" s="7">
        <f t="shared" si="81"/>
        <v>1</v>
      </c>
      <c r="AD333" s="7" t="str">
        <f t="shared" si="82"/>
        <v>No</v>
      </c>
      <c r="AE333" s="7" t="str">
        <f t="shared" si="83"/>
        <v>Normal</v>
      </c>
    </row>
    <row r="334" spans="1:31">
      <c r="A334" t="s">
        <v>1222</v>
      </c>
      <c r="B334">
        <v>49600674</v>
      </c>
      <c r="C334" t="s">
        <v>1223</v>
      </c>
      <c r="D334" t="s">
        <v>311</v>
      </c>
      <c r="E334" t="s">
        <v>20</v>
      </c>
      <c r="F334" t="s">
        <v>44</v>
      </c>
      <c r="G334" t="s">
        <v>98</v>
      </c>
      <c r="H334" t="s">
        <v>103</v>
      </c>
      <c r="I334" t="s">
        <v>3378</v>
      </c>
      <c r="J334">
        <v>5741.74</v>
      </c>
      <c r="K334" t="s">
        <v>47</v>
      </c>
      <c r="L334" t="s">
        <v>81</v>
      </c>
      <c r="M334" s="1">
        <v>45618.136111111111</v>
      </c>
      <c r="N334">
        <v>36</v>
      </c>
      <c r="O334" t="s">
        <v>23</v>
      </c>
      <c r="P334" t="s">
        <v>62</v>
      </c>
      <c r="Q334" t="s">
        <v>1224</v>
      </c>
      <c r="R334" t="str">
        <f t="shared" si="70"/>
        <v>Thomas Taylor</v>
      </c>
      <c r="S334" t="str">
        <f t="shared" si="71"/>
        <v>Susan Davis</v>
      </c>
      <c r="T334" t="str">
        <f t="shared" si="72"/>
        <v>SGD</v>
      </c>
      <c r="U334" s="7" t="str">
        <f t="shared" si="73"/>
        <v>JPY</v>
      </c>
      <c r="V334" s="7" t="str">
        <f t="shared" si="74"/>
        <v>France</v>
      </c>
      <c r="W334" s="7" t="str">
        <f t="shared" si="75"/>
        <v>Australia</v>
      </c>
      <c r="X334" s="7" t="str">
        <f t="shared" si="76"/>
        <v>Inter-Transaction</v>
      </c>
      <c r="Y334" s="7">
        <f t="shared" si="77"/>
        <v>5741.74</v>
      </c>
      <c r="Z334" s="7">
        <f t="shared" si="78"/>
        <v>36</v>
      </c>
      <c r="AA334" s="7">
        <f t="shared" si="79"/>
        <v>2024</v>
      </c>
      <c r="AB334" s="7">
        <f t="shared" si="80"/>
        <v>11</v>
      </c>
      <c r="AC334" s="7">
        <f t="shared" si="81"/>
        <v>1</v>
      </c>
      <c r="AD334" s="7" t="str">
        <f t="shared" si="82"/>
        <v>No</v>
      </c>
      <c r="AE334" s="7" t="str">
        <f t="shared" si="83"/>
        <v>Normal</v>
      </c>
    </row>
    <row r="335" spans="1:31">
      <c r="A335" t="s">
        <v>1225</v>
      </c>
      <c r="B335">
        <v>47101128</v>
      </c>
      <c r="C335" t="s">
        <v>419</v>
      </c>
      <c r="D335" t="s">
        <v>768</v>
      </c>
      <c r="E335" t="s">
        <v>20</v>
      </c>
      <c r="F335" t="s">
        <v>80</v>
      </c>
      <c r="G335" t="s">
        <v>98</v>
      </c>
      <c r="I335" t="s">
        <v>3378</v>
      </c>
      <c r="J335">
        <v>2867.73</v>
      </c>
      <c r="K335" t="s">
        <v>27</v>
      </c>
      <c r="L335" t="s">
        <v>48</v>
      </c>
      <c r="M335" s="1">
        <v>46247.864583333336</v>
      </c>
      <c r="N335">
        <v>34</v>
      </c>
      <c r="O335" t="s">
        <v>127</v>
      </c>
      <c r="P335" t="s">
        <v>62</v>
      </c>
      <c r="Q335" t="s">
        <v>1226</v>
      </c>
      <c r="R335" t="str">
        <f t="shared" si="70"/>
        <v>Priya Davis</v>
      </c>
      <c r="S335" t="str">
        <f t="shared" si="71"/>
        <v>Patricia Brown</v>
      </c>
      <c r="T335" t="str">
        <f t="shared" si="72"/>
        <v>USD</v>
      </c>
      <c r="U335" s="7" t="str">
        <f t="shared" si="73"/>
        <v>JPY</v>
      </c>
      <c r="V335" s="7" t="str">
        <f t="shared" si="74"/>
        <v>Canada</v>
      </c>
      <c r="W335" s="7" t="str">
        <f t="shared" si="75"/>
        <v>Australia</v>
      </c>
      <c r="X335" s="7" t="str">
        <f t="shared" si="76"/>
        <v>Inter-Transaction</v>
      </c>
      <c r="Y335" s="7">
        <f t="shared" si="77"/>
        <v>2867.73</v>
      </c>
      <c r="Z335" s="7">
        <f t="shared" si="78"/>
        <v>34</v>
      </c>
      <c r="AA335" s="7">
        <f t="shared" si="79"/>
        <v>2026</v>
      </c>
      <c r="AB335" s="7">
        <f t="shared" si="80"/>
        <v>8</v>
      </c>
      <c r="AC335" s="7">
        <f t="shared" si="81"/>
        <v>1</v>
      </c>
      <c r="AD335" s="7" t="str">
        <f t="shared" si="82"/>
        <v>No</v>
      </c>
      <c r="AE335" s="7" t="str">
        <f t="shared" si="83"/>
        <v>Normal</v>
      </c>
    </row>
    <row r="336" spans="1:31">
      <c r="A336" t="s">
        <v>1227</v>
      </c>
      <c r="B336">
        <v>97954019</v>
      </c>
      <c r="C336" t="s">
        <v>167</v>
      </c>
      <c r="D336" t="s">
        <v>869</v>
      </c>
      <c r="E336" t="b">
        <v>1</v>
      </c>
      <c r="F336" t="s">
        <v>21</v>
      </c>
      <c r="G336" t="s">
        <v>92</v>
      </c>
      <c r="H336" t="s">
        <v>38</v>
      </c>
      <c r="I336" t="s">
        <v>3372</v>
      </c>
      <c r="J336">
        <v>10840.43</v>
      </c>
      <c r="K336" t="s">
        <v>39</v>
      </c>
      <c r="L336" t="s">
        <v>75</v>
      </c>
      <c r="M336" s="1">
        <v>45438.65625</v>
      </c>
      <c r="N336">
        <v>80</v>
      </c>
      <c r="O336" t="s">
        <v>127</v>
      </c>
      <c r="P336" t="s">
        <v>24</v>
      </c>
      <c r="Q336" t="s">
        <v>1228</v>
      </c>
      <c r="R336" t="str">
        <f t="shared" si="70"/>
        <v>John Thomas</v>
      </c>
      <c r="S336" t="str">
        <f t="shared" si="71"/>
        <v>Sanjay Taylor</v>
      </c>
      <c r="T336" t="str">
        <f t="shared" si="72"/>
        <v>GBP</v>
      </c>
      <c r="U336" s="7" t="str">
        <f t="shared" si="73"/>
        <v>AUD</v>
      </c>
      <c r="V336" s="7" t="str">
        <f t="shared" si="74"/>
        <v>Canada</v>
      </c>
      <c r="W336" s="7" t="str">
        <f t="shared" si="75"/>
        <v>Brazil</v>
      </c>
      <c r="X336" s="7" t="str">
        <f t="shared" si="76"/>
        <v>Outer-Transaction</v>
      </c>
      <c r="Y336" s="7">
        <f t="shared" si="77"/>
        <v>10840.43</v>
      </c>
      <c r="Z336" s="7">
        <f t="shared" si="78"/>
        <v>80</v>
      </c>
      <c r="AA336" s="7">
        <f t="shared" si="79"/>
        <v>2024</v>
      </c>
      <c r="AB336" s="7">
        <f t="shared" si="80"/>
        <v>5</v>
      </c>
      <c r="AC336" s="7">
        <f t="shared" si="81"/>
        <v>1</v>
      </c>
      <c r="AD336" s="7" t="str">
        <f t="shared" si="82"/>
        <v>No</v>
      </c>
      <c r="AE336" s="7" t="str">
        <f t="shared" si="83"/>
        <v>High Risk</v>
      </c>
    </row>
    <row r="337" spans="1:31">
      <c r="A337" t="s">
        <v>1229</v>
      </c>
      <c r="B337">
        <v>60291405</v>
      </c>
      <c r="C337" t="s">
        <v>700</v>
      </c>
      <c r="D337" t="s">
        <v>1230</v>
      </c>
      <c r="E337" t="s">
        <v>20</v>
      </c>
      <c r="F337" t="s">
        <v>22</v>
      </c>
      <c r="G337" t="s">
        <v>80</v>
      </c>
      <c r="H337" t="s">
        <v>56</v>
      </c>
      <c r="I337" t="s">
        <v>3374</v>
      </c>
      <c r="J337">
        <v>8068.68</v>
      </c>
      <c r="K337" t="s">
        <v>57</v>
      </c>
      <c r="L337" t="s">
        <v>28</v>
      </c>
      <c r="M337" s="1">
        <v>43879.663194444445</v>
      </c>
      <c r="N337">
        <v>36</v>
      </c>
      <c r="O337" t="s">
        <v>23</v>
      </c>
      <c r="P337" t="s">
        <v>54</v>
      </c>
      <c r="Q337" t="s">
        <v>1231</v>
      </c>
      <c r="R337" t="str">
        <f t="shared" si="70"/>
        <v>Michael Jackson</v>
      </c>
      <c r="S337" t="str">
        <f t="shared" si="71"/>
        <v>Zayn Jones</v>
      </c>
      <c r="T337" t="str">
        <f t="shared" si="72"/>
        <v>BRL</v>
      </c>
      <c r="U337" s="7" t="str">
        <f t="shared" si="73"/>
        <v>USD</v>
      </c>
      <c r="V337" s="7" t="str">
        <f t="shared" si="74"/>
        <v>France</v>
      </c>
      <c r="W337" s="7" t="str">
        <f t="shared" si="75"/>
        <v>India</v>
      </c>
      <c r="X337" s="7" t="str">
        <f t="shared" si="76"/>
        <v>External</v>
      </c>
      <c r="Y337" s="7">
        <f t="shared" si="77"/>
        <v>8068.68</v>
      </c>
      <c r="Z337" s="7">
        <f t="shared" si="78"/>
        <v>36</v>
      </c>
      <c r="AA337" s="7">
        <f t="shared" si="79"/>
        <v>2020</v>
      </c>
      <c r="AB337" s="7">
        <f t="shared" si="80"/>
        <v>2</v>
      </c>
      <c r="AC337" s="7">
        <f t="shared" si="81"/>
        <v>1</v>
      </c>
      <c r="AD337" s="7" t="str">
        <f t="shared" si="82"/>
        <v>No</v>
      </c>
      <c r="AE337" s="7" t="str">
        <f t="shared" si="83"/>
        <v>Normal</v>
      </c>
    </row>
    <row r="338" spans="1:31">
      <c r="A338" t="s">
        <v>1232</v>
      </c>
      <c r="B338">
        <v>62463815</v>
      </c>
      <c r="C338" t="s">
        <v>1233</v>
      </c>
      <c r="D338" t="s">
        <v>263</v>
      </c>
      <c r="E338" t="s">
        <v>20</v>
      </c>
      <c r="F338" t="s">
        <v>121</v>
      </c>
      <c r="G338" t="s">
        <v>44</v>
      </c>
      <c r="H338" t="s">
        <v>25</v>
      </c>
      <c r="I338" t="s">
        <v>3374</v>
      </c>
      <c r="J338">
        <v>8298.07</v>
      </c>
      <c r="K338" t="s">
        <v>86</v>
      </c>
      <c r="L338" t="s">
        <v>81</v>
      </c>
      <c r="M338" s="1">
        <v>44906.811111111114</v>
      </c>
      <c r="N338">
        <v>75</v>
      </c>
      <c r="O338" t="s">
        <v>54</v>
      </c>
      <c r="P338" t="s">
        <v>127</v>
      </c>
      <c r="Q338" t="s">
        <v>1234</v>
      </c>
      <c r="R338" t="str">
        <f t="shared" si="70"/>
        <v>Joseph Miller</v>
      </c>
      <c r="S338" t="str">
        <f t="shared" si="71"/>
        <v>Joseph Williams</v>
      </c>
      <c r="T338" t="str">
        <f t="shared" si="72"/>
        <v>INR</v>
      </c>
      <c r="U338" s="7" t="str">
        <f t="shared" si="73"/>
        <v>SGD</v>
      </c>
      <c r="V338" s="7" t="str">
        <f t="shared" si="74"/>
        <v>India</v>
      </c>
      <c r="W338" s="7" t="str">
        <f t="shared" si="75"/>
        <v>Canada</v>
      </c>
      <c r="X338" s="7" t="str">
        <f t="shared" si="76"/>
        <v>External</v>
      </c>
      <c r="Y338" s="7">
        <f t="shared" si="77"/>
        <v>8298.07</v>
      </c>
      <c r="Z338" s="7">
        <f t="shared" si="78"/>
        <v>75</v>
      </c>
      <c r="AA338" s="7">
        <f t="shared" si="79"/>
        <v>2022</v>
      </c>
      <c r="AB338" s="7">
        <f t="shared" si="80"/>
        <v>12</v>
      </c>
      <c r="AC338" s="7">
        <f t="shared" si="81"/>
        <v>1</v>
      </c>
      <c r="AD338" s="7" t="str">
        <f t="shared" si="82"/>
        <v>No</v>
      </c>
      <c r="AE338" s="7" t="str">
        <f t="shared" si="83"/>
        <v>Normal</v>
      </c>
    </row>
    <row r="339" spans="1:31">
      <c r="A339" t="s">
        <v>1235</v>
      </c>
      <c r="B339">
        <v>17711235</v>
      </c>
      <c r="C339" t="s">
        <v>338</v>
      </c>
      <c r="D339" t="s">
        <v>1236</v>
      </c>
      <c r="E339" t="s">
        <v>20</v>
      </c>
      <c r="F339" t="s">
        <v>92</v>
      </c>
      <c r="G339" t="s">
        <v>92</v>
      </c>
      <c r="H339" t="s">
        <v>74</v>
      </c>
      <c r="I339" t="s">
        <v>3371</v>
      </c>
      <c r="J339">
        <v>13058.03</v>
      </c>
      <c r="K339" t="s">
        <v>57</v>
      </c>
      <c r="L339" t="s">
        <v>81</v>
      </c>
      <c r="M339" s="1">
        <v>45143.307638888888</v>
      </c>
      <c r="N339">
        <v>72</v>
      </c>
      <c r="O339" t="s">
        <v>127</v>
      </c>
      <c r="P339" t="s">
        <v>54</v>
      </c>
      <c r="Q339" t="s">
        <v>1237</v>
      </c>
      <c r="R339" t="str">
        <f t="shared" si="70"/>
        <v>Susan Taylor</v>
      </c>
      <c r="S339" t="str">
        <f t="shared" si="71"/>
        <v xml:space="preserve"> John Garcia   </v>
      </c>
      <c r="T339" t="str">
        <f t="shared" si="72"/>
        <v>AUD</v>
      </c>
      <c r="U339" s="7" t="str">
        <f t="shared" si="73"/>
        <v>AUD</v>
      </c>
      <c r="V339" s="7" t="str">
        <f t="shared" si="74"/>
        <v>Canada</v>
      </c>
      <c r="W339" s="7" t="str">
        <f t="shared" si="75"/>
        <v>India</v>
      </c>
      <c r="X339" s="7" t="str">
        <f t="shared" si="76"/>
        <v>Outer-Transaction</v>
      </c>
      <c r="Y339" s="7">
        <f t="shared" si="77"/>
        <v>13058.03</v>
      </c>
      <c r="Z339" s="7">
        <f t="shared" si="78"/>
        <v>72</v>
      </c>
      <c r="AA339" s="7">
        <f t="shared" si="79"/>
        <v>2023</v>
      </c>
      <c r="AB339" s="7">
        <f t="shared" si="80"/>
        <v>8</v>
      </c>
      <c r="AC339" s="7">
        <f t="shared" si="81"/>
        <v>1</v>
      </c>
      <c r="AD339" s="7" t="str">
        <f t="shared" si="82"/>
        <v>No</v>
      </c>
      <c r="AE339" s="7" t="str">
        <f t="shared" si="83"/>
        <v>Normal</v>
      </c>
    </row>
    <row r="340" spans="1:31">
      <c r="A340" t="s">
        <v>1238</v>
      </c>
      <c r="B340">
        <v>29151794</v>
      </c>
      <c r="C340" t="s">
        <v>1176</v>
      </c>
      <c r="D340" t="s">
        <v>1239</v>
      </c>
      <c r="E340" t="s">
        <v>20</v>
      </c>
      <c r="F340" t="s">
        <v>121</v>
      </c>
      <c r="G340" t="s">
        <v>98</v>
      </c>
      <c r="H340" t="s">
        <v>25</v>
      </c>
      <c r="I340" t="s">
        <v>3378</v>
      </c>
      <c r="J340">
        <v>9698.02</v>
      </c>
      <c r="K340" t="s">
        <v>39</v>
      </c>
      <c r="L340" t="s">
        <v>75</v>
      </c>
      <c r="M340" s="1">
        <v>45480.1</v>
      </c>
      <c r="N340">
        <v>79</v>
      </c>
      <c r="O340" t="s">
        <v>55</v>
      </c>
      <c r="P340" t="s">
        <v>55</v>
      </c>
      <c r="Q340" t="s">
        <v>1240</v>
      </c>
      <c r="R340" t="str">
        <f t="shared" si="70"/>
        <v>Thomas Williams</v>
      </c>
      <c r="S340" t="str">
        <f t="shared" si="71"/>
        <v xml:space="preserve"> Amir Gonzalez   </v>
      </c>
      <c r="T340" t="str">
        <f t="shared" si="72"/>
        <v>INR</v>
      </c>
      <c r="U340" s="7" t="str">
        <f t="shared" si="73"/>
        <v>JPY</v>
      </c>
      <c r="V340" s="7" t="str">
        <f t="shared" si="74"/>
        <v>UK</v>
      </c>
      <c r="W340" s="7" t="str">
        <f t="shared" si="75"/>
        <v>UK</v>
      </c>
      <c r="X340" s="7" t="str">
        <f t="shared" si="76"/>
        <v>Inter-Transaction</v>
      </c>
      <c r="Y340" s="7">
        <f t="shared" si="77"/>
        <v>9698.02</v>
      </c>
      <c r="Z340" s="7">
        <f t="shared" si="78"/>
        <v>79</v>
      </c>
      <c r="AA340" s="7">
        <f t="shared" si="79"/>
        <v>2024</v>
      </c>
      <c r="AB340" s="7">
        <f t="shared" si="80"/>
        <v>7</v>
      </c>
      <c r="AC340" s="7">
        <f t="shared" si="81"/>
        <v>1</v>
      </c>
      <c r="AD340" s="7" t="str">
        <f t="shared" si="82"/>
        <v>No</v>
      </c>
      <c r="AE340" s="7" t="str">
        <f t="shared" si="83"/>
        <v>High Risk</v>
      </c>
    </row>
    <row r="341" spans="1:31">
      <c r="A341" t="s">
        <v>1241</v>
      </c>
      <c r="B341">
        <v>61628861</v>
      </c>
      <c r="C341" t="s">
        <v>1242</v>
      </c>
      <c r="D341" t="s">
        <v>1021</v>
      </c>
      <c r="E341" t="s">
        <v>20</v>
      </c>
      <c r="F341" t="s">
        <v>92</v>
      </c>
      <c r="G341" t="s">
        <v>22</v>
      </c>
      <c r="H341" t="s">
        <v>103</v>
      </c>
      <c r="I341" t="s">
        <v>3374</v>
      </c>
      <c r="J341">
        <v>13745.28</v>
      </c>
      <c r="K341" t="s">
        <v>47</v>
      </c>
      <c r="L341" t="s">
        <v>81</v>
      </c>
      <c r="M341" s="1">
        <v>46011.772222222222</v>
      </c>
      <c r="N341">
        <v>40</v>
      </c>
      <c r="O341" t="s">
        <v>37</v>
      </c>
      <c r="P341" t="s">
        <v>37</v>
      </c>
      <c r="Q341" t="s">
        <v>1243</v>
      </c>
      <c r="R341" t="str">
        <f t="shared" si="70"/>
        <v>Priya Velez</v>
      </c>
      <c r="S341" t="str">
        <f t="shared" si="71"/>
        <v>Linda Rostova</v>
      </c>
      <c r="T341" t="str">
        <f t="shared" si="72"/>
        <v>AUD</v>
      </c>
      <c r="U341" s="7" t="str">
        <f t="shared" si="73"/>
        <v>BRL</v>
      </c>
      <c r="V341" s="7" t="str">
        <f t="shared" si="74"/>
        <v>South Africa</v>
      </c>
      <c r="W341" s="7" t="str">
        <f t="shared" si="75"/>
        <v>South Africa</v>
      </c>
      <c r="X341" s="7" t="str">
        <f t="shared" si="76"/>
        <v>External</v>
      </c>
      <c r="Y341" s="7">
        <f t="shared" si="77"/>
        <v>13745.28</v>
      </c>
      <c r="Z341" s="7">
        <f t="shared" si="78"/>
        <v>40</v>
      </c>
      <c r="AA341" s="7">
        <f t="shared" si="79"/>
        <v>2025</v>
      </c>
      <c r="AB341" s="7">
        <f t="shared" si="80"/>
        <v>12</v>
      </c>
      <c r="AC341" s="7">
        <f t="shared" si="81"/>
        <v>1</v>
      </c>
      <c r="AD341" s="7" t="str">
        <f t="shared" si="82"/>
        <v>No</v>
      </c>
      <c r="AE341" s="7" t="str">
        <f t="shared" si="83"/>
        <v>Normal</v>
      </c>
    </row>
    <row r="342" spans="1:31">
      <c r="A342" t="s">
        <v>1244</v>
      </c>
      <c r="B342">
        <v>43925761</v>
      </c>
      <c r="C342" t="s">
        <v>796</v>
      </c>
      <c r="D342" t="s">
        <v>1099</v>
      </c>
      <c r="E342" t="s">
        <v>20</v>
      </c>
      <c r="F342" t="s">
        <v>45</v>
      </c>
      <c r="G342" t="s">
        <v>22</v>
      </c>
      <c r="H342" t="s">
        <v>25</v>
      </c>
      <c r="I342" t="s">
        <v>3377</v>
      </c>
      <c r="J342">
        <v>3766.58</v>
      </c>
      <c r="K342" t="s">
        <v>47</v>
      </c>
      <c r="L342" t="s">
        <v>75</v>
      </c>
      <c r="M342" s="1">
        <v>45020.051388888889</v>
      </c>
      <c r="N342">
        <v>26</v>
      </c>
      <c r="O342" t="s">
        <v>36</v>
      </c>
      <c r="P342" t="s">
        <v>55</v>
      </c>
      <c r="Q342" t="s">
        <v>1245</v>
      </c>
      <c r="R342" t="str">
        <f t="shared" si="70"/>
        <v>William Taylor</v>
      </c>
      <c r="S342" t="str">
        <f t="shared" si="71"/>
        <v>Mary Anderson</v>
      </c>
      <c r="T342" t="str">
        <f t="shared" si="72"/>
        <v>ZAR</v>
      </c>
      <c r="U342" s="7" t="str">
        <f t="shared" si="73"/>
        <v>BRL</v>
      </c>
      <c r="V342" s="7" t="str">
        <f t="shared" si="74"/>
        <v>Germany</v>
      </c>
      <c r="W342" s="7" t="str">
        <f t="shared" si="75"/>
        <v>UK</v>
      </c>
      <c r="X342" s="7" t="str">
        <f t="shared" si="76"/>
        <v>Inter-Transaction</v>
      </c>
      <c r="Y342" s="7">
        <f t="shared" si="77"/>
        <v>3766.58</v>
      </c>
      <c r="Z342" s="7">
        <f t="shared" si="78"/>
        <v>26</v>
      </c>
      <c r="AA342" s="7">
        <f t="shared" si="79"/>
        <v>2023</v>
      </c>
      <c r="AB342" s="7">
        <f t="shared" si="80"/>
        <v>4</v>
      </c>
      <c r="AC342" s="7">
        <f t="shared" si="81"/>
        <v>1</v>
      </c>
      <c r="AD342" s="7" t="str">
        <f t="shared" si="82"/>
        <v>No</v>
      </c>
      <c r="AE342" s="7" t="str">
        <f t="shared" si="83"/>
        <v>High Risk</v>
      </c>
    </row>
    <row r="343" spans="1:31">
      <c r="A343" t="s">
        <v>1246</v>
      </c>
      <c r="B343">
        <v>31658249</v>
      </c>
      <c r="C343" t="s">
        <v>1247</v>
      </c>
      <c r="D343" t="s">
        <v>361</v>
      </c>
      <c r="E343" t="s">
        <v>20</v>
      </c>
      <c r="F343" t="s">
        <v>53</v>
      </c>
      <c r="G343" t="s">
        <v>99</v>
      </c>
      <c r="H343" t="s">
        <v>74</v>
      </c>
      <c r="I343" t="s">
        <v>3372</v>
      </c>
      <c r="J343">
        <v>5377.72</v>
      </c>
      <c r="K343" t="s">
        <v>47</v>
      </c>
      <c r="L343" t="s">
        <v>28</v>
      </c>
      <c r="M343" s="1">
        <v>45228.915972222225</v>
      </c>
      <c r="N343">
        <v>29</v>
      </c>
      <c r="O343" t="s">
        <v>93</v>
      </c>
      <c r="P343" t="s">
        <v>62</v>
      </c>
      <c r="Q343" t="s">
        <v>1248</v>
      </c>
      <c r="R343" t="str">
        <f t="shared" si="70"/>
        <v>Linda Khan</v>
      </c>
      <c r="S343" t="str">
        <f t="shared" si="71"/>
        <v>John Martin</v>
      </c>
      <c r="T343" t="str">
        <f t="shared" si="72"/>
        <v>AED</v>
      </c>
      <c r="U343" s="7" t="str">
        <f t="shared" si="73"/>
        <v>eur</v>
      </c>
      <c r="V343" s="7" t="str">
        <f t="shared" si="74"/>
        <v>USA</v>
      </c>
      <c r="W343" s="7" t="str">
        <f t="shared" si="75"/>
        <v>Australia</v>
      </c>
      <c r="X343" s="7" t="str">
        <f t="shared" si="76"/>
        <v>Outer-Transaction</v>
      </c>
      <c r="Y343" s="7">
        <f t="shared" si="77"/>
        <v>5377.72</v>
      </c>
      <c r="Z343" s="7">
        <f t="shared" si="78"/>
        <v>29</v>
      </c>
      <c r="AA343" s="7">
        <f t="shared" si="79"/>
        <v>2023</v>
      </c>
      <c r="AB343" s="7">
        <f t="shared" si="80"/>
        <v>10</v>
      </c>
      <c r="AC343" s="7">
        <f t="shared" si="81"/>
        <v>1</v>
      </c>
      <c r="AD343" s="7" t="str">
        <f t="shared" si="82"/>
        <v>No</v>
      </c>
      <c r="AE343" s="7" t="str">
        <f t="shared" si="83"/>
        <v>Normal</v>
      </c>
    </row>
    <row r="344" spans="1:31">
      <c r="A344" t="s">
        <v>1249</v>
      </c>
      <c r="B344">
        <v>51382580</v>
      </c>
      <c r="C344" t="s">
        <v>281</v>
      </c>
      <c r="D344" t="s">
        <v>874</v>
      </c>
      <c r="E344" t="s">
        <v>20</v>
      </c>
      <c r="F344" t="s">
        <v>92</v>
      </c>
      <c r="G344" t="s">
        <v>121</v>
      </c>
      <c r="H344" t="s">
        <v>25</v>
      </c>
      <c r="I344" t="s">
        <v>3378</v>
      </c>
      <c r="J344">
        <v>12309.69</v>
      </c>
      <c r="K344" t="s">
        <v>86</v>
      </c>
      <c r="L344" t="s">
        <v>48</v>
      </c>
      <c r="M344" s="1">
        <v>46251.386805555558</v>
      </c>
      <c r="N344">
        <v>18</v>
      </c>
      <c r="O344" t="s">
        <v>127</v>
      </c>
      <c r="P344" t="s">
        <v>68</v>
      </c>
      <c r="Q344" t="s">
        <v>1250</v>
      </c>
      <c r="R344" t="str">
        <f t="shared" si="70"/>
        <v>Thomas Johnson</v>
      </c>
      <c r="S344" t="str">
        <f t="shared" si="71"/>
        <v>Nancy Smith</v>
      </c>
      <c r="T344" t="str">
        <f t="shared" si="72"/>
        <v>AUD</v>
      </c>
      <c r="U344" s="7" t="str">
        <f t="shared" si="73"/>
        <v>INR</v>
      </c>
      <c r="V344" s="7" t="str">
        <f t="shared" si="74"/>
        <v>Canada</v>
      </c>
      <c r="W344" s="7" t="str">
        <f t="shared" si="75"/>
        <v>UAE</v>
      </c>
      <c r="X344" s="7" t="str">
        <f t="shared" si="76"/>
        <v>Inter-Transaction</v>
      </c>
      <c r="Y344" s="7">
        <f t="shared" si="77"/>
        <v>12309.69</v>
      </c>
      <c r="Z344" s="7">
        <f t="shared" si="78"/>
        <v>18</v>
      </c>
      <c r="AA344" s="7">
        <f t="shared" si="79"/>
        <v>2026</v>
      </c>
      <c r="AB344" s="7">
        <f t="shared" si="80"/>
        <v>8</v>
      </c>
      <c r="AC344" s="7">
        <f t="shared" si="81"/>
        <v>1</v>
      </c>
      <c r="AD344" s="7" t="str">
        <f t="shared" si="82"/>
        <v>No</v>
      </c>
      <c r="AE344" s="7" t="str">
        <f t="shared" si="83"/>
        <v>Normal</v>
      </c>
    </row>
    <row r="345" spans="1:31">
      <c r="A345" t="s">
        <v>1251</v>
      </c>
      <c r="B345">
        <v>93842238</v>
      </c>
      <c r="C345" t="s">
        <v>203</v>
      </c>
      <c r="D345" t="s">
        <v>678</v>
      </c>
      <c r="E345">
        <v>0</v>
      </c>
      <c r="F345" t="s">
        <v>35</v>
      </c>
      <c r="G345" t="s">
        <v>121</v>
      </c>
      <c r="H345" t="s">
        <v>56</v>
      </c>
      <c r="I345" t="s">
        <v>3371</v>
      </c>
      <c r="J345">
        <v>6887.05</v>
      </c>
      <c r="K345" t="s">
        <v>86</v>
      </c>
      <c r="L345" t="s">
        <v>75</v>
      </c>
      <c r="M345" s="1">
        <v>45659.90625</v>
      </c>
      <c r="N345">
        <v>75</v>
      </c>
      <c r="O345" t="s">
        <v>23</v>
      </c>
      <c r="P345" t="s">
        <v>93</v>
      </c>
      <c r="Q345" t="s">
        <v>1252</v>
      </c>
      <c r="R345" t="str">
        <f t="shared" si="70"/>
        <v>William Souza</v>
      </c>
      <c r="S345" t="str">
        <f t="shared" si="71"/>
        <v>Karen Gonzalez</v>
      </c>
      <c r="T345" t="str">
        <f t="shared" si="72"/>
        <v>EUR</v>
      </c>
      <c r="U345" s="7" t="str">
        <f t="shared" si="73"/>
        <v>INR</v>
      </c>
      <c r="V345" s="7" t="str">
        <f t="shared" si="74"/>
        <v>France</v>
      </c>
      <c r="W345" s="7" t="str">
        <f t="shared" si="75"/>
        <v>USA</v>
      </c>
      <c r="X345" s="7" t="str">
        <f t="shared" si="76"/>
        <v>Outer-Transaction</v>
      </c>
      <c r="Y345" s="7">
        <f t="shared" si="77"/>
        <v>6887.05</v>
      </c>
      <c r="Z345" s="7">
        <f t="shared" si="78"/>
        <v>75</v>
      </c>
      <c r="AA345" s="7">
        <f t="shared" si="79"/>
        <v>2025</v>
      </c>
      <c r="AB345" s="7">
        <f t="shared" si="80"/>
        <v>1</v>
      </c>
      <c r="AC345" s="7">
        <f t="shared" si="81"/>
        <v>1</v>
      </c>
      <c r="AD345" s="7" t="str">
        <f t="shared" si="82"/>
        <v>No</v>
      </c>
      <c r="AE345" s="7" t="str">
        <f t="shared" si="83"/>
        <v>High Risk</v>
      </c>
    </row>
    <row r="346" spans="1:31">
      <c r="A346" t="s">
        <v>1253</v>
      </c>
      <c r="B346">
        <v>86397410</v>
      </c>
      <c r="C346" t="s">
        <v>300</v>
      </c>
      <c r="D346" t="s">
        <v>1254</v>
      </c>
      <c r="E346" t="s">
        <v>20</v>
      </c>
      <c r="F346" t="s">
        <v>45</v>
      </c>
      <c r="G346" t="s">
        <v>22</v>
      </c>
      <c r="I346" t="s">
        <v>3378</v>
      </c>
      <c r="J346">
        <v>14670.54</v>
      </c>
      <c r="K346" t="s">
        <v>39</v>
      </c>
      <c r="L346" t="s">
        <v>28</v>
      </c>
      <c r="M346" s="1">
        <v>44309.68472222222</v>
      </c>
      <c r="N346">
        <v>18</v>
      </c>
      <c r="O346" t="s">
        <v>37</v>
      </c>
      <c r="P346" t="s">
        <v>37</v>
      </c>
      <c r="Q346" t="s">
        <v>1255</v>
      </c>
      <c r="R346" t="str">
        <f t="shared" si="70"/>
        <v>Linda Rodriguez</v>
      </c>
      <c r="S346" t="str">
        <f t="shared" si="71"/>
        <v>Patricia Martin</v>
      </c>
      <c r="T346" t="str">
        <f t="shared" si="72"/>
        <v>ZAR</v>
      </c>
      <c r="U346" s="7" t="str">
        <f t="shared" si="73"/>
        <v>BRL</v>
      </c>
      <c r="V346" s="7" t="str">
        <f t="shared" si="74"/>
        <v>South Africa</v>
      </c>
      <c r="W346" s="7" t="str">
        <f t="shared" si="75"/>
        <v>South Africa</v>
      </c>
      <c r="X346" s="7" t="str">
        <f t="shared" si="76"/>
        <v>Inter-Transaction</v>
      </c>
      <c r="Y346" s="7">
        <f t="shared" si="77"/>
        <v>14670.54</v>
      </c>
      <c r="Z346" s="7">
        <f t="shared" si="78"/>
        <v>18</v>
      </c>
      <c r="AA346" s="7">
        <f t="shared" si="79"/>
        <v>2021</v>
      </c>
      <c r="AB346" s="7">
        <f t="shared" si="80"/>
        <v>4</v>
      </c>
      <c r="AC346" s="7">
        <f t="shared" si="81"/>
        <v>1</v>
      </c>
      <c r="AD346" s="7" t="str">
        <f t="shared" si="82"/>
        <v>No</v>
      </c>
      <c r="AE346" s="7" t="str">
        <f t="shared" si="83"/>
        <v>Normal</v>
      </c>
    </row>
    <row r="347" spans="1:31">
      <c r="A347" t="s">
        <v>1256</v>
      </c>
      <c r="B347">
        <v>11783979</v>
      </c>
      <c r="C347" t="s">
        <v>1257</v>
      </c>
      <c r="D347" t="s">
        <v>1258</v>
      </c>
      <c r="E347" t="s">
        <v>3373</v>
      </c>
      <c r="F347" t="s">
        <v>53</v>
      </c>
      <c r="G347" t="s">
        <v>121</v>
      </c>
      <c r="H347" t="s">
        <v>103</v>
      </c>
      <c r="I347" t="s">
        <v>3371</v>
      </c>
      <c r="J347">
        <v>2283.54</v>
      </c>
      <c r="K347" t="s">
        <v>47</v>
      </c>
      <c r="L347" t="s">
        <v>28</v>
      </c>
      <c r="M347" s="1">
        <v>44662.522222222222</v>
      </c>
      <c r="N347">
        <v>51</v>
      </c>
      <c r="O347" t="s">
        <v>24</v>
      </c>
      <c r="P347" t="s">
        <v>62</v>
      </c>
      <c r="Q347" t="s">
        <v>1259</v>
      </c>
      <c r="R347" t="str">
        <f t="shared" si="70"/>
        <v>ELIZABETH SMITH</v>
      </c>
      <c r="S347" t="str">
        <f t="shared" si="71"/>
        <v>Nancy Dubois</v>
      </c>
      <c r="T347" t="str">
        <f t="shared" si="72"/>
        <v>AED</v>
      </c>
      <c r="U347" s="7" t="str">
        <f t="shared" si="73"/>
        <v>INR</v>
      </c>
      <c r="V347" s="7" t="str">
        <f t="shared" si="74"/>
        <v>Brazil</v>
      </c>
      <c r="W347" s="7" t="str">
        <f t="shared" si="75"/>
        <v>Australia</v>
      </c>
      <c r="X347" s="7" t="str">
        <f t="shared" si="76"/>
        <v>Outer-Transaction</v>
      </c>
      <c r="Y347" s="7">
        <f t="shared" si="77"/>
        <v>2283.54</v>
      </c>
      <c r="Z347" s="7">
        <f t="shared" si="78"/>
        <v>51</v>
      </c>
      <c r="AA347" s="7">
        <f t="shared" si="79"/>
        <v>2022</v>
      </c>
      <c r="AB347" s="7">
        <f t="shared" si="80"/>
        <v>4</v>
      </c>
      <c r="AC347" s="7">
        <f t="shared" si="81"/>
        <v>1</v>
      </c>
      <c r="AD347" s="7" t="str">
        <f t="shared" si="82"/>
        <v>No</v>
      </c>
      <c r="AE347" s="7" t="str">
        <f t="shared" si="83"/>
        <v>Normal</v>
      </c>
    </row>
    <row r="348" spans="1:31">
      <c r="A348" t="s">
        <v>1260</v>
      </c>
      <c r="B348">
        <v>15316025</v>
      </c>
      <c r="C348" t="s">
        <v>1261</v>
      </c>
      <c r="D348" t="s">
        <v>1262</v>
      </c>
      <c r="E348" t="s">
        <v>3375</v>
      </c>
      <c r="F348" t="s">
        <v>80</v>
      </c>
      <c r="G348" t="s">
        <v>121</v>
      </c>
      <c r="I348" t="s">
        <v>3371</v>
      </c>
      <c r="J348">
        <v>12023.76</v>
      </c>
      <c r="K348" t="s">
        <v>47</v>
      </c>
      <c r="L348" t="s">
        <v>81</v>
      </c>
      <c r="M348" s="1">
        <v>45445.184027777781</v>
      </c>
      <c r="N348">
        <v>65</v>
      </c>
      <c r="O348" t="s">
        <v>62</v>
      </c>
      <c r="P348" t="s">
        <v>54</v>
      </c>
      <c r="Q348" t="s">
        <v>1263</v>
      </c>
      <c r="R348" t="str">
        <f t="shared" si="70"/>
        <v>Charles Silva</v>
      </c>
      <c r="S348" t="str">
        <f t="shared" si="71"/>
        <v>Jessica Nair</v>
      </c>
      <c r="T348" t="str">
        <f t="shared" si="72"/>
        <v>USD</v>
      </c>
      <c r="U348" s="7" t="str">
        <f t="shared" si="73"/>
        <v>INR</v>
      </c>
      <c r="V348" s="7" t="str">
        <f t="shared" si="74"/>
        <v>Australia</v>
      </c>
      <c r="W348" s="7" t="str">
        <f t="shared" si="75"/>
        <v>India</v>
      </c>
      <c r="X348" s="7" t="str">
        <f t="shared" si="76"/>
        <v>Outer-Transaction</v>
      </c>
      <c r="Y348" s="7">
        <f t="shared" si="77"/>
        <v>12023.76</v>
      </c>
      <c r="Z348" s="7">
        <f t="shared" si="78"/>
        <v>65</v>
      </c>
      <c r="AA348" s="7">
        <f t="shared" si="79"/>
        <v>2024</v>
      </c>
      <c r="AB348" s="7">
        <f t="shared" si="80"/>
        <v>6</v>
      </c>
      <c r="AC348" s="7">
        <f t="shared" si="81"/>
        <v>1</v>
      </c>
      <c r="AD348" s="7" t="str">
        <f t="shared" si="82"/>
        <v>No</v>
      </c>
      <c r="AE348" s="7" t="str">
        <f t="shared" si="83"/>
        <v>Normal</v>
      </c>
    </row>
    <row r="349" spans="1:31">
      <c r="A349" t="s">
        <v>1264</v>
      </c>
      <c r="B349">
        <v>37409946</v>
      </c>
      <c r="C349" t="s">
        <v>212</v>
      </c>
      <c r="D349" t="s">
        <v>1265</v>
      </c>
      <c r="E349" t="s">
        <v>20</v>
      </c>
      <c r="F349" t="s">
        <v>121</v>
      </c>
      <c r="G349" t="s">
        <v>121</v>
      </c>
      <c r="H349" t="s">
        <v>56</v>
      </c>
      <c r="I349" t="s">
        <v>3371</v>
      </c>
      <c r="J349">
        <v>9091.7099999999991</v>
      </c>
      <c r="K349" t="s">
        <v>57</v>
      </c>
      <c r="L349" t="s">
        <v>75</v>
      </c>
      <c r="M349" s="1">
        <v>44512.518055555556</v>
      </c>
      <c r="N349">
        <v>18</v>
      </c>
      <c r="O349" t="s">
        <v>23</v>
      </c>
      <c r="P349" t="s">
        <v>54</v>
      </c>
      <c r="Q349" t="s">
        <v>1266</v>
      </c>
      <c r="R349" t="str">
        <f t="shared" si="70"/>
        <v>Michael Williams</v>
      </c>
      <c r="S349" t="str">
        <f t="shared" si="71"/>
        <v>Linda Jackson</v>
      </c>
      <c r="T349" t="str">
        <f t="shared" si="72"/>
        <v>INR</v>
      </c>
      <c r="U349" s="7" t="str">
        <f t="shared" si="73"/>
        <v>INR</v>
      </c>
      <c r="V349" s="7" t="str">
        <f t="shared" si="74"/>
        <v>France</v>
      </c>
      <c r="W349" s="7" t="str">
        <f t="shared" si="75"/>
        <v>India</v>
      </c>
      <c r="X349" s="7" t="str">
        <f t="shared" si="76"/>
        <v>Outer-Transaction</v>
      </c>
      <c r="Y349" s="7">
        <f t="shared" si="77"/>
        <v>9091.7099999999991</v>
      </c>
      <c r="Z349" s="7">
        <f t="shared" si="78"/>
        <v>18</v>
      </c>
      <c r="AA349" s="7">
        <f t="shared" si="79"/>
        <v>2021</v>
      </c>
      <c r="AB349" s="7">
        <f t="shared" si="80"/>
        <v>11</v>
      </c>
      <c r="AC349" s="7">
        <f t="shared" si="81"/>
        <v>1</v>
      </c>
      <c r="AD349" s="7" t="str">
        <f t="shared" si="82"/>
        <v>No</v>
      </c>
      <c r="AE349" s="7" t="str">
        <f t="shared" si="83"/>
        <v>High Risk</v>
      </c>
    </row>
    <row r="350" spans="1:31">
      <c r="A350" t="s">
        <v>1267</v>
      </c>
      <c r="B350">
        <v>69240493</v>
      </c>
      <c r="C350" t="s">
        <v>1268</v>
      </c>
      <c r="D350" t="s">
        <v>1269</v>
      </c>
      <c r="E350" t="s">
        <v>20</v>
      </c>
      <c r="F350" t="s">
        <v>91</v>
      </c>
      <c r="G350" t="s">
        <v>44</v>
      </c>
      <c r="H350" t="s">
        <v>38</v>
      </c>
      <c r="I350" t="s">
        <v>3376</v>
      </c>
      <c r="J350">
        <v>2300.4499999999998</v>
      </c>
      <c r="K350" t="s">
        <v>47</v>
      </c>
      <c r="L350" t="s">
        <v>75</v>
      </c>
      <c r="M350" s="1">
        <v>45154.557638888888</v>
      </c>
      <c r="N350">
        <v>33</v>
      </c>
      <c r="O350" t="s">
        <v>55</v>
      </c>
      <c r="P350" t="s">
        <v>54</v>
      </c>
      <c r="Q350" t="s">
        <v>1270</v>
      </c>
      <c r="R350" t="str">
        <f t="shared" si="70"/>
        <v>Jessica Taylor</v>
      </c>
      <c r="S350" t="str">
        <f t="shared" si="71"/>
        <v>Nancy Al-Sayed</v>
      </c>
      <c r="T350" t="str">
        <f t="shared" si="72"/>
        <v>gbp</v>
      </c>
      <c r="U350" s="7" t="str">
        <f t="shared" si="73"/>
        <v>SGD</v>
      </c>
      <c r="V350" s="7" t="str">
        <f t="shared" si="74"/>
        <v>UK</v>
      </c>
      <c r="W350" s="7" t="str">
        <f t="shared" si="75"/>
        <v>India</v>
      </c>
      <c r="X350" s="7" t="str">
        <f t="shared" si="76"/>
        <v>Internal</v>
      </c>
      <c r="Y350" s="7">
        <f t="shared" si="77"/>
        <v>2300.4499999999998</v>
      </c>
      <c r="Z350" s="7">
        <f t="shared" si="78"/>
        <v>33</v>
      </c>
      <c r="AA350" s="7">
        <f t="shared" si="79"/>
        <v>2023</v>
      </c>
      <c r="AB350" s="7">
        <f t="shared" si="80"/>
        <v>8</v>
      </c>
      <c r="AC350" s="7">
        <f t="shared" si="81"/>
        <v>1</v>
      </c>
      <c r="AD350" s="7" t="str">
        <f t="shared" si="82"/>
        <v>No</v>
      </c>
      <c r="AE350" s="7" t="str">
        <f t="shared" si="83"/>
        <v>High Risk</v>
      </c>
    </row>
    <row r="351" spans="1:31">
      <c r="A351" t="s">
        <v>1271</v>
      </c>
      <c r="B351">
        <v>30766764</v>
      </c>
      <c r="C351" t="s">
        <v>1272</v>
      </c>
      <c r="D351" t="s">
        <v>1117</v>
      </c>
      <c r="E351" t="s">
        <v>3373</v>
      </c>
      <c r="F351" t="s">
        <v>22</v>
      </c>
      <c r="G351" t="s">
        <v>22</v>
      </c>
      <c r="H351" t="s">
        <v>56</v>
      </c>
      <c r="I351" t="s">
        <v>3372</v>
      </c>
      <c r="J351">
        <v>4624.08</v>
      </c>
      <c r="K351" t="s">
        <v>27</v>
      </c>
      <c r="L351" t="s">
        <v>28</v>
      </c>
      <c r="M351" s="1">
        <v>43912.115277777775</v>
      </c>
      <c r="N351">
        <v>78</v>
      </c>
      <c r="O351" t="s">
        <v>62</v>
      </c>
      <c r="P351" t="s">
        <v>68</v>
      </c>
      <c r="Q351" t="s">
        <v>1273</v>
      </c>
      <c r="R351" t="str">
        <f t="shared" si="70"/>
        <v>Priya Miller</v>
      </c>
      <c r="S351" t="str">
        <f t="shared" si="71"/>
        <v>John Smith</v>
      </c>
      <c r="T351" t="str">
        <f t="shared" si="72"/>
        <v>BRL</v>
      </c>
      <c r="U351" s="7" t="str">
        <f t="shared" si="73"/>
        <v>BRL</v>
      </c>
      <c r="V351" s="7" t="str">
        <f t="shared" si="74"/>
        <v>Australia</v>
      </c>
      <c r="W351" s="7" t="str">
        <f t="shared" si="75"/>
        <v>UAE</v>
      </c>
      <c r="X351" s="7" t="str">
        <f t="shared" si="76"/>
        <v>Outer-Transaction</v>
      </c>
      <c r="Y351" s="7">
        <f t="shared" si="77"/>
        <v>4624.08</v>
      </c>
      <c r="Z351" s="7">
        <f t="shared" si="78"/>
        <v>78</v>
      </c>
      <c r="AA351" s="7">
        <f t="shared" si="79"/>
        <v>2020</v>
      </c>
      <c r="AB351" s="7">
        <f t="shared" si="80"/>
        <v>3</v>
      </c>
      <c r="AC351" s="7">
        <f t="shared" si="81"/>
        <v>1</v>
      </c>
      <c r="AD351" s="7" t="str">
        <f t="shared" si="82"/>
        <v>No</v>
      </c>
      <c r="AE351" s="7" t="str">
        <f t="shared" si="83"/>
        <v>Normal</v>
      </c>
    </row>
    <row r="352" spans="1:31">
      <c r="A352" t="s">
        <v>1274</v>
      </c>
      <c r="B352">
        <v>56785439</v>
      </c>
      <c r="C352" t="s">
        <v>1219</v>
      </c>
      <c r="D352" t="s">
        <v>1275</v>
      </c>
      <c r="E352" t="s">
        <v>20</v>
      </c>
      <c r="F352" t="s">
        <v>22</v>
      </c>
      <c r="G352" t="s">
        <v>80</v>
      </c>
      <c r="H352" t="s">
        <v>103</v>
      </c>
      <c r="I352" t="s">
        <v>3374</v>
      </c>
      <c r="J352">
        <v>10601.32</v>
      </c>
      <c r="K352" t="s">
        <v>86</v>
      </c>
      <c r="L352" t="s">
        <v>48</v>
      </c>
      <c r="M352" s="1">
        <v>43917.783333333333</v>
      </c>
      <c r="N352">
        <v>81</v>
      </c>
      <c r="O352" t="s">
        <v>36</v>
      </c>
      <c r="P352" t="s">
        <v>55</v>
      </c>
      <c r="Q352" t="s">
        <v>1276</v>
      </c>
      <c r="R352" t="str">
        <f t="shared" si="70"/>
        <v>Charles Rostova</v>
      </c>
      <c r="S352" t="str">
        <f t="shared" si="71"/>
        <v xml:space="preserve"> Sarah Nair   </v>
      </c>
      <c r="T352" t="str">
        <f t="shared" si="72"/>
        <v>BRL</v>
      </c>
      <c r="U352" s="7" t="str">
        <f t="shared" si="73"/>
        <v>USD</v>
      </c>
      <c r="V352" s="7" t="str">
        <f t="shared" si="74"/>
        <v>Germany</v>
      </c>
      <c r="W352" s="7" t="str">
        <f t="shared" si="75"/>
        <v>UK</v>
      </c>
      <c r="X352" s="7" t="str">
        <f t="shared" si="76"/>
        <v>External</v>
      </c>
      <c r="Y352" s="7">
        <f t="shared" si="77"/>
        <v>10601.32</v>
      </c>
      <c r="Z352" s="7">
        <f t="shared" si="78"/>
        <v>81</v>
      </c>
      <c r="AA352" s="7">
        <f t="shared" si="79"/>
        <v>2020</v>
      </c>
      <c r="AB352" s="7">
        <f t="shared" si="80"/>
        <v>3</v>
      </c>
      <c r="AC352" s="7">
        <f t="shared" si="81"/>
        <v>1</v>
      </c>
      <c r="AD352" s="7" t="str">
        <f t="shared" si="82"/>
        <v>No</v>
      </c>
      <c r="AE352" s="7" t="str">
        <f t="shared" si="83"/>
        <v>Normal</v>
      </c>
    </row>
    <row r="353" spans="1:31">
      <c r="A353" t="s">
        <v>1277</v>
      </c>
      <c r="B353">
        <v>25667321</v>
      </c>
      <c r="C353" t="s">
        <v>1278</v>
      </c>
      <c r="D353" t="s">
        <v>1279</v>
      </c>
      <c r="E353">
        <v>0</v>
      </c>
      <c r="F353" t="s">
        <v>92</v>
      </c>
      <c r="G353" t="s">
        <v>22</v>
      </c>
      <c r="H353" t="s">
        <v>56</v>
      </c>
      <c r="I353" t="s">
        <v>3378</v>
      </c>
      <c r="J353">
        <v>10380.629999999999</v>
      </c>
      <c r="K353" t="s">
        <v>27</v>
      </c>
      <c r="L353" t="s">
        <v>81</v>
      </c>
      <c r="M353" s="1">
        <v>46103.115972222222</v>
      </c>
      <c r="N353">
        <v>80</v>
      </c>
      <c r="O353" t="s">
        <v>36</v>
      </c>
      <c r="P353" t="s">
        <v>93</v>
      </c>
      <c r="Q353" t="s">
        <v>1280</v>
      </c>
      <c r="R353" t="str">
        <f t="shared" si="70"/>
        <v>Jean-Pierre Williams</v>
      </c>
      <c r="S353" t="str">
        <f t="shared" si="71"/>
        <v>Sanjay Rostova</v>
      </c>
      <c r="T353" t="str">
        <f t="shared" si="72"/>
        <v>AUD</v>
      </c>
      <c r="U353" s="7" t="str">
        <f t="shared" si="73"/>
        <v>BRL</v>
      </c>
      <c r="V353" s="7" t="str">
        <f t="shared" si="74"/>
        <v>Germany</v>
      </c>
      <c r="W353" s="7" t="str">
        <f t="shared" si="75"/>
        <v>USA</v>
      </c>
      <c r="X353" s="7" t="str">
        <f t="shared" si="76"/>
        <v>Inter-Transaction</v>
      </c>
      <c r="Y353" s="7">
        <f t="shared" si="77"/>
        <v>10380.629999999999</v>
      </c>
      <c r="Z353" s="7">
        <f t="shared" si="78"/>
        <v>80</v>
      </c>
      <c r="AA353" s="7">
        <f t="shared" si="79"/>
        <v>2026</v>
      </c>
      <c r="AB353" s="7">
        <f t="shared" si="80"/>
        <v>3</v>
      </c>
      <c r="AC353" s="7">
        <f t="shared" si="81"/>
        <v>1</v>
      </c>
      <c r="AD353" s="7" t="str">
        <f t="shared" si="82"/>
        <v>No</v>
      </c>
      <c r="AE353" s="7" t="str">
        <f t="shared" si="83"/>
        <v>Normal</v>
      </c>
    </row>
    <row r="354" spans="1:31">
      <c r="A354" t="s">
        <v>1281</v>
      </c>
      <c r="B354">
        <v>29154679</v>
      </c>
      <c r="C354" t="s">
        <v>1096</v>
      </c>
      <c r="D354" t="s">
        <v>203</v>
      </c>
      <c r="E354" t="s">
        <v>33</v>
      </c>
      <c r="F354" t="s">
        <v>392</v>
      </c>
      <c r="G354" t="s">
        <v>53</v>
      </c>
      <c r="H354" t="s">
        <v>56</v>
      </c>
      <c r="I354" t="s">
        <v>3376</v>
      </c>
      <c r="J354">
        <v>6258.47</v>
      </c>
      <c r="K354" t="s">
        <v>57</v>
      </c>
      <c r="L354" t="s">
        <v>81</v>
      </c>
      <c r="M354" s="1">
        <v>45894.549305555556</v>
      </c>
      <c r="N354">
        <v>39</v>
      </c>
      <c r="O354" t="s">
        <v>54</v>
      </c>
      <c r="P354" t="s">
        <v>54</v>
      </c>
      <c r="Q354" t="s">
        <v>1282</v>
      </c>
      <c r="R354" t="str">
        <f t="shared" si="70"/>
        <v>David Al-Sayed</v>
      </c>
      <c r="S354" t="str">
        <f t="shared" si="71"/>
        <v>William Souza</v>
      </c>
      <c r="T354" t="str">
        <f t="shared" si="72"/>
        <v>brl</v>
      </c>
      <c r="U354" s="7" t="str">
        <f t="shared" si="73"/>
        <v>AED</v>
      </c>
      <c r="V354" s="7" t="str">
        <f t="shared" si="74"/>
        <v>India</v>
      </c>
      <c r="W354" s="7" t="str">
        <f t="shared" si="75"/>
        <v>India</v>
      </c>
      <c r="X354" s="7" t="str">
        <f t="shared" si="76"/>
        <v>Internal</v>
      </c>
      <c r="Y354" s="7">
        <f t="shared" si="77"/>
        <v>6258.47</v>
      </c>
      <c r="Z354" s="7">
        <f t="shared" si="78"/>
        <v>39</v>
      </c>
      <c r="AA354" s="7">
        <f t="shared" si="79"/>
        <v>2025</v>
      </c>
      <c r="AB354" s="7">
        <f t="shared" si="80"/>
        <v>8</v>
      </c>
      <c r="AC354" s="7">
        <f t="shared" si="81"/>
        <v>1</v>
      </c>
      <c r="AD354" s="7" t="str">
        <f t="shared" si="82"/>
        <v>No</v>
      </c>
      <c r="AE354" s="7" t="str">
        <f t="shared" si="83"/>
        <v>Normal</v>
      </c>
    </row>
    <row r="355" spans="1:31">
      <c r="A355" t="s">
        <v>1283</v>
      </c>
      <c r="B355">
        <v>38531115</v>
      </c>
      <c r="C355" t="s">
        <v>1284</v>
      </c>
      <c r="D355" t="s">
        <v>951</v>
      </c>
      <c r="E355" t="s">
        <v>20</v>
      </c>
      <c r="F355" t="s">
        <v>121</v>
      </c>
      <c r="G355" t="s">
        <v>53</v>
      </c>
      <c r="I355" t="s">
        <v>3371</v>
      </c>
      <c r="J355">
        <v>1206.3499999999999</v>
      </c>
      <c r="K355" t="s">
        <v>86</v>
      </c>
      <c r="L355" t="s">
        <v>81</v>
      </c>
      <c r="M355" s="1">
        <v>44652.477777777778</v>
      </c>
      <c r="N355">
        <v>84</v>
      </c>
      <c r="O355" t="s">
        <v>68</v>
      </c>
      <c r="P355" t="s">
        <v>23</v>
      </c>
      <c r="Q355" t="s">
        <v>1285</v>
      </c>
      <c r="R355" t="str">
        <f t="shared" si="70"/>
        <v>Linda Miller</v>
      </c>
      <c r="S355" t="str">
        <f t="shared" si="71"/>
        <v>Mary Al-Sayed</v>
      </c>
      <c r="T355" t="str">
        <f t="shared" si="72"/>
        <v>INR</v>
      </c>
      <c r="U355" s="7" t="str">
        <f t="shared" si="73"/>
        <v>AED</v>
      </c>
      <c r="V355" s="7" t="str">
        <f t="shared" si="74"/>
        <v>UAE</v>
      </c>
      <c r="W355" s="7" t="str">
        <f t="shared" si="75"/>
        <v>France</v>
      </c>
      <c r="X355" s="7" t="str">
        <f t="shared" si="76"/>
        <v>Outer-Transaction</v>
      </c>
      <c r="Y355" s="7">
        <f t="shared" si="77"/>
        <v>1206.3499999999999</v>
      </c>
      <c r="Z355" s="7">
        <f t="shared" si="78"/>
        <v>84</v>
      </c>
      <c r="AA355" s="7">
        <f t="shared" si="79"/>
        <v>2022</v>
      </c>
      <c r="AB355" s="7">
        <f t="shared" si="80"/>
        <v>4</v>
      </c>
      <c r="AC355" s="7">
        <f t="shared" si="81"/>
        <v>1</v>
      </c>
      <c r="AD355" s="7" t="str">
        <f t="shared" si="82"/>
        <v>No</v>
      </c>
      <c r="AE355" s="7" t="str">
        <f t="shared" si="83"/>
        <v>Normal</v>
      </c>
    </row>
    <row r="356" spans="1:31">
      <c r="A356" t="s">
        <v>1286</v>
      </c>
      <c r="B356">
        <v>10969945</v>
      </c>
      <c r="C356" t="s">
        <v>1287</v>
      </c>
      <c r="D356" t="s">
        <v>882</v>
      </c>
      <c r="E356" t="s">
        <v>20</v>
      </c>
      <c r="F356" t="s">
        <v>98</v>
      </c>
      <c r="G356" t="s">
        <v>80</v>
      </c>
      <c r="H356" t="s">
        <v>103</v>
      </c>
      <c r="I356" t="s">
        <v>3376</v>
      </c>
      <c r="J356">
        <v>6447.51</v>
      </c>
      <c r="K356" t="s">
        <v>57</v>
      </c>
      <c r="L356" t="s">
        <v>75</v>
      </c>
      <c r="M356" s="1">
        <v>43993.427777777775</v>
      </c>
      <c r="N356">
        <v>43</v>
      </c>
      <c r="O356" t="s">
        <v>54</v>
      </c>
      <c r="P356" t="s">
        <v>37</v>
      </c>
      <c r="Q356" t="s">
        <v>1288</v>
      </c>
      <c r="R356" t="str">
        <f t="shared" si="70"/>
        <v>Marta Jackson</v>
      </c>
      <c r="S356" t="str">
        <f t="shared" si="71"/>
        <v>Lucas Johnson</v>
      </c>
      <c r="T356" t="str">
        <f t="shared" si="72"/>
        <v>JPY</v>
      </c>
      <c r="U356" s="7" t="str">
        <f t="shared" si="73"/>
        <v>USD</v>
      </c>
      <c r="V356" s="7" t="str">
        <f t="shared" si="74"/>
        <v>India</v>
      </c>
      <c r="W356" s="7" t="str">
        <f t="shared" si="75"/>
        <v>South Africa</v>
      </c>
      <c r="X356" s="7" t="str">
        <f t="shared" si="76"/>
        <v>Internal</v>
      </c>
      <c r="Y356" s="7">
        <f t="shared" si="77"/>
        <v>6447.51</v>
      </c>
      <c r="Z356" s="7">
        <f t="shared" si="78"/>
        <v>43</v>
      </c>
      <c r="AA356" s="7">
        <f t="shared" si="79"/>
        <v>2020</v>
      </c>
      <c r="AB356" s="7">
        <f t="shared" si="80"/>
        <v>6</v>
      </c>
      <c r="AC356" s="7">
        <f t="shared" si="81"/>
        <v>1</v>
      </c>
      <c r="AD356" s="7" t="str">
        <f t="shared" si="82"/>
        <v>No</v>
      </c>
      <c r="AE356" s="7" t="str">
        <f t="shared" si="83"/>
        <v>High Risk</v>
      </c>
    </row>
    <row r="357" spans="1:31">
      <c r="A357" t="s">
        <v>1289</v>
      </c>
      <c r="B357">
        <v>71326664</v>
      </c>
      <c r="C357" t="s">
        <v>1290</v>
      </c>
      <c r="E357" t="s">
        <v>3375</v>
      </c>
      <c r="F357" t="s">
        <v>21</v>
      </c>
      <c r="G357" t="s">
        <v>80</v>
      </c>
      <c r="H357" t="s">
        <v>103</v>
      </c>
      <c r="I357" t="s">
        <v>3372</v>
      </c>
      <c r="J357">
        <v>9279.09</v>
      </c>
      <c r="K357" t="s">
        <v>39</v>
      </c>
      <c r="L357" t="s">
        <v>81</v>
      </c>
      <c r="M357" s="1">
        <v>46228.324999999997</v>
      </c>
      <c r="N357">
        <v>33</v>
      </c>
      <c r="O357" t="s">
        <v>37</v>
      </c>
      <c r="P357" t="s">
        <v>127</v>
      </c>
      <c r="Q357" t="s">
        <v>1291</v>
      </c>
      <c r="R357" t="str">
        <f t="shared" si="70"/>
        <v>Zayn Rostova</v>
      </c>
      <c r="S357" t="str">
        <f t="shared" si="71"/>
        <v/>
      </c>
      <c r="T357" t="str">
        <f t="shared" si="72"/>
        <v>GBP</v>
      </c>
      <c r="U357" s="7" t="str">
        <f t="shared" si="73"/>
        <v>USD</v>
      </c>
      <c r="V357" s="7" t="str">
        <f t="shared" si="74"/>
        <v>South Africa</v>
      </c>
      <c r="W357" s="7" t="str">
        <f t="shared" si="75"/>
        <v>Canada</v>
      </c>
      <c r="X357" s="7" t="str">
        <f t="shared" si="76"/>
        <v>Outer-Transaction</v>
      </c>
      <c r="Y357" s="7">
        <f t="shared" si="77"/>
        <v>9279.09</v>
      </c>
      <c r="Z357" s="7">
        <f t="shared" si="78"/>
        <v>33</v>
      </c>
      <c r="AA357" s="7">
        <f t="shared" si="79"/>
        <v>2026</v>
      </c>
      <c r="AB357" s="7">
        <f t="shared" si="80"/>
        <v>7</v>
      </c>
      <c r="AC357" s="7">
        <f t="shared" si="81"/>
        <v>1</v>
      </c>
      <c r="AD357" s="7" t="str">
        <f t="shared" si="82"/>
        <v>No</v>
      </c>
      <c r="AE357" s="7" t="str">
        <f t="shared" si="83"/>
        <v>Normal</v>
      </c>
    </row>
    <row r="358" spans="1:31">
      <c r="A358" t="s">
        <v>1292</v>
      </c>
      <c r="B358">
        <v>53691252</v>
      </c>
      <c r="C358" t="s">
        <v>1293</v>
      </c>
      <c r="D358" t="s">
        <v>741</v>
      </c>
      <c r="E358" t="s">
        <v>20</v>
      </c>
      <c r="F358" t="s">
        <v>22</v>
      </c>
      <c r="G358" t="s">
        <v>116</v>
      </c>
      <c r="I358" t="s">
        <v>3374</v>
      </c>
      <c r="J358">
        <v>13578.99</v>
      </c>
      <c r="K358" t="s">
        <v>39</v>
      </c>
      <c r="L358" t="s">
        <v>75</v>
      </c>
      <c r="M358" s="1">
        <v>45763.87222222222</v>
      </c>
      <c r="N358">
        <v>68</v>
      </c>
      <c r="O358" t="s">
        <v>62</v>
      </c>
      <c r="P358" t="s">
        <v>23</v>
      </c>
      <c r="Q358" t="s">
        <v>1294</v>
      </c>
      <c r="R358" t="str">
        <f t="shared" si="70"/>
        <v>Marta Anderson</v>
      </c>
      <c r="S358" t="str">
        <f t="shared" si="71"/>
        <v>Elizabeth Martin</v>
      </c>
      <c r="T358" t="str">
        <f t="shared" si="72"/>
        <v>BRL</v>
      </c>
      <c r="U358" s="7" t="str">
        <f t="shared" si="73"/>
        <v>CHF</v>
      </c>
      <c r="V358" s="7" t="str">
        <f t="shared" si="74"/>
        <v>Australia</v>
      </c>
      <c r="W358" s="7" t="str">
        <f t="shared" si="75"/>
        <v>France</v>
      </c>
      <c r="X358" s="7" t="str">
        <f t="shared" si="76"/>
        <v>External</v>
      </c>
      <c r="Y358" s="7">
        <f t="shared" si="77"/>
        <v>13578.99</v>
      </c>
      <c r="Z358" s="7">
        <f t="shared" si="78"/>
        <v>68</v>
      </c>
      <c r="AA358" s="7">
        <f t="shared" si="79"/>
        <v>2025</v>
      </c>
      <c r="AB358" s="7">
        <f t="shared" si="80"/>
        <v>4</v>
      </c>
      <c r="AC358" s="7">
        <f t="shared" si="81"/>
        <v>1</v>
      </c>
      <c r="AD358" s="7" t="str">
        <f t="shared" si="82"/>
        <v>No</v>
      </c>
      <c r="AE358" s="7" t="str">
        <f t="shared" si="83"/>
        <v>High Risk</v>
      </c>
    </row>
    <row r="359" spans="1:31">
      <c r="A359" t="s">
        <v>1295</v>
      </c>
      <c r="B359">
        <v>21689007</v>
      </c>
      <c r="C359" t="s">
        <v>1296</v>
      </c>
      <c r="D359" t="s">
        <v>1297</v>
      </c>
      <c r="E359" t="b">
        <v>1</v>
      </c>
      <c r="F359" t="s">
        <v>44</v>
      </c>
      <c r="G359" t="s">
        <v>21</v>
      </c>
      <c r="H359" t="s">
        <v>74</v>
      </c>
      <c r="I359" t="s">
        <v>3374</v>
      </c>
      <c r="J359">
        <v>10501.64</v>
      </c>
      <c r="K359" t="s">
        <v>86</v>
      </c>
      <c r="L359" t="s">
        <v>81</v>
      </c>
      <c r="M359" s="1">
        <v>45681.929861111108</v>
      </c>
      <c r="N359">
        <v>74</v>
      </c>
      <c r="O359" t="s">
        <v>68</v>
      </c>
      <c r="P359" t="s">
        <v>93</v>
      </c>
      <c r="Q359" t="s">
        <v>1298</v>
      </c>
      <c r="R359" t="str">
        <f t="shared" si="70"/>
        <v>Barbara Khan</v>
      </c>
      <c r="S359" t="str">
        <f t="shared" si="71"/>
        <v>Marta Moore</v>
      </c>
      <c r="T359" t="str">
        <f t="shared" si="72"/>
        <v>SGD</v>
      </c>
      <c r="U359" s="7" t="str">
        <f t="shared" si="73"/>
        <v>GBP</v>
      </c>
      <c r="V359" s="7" t="str">
        <f t="shared" si="74"/>
        <v>UAE</v>
      </c>
      <c r="W359" s="7" t="str">
        <f t="shared" si="75"/>
        <v>USA</v>
      </c>
      <c r="X359" s="7" t="str">
        <f t="shared" si="76"/>
        <v>External</v>
      </c>
      <c r="Y359" s="7">
        <f t="shared" si="77"/>
        <v>10501.64</v>
      </c>
      <c r="Z359" s="7">
        <f t="shared" si="78"/>
        <v>74</v>
      </c>
      <c r="AA359" s="7">
        <f t="shared" si="79"/>
        <v>2025</v>
      </c>
      <c r="AB359" s="7">
        <f t="shared" si="80"/>
        <v>1</v>
      </c>
      <c r="AC359" s="7">
        <f t="shared" si="81"/>
        <v>1</v>
      </c>
      <c r="AD359" s="7" t="str">
        <f t="shared" si="82"/>
        <v>No</v>
      </c>
      <c r="AE359" s="7" t="str">
        <f t="shared" si="83"/>
        <v>Normal</v>
      </c>
    </row>
    <row r="360" spans="1:31">
      <c r="A360" t="s">
        <v>1299</v>
      </c>
      <c r="B360">
        <v>26521948</v>
      </c>
      <c r="C360" t="s">
        <v>290</v>
      </c>
      <c r="D360" t="s">
        <v>1300</v>
      </c>
      <c r="E360" t="s">
        <v>20</v>
      </c>
      <c r="F360" t="s">
        <v>44</v>
      </c>
      <c r="G360" t="s">
        <v>35</v>
      </c>
      <c r="H360" t="s">
        <v>25</v>
      </c>
      <c r="I360" t="s">
        <v>3374</v>
      </c>
      <c r="J360">
        <v>5154.95</v>
      </c>
      <c r="K360" t="s">
        <v>39</v>
      </c>
      <c r="L360" t="s">
        <v>81</v>
      </c>
      <c r="M360" s="1">
        <v>45691.455555555556</v>
      </c>
      <c r="N360">
        <v>46</v>
      </c>
      <c r="O360" t="s">
        <v>24</v>
      </c>
      <c r="P360" t="s">
        <v>68</v>
      </c>
      <c r="Q360" t="s">
        <v>1301</v>
      </c>
      <c r="R360" t="str">
        <f t="shared" si="70"/>
        <v>Marta Jones</v>
      </c>
      <c r="S360" t="str">
        <f t="shared" si="71"/>
        <v>Priya Moore</v>
      </c>
      <c r="T360" t="str">
        <f t="shared" si="72"/>
        <v>SGD</v>
      </c>
      <c r="U360" s="7" t="str">
        <f t="shared" si="73"/>
        <v>EUR</v>
      </c>
      <c r="V360" s="7" t="str">
        <f t="shared" si="74"/>
        <v>Brazil</v>
      </c>
      <c r="W360" s="7" t="str">
        <f t="shared" si="75"/>
        <v>UAE</v>
      </c>
      <c r="X360" s="7" t="str">
        <f t="shared" si="76"/>
        <v>External</v>
      </c>
      <c r="Y360" s="7">
        <f t="shared" si="77"/>
        <v>5154.95</v>
      </c>
      <c r="Z360" s="7">
        <f t="shared" si="78"/>
        <v>46</v>
      </c>
      <c r="AA360" s="7">
        <f t="shared" si="79"/>
        <v>2025</v>
      </c>
      <c r="AB360" s="7">
        <f t="shared" si="80"/>
        <v>2</v>
      </c>
      <c r="AC360" s="7">
        <f t="shared" si="81"/>
        <v>1</v>
      </c>
      <c r="AD360" s="7" t="str">
        <f t="shared" si="82"/>
        <v>No</v>
      </c>
      <c r="AE360" s="7" t="str">
        <f t="shared" si="83"/>
        <v>Normal</v>
      </c>
    </row>
    <row r="361" spans="1:31">
      <c r="A361" t="s">
        <v>1302</v>
      </c>
      <c r="B361">
        <v>25583513</v>
      </c>
      <c r="C361" t="s">
        <v>701</v>
      </c>
      <c r="D361" t="s">
        <v>1303</v>
      </c>
      <c r="E361" t="s">
        <v>20</v>
      </c>
      <c r="F361" t="s">
        <v>92</v>
      </c>
      <c r="G361" t="s">
        <v>116</v>
      </c>
      <c r="H361" t="s">
        <v>56</v>
      </c>
      <c r="I361" t="s">
        <v>3378</v>
      </c>
      <c r="J361">
        <v>11571.5</v>
      </c>
      <c r="K361" t="s">
        <v>47</v>
      </c>
      <c r="L361" t="s">
        <v>48</v>
      </c>
      <c r="M361" s="1">
        <v>44946.04791666667</v>
      </c>
      <c r="N361">
        <v>64</v>
      </c>
      <c r="O361" t="s">
        <v>55</v>
      </c>
      <c r="P361" t="s">
        <v>93</v>
      </c>
      <c r="Q361" t="s">
        <v>1304</v>
      </c>
      <c r="R361" t="str">
        <f t="shared" si="70"/>
        <v>Christopher Lopez</v>
      </c>
      <c r="S361" t="str">
        <f t="shared" si="71"/>
        <v>Michael Malik</v>
      </c>
      <c r="T361" t="str">
        <f t="shared" si="72"/>
        <v>AUD</v>
      </c>
      <c r="U361" s="7" t="str">
        <f t="shared" si="73"/>
        <v>CHF</v>
      </c>
      <c r="V361" s="7" t="str">
        <f t="shared" si="74"/>
        <v>UK</v>
      </c>
      <c r="W361" s="7" t="str">
        <f t="shared" si="75"/>
        <v>USA</v>
      </c>
      <c r="X361" s="7" t="str">
        <f t="shared" si="76"/>
        <v>Inter-Transaction</v>
      </c>
      <c r="Y361" s="7">
        <f t="shared" si="77"/>
        <v>11571.5</v>
      </c>
      <c r="Z361" s="7">
        <f t="shared" si="78"/>
        <v>64</v>
      </c>
      <c r="AA361" s="7">
        <f t="shared" si="79"/>
        <v>2023</v>
      </c>
      <c r="AB361" s="7">
        <f t="shared" si="80"/>
        <v>1</v>
      </c>
      <c r="AC361" s="7">
        <f t="shared" si="81"/>
        <v>1</v>
      </c>
      <c r="AD361" s="7" t="str">
        <f t="shared" si="82"/>
        <v>No</v>
      </c>
      <c r="AE361" s="7" t="str">
        <f t="shared" si="83"/>
        <v>Normal</v>
      </c>
    </row>
    <row r="362" spans="1:31">
      <c r="A362" t="s">
        <v>1305</v>
      </c>
      <c r="B362">
        <v>71174364</v>
      </c>
      <c r="C362" t="s">
        <v>357</v>
      </c>
      <c r="D362" t="s">
        <v>1306</v>
      </c>
      <c r="E362" t="s">
        <v>33</v>
      </c>
      <c r="F362" t="s">
        <v>22</v>
      </c>
      <c r="G362" t="s">
        <v>80</v>
      </c>
      <c r="I362" t="s">
        <v>3376</v>
      </c>
      <c r="J362">
        <v>7179.46</v>
      </c>
      <c r="K362" t="s">
        <v>47</v>
      </c>
      <c r="L362" t="s">
        <v>81</v>
      </c>
      <c r="M362" s="1">
        <v>46059.404166666667</v>
      </c>
      <c r="N362">
        <v>79</v>
      </c>
      <c r="O362" t="s">
        <v>62</v>
      </c>
      <c r="P362" t="s">
        <v>127</v>
      </c>
      <c r="Q362" t="s">
        <v>1307</v>
      </c>
      <c r="R362" t="str">
        <f t="shared" si="70"/>
        <v>Michael Martin</v>
      </c>
      <c r="S362" t="str">
        <f t="shared" si="71"/>
        <v>Barbara Jones</v>
      </c>
      <c r="T362" t="str">
        <f t="shared" si="72"/>
        <v>BRL</v>
      </c>
      <c r="U362" s="7" t="str">
        <f t="shared" si="73"/>
        <v>USD</v>
      </c>
      <c r="V362" s="7" t="str">
        <f t="shared" si="74"/>
        <v>Australia</v>
      </c>
      <c r="W362" s="7" t="str">
        <f t="shared" si="75"/>
        <v>Canada</v>
      </c>
      <c r="X362" s="7" t="str">
        <f t="shared" si="76"/>
        <v>Internal</v>
      </c>
      <c r="Y362" s="7">
        <f t="shared" si="77"/>
        <v>7179.46</v>
      </c>
      <c r="Z362" s="7">
        <f t="shared" si="78"/>
        <v>79</v>
      </c>
      <c r="AA362" s="7">
        <f t="shared" si="79"/>
        <v>2026</v>
      </c>
      <c r="AB362" s="7">
        <f t="shared" si="80"/>
        <v>2</v>
      </c>
      <c r="AC362" s="7">
        <f t="shared" si="81"/>
        <v>1</v>
      </c>
      <c r="AD362" s="7" t="str">
        <f t="shared" si="82"/>
        <v>No</v>
      </c>
      <c r="AE362" s="7" t="str">
        <f t="shared" si="83"/>
        <v>Normal</v>
      </c>
    </row>
    <row r="363" spans="1:31">
      <c r="A363" t="s">
        <v>1308</v>
      </c>
      <c r="B363">
        <v>40208616</v>
      </c>
      <c r="C363" t="s">
        <v>335</v>
      </c>
      <c r="D363" t="s">
        <v>1309</v>
      </c>
      <c r="E363" t="s">
        <v>3373</v>
      </c>
      <c r="F363" t="s">
        <v>21</v>
      </c>
      <c r="G363" t="s">
        <v>44</v>
      </c>
      <c r="H363" t="s">
        <v>25</v>
      </c>
      <c r="I363" t="s">
        <v>3376</v>
      </c>
      <c r="J363">
        <v>5890.36</v>
      </c>
      <c r="K363" t="s">
        <v>39</v>
      </c>
      <c r="L363" t="s">
        <v>81</v>
      </c>
      <c r="M363" s="1">
        <v>45713.232638888891</v>
      </c>
      <c r="N363">
        <v>33</v>
      </c>
      <c r="O363" t="s">
        <v>54</v>
      </c>
      <c r="P363" t="s">
        <v>37</v>
      </c>
      <c r="Q363" t="s">
        <v>1310</v>
      </c>
      <c r="R363" t="str">
        <f t="shared" si="70"/>
        <v>Elena Al-Sayed</v>
      </c>
      <c r="S363" t="str">
        <f t="shared" si="71"/>
        <v>Mary Souza</v>
      </c>
      <c r="T363" t="str">
        <f t="shared" si="72"/>
        <v>GBP</v>
      </c>
      <c r="U363" s="7" t="str">
        <f t="shared" si="73"/>
        <v>SGD</v>
      </c>
      <c r="V363" s="7" t="str">
        <f t="shared" si="74"/>
        <v>India</v>
      </c>
      <c r="W363" s="7" t="str">
        <f t="shared" si="75"/>
        <v>South Africa</v>
      </c>
      <c r="X363" s="7" t="str">
        <f t="shared" si="76"/>
        <v>Internal</v>
      </c>
      <c r="Y363" s="7">
        <f t="shared" si="77"/>
        <v>5890.36</v>
      </c>
      <c r="Z363" s="7">
        <f t="shared" si="78"/>
        <v>33</v>
      </c>
      <c r="AA363" s="7">
        <f t="shared" si="79"/>
        <v>2025</v>
      </c>
      <c r="AB363" s="7">
        <f t="shared" si="80"/>
        <v>2</v>
      </c>
      <c r="AC363" s="7">
        <f t="shared" si="81"/>
        <v>1</v>
      </c>
      <c r="AD363" s="7" t="str">
        <f t="shared" si="82"/>
        <v>No</v>
      </c>
      <c r="AE363" s="7" t="str">
        <f t="shared" si="83"/>
        <v>Normal</v>
      </c>
    </row>
    <row r="364" spans="1:31">
      <c r="A364" t="s">
        <v>1311</v>
      </c>
      <c r="B364">
        <v>23062011</v>
      </c>
      <c r="C364" t="s">
        <v>983</v>
      </c>
      <c r="D364" t="s">
        <v>1039</v>
      </c>
      <c r="E364" t="s">
        <v>20</v>
      </c>
      <c r="F364" t="s">
        <v>80</v>
      </c>
      <c r="G364" t="s">
        <v>22</v>
      </c>
      <c r="H364" t="s">
        <v>74</v>
      </c>
      <c r="I364" t="s">
        <v>3371</v>
      </c>
      <c r="J364">
        <v>3279.87</v>
      </c>
      <c r="K364" t="s">
        <v>47</v>
      </c>
      <c r="L364" t="s">
        <v>28</v>
      </c>
      <c r="M364" s="1">
        <v>46371.96597222222</v>
      </c>
      <c r="N364">
        <v>65</v>
      </c>
      <c r="O364" t="s">
        <v>93</v>
      </c>
      <c r="P364" t="s">
        <v>127</v>
      </c>
      <c r="Q364" t="s">
        <v>1312</v>
      </c>
      <c r="R364" t="str">
        <f t="shared" si="70"/>
        <v>Michael Hernandez</v>
      </c>
      <c r="S364" t="str">
        <f t="shared" si="71"/>
        <v>Jean-Pierre Silva</v>
      </c>
      <c r="T364" t="str">
        <f t="shared" si="72"/>
        <v>USD</v>
      </c>
      <c r="U364" s="7" t="str">
        <f t="shared" si="73"/>
        <v>BRL</v>
      </c>
      <c r="V364" s="7" t="str">
        <f t="shared" si="74"/>
        <v>USA</v>
      </c>
      <c r="W364" s="7" t="str">
        <f t="shared" si="75"/>
        <v>Canada</v>
      </c>
      <c r="X364" s="7" t="str">
        <f t="shared" si="76"/>
        <v>Outer-Transaction</v>
      </c>
      <c r="Y364" s="7">
        <f t="shared" si="77"/>
        <v>3279.87</v>
      </c>
      <c r="Z364" s="7">
        <f t="shared" si="78"/>
        <v>65</v>
      </c>
      <c r="AA364" s="7">
        <f t="shared" si="79"/>
        <v>2026</v>
      </c>
      <c r="AB364" s="7">
        <f t="shared" si="80"/>
        <v>12</v>
      </c>
      <c r="AC364" s="7">
        <f t="shared" si="81"/>
        <v>1</v>
      </c>
      <c r="AD364" s="7" t="str">
        <f t="shared" si="82"/>
        <v>No</v>
      </c>
      <c r="AE364" s="7" t="str">
        <f t="shared" si="83"/>
        <v>Normal</v>
      </c>
    </row>
    <row r="365" spans="1:31">
      <c r="A365" t="s">
        <v>1313</v>
      </c>
      <c r="B365">
        <v>32578497</v>
      </c>
      <c r="C365" t="s">
        <v>885</v>
      </c>
      <c r="D365" t="s">
        <v>1314</v>
      </c>
      <c r="E365" t="b">
        <v>1</v>
      </c>
      <c r="F365" t="s">
        <v>21</v>
      </c>
      <c r="G365" t="s">
        <v>80</v>
      </c>
      <c r="I365" t="s">
        <v>3372</v>
      </c>
      <c r="J365">
        <v>3682.57</v>
      </c>
      <c r="K365" t="s">
        <v>86</v>
      </c>
      <c r="L365" t="s">
        <v>48</v>
      </c>
      <c r="M365" s="1">
        <v>44753.45416666667</v>
      </c>
      <c r="N365">
        <v>56</v>
      </c>
      <c r="O365" t="s">
        <v>68</v>
      </c>
      <c r="P365" t="s">
        <v>24</v>
      </c>
      <c r="Q365" t="s">
        <v>1315</v>
      </c>
      <c r="R365" t="str">
        <f t="shared" si="70"/>
        <v>Priya Johnson</v>
      </c>
      <c r="S365" t="str">
        <f t="shared" si="71"/>
        <v>Patricia Lopez</v>
      </c>
      <c r="T365" t="str">
        <f t="shared" si="72"/>
        <v>GBP</v>
      </c>
      <c r="U365" s="7" t="str">
        <f t="shared" si="73"/>
        <v>USD</v>
      </c>
      <c r="V365" s="7" t="str">
        <f t="shared" si="74"/>
        <v>UAE</v>
      </c>
      <c r="W365" s="7" t="str">
        <f t="shared" si="75"/>
        <v>Brazil</v>
      </c>
      <c r="X365" s="7" t="str">
        <f t="shared" si="76"/>
        <v>Outer-Transaction</v>
      </c>
      <c r="Y365" s="7">
        <f t="shared" si="77"/>
        <v>3682.57</v>
      </c>
      <c r="Z365" s="7">
        <f t="shared" si="78"/>
        <v>56</v>
      </c>
      <c r="AA365" s="7">
        <f t="shared" si="79"/>
        <v>2022</v>
      </c>
      <c r="AB365" s="7">
        <f t="shared" si="80"/>
        <v>7</v>
      </c>
      <c r="AC365" s="7">
        <f t="shared" si="81"/>
        <v>1</v>
      </c>
      <c r="AD365" s="7" t="str">
        <f t="shared" si="82"/>
        <v>No</v>
      </c>
      <c r="AE365" s="7" t="str">
        <f t="shared" si="83"/>
        <v>Normal</v>
      </c>
    </row>
    <row r="366" spans="1:31">
      <c r="A366" t="s">
        <v>1316</v>
      </c>
      <c r="B366">
        <v>98384904</v>
      </c>
      <c r="C366" t="s">
        <v>61</v>
      </c>
      <c r="D366" t="s">
        <v>401</v>
      </c>
      <c r="E366" t="s">
        <v>3375</v>
      </c>
      <c r="F366" t="s">
        <v>92</v>
      </c>
      <c r="G366" t="s">
        <v>176</v>
      </c>
      <c r="I366" t="s">
        <v>3374</v>
      </c>
      <c r="J366">
        <v>13628.09</v>
      </c>
      <c r="K366" t="s">
        <v>47</v>
      </c>
      <c r="L366" t="s">
        <v>28</v>
      </c>
      <c r="M366" s="1">
        <v>46006.93472222222</v>
      </c>
      <c r="N366">
        <v>50</v>
      </c>
      <c r="O366" t="s">
        <v>68</v>
      </c>
      <c r="P366" t="s">
        <v>37</v>
      </c>
      <c r="Q366" t="s">
        <v>1317</v>
      </c>
      <c r="R366" t="str">
        <f t="shared" si="70"/>
        <v>Robert Dubois</v>
      </c>
      <c r="S366" t="str">
        <f t="shared" si="71"/>
        <v>Thomas Malik</v>
      </c>
      <c r="T366" t="str">
        <f t="shared" si="72"/>
        <v>AUD</v>
      </c>
      <c r="U366" s="7" t="str">
        <f t="shared" si="73"/>
        <v>aed</v>
      </c>
      <c r="V366" s="7" t="str">
        <f t="shared" si="74"/>
        <v>UAE</v>
      </c>
      <c r="W366" s="7" t="str">
        <f t="shared" si="75"/>
        <v>South Africa</v>
      </c>
      <c r="X366" s="7" t="str">
        <f t="shared" si="76"/>
        <v>External</v>
      </c>
      <c r="Y366" s="7">
        <f t="shared" si="77"/>
        <v>13628.09</v>
      </c>
      <c r="Z366" s="7">
        <f t="shared" si="78"/>
        <v>50</v>
      </c>
      <c r="AA366" s="7">
        <f t="shared" si="79"/>
        <v>2025</v>
      </c>
      <c r="AB366" s="7">
        <f t="shared" si="80"/>
        <v>12</v>
      </c>
      <c r="AC366" s="7">
        <f t="shared" si="81"/>
        <v>1</v>
      </c>
      <c r="AD366" s="7" t="str">
        <f t="shared" si="82"/>
        <v>No</v>
      </c>
      <c r="AE366" s="7" t="str">
        <f t="shared" si="83"/>
        <v>Normal</v>
      </c>
    </row>
    <row r="367" spans="1:31">
      <c r="A367" t="s">
        <v>1318</v>
      </c>
      <c r="B367">
        <v>86695110</v>
      </c>
      <c r="C367" t="s">
        <v>970</v>
      </c>
      <c r="D367" t="s">
        <v>1319</v>
      </c>
      <c r="E367" t="s">
        <v>33</v>
      </c>
      <c r="F367" t="s">
        <v>98</v>
      </c>
      <c r="G367" t="s">
        <v>21</v>
      </c>
      <c r="I367" t="s">
        <v>3372</v>
      </c>
      <c r="J367">
        <v>968.34</v>
      </c>
      <c r="K367" t="s">
        <v>27</v>
      </c>
      <c r="L367" t="s">
        <v>28</v>
      </c>
      <c r="M367" s="1">
        <v>45280.525000000001</v>
      </c>
      <c r="N367">
        <v>40</v>
      </c>
      <c r="O367" t="s">
        <v>55</v>
      </c>
      <c r="P367" t="s">
        <v>93</v>
      </c>
      <c r="Q367" t="s">
        <v>1320</v>
      </c>
      <c r="R367" t="str">
        <f t="shared" si="70"/>
        <v>Michael Brown</v>
      </c>
      <c r="S367" t="str">
        <f t="shared" si="71"/>
        <v>Richard Williams</v>
      </c>
      <c r="T367" t="str">
        <f t="shared" si="72"/>
        <v>JPY</v>
      </c>
      <c r="U367" s="7" t="str">
        <f t="shared" si="73"/>
        <v>GBP</v>
      </c>
      <c r="V367" s="7" t="str">
        <f t="shared" si="74"/>
        <v>UK</v>
      </c>
      <c r="W367" s="7" t="str">
        <f t="shared" si="75"/>
        <v>USA</v>
      </c>
      <c r="X367" s="7" t="str">
        <f t="shared" si="76"/>
        <v>Outer-Transaction</v>
      </c>
      <c r="Y367" s="7">
        <f t="shared" si="77"/>
        <v>968.34</v>
      </c>
      <c r="Z367" s="7">
        <f t="shared" si="78"/>
        <v>40</v>
      </c>
      <c r="AA367" s="7">
        <f t="shared" si="79"/>
        <v>2023</v>
      </c>
      <c r="AB367" s="7">
        <f t="shared" si="80"/>
        <v>12</v>
      </c>
      <c r="AC367" s="7">
        <f t="shared" si="81"/>
        <v>1</v>
      </c>
      <c r="AD367" s="7" t="str">
        <f t="shared" si="82"/>
        <v>No</v>
      </c>
      <c r="AE367" s="7" t="str">
        <f t="shared" si="83"/>
        <v>Normal</v>
      </c>
    </row>
    <row r="368" spans="1:31">
      <c r="A368" t="s">
        <v>1321</v>
      </c>
      <c r="B368">
        <v>15253706</v>
      </c>
      <c r="C368" t="s">
        <v>700</v>
      </c>
      <c r="D368" t="s">
        <v>1322</v>
      </c>
      <c r="E368" t="s">
        <v>20</v>
      </c>
      <c r="F368" t="s">
        <v>98</v>
      </c>
      <c r="G368" t="s">
        <v>53</v>
      </c>
      <c r="H368" t="s">
        <v>38</v>
      </c>
      <c r="I368" t="s">
        <v>3371</v>
      </c>
      <c r="J368">
        <v>6351.54</v>
      </c>
      <c r="K368" t="s">
        <v>86</v>
      </c>
      <c r="L368" t="s">
        <v>48</v>
      </c>
      <c r="M368" s="1">
        <v>45413.208333333336</v>
      </c>
      <c r="N368">
        <v>27</v>
      </c>
      <c r="O368" t="s">
        <v>127</v>
      </c>
      <c r="P368" t="s">
        <v>54</v>
      </c>
      <c r="Q368" t="s">
        <v>1323</v>
      </c>
      <c r="R368" t="str">
        <f t="shared" si="70"/>
        <v>Michael Jackson</v>
      </c>
      <c r="S368" t="str">
        <f t="shared" si="71"/>
        <v>William Nair</v>
      </c>
      <c r="T368" t="str">
        <f t="shared" si="72"/>
        <v>JPY</v>
      </c>
      <c r="U368" s="7" t="str">
        <f t="shared" si="73"/>
        <v>AED</v>
      </c>
      <c r="V368" s="7" t="str">
        <f t="shared" si="74"/>
        <v>Canada</v>
      </c>
      <c r="W368" s="7" t="str">
        <f t="shared" si="75"/>
        <v>India</v>
      </c>
      <c r="X368" s="7" t="str">
        <f t="shared" si="76"/>
        <v>Outer-Transaction</v>
      </c>
      <c r="Y368" s="7">
        <f t="shared" si="77"/>
        <v>6351.54</v>
      </c>
      <c r="Z368" s="7">
        <f t="shared" si="78"/>
        <v>27</v>
      </c>
      <c r="AA368" s="7">
        <f t="shared" si="79"/>
        <v>2024</v>
      </c>
      <c r="AB368" s="7">
        <f t="shared" si="80"/>
        <v>5</v>
      </c>
      <c r="AC368" s="7">
        <f t="shared" si="81"/>
        <v>1</v>
      </c>
      <c r="AD368" s="7" t="str">
        <f t="shared" si="82"/>
        <v>No</v>
      </c>
      <c r="AE368" s="7" t="str">
        <f t="shared" si="83"/>
        <v>Normal</v>
      </c>
    </row>
    <row r="369" spans="1:31">
      <c r="A369" t="s">
        <v>1324</v>
      </c>
      <c r="B369">
        <v>57260360</v>
      </c>
      <c r="C369" t="s">
        <v>151</v>
      </c>
      <c r="D369" t="s">
        <v>1029</v>
      </c>
      <c r="E369" t="s">
        <v>20</v>
      </c>
      <c r="F369" t="s">
        <v>45</v>
      </c>
      <c r="G369" t="s">
        <v>80</v>
      </c>
      <c r="H369" t="s">
        <v>38</v>
      </c>
      <c r="I369" t="s">
        <v>3376</v>
      </c>
      <c r="J369">
        <v>3248.44</v>
      </c>
      <c r="K369" t="s">
        <v>57</v>
      </c>
      <c r="L369" t="s">
        <v>75</v>
      </c>
      <c r="M369" s="1">
        <v>44395.242361111108</v>
      </c>
      <c r="N369">
        <v>51</v>
      </c>
      <c r="O369" t="s">
        <v>36</v>
      </c>
      <c r="P369" t="s">
        <v>93</v>
      </c>
      <c r="Q369" t="s">
        <v>1325</v>
      </c>
      <c r="R369" t="str">
        <f t="shared" si="70"/>
        <v>Nancy Moore</v>
      </c>
      <c r="S369" t="str">
        <f t="shared" si="71"/>
        <v>Charles Miller</v>
      </c>
      <c r="T369" t="str">
        <f t="shared" si="72"/>
        <v>ZAR</v>
      </c>
      <c r="U369" s="7" t="str">
        <f t="shared" si="73"/>
        <v>USD</v>
      </c>
      <c r="V369" s="7" t="str">
        <f t="shared" si="74"/>
        <v>Germany</v>
      </c>
      <c r="W369" s="7" t="str">
        <f t="shared" si="75"/>
        <v>USA</v>
      </c>
      <c r="X369" s="7" t="str">
        <f t="shared" si="76"/>
        <v>Internal</v>
      </c>
      <c r="Y369" s="7">
        <f t="shared" si="77"/>
        <v>3248.44</v>
      </c>
      <c r="Z369" s="7">
        <f t="shared" si="78"/>
        <v>51</v>
      </c>
      <c r="AA369" s="7">
        <f t="shared" si="79"/>
        <v>2021</v>
      </c>
      <c r="AB369" s="7">
        <f t="shared" si="80"/>
        <v>7</v>
      </c>
      <c r="AC369" s="7">
        <f t="shared" si="81"/>
        <v>1</v>
      </c>
      <c r="AD369" s="7" t="str">
        <f t="shared" si="82"/>
        <v>No</v>
      </c>
      <c r="AE369" s="7" t="str">
        <f t="shared" si="83"/>
        <v>High Risk</v>
      </c>
    </row>
    <row r="370" spans="1:31">
      <c r="A370" t="s">
        <v>1326</v>
      </c>
      <c r="B370">
        <v>44115380</v>
      </c>
      <c r="C370" t="s">
        <v>1327</v>
      </c>
      <c r="E370" t="s">
        <v>20</v>
      </c>
      <c r="F370" t="s">
        <v>35</v>
      </c>
      <c r="G370" t="s">
        <v>45</v>
      </c>
      <c r="I370" t="s">
        <v>3374</v>
      </c>
      <c r="J370">
        <v>12309.42</v>
      </c>
      <c r="K370" t="s">
        <v>27</v>
      </c>
      <c r="L370" t="s">
        <v>48</v>
      </c>
      <c r="M370" s="1">
        <v>46331.902777777781</v>
      </c>
      <c r="N370">
        <v>69</v>
      </c>
      <c r="O370" t="s">
        <v>36</v>
      </c>
      <c r="P370" t="s">
        <v>93</v>
      </c>
      <c r="Q370" t="s">
        <v>1328</v>
      </c>
      <c r="R370" t="str">
        <f t="shared" si="70"/>
        <v>Marta Wilson</v>
      </c>
      <c r="S370" t="str">
        <f t="shared" si="71"/>
        <v/>
      </c>
      <c r="T370" t="str">
        <f t="shared" si="72"/>
        <v>EUR</v>
      </c>
      <c r="U370" s="7" t="str">
        <f t="shared" si="73"/>
        <v>ZAR</v>
      </c>
      <c r="V370" s="7" t="str">
        <f t="shared" si="74"/>
        <v>Germany</v>
      </c>
      <c r="W370" s="7" t="str">
        <f t="shared" si="75"/>
        <v>USA</v>
      </c>
      <c r="X370" s="7" t="str">
        <f t="shared" si="76"/>
        <v>External</v>
      </c>
      <c r="Y370" s="7">
        <f t="shared" si="77"/>
        <v>12309.42</v>
      </c>
      <c r="Z370" s="7">
        <f t="shared" si="78"/>
        <v>69</v>
      </c>
      <c r="AA370" s="7">
        <f t="shared" si="79"/>
        <v>2026</v>
      </c>
      <c r="AB370" s="7">
        <f t="shared" si="80"/>
        <v>11</v>
      </c>
      <c r="AC370" s="7">
        <f t="shared" si="81"/>
        <v>1</v>
      </c>
      <c r="AD370" s="7" t="str">
        <f t="shared" si="82"/>
        <v>No</v>
      </c>
      <c r="AE370" s="7" t="str">
        <f t="shared" si="83"/>
        <v>Normal</v>
      </c>
    </row>
    <row r="371" spans="1:31">
      <c r="A371" t="s">
        <v>1329</v>
      </c>
      <c r="B371">
        <v>24762625</v>
      </c>
      <c r="C371" t="s">
        <v>1297</v>
      </c>
      <c r="D371" t="s">
        <v>1200</v>
      </c>
      <c r="E371" t="s">
        <v>20</v>
      </c>
      <c r="F371" t="s">
        <v>35</v>
      </c>
      <c r="G371" t="s">
        <v>34</v>
      </c>
      <c r="H371" t="s">
        <v>25</v>
      </c>
      <c r="I371" t="s">
        <v>3372</v>
      </c>
      <c r="J371">
        <v>14692.48</v>
      </c>
      <c r="K371" t="s">
        <v>47</v>
      </c>
      <c r="L371" t="s">
        <v>81</v>
      </c>
      <c r="M371" s="1">
        <v>44301.974999999999</v>
      </c>
      <c r="N371">
        <v>27</v>
      </c>
      <c r="O371" t="s">
        <v>93</v>
      </c>
      <c r="P371" t="s">
        <v>37</v>
      </c>
      <c r="Q371" t="s">
        <v>1330</v>
      </c>
      <c r="R371" t="str">
        <f t="shared" si="70"/>
        <v>Marta Moore</v>
      </c>
      <c r="S371" t="str">
        <f t="shared" si="71"/>
        <v>Jessica Williams</v>
      </c>
      <c r="T371" t="str">
        <f t="shared" si="72"/>
        <v>EUR</v>
      </c>
      <c r="U371" s="7" t="str">
        <f t="shared" si="73"/>
        <v>CAD</v>
      </c>
      <c r="V371" s="7" t="str">
        <f t="shared" si="74"/>
        <v>USA</v>
      </c>
      <c r="W371" s="7" t="str">
        <f t="shared" si="75"/>
        <v>South Africa</v>
      </c>
      <c r="X371" s="7" t="str">
        <f t="shared" si="76"/>
        <v>Outer-Transaction</v>
      </c>
      <c r="Y371" s="7">
        <f t="shared" si="77"/>
        <v>14692.48</v>
      </c>
      <c r="Z371" s="7">
        <f t="shared" si="78"/>
        <v>27</v>
      </c>
      <c r="AA371" s="7">
        <f t="shared" si="79"/>
        <v>2021</v>
      </c>
      <c r="AB371" s="7">
        <f t="shared" si="80"/>
        <v>4</v>
      </c>
      <c r="AC371" s="7">
        <f t="shared" si="81"/>
        <v>1</v>
      </c>
      <c r="AD371" s="7" t="str">
        <f t="shared" si="82"/>
        <v>No</v>
      </c>
      <c r="AE371" s="7" t="str">
        <f t="shared" si="83"/>
        <v>Normal</v>
      </c>
    </row>
    <row r="372" spans="1:31">
      <c r="A372" t="s">
        <v>1331</v>
      </c>
      <c r="B372">
        <v>86793756</v>
      </c>
      <c r="C372" t="s">
        <v>1332</v>
      </c>
      <c r="D372" t="s">
        <v>1333</v>
      </c>
      <c r="E372" t="s">
        <v>20</v>
      </c>
      <c r="F372" t="s">
        <v>80</v>
      </c>
      <c r="G372" t="s">
        <v>21</v>
      </c>
      <c r="H372" t="s">
        <v>38</v>
      </c>
      <c r="I372" t="s">
        <v>3376</v>
      </c>
      <c r="J372">
        <v>8923.31</v>
      </c>
      <c r="K372" t="s">
        <v>39</v>
      </c>
      <c r="L372" t="s">
        <v>81</v>
      </c>
      <c r="M372" s="1">
        <v>44818.600694444445</v>
      </c>
      <c r="N372">
        <v>36</v>
      </c>
      <c r="O372" t="s">
        <v>37</v>
      </c>
      <c r="P372" t="s">
        <v>24</v>
      </c>
      <c r="Q372" t="s">
        <v>1334</v>
      </c>
      <c r="R372" t="str">
        <f t="shared" si="70"/>
        <v>Zayn Martinez</v>
      </c>
      <c r="S372" t="str">
        <f t="shared" si="71"/>
        <v>Karen Rodriguez</v>
      </c>
      <c r="T372" t="str">
        <f t="shared" si="72"/>
        <v>USD</v>
      </c>
      <c r="U372" s="7" t="str">
        <f t="shared" si="73"/>
        <v>GBP</v>
      </c>
      <c r="V372" s="7" t="str">
        <f t="shared" si="74"/>
        <v>South Africa</v>
      </c>
      <c r="W372" s="7" t="str">
        <f t="shared" si="75"/>
        <v>Brazil</v>
      </c>
      <c r="X372" s="7" t="str">
        <f t="shared" si="76"/>
        <v>Internal</v>
      </c>
      <c r="Y372" s="7">
        <f t="shared" si="77"/>
        <v>8923.31</v>
      </c>
      <c r="Z372" s="7">
        <f t="shared" si="78"/>
        <v>36</v>
      </c>
      <c r="AA372" s="7">
        <f t="shared" si="79"/>
        <v>2022</v>
      </c>
      <c r="AB372" s="7">
        <f t="shared" si="80"/>
        <v>9</v>
      </c>
      <c r="AC372" s="7">
        <f t="shared" si="81"/>
        <v>1</v>
      </c>
      <c r="AD372" s="7" t="str">
        <f t="shared" si="82"/>
        <v>No</v>
      </c>
      <c r="AE372" s="7" t="str">
        <f t="shared" si="83"/>
        <v>Normal</v>
      </c>
    </row>
    <row r="373" spans="1:31">
      <c r="A373" t="s">
        <v>1335</v>
      </c>
      <c r="B373">
        <v>95791097</v>
      </c>
      <c r="C373" t="s">
        <v>1100</v>
      </c>
      <c r="D373" t="s">
        <v>143</v>
      </c>
      <c r="E373" t="s">
        <v>20</v>
      </c>
      <c r="F373" t="s">
        <v>92</v>
      </c>
      <c r="G373" t="s">
        <v>22</v>
      </c>
      <c r="H373" t="s">
        <v>56</v>
      </c>
      <c r="I373" t="s">
        <v>3376</v>
      </c>
      <c r="J373">
        <v>14125.74</v>
      </c>
      <c r="K373" t="s">
        <v>47</v>
      </c>
      <c r="L373" t="s">
        <v>75</v>
      </c>
      <c r="M373" s="1">
        <v>45765.326388888891</v>
      </c>
      <c r="N373">
        <v>75</v>
      </c>
      <c r="O373" t="s">
        <v>37</v>
      </c>
      <c r="P373" t="s">
        <v>93</v>
      </c>
      <c r="Q373" t="s">
        <v>1336</v>
      </c>
      <c r="R373" t="str">
        <f t="shared" si="70"/>
        <v>Susan Rostova</v>
      </c>
      <c r="S373" t="str">
        <f t="shared" si="71"/>
        <v>Jean-Pierre Davis</v>
      </c>
      <c r="T373" t="str">
        <f t="shared" si="72"/>
        <v>AUD</v>
      </c>
      <c r="U373" s="7" t="str">
        <f t="shared" si="73"/>
        <v>BRL</v>
      </c>
      <c r="V373" s="7" t="str">
        <f t="shared" si="74"/>
        <v>South Africa</v>
      </c>
      <c r="W373" s="7" t="str">
        <f t="shared" si="75"/>
        <v>USA</v>
      </c>
      <c r="X373" s="7" t="str">
        <f t="shared" si="76"/>
        <v>Internal</v>
      </c>
      <c r="Y373" s="7">
        <f t="shared" si="77"/>
        <v>14125.74</v>
      </c>
      <c r="Z373" s="7">
        <f t="shared" si="78"/>
        <v>75</v>
      </c>
      <c r="AA373" s="7">
        <f t="shared" si="79"/>
        <v>2025</v>
      </c>
      <c r="AB373" s="7">
        <f t="shared" si="80"/>
        <v>4</v>
      </c>
      <c r="AC373" s="7">
        <f t="shared" si="81"/>
        <v>1</v>
      </c>
      <c r="AD373" s="7" t="str">
        <f t="shared" si="82"/>
        <v>No</v>
      </c>
      <c r="AE373" s="7" t="str">
        <f t="shared" si="83"/>
        <v>High Risk</v>
      </c>
    </row>
    <row r="374" spans="1:31">
      <c r="A374" t="s">
        <v>1337</v>
      </c>
      <c r="B374">
        <v>87217700</v>
      </c>
      <c r="C374" t="s">
        <v>1025</v>
      </c>
      <c r="E374" t="s">
        <v>20</v>
      </c>
      <c r="F374" t="s">
        <v>44</v>
      </c>
      <c r="G374" t="s">
        <v>80</v>
      </c>
      <c r="H374" t="s">
        <v>38</v>
      </c>
      <c r="I374" t="s">
        <v>3374</v>
      </c>
      <c r="J374">
        <v>14969.34</v>
      </c>
      <c r="K374" t="s">
        <v>27</v>
      </c>
      <c r="L374" t="s">
        <v>28</v>
      </c>
      <c r="M374" s="1">
        <v>44054.990972222222</v>
      </c>
      <c r="N374">
        <v>18</v>
      </c>
      <c r="O374" t="s">
        <v>24</v>
      </c>
      <c r="P374" t="s">
        <v>23</v>
      </c>
      <c r="Q374" t="s">
        <v>1338</v>
      </c>
      <c r="R374" t="str">
        <f t="shared" si="70"/>
        <v>Mary Williams</v>
      </c>
      <c r="S374" t="str">
        <f t="shared" si="71"/>
        <v/>
      </c>
      <c r="T374" t="str">
        <f t="shared" si="72"/>
        <v>SGD</v>
      </c>
      <c r="U374" s="7" t="str">
        <f t="shared" si="73"/>
        <v>USD</v>
      </c>
      <c r="V374" s="7" t="str">
        <f t="shared" si="74"/>
        <v>Brazil</v>
      </c>
      <c r="W374" s="7" t="str">
        <f t="shared" si="75"/>
        <v>France</v>
      </c>
      <c r="X374" s="7" t="str">
        <f t="shared" si="76"/>
        <v>External</v>
      </c>
      <c r="Y374" s="7">
        <f t="shared" si="77"/>
        <v>14969.34</v>
      </c>
      <c r="Z374" s="7">
        <f t="shared" si="78"/>
        <v>18</v>
      </c>
      <c r="AA374" s="7">
        <f t="shared" si="79"/>
        <v>2020</v>
      </c>
      <c r="AB374" s="7">
        <f t="shared" si="80"/>
        <v>8</v>
      </c>
      <c r="AC374" s="7">
        <f t="shared" si="81"/>
        <v>1</v>
      </c>
      <c r="AD374" s="7" t="str">
        <f t="shared" si="82"/>
        <v>No</v>
      </c>
      <c r="AE374" s="7" t="str">
        <f t="shared" si="83"/>
        <v>Normal</v>
      </c>
    </row>
    <row r="375" spans="1:31">
      <c r="A375" t="s">
        <v>1339</v>
      </c>
      <c r="B375">
        <v>98741286</v>
      </c>
      <c r="C375" t="s">
        <v>304</v>
      </c>
      <c r="D375" t="s">
        <v>358</v>
      </c>
      <c r="E375" t="s">
        <v>20</v>
      </c>
      <c r="F375" t="s">
        <v>80</v>
      </c>
      <c r="G375" t="s">
        <v>116</v>
      </c>
      <c r="H375" t="s">
        <v>74</v>
      </c>
      <c r="I375" t="s">
        <v>3377</v>
      </c>
      <c r="J375">
        <v>5512.09</v>
      </c>
      <c r="K375" t="s">
        <v>47</v>
      </c>
      <c r="L375" t="s">
        <v>75</v>
      </c>
      <c r="M375" s="1">
        <v>46032.211805555555</v>
      </c>
      <c r="N375">
        <v>21</v>
      </c>
      <c r="O375" t="s">
        <v>62</v>
      </c>
      <c r="P375" t="s">
        <v>62</v>
      </c>
      <c r="Q375" t="s">
        <v>1340</v>
      </c>
      <c r="R375" t="str">
        <f t="shared" si="70"/>
        <v>Priya Khan</v>
      </c>
      <c r="S375" t="str">
        <f t="shared" si="71"/>
        <v>Carlos Taylor</v>
      </c>
      <c r="T375" t="str">
        <f t="shared" si="72"/>
        <v>USD</v>
      </c>
      <c r="U375" s="7" t="str">
        <f t="shared" si="73"/>
        <v>CHF</v>
      </c>
      <c r="V375" s="7" t="str">
        <f t="shared" si="74"/>
        <v>Australia</v>
      </c>
      <c r="W375" s="7" t="str">
        <f t="shared" si="75"/>
        <v>Australia</v>
      </c>
      <c r="X375" s="7" t="str">
        <f t="shared" si="76"/>
        <v>Inter-Transaction</v>
      </c>
      <c r="Y375" s="7">
        <f t="shared" si="77"/>
        <v>5512.09</v>
      </c>
      <c r="Z375" s="7">
        <f t="shared" si="78"/>
        <v>21</v>
      </c>
      <c r="AA375" s="7">
        <f t="shared" si="79"/>
        <v>2026</v>
      </c>
      <c r="AB375" s="7">
        <f t="shared" si="80"/>
        <v>1</v>
      </c>
      <c r="AC375" s="7">
        <f t="shared" si="81"/>
        <v>1</v>
      </c>
      <c r="AD375" s="7" t="str">
        <f t="shared" si="82"/>
        <v>No</v>
      </c>
      <c r="AE375" s="7" t="str">
        <f t="shared" si="83"/>
        <v>High Risk</v>
      </c>
    </row>
    <row r="376" spans="1:31">
      <c r="A376" t="s">
        <v>1341</v>
      </c>
      <c r="B376">
        <v>25819626</v>
      </c>
      <c r="C376" t="s">
        <v>573</v>
      </c>
      <c r="D376" t="s">
        <v>1342</v>
      </c>
      <c r="E376" t="s">
        <v>20</v>
      </c>
      <c r="F376" t="s">
        <v>80</v>
      </c>
      <c r="G376" t="s">
        <v>22</v>
      </c>
      <c r="I376" t="s">
        <v>3377</v>
      </c>
      <c r="J376">
        <v>14031.86</v>
      </c>
      <c r="K376" t="s">
        <v>27</v>
      </c>
      <c r="L376" t="s">
        <v>81</v>
      </c>
      <c r="M376" s="1">
        <v>44181.898611111108</v>
      </c>
      <c r="N376">
        <v>33</v>
      </c>
      <c r="O376" t="s">
        <v>23</v>
      </c>
      <c r="P376" t="s">
        <v>36</v>
      </c>
      <c r="Q376" t="s">
        <v>1343</v>
      </c>
      <c r="R376" t="str">
        <f t="shared" si="70"/>
        <v>Barbara Martinez</v>
      </c>
      <c r="S376" t="str">
        <f t="shared" si="71"/>
        <v>Sarah Martinez</v>
      </c>
      <c r="T376" t="str">
        <f t="shared" si="72"/>
        <v>USD</v>
      </c>
      <c r="U376" s="7" t="str">
        <f t="shared" si="73"/>
        <v>BRL</v>
      </c>
      <c r="V376" s="7" t="str">
        <f t="shared" si="74"/>
        <v>France</v>
      </c>
      <c r="W376" s="7" t="str">
        <f t="shared" si="75"/>
        <v>Germany</v>
      </c>
      <c r="X376" s="7" t="str">
        <f t="shared" si="76"/>
        <v>Inter-Transaction</v>
      </c>
      <c r="Y376" s="7">
        <f t="shared" si="77"/>
        <v>14031.86</v>
      </c>
      <c r="Z376" s="7">
        <f t="shared" si="78"/>
        <v>33</v>
      </c>
      <c r="AA376" s="7">
        <f t="shared" si="79"/>
        <v>2020</v>
      </c>
      <c r="AB376" s="7">
        <f t="shared" si="80"/>
        <v>12</v>
      </c>
      <c r="AC376" s="7">
        <f t="shared" si="81"/>
        <v>1</v>
      </c>
      <c r="AD376" s="7" t="str">
        <f t="shared" si="82"/>
        <v>No</v>
      </c>
      <c r="AE376" s="7" t="str">
        <f t="shared" si="83"/>
        <v>Normal</v>
      </c>
    </row>
    <row r="377" spans="1:31">
      <c r="A377" t="s">
        <v>1344</v>
      </c>
      <c r="B377">
        <v>57584523</v>
      </c>
      <c r="C377" t="s">
        <v>1345</v>
      </c>
      <c r="D377" t="s">
        <v>1346</v>
      </c>
      <c r="E377" t="s">
        <v>20</v>
      </c>
      <c r="F377" t="s">
        <v>98</v>
      </c>
      <c r="G377" t="s">
        <v>98</v>
      </c>
      <c r="H377" t="s">
        <v>103</v>
      </c>
      <c r="I377" t="s">
        <v>3371</v>
      </c>
      <c r="J377">
        <v>7065.77</v>
      </c>
      <c r="K377" t="s">
        <v>57</v>
      </c>
      <c r="L377" t="s">
        <v>75</v>
      </c>
      <c r="M377" s="1">
        <v>45759.375</v>
      </c>
      <c r="N377">
        <v>41</v>
      </c>
      <c r="O377" t="s">
        <v>127</v>
      </c>
      <c r="P377" t="s">
        <v>36</v>
      </c>
      <c r="Q377" t="s">
        <v>1347</v>
      </c>
      <c r="R377" t="str">
        <f t="shared" si="70"/>
        <v>JOHN BROWN</v>
      </c>
      <c r="S377" t="str">
        <f t="shared" si="71"/>
        <v>Jessica Thomas</v>
      </c>
      <c r="T377" t="str">
        <f t="shared" si="72"/>
        <v>JPY</v>
      </c>
      <c r="U377" s="7" t="str">
        <f t="shared" si="73"/>
        <v>JPY</v>
      </c>
      <c r="V377" s="7" t="str">
        <f t="shared" si="74"/>
        <v>Canada</v>
      </c>
      <c r="W377" s="7" t="str">
        <f t="shared" si="75"/>
        <v>Germany</v>
      </c>
      <c r="X377" s="7" t="str">
        <f t="shared" si="76"/>
        <v>Outer-Transaction</v>
      </c>
      <c r="Y377" s="7">
        <f t="shared" si="77"/>
        <v>7065.77</v>
      </c>
      <c r="Z377" s="7">
        <f t="shared" si="78"/>
        <v>41</v>
      </c>
      <c r="AA377" s="7">
        <f t="shared" si="79"/>
        <v>2025</v>
      </c>
      <c r="AB377" s="7">
        <f t="shared" si="80"/>
        <v>4</v>
      </c>
      <c r="AC377" s="7">
        <f t="shared" si="81"/>
        <v>1</v>
      </c>
      <c r="AD377" s="7" t="str">
        <f t="shared" si="82"/>
        <v>No</v>
      </c>
      <c r="AE377" s="7" t="str">
        <f t="shared" si="83"/>
        <v>High Risk</v>
      </c>
    </row>
    <row r="378" spans="1:31">
      <c r="A378" t="s">
        <v>1348</v>
      </c>
      <c r="B378">
        <v>57477880</v>
      </c>
      <c r="C378" t="s">
        <v>1349</v>
      </c>
      <c r="D378" t="s">
        <v>1350</v>
      </c>
      <c r="E378" t="s">
        <v>3373</v>
      </c>
      <c r="F378" t="s">
        <v>22</v>
      </c>
      <c r="G378" t="s">
        <v>121</v>
      </c>
      <c r="H378" t="s">
        <v>25</v>
      </c>
      <c r="I378" t="s">
        <v>3371</v>
      </c>
      <c r="J378">
        <v>9996.41</v>
      </c>
      <c r="K378" t="s">
        <v>39</v>
      </c>
      <c r="L378" t="s">
        <v>75</v>
      </c>
      <c r="M378" s="1">
        <v>44179.565972222219</v>
      </c>
      <c r="N378">
        <v>19</v>
      </c>
      <c r="O378" t="s">
        <v>54</v>
      </c>
      <c r="P378" t="s">
        <v>93</v>
      </c>
      <c r="Q378" t="s">
        <v>1351</v>
      </c>
      <c r="R378" t="str">
        <f t="shared" si="70"/>
        <v>Fatima Wilson</v>
      </c>
      <c r="S378" t="str">
        <f t="shared" si="71"/>
        <v>John Lopez</v>
      </c>
      <c r="T378" t="str">
        <f t="shared" si="72"/>
        <v>BRL</v>
      </c>
      <c r="U378" s="7" t="str">
        <f t="shared" si="73"/>
        <v>INR</v>
      </c>
      <c r="V378" s="7" t="str">
        <f t="shared" si="74"/>
        <v>India</v>
      </c>
      <c r="W378" s="7" t="str">
        <f t="shared" si="75"/>
        <v>USA</v>
      </c>
      <c r="X378" s="7" t="str">
        <f t="shared" si="76"/>
        <v>Outer-Transaction</v>
      </c>
      <c r="Y378" s="7">
        <f t="shared" si="77"/>
        <v>9996.41</v>
      </c>
      <c r="Z378" s="7">
        <f t="shared" si="78"/>
        <v>19</v>
      </c>
      <c r="AA378" s="7">
        <f t="shared" si="79"/>
        <v>2020</v>
      </c>
      <c r="AB378" s="7">
        <f t="shared" si="80"/>
        <v>12</v>
      </c>
      <c r="AC378" s="7">
        <f t="shared" si="81"/>
        <v>1</v>
      </c>
      <c r="AD378" s="7" t="str">
        <f t="shared" si="82"/>
        <v>No</v>
      </c>
      <c r="AE378" s="7" t="str">
        <f t="shared" si="83"/>
        <v>High Risk</v>
      </c>
    </row>
    <row r="379" spans="1:31">
      <c r="A379" t="s">
        <v>1352</v>
      </c>
      <c r="B379">
        <v>77358318</v>
      </c>
      <c r="C379" t="s">
        <v>1353</v>
      </c>
      <c r="D379" t="s">
        <v>1354</v>
      </c>
      <c r="E379" t="s">
        <v>3375</v>
      </c>
      <c r="F379" t="s">
        <v>21</v>
      </c>
      <c r="G379" t="s">
        <v>35</v>
      </c>
      <c r="I379" t="s">
        <v>3371</v>
      </c>
      <c r="J379">
        <v>790.08</v>
      </c>
      <c r="K379" t="s">
        <v>57</v>
      </c>
      <c r="L379" t="s">
        <v>81</v>
      </c>
      <c r="M379" s="1">
        <v>44012.484027777777</v>
      </c>
      <c r="N379">
        <v>49</v>
      </c>
      <c r="O379" t="s">
        <v>23</v>
      </c>
      <c r="P379" t="s">
        <v>23</v>
      </c>
      <c r="Q379" t="s">
        <v>1355</v>
      </c>
      <c r="R379" t="str">
        <f t="shared" si="70"/>
        <v>Fatima Souza</v>
      </c>
      <c r="S379" t="str">
        <f t="shared" si="71"/>
        <v xml:space="preserve"> Fatima Khan   </v>
      </c>
      <c r="T379" t="str">
        <f t="shared" si="72"/>
        <v>GBP</v>
      </c>
      <c r="U379" s="7" t="str">
        <f t="shared" si="73"/>
        <v>EUR</v>
      </c>
      <c r="V379" s="7" t="str">
        <f t="shared" si="74"/>
        <v>France</v>
      </c>
      <c r="W379" s="7" t="str">
        <f t="shared" si="75"/>
        <v>France</v>
      </c>
      <c r="X379" s="7" t="str">
        <f t="shared" si="76"/>
        <v>Outer-Transaction</v>
      </c>
      <c r="Y379" s="7">
        <f t="shared" si="77"/>
        <v>790.08</v>
      </c>
      <c r="Z379" s="7">
        <f t="shared" si="78"/>
        <v>49</v>
      </c>
      <c r="AA379" s="7">
        <f t="shared" si="79"/>
        <v>2020</v>
      </c>
      <c r="AB379" s="7">
        <f t="shared" si="80"/>
        <v>6</v>
      </c>
      <c r="AC379" s="7">
        <f t="shared" si="81"/>
        <v>1</v>
      </c>
      <c r="AD379" s="7" t="str">
        <f t="shared" si="82"/>
        <v>No</v>
      </c>
      <c r="AE379" s="7" t="str">
        <f t="shared" si="83"/>
        <v>Normal</v>
      </c>
    </row>
    <row r="380" spans="1:31">
      <c r="A380" t="s">
        <v>1356</v>
      </c>
      <c r="B380">
        <v>43482865</v>
      </c>
      <c r="C380" t="s">
        <v>1357</v>
      </c>
      <c r="D380" t="s">
        <v>1358</v>
      </c>
      <c r="E380" t="s">
        <v>20</v>
      </c>
      <c r="G380" t="s">
        <v>121</v>
      </c>
      <c r="I380" t="s">
        <v>3376</v>
      </c>
      <c r="J380">
        <v>9170.4</v>
      </c>
      <c r="K380" t="s">
        <v>47</v>
      </c>
      <c r="L380" t="s">
        <v>48</v>
      </c>
      <c r="M380" s="1">
        <v>44467.424305555556</v>
      </c>
      <c r="N380">
        <v>41</v>
      </c>
      <c r="O380" t="s">
        <v>23</v>
      </c>
      <c r="P380" t="s">
        <v>54</v>
      </c>
      <c r="Q380" t="s">
        <v>1359</v>
      </c>
      <c r="R380" t="str">
        <f t="shared" si="70"/>
        <v>David Dubois</v>
      </c>
      <c r="S380" t="str">
        <f t="shared" si="71"/>
        <v>Patricia Malik</v>
      </c>
      <c r="T380" t="str">
        <f t="shared" si="72"/>
        <v/>
      </c>
      <c r="U380" s="7" t="str">
        <f t="shared" si="73"/>
        <v>INR</v>
      </c>
      <c r="V380" s="7" t="str">
        <f t="shared" si="74"/>
        <v>France</v>
      </c>
      <c r="W380" s="7" t="str">
        <f t="shared" si="75"/>
        <v>India</v>
      </c>
      <c r="X380" s="7" t="str">
        <f t="shared" si="76"/>
        <v>Internal</v>
      </c>
      <c r="Y380" s="7">
        <f t="shared" si="77"/>
        <v>9170.4</v>
      </c>
      <c r="Z380" s="7">
        <f t="shared" si="78"/>
        <v>41</v>
      </c>
      <c r="AA380" s="7">
        <f t="shared" si="79"/>
        <v>2021</v>
      </c>
      <c r="AB380" s="7">
        <f t="shared" si="80"/>
        <v>9</v>
      </c>
      <c r="AC380" s="7">
        <f t="shared" si="81"/>
        <v>1</v>
      </c>
      <c r="AD380" s="7" t="str">
        <f t="shared" si="82"/>
        <v>No</v>
      </c>
      <c r="AE380" s="7" t="str">
        <f t="shared" si="83"/>
        <v>Normal</v>
      </c>
    </row>
    <row r="381" spans="1:31">
      <c r="A381" t="s">
        <v>1360</v>
      </c>
      <c r="B381">
        <v>16839113</v>
      </c>
      <c r="C381" t="s">
        <v>622</v>
      </c>
      <c r="D381" t="s">
        <v>1361</v>
      </c>
      <c r="E381" t="s">
        <v>33</v>
      </c>
      <c r="F381" t="s">
        <v>121</v>
      </c>
      <c r="G381" t="s">
        <v>121</v>
      </c>
      <c r="H381" t="s">
        <v>103</v>
      </c>
      <c r="I381" t="s">
        <v>3378</v>
      </c>
      <c r="J381">
        <v>4215.53</v>
      </c>
      <c r="K381" t="s">
        <v>57</v>
      </c>
      <c r="L381" t="s">
        <v>81</v>
      </c>
      <c r="M381" s="1">
        <v>44848.40902777778</v>
      </c>
      <c r="N381">
        <v>29</v>
      </c>
      <c r="O381" t="s">
        <v>68</v>
      </c>
      <c r="P381" t="s">
        <v>68</v>
      </c>
      <c r="Q381" t="s">
        <v>1362</v>
      </c>
      <c r="R381" t="str">
        <f t="shared" si="70"/>
        <v>Joseph Wilson</v>
      </c>
      <c r="S381" t="str">
        <f t="shared" si="71"/>
        <v>Charles Martinez</v>
      </c>
      <c r="T381" t="str">
        <f t="shared" si="72"/>
        <v>INR</v>
      </c>
      <c r="U381" s="7" t="str">
        <f t="shared" si="73"/>
        <v>INR</v>
      </c>
      <c r="V381" s="7" t="str">
        <f t="shared" si="74"/>
        <v>UAE</v>
      </c>
      <c r="W381" s="7" t="str">
        <f t="shared" si="75"/>
        <v>UAE</v>
      </c>
      <c r="X381" s="7" t="str">
        <f t="shared" si="76"/>
        <v>Inter-Transaction</v>
      </c>
      <c r="Y381" s="7">
        <f t="shared" si="77"/>
        <v>4215.53</v>
      </c>
      <c r="Z381" s="7">
        <f t="shared" si="78"/>
        <v>29</v>
      </c>
      <c r="AA381" s="7">
        <f t="shared" si="79"/>
        <v>2022</v>
      </c>
      <c r="AB381" s="7">
        <f t="shared" si="80"/>
        <v>10</v>
      </c>
      <c r="AC381" s="7">
        <f t="shared" si="81"/>
        <v>1</v>
      </c>
      <c r="AD381" s="7" t="str">
        <f t="shared" si="82"/>
        <v>No</v>
      </c>
      <c r="AE381" s="7" t="str">
        <f t="shared" si="83"/>
        <v>Normal</v>
      </c>
    </row>
    <row r="382" spans="1:31">
      <c r="A382" t="s">
        <v>1363</v>
      </c>
      <c r="B382">
        <v>91405981</v>
      </c>
      <c r="C382" t="s">
        <v>1364</v>
      </c>
      <c r="D382" t="s">
        <v>300</v>
      </c>
      <c r="E382">
        <v>1</v>
      </c>
      <c r="F382" t="s">
        <v>34</v>
      </c>
      <c r="G382" t="s">
        <v>393</v>
      </c>
      <c r="H382" t="s">
        <v>103</v>
      </c>
      <c r="I382" t="s">
        <v>3378</v>
      </c>
      <c r="J382">
        <v>11121.97</v>
      </c>
      <c r="K382" t="s">
        <v>57</v>
      </c>
      <c r="L382" t="s">
        <v>75</v>
      </c>
      <c r="M382" s="1">
        <v>46057.254166666666</v>
      </c>
      <c r="N382">
        <v>67</v>
      </c>
      <c r="O382" t="s">
        <v>93</v>
      </c>
      <c r="P382" t="s">
        <v>68</v>
      </c>
      <c r="Q382" t="s">
        <v>1365</v>
      </c>
      <c r="R382" t="str">
        <f t="shared" si="70"/>
        <v>Patricia Wilson</v>
      </c>
      <c r="S382" t="str">
        <f t="shared" si="71"/>
        <v>Linda Rodriguez</v>
      </c>
      <c r="T382" t="str">
        <f t="shared" si="72"/>
        <v>CAD</v>
      </c>
      <c r="U382" s="7" t="str">
        <f t="shared" si="73"/>
        <v>cad</v>
      </c>
      <c r="V382" s="7" t="str">
        <f t="shared" si="74"/>
        <v>USA</v>
      </c>
      <c r="W382" s="7" t="str">
        <f t="shared" si="75"/>
        <v>UAE</v>
      </c>
      <c r="X382" s="7" t="str">
        <f t="shared" si="76"/>
        <v>Inter-Transaction</v>
      </c>
      <c r="Y382" s="7">
        <f t="shared" si="77"/>
        <v>11121.97</v>
      </c>
      <c r="Z382" s="7">
        <f t="shared" si="78"/>
        <v>67</v>
      </c>
      <c r="AA382" s="7">
        <f t="shared" si="79"/>
        <v>2026</v>
      </c>
      <c r="AB382" s="7">
        <f t="shared" si="80"/>
        <v>2</v>
      </c>
      <c r="AC382" s="7">
        <f t="shared" si="81"/>
        <v>1</v>
      </c>
      <c r="AD382" s="7" t="str">
        <f t="shared" si="82"/>
        <v>No</v>
      </c>
      <c r="AE382" s="7" t="str">
        <f t="shared" si="83"/>
        <v>High Risk</v>
      </c>
    </row>
    <row r="383" spans="1:31">
      <c r="A383" t="s">
        <v>1366</v>
      </c>
      <c r="B383">
        <v>88726945</v>
      </c>
      <c r="C383" t="s">
        <v>1159</v>
      </c>
      <c r="D383" t="s">
        <v>685</v>
      </c>
      <c r="E383" t="s">
        <v>20</v>
      </c>
      <c r="F383" t="s">
        <v>22</v>
      </c>
      <c r="G383" t="s">
        <v>44</v>
      </c>
      <c r="H383" t="s">
        <v>74</v>
      </c>
      <c r="I383" t="s">
        <v>3376</v>
      </c>
      <c r="J383">
        <v>10814.33</v>
      </c>
      <c r="K383" t="s">
        <v>86</v>
      </c>
      <c r="L383" t="s">
        <v>48</v>
      </c>
      <c r="M383" s="1">
        <v>44602.440972222219</v>
      </c>
      <c r="N383">
        <v>52</v>
      </c>
      <c r="O383" t="s">
        <v>36</v>
      </c>
      <c r="P383" t="s">
        <v>37</v>
      </c>
      <c r="Q383" t="s">
        <v>1367</v>
      </c>
      <c r="R383" t="str">
        <f t="shared" si="70"/>
        <v>Priya Volkov</v>
      </c>
      <c r="S383" t="str">
        <f t="shared" si="71"/>
        <v>Sanjay Khan</v>
      </c>
      <c r="T383" t="str">
        <f t="shared" si="72"/>
        <v>BRL</v>
      </c>
      <c r="U383" s="7" t="str">
        <f t="shared" si="73"/>
        <v>SGD</v>
      </c>
      <c r="V383" s="7" t="str">
        <f t="shared" si="74"/>
        <v>Germany</v>
      </c>
      <c r="W383" s="7" t="str">
        <f t="shared" si="75"/>
        <v>South Africa</v>
      </c>
      <c r="X383" s="7" t="str">
        <f t="shared" si="76"/>
        <v>Internal</v>
      </c>
      <c r="Y383" s="7">
        <f t="shared" si="77"/>
        <v>10814.33</v>
      </c>
      <c r="Z383" s="7">
        <f t="shared" si="78"/>
        <v>52</v>
      </c>
      <c r="AA383" s="7">
        <f t="shared" si="79"/>
        <v>2022</v>
      </c>
      <c r="AB383" s="7">
        <f t="shared" si="80"/>
        <v>2</v>
      </c>
      <c r="AC383" s="7">
        <f t="shared" si="81"/>
        <v>1</v>
      </c>
      <c r="AD383" s="7" t="str">
        <f t="shared" si="82"/>
        <v>No</v>
      </c>
      <c r="AE383" s="7" t="str">
        <f t="shared" si="83"/>
        <v>Normal</v>
      </c>
    </row>
    <row r="384" spans="1:31">
      <c r="A384" t="s">
        <v>1368</v>
      </c>
      <c r="B384">
        <v>59125302</v>
      </c>
      <c r="C384" t="s">
        <v>1369</v>
      </c>
      <c r="D384" t="s">
        <v>652</v>
      </c>
      <c r="E384">
        <v>0</v>
      </c>
      <c r="F384" t="s">
        <v>35</v>
      </c>
      <c r="G384" t="s">
        <v>44</v>
      </c>
      <c r="I384" t="s">
        <v>3371</v>
      </c>
      <c r="J384">
        <v>4351.95</v>
      </c>
      <c r="K384" t="s">
        <v>27</v>
      </c>
      <c r="L384" t="s">
        <v>28</v>
      </c>
      <c r="M384" s="1">
        <v>44846.8125</v>
      </c>
      <c r="N384">
        <v>50</v>
      </c>
      <c r="O384" t="s">
        <v>24</v>
      </c>
      <c r="P384" t="s">
        <v>36</v>
      </c>
      <c r="Q384" t="s">
        <v>1370</v>
      </c>
      <c r="R384" t="str">
        <f t="shared" si="70"/>
        <v>THOMAS NAIR</v>
      </c>
      <c r="S384" t="str">
        <f t="shared" si="71"/>
        <v>Elena Brown</v>
      </c>
      <c r="T384" t="str">
        <f t="shared" si="72"/>
        <v>EUR</v>
      </c>
      <c r="U384" s="7" t="str">
        <f t="shared" si="73"/>
        <v>SGD</v>
      </c>
      <c r="V384" s="7" t="str">
        <f t="shared" si="74"/>
        <v>Brazil</v>
      </c>
      <c r="W384" s="7" t="str">
        <f t="shared" si="75"/>
        <v>Germany</v>
      </c>
      <c r="X384" s="7" t="str">
        <f t="shared" si="76"/>
        <v>Outer-Transaction</v>
      </c>
      <c r="Y384" s="7">
        <f t="shared" si="77"/>
        <v>4351.95</v>
      </c>
      <c r="Z384" s="7">
        <f t="shared" si="78"/>
        <v>50</v>
      </c>
      <c r="AA384" s="7">
        <f t="shared" si="79"/>
        <v>2022</v>
      </c>
      <c r="AB384" s="7">
        <f t="shared" si="80"/>
        <v>10</v>
      </c>
      <c r="AC384" s="7">
        <f t="shared" si="81"/>
        <v>1</v>
      </c>
      <c r="AD384" s="7" t="str">
        <f t="shared" si="82"/>
        <v>No</v>
      </c>
      <c r="AE384" s="7" t="str">
        <f t="shared" si="83"/>
        <v>Normal</v>
      </c>
    </row>
    <row r="385" spans="1:31">
      <c r="A385" t="s">
        <v>1371</v>
      </c>
      <c r="B385">
        <v>61559796</v>
      </c>
      <c r="C385" t="s">
        <v>1372</v>
      </c>
      <c r="D385" t="s">
        <v>935</v>
      </c>
      <c r="E385" t="s">
        <v>20</v>
      </c>
      <c r="F385" t="s">
        <v>126</v>
      </c>
      <c r="G385" t="s">
        <v>21</v>
      </c>
      <c r="H385" t="s">
        <v>38</v>
      </c>
      <c r="I385" t="s">
        <v>3372</v>
      </c>
      <c r="J385">
        <v>7562.23</v>
      </c>
      <c r="K385" t="s">
        <v>27</v>
      </c>
      <c r="L385" t="s">
        <v>75</v>
      </c>
      <c r="M385" s="1">
        <v>45942.008333333331</v>
      </c>
      <c r="N385">
        <v>50</v>
      </c>
      <c r="O385" t="s">
        <v>37</v>
      </c>
      <c r="P385" t="s">
        <v>93</v>
      </c>
      <c r="Q385" t="s">
        <v>1373</v>
      </c>
      <c r="R385" t="str">
        <f t="shared" si="70"/>
        <v>KAREN DUBOIS</v>
      </c>
      <c r="S385" t="str">
        <f t="shared" si="71"/>
        <v>Joseph Gonzalez</v>
      </c>
      <c r="T385" t="str">
        <f t="shared" si="72"/>
        <v>inr</v>
      </c>
      <c r="U385" s="7" t="str">
        <f t="shared" si="73"/>
        <v>GBP</v>
      </c>
      <c r="V385" s="7" t="str">
        <f t="shared" si="74"/>
        <v>South Africa</v>
      </c>
      <c r="W385" s="7" t="str">
        <f t="shared" si="75"/>
        <v>USA</v>
      </c>
      <c r="X385" s="7" t="str">
        <f t="shared" si="76"/>
        <v>Outer-Transaction</v>
      </c>
      <c r="Y385" s="7">
        <f t="shared" si="77"/>
        <v>7562.23</v>
      </c>
      <c r="Z385" s="7">
        <f t="shared" si="78"/>
        <v>50</v>
      </c>
      <c r="AA385" s="7">
        <f t="shared" si="79"/>
        <v>2025</v>
      </c>
      <c r="AB385" s="7">
        <f t="shared" si="80"/>
        <v>10</v>
      </c>
      <c r="AC385" s="7">
        <f t="shared" si="81"/>
        <v>1</v>
      </c>
      <c r="AD385" s="7" t="str">
        <f t="shared" si="82"/>
        <v>No</v>
      </c>
      <c r="AE385" s="7" t="str">
        <f t="shared" si="83"/>
        <v>High Risk</v>
      </c>
    </row>
    <row r="386" spans="1:31">
      <c r="A386" t="s">
        <v>1374</v>
      </c>
      <c r="B386">
        <v>29882943</v>
      </c>
      <c r="C386" t="s">
        <v>1375</v>
      </c>
      <c r="D386" t="s">
        <v>150</v>
      </c>
      <c r="E386" t="s">
        <v>20</v>
      </c>
      <c r="F386" t="s">
        <v>80</v>
      </c>
      <c r="G386" t="s">
        <v>45</v>
      </c>
      <c r="I386" t="s">
        <v>3376</v>
      </c>
      <c r="J386">
        <v>14583.56</v>
      </c>
      <c r="K386" t="s">
        <v>57</v>
      </c>
      <c r="L386" t="s">
        <v>28</v>
      </c>
      <c r="M386" s="1">
        <v>43859.736111111109</v>
      </c>
      <c r="N386">
        <v>78</v>
      </c>
      <c r="O386" t="s">
        <v>93</v>
      </c>
      <c r="P386" t="s">
        <v>68</v>
      </c>
      <c r="Q386" t="s">
        <v>1376</v>
      </c>
      <c r="R386" t="str">
        <f t="shared" ref="R386:R449" si="84">TRIM(C386)</f>
        <v>Carlos Rodriguez</v>
      </c>
      <c r="S386" t="str">
        <f t="shared" ref="S386:S449" si="85">PROPER(D386)</f>
        <v>Priya Jones</v>
      </c>
      <c r="T386" t="str">
        <f t="shared" ref="T386:T449" si="86">TRIM(F386)</f>
        <v>USD</v>
      </c>
      <c r="U386" s="7" t="str">
        <f t="shared" ref="U386:U449" si="87">TRIM(G386)</f>
        <v>ZAR</v>
      </c>
      <c r="V386" s="7" t="str">
        <f t="shared" ref="V386:V449" si="88">TRIM(O386)</f>
        <v>USA</v>
      </c>
      <c r="W386" s="7" t="str">
        <f t="shared" ref="W386:W449" si="89">TRIM(P386)</f>
        <v>UAE</v>
      </c>
      <c r="X386" s="7" t="str">
        <f t="shared" ref="X386:X449" si="90">PROPER(I386)</f>
        <v>Internal</v>
      </c>
      <c r="Y386" s="7">
        <f t="shared" ref="Y386:Y449" si="91">IF(J386="",AVERAGE($J:$J),J386)</f>
        <v>14583.56</v>
      </c>
      <c r="Z386" s="7">
        <f t="shared" ref="Z386:Z449" si="92">IF(N386="",AVERAGE($N:$N),N386)</f>
        <v>78</v>
      </c>
      <c r="AA386" s="7">
        <f t="shared" ref="AA386:AA449" si="93">YEAR(M386)</f>
        <v>2020</v>
      </c>
      <c r="AB386" s="7">
        <f t="shared" ref="AB386:AB449" si="94">MONTH(M386)</f>
        <v>1</v>
      </c>
      <c r="AC386" s="7">
        <f t="shared" ref="AC386:AC449" si="95">COUNTIF(A:A,A386)</f>
        <v>2</v>
      </c>
      <c r="AD386" s="7" t="str">
        <f t="shared" ref="AD386:AD449" si="96">IF(C386="YES","Yes","No")</f>
        <v>No</v>
      </c>
      <c r="AE386" s="7" t="str">
        <f t="shared" ref="AE386:AE449" si="97">IF(L386="HIGH","High Risk","Normal")</f>
        <v>Normal</v>
      </c>
    </row>
    <row r="387" spans="1:31">
      <c r="A387" t="s">
        <v>1377</v>
      </c>
      <c r="B387">
        <v>39431208</v>
      </c>
      <c r="C387" t="s">
        <v>490</v>
      </c>
      <c r="D387" t="s">
        <v>300</v>
      </c>
      <c r="E387" t="b">
        <v>1</v>
      </c>
      <c r="F387" t="s">
        <v>98</v>
      </c>
      <c r="G387" t="s">
        <v>45</v>
      </c>
      <c r="H387" t="s">
        <v>56</v>
      </c>
      <c r="I387" t="s">
        <v>3374</v>
      </c>
      <c r="J387">
        <v>3867.6</v>
      </c>
      <c r="K387" t="s">
        <v>27</v>
      </c>
      <c r="L387" t="s">
        <v>48</v>
      </c>
      <c r="M387" s="1">
        <v>46250.974305555559</v>
      </c>
      <c r="N387">
        <v>68</v>
      </c>
      <c r="O387" t="s">
        <v>68</v>
      </c>
      <c r="P387" t="s">
        <v>93</v>
      </c>
      <c r="Q387" t="s">
        <v>1378</v>
      </c>
      <c r="R387" t="str">
        <f t="shared" si="84"/>
        <v>Fatima Rodriguez</v>
      </c>
      <c r="S387" t="str">
        <f t="shared" si="85"/>
        <v>Linda Rodriguez</v>
      </c>
      <c r="T387" t="str">
        <f t="shared" si="86"/>
        <v>JPY</v>
      </c>
      <c r="U387" s="7" t="str">
        <f t="shared" si="87"/>
        <v>ZAR</v>
      </c>
      <c r="V387" s="7" t="str">
        <f t="shared" si="88"/>
        <v>UAE</v>
      </c>
      <c r="W387" s="7" t="str">
        <f t="shared" si="89"/>
        <v>USA</v>
      </c>
      <c r="X387" s="7" t="str">
        <f t="shared" si="90"/>
        <v>External</v>
      </c>
      <c r="Y387" s="7">
        <f t="shared" si="91"/>
        <v>3867.6</v>
      </c>
      <c r="Z387" s="7">
        <f t="shared" si="92"/>
        <v>68</v>
      </c>
      <c r="AA387" s="7">
        <f t="shared" si="93"/>
        <v>2026</v>
      </c>
      <c r="AB387" s="7">
        <f t="shared" si="94"/>
        <v>8</v>
      </c>
      <c r="AC387" s="7">
        <f t="shared" si="95"/>
        <v>1</v>
      </c>
      <c r="AD387" s="7" t="str">
        <f t="shared" si="96"/>
        <v>No</v>
      </c>
      <c r="AE387" s="7" t="str">
        <f t="shared" si="97"/>
        <v>Normal</v>
      </c>
    </row>
    <row r="388" spans="1:31">
      <c r="A388" t="s">
        <v>1379</v>
      </c>
      <c r="B388">
        <v>68237550</v>
      </c>
      <c r="C388" t="s">
        <v>995</v>
      </c>
      <c r="D388" t="s">
        <v>1380</v>
      </c>
      <c r="E388" t="s">
        <v>20</v>
      </c>
      <c r="F388" t="s">
        <v>21</v>
      </c>
      <c r="G388" t="s">
        <v>44</v>
      </c>
      <c r="I388" t="s">
        <v>3378</v>
      </c>
      <c r="J388">
        <v>325.5</v>
      </c>
      <c r="K388" t="s">
        <v>47</v>
      </c>
      <c r="L388" t="s">
        <v>48</v>
      </c>
      <c r="M388" s="1">
        <v>45975.354166666664</v>
      </c>
      <c r="N388">
        <v>60</v>
      </c>
      <c r="O388" t="s">
        <v>54</v>
      </c>
      <c r="P388" t="s">
        <v>37</v>
      </c>
      <c r="Q388" t="s">
        <v>1381</v>
      </c>
      <c r="R388" t="str">
        <f t="shared" si="84"/>
        <v>Susan Jones</v>
      </c>
      <c r="S388" t="str">
        <f t="shared" si="85"/>
        <v>Carlos Thomas</v>
      </c>
      <c r="T388" t="str">
        <f t="shared" si="86"/>
        <v>GBP</v>
      </c>
      <c r="U388" s="7" t="str">
        <f t="shared" si="87"/>
        <v>SGD</v>
      </c>
      <c r="V388" s="7" t="str">
        <f t="shared" si="88"/>
        <v>India</v>
      </c>
      <c r="W388" s="7" t="str">
        <f t="shared" si="89"/>
        <v>South Africa</v>
      </c>
      <c r="X388" s="7" t="str">
        <f t="shared" si="90"/>
        <v>Inter-Transaction</v>
      </c>
      <c r="Y388" s="7">
        <f t="shared" si="91"/>
        <v>325.5</v>
      </c>
      <c r="Z388" s="7">
        <f t="shared" si="92"/>
        <v>60</v>
      </c>
      <c r="AA388" s="7">
        <f t="shared" si="93"/>
        <v>2025</v>
      </c>
      <c r="AB388" s="7">
        <f t="shared" si="94"/>
        <v>11</v>
      </c>
      <c r="AC388" s="7">
        <f t="shared" si="95"/>
        <v>1</v>
      </c>
      <c r="AD388" s="7" t="str">
        <f t="shared" si="96"/>
        <v>No</v>
      </c>
      <c r="AE388" s="7" t="str">
        <f t="shared" si="97"/>
        <v>Normal</v>
      </c>
    </row>
    <row r="389" spans="1:31">
      <c r="A389" t="s">
        <v>1382</v>
      </c>
      <c r="B389">
        <v>80703020</v>
      </c>
      <c r="C389" t="s">
        <v>264</v>
      </c>
      <c r="D389" t="s">
        <v>1039</v>
      </c>
      <c r="E389" t="s">
        <v>20</v>
      </c>
      <c r="F389" t="s">
        <v>35</v>
      </c>
      <c r="G389" t="s">
        <v>160</v>
      </c>
      <c r="H389" t="s">
        <v>74</v>
      </c>
      <c r="I389" t="s">
        <v>3371</v>
      </c>
      <c r="J389">
        <v>11554.06</v>
      </c>
      <c r="K389" t="s">
        <v>57</v>
      </c>
      <c r="L389" t="s">
        <v>48</v>
      </c>
      <c r="M389" s="1">
        <v>45724.944444444445</v>
      </c>
      <c r="N389">
        <v>29</v>
      </c>
      <c r="O389" t="s">
        <v>24</v>
      </c>
      <c r="P389" t="s">
        <v>36</v>
      </c>
      <c r="Q389" t="s">
        <v>1383</v>
      </c>
      <c r="R389" t="str">
        <f t="shared" si="84"/>
        <v>Michael Al-Sayed</v>
      </c>
      <c r="S389" t="str">
        <f t="shared" si="85"/>
        <v>Jean-Pierre Silva</v>
      </c>
      <c r="T389" t="str">
        <f t="shared" si="86"/>
        <v>EUR</v>
      </c>
      <c r="U389" s="7" t="str">
        <f t="shared" si="87"/>
        <v>aud</v>
      </c>
      <c r="V389" s="7" t="str">
        <f t="shared" si="88"/>
        <v>Brazil</v>
      </c>
      <c r="W389" s="7" t="str">
        <f t="shared" si="89"/>
        <v>Germany</v>
      </c>
      <c r="X389" s="7" t="str">
        <f t="shared" si="90"/>
        <v>Outer-Transaction</v>
      </c>
      <c r="Y389" s="7">
        <f t="shared" si="91"/>
        <v>11554.06</v>
      </c>
      <c r="Z389" s="7">
        <f t="shared" si="92"/>
        <v>29</v>
      </c>
      <c r="AA389" s="7">
        <f t="shared" si="93"/>
        <v>2025</v>
      </c>
      <c r="AB389" s="7">
        <f t="shared" si="94"/>
        <v>3</v>
      </c>
      <c r="AC389" s="7">
        <f t="shared" si="95"/>
        <v>1</v>
      </c>
      <c r="AD389" s="7" t="str">
        <f t="shared" si="96"/>
        <v>No</v>
      </c>
      <c r="AE389" s="7" t="str">
        <f t="shared" si="97"/>
        <v>Normal</v>
      </c>
    </row>
    <row r="390" spans="1:31">
      <c r="A390" t="s">
        <v>1384</v>
      </c>
      <c r="B390">
        <v>85544613</v>
      </c>
      <c r="C390" t="s">
        <v>853</v>
      </c>
      <c r="D390" t="s">
        <v>1385</v>
      </c>
      <c r="E390" t="s">
        <v>20</v>
      </c>
      <c r="F390" t="s">
        <v>44</v>
      </c>
      <c r="G390" t="s">
        <v>21</v>
      </c>
      <c r="H390" t="s">
        <v>25</v>
      </c>
      <c r="I390" t="s">
        <v>3377</v>
      </c>
      <c r="J390">
        <v>8174.19</v>
      </c>
      <c r="K390" t="s">
        <v>86</v>
      </c>
      <c r="L390" t="s">
        <v>81</v>
      </c>
      <c r="M390" s="1">
        <v>45296.415972222225</v>
      </c>
      <c r="N390">
        <v>84</v>
      </c>
      <c r="O390" t="s">
        <v>68</v>
      </c>
      <c r="P390" t="s">
        <v>127</v>
      </c>
      <c r="Q390" t="s">
        <v>1386</v>
      </c>
      <c r="R390" t="str">
        <f t="shared" si="84"/>
        <v>Carlos Anderson</v>
      </c>
      <c r="S390" t="str">
        <f t="shared" si="85"/>
        <v xml:space="preserve"> Amir Garcia   </v>
      </c>
      <c r="T390" t="str">
        <f t="shared" si="86"/>
        <v>SGD</v>
      </c>
      <c r="U390" s="7" t="str">
        <f t="shared" si="87"/>
        <v>GBP</v>
      </c>
      <c r="V390" s="7" t="str">
        <f t="shared" si="88"/>
        <v>UAE</v>
      </c>
      <c r="W390" s="7" t="str">
        <f t="shared" si="89"/>
        <v>Canada</v>
      </c>
      <c r="X390" s="7" t="str">
        <f t="shared" si="90"/>
        <v>Inter-Transaction</v>
      </c>
      <c r="Y390" s="7">
        <f t="shared" si="91"/>
        <v>8174.19</v>
      </c>
      <c r="Z390" s="7">
        <f t="shared" si="92"/>
        <v>84</v>
      </c>
      <c r="AA390" s="7">
        <f t="shared" si="93"/>
        <v>2024</v>
      </c>
      <c r="AB390" s="7">
        <f t="shared" si="94"/>
        <v>1</v>
      </c>
      <c r="AC390" s="7">
        <f t="shared" si="95"/>
        <v>1</v>
      </c>
      <c r="AD390" s="7" t="str">
        <f t="shared" si="96"/>
        <v>No</v>
      </c>
      <c r="AE390" s="7" t="str">
        <f t="shared" si="97"/>
        <v>Normal</v>
      </c>
    </row>
    <row r="391" spans="1:31">
      <c r="A391" t="s">
        <v>1387</v>
      </c>
      <c r="B391">
        <v>61639439</v>
      </c>
      <c r="C391" t="s">
        <v>1388</v>
      </c>
      <c r="D391" t="s">
        <v>1389</v>
      </c>
      <c r="E391">
        <v>0</v>
      </c>
      <c r="F391" t="s">
        <v>44</v>
      </c>
      <c r="G391" t="s">
        <v>21</v>
      </c>
      <c r="H391" t="s">
        <v>103</v>
      </c>
      <c r="I391" t="s">
        <v>3377</v>
      </c>
      <c r="J391">
        <v>5413.8</v>
      </c>
      <c r="K391" t="s">
        <v>86</v>
      </c>
      <c r="L391" t="s">
        <v>28</v>
      </c>
      <c r="M391" s="1">
        <v>45057.067361111112</v>
      </c>
      <c r="N391">
        <v>82</v>
      </c>
      <c r="O391" t="s">
        <v>36</v>
      </c>
      <c r="P391" t="s">
        <v>62</v>
      </c>
      <c r="Q391" t="s">
        <v>1390</v>
      </c>
      <c r="R391" t="str">
        <f t="shared" si="84"/>
        <v>Marta Volkov</v>
      </c>
      <c r="S391" t="str">
        <f t="shared" si="85"/>
        <v>Elena Khan</v>
      </c>
      <c r="T391" t="str">
        <f t="shared" si="86"/>
        <v>SGD</v>
      </c>
      <c r="U391" s="7" t="str">
        <f t="shared" si="87"/>
        <v>GBP</v>
      </c>
      <c r="V391" s="7" t="str">
        <f t="shared" si="88"/>
        <v>Germany</v>
      </c>
      <c r="W391" s="7" t="str">
        <f t="shared" si="89"/>
        <v>Australia</v>
      </c>
      <c r="X391" s="7" t="str">
        <f t="shared" si="90"/>
        <v>Inter-Transaction</v>
      </c>
      <c r="Y391" s="7">
        <f t="shared" si="91"/>
        <v>5413.8</v>
      </c>
      <c r="Z391" s="7">
        <f t="shared" si="92"/>
        <v>82</v>
      </c>
      <c r="AA391" s="7">
        <f t="shared" si="93"/>
        <v>2023</v>
      </c>
      <c r="AB391" s="7">
        <f t="shared" si="94"/>
        <v>5</v>
      </c>
      <c r="AC391" s="7">
        <f t="shared" si="95"/>
        <v>1</v>
      </c>
      <c r="AD391" s="7" t="str">
        <f t="shared" si="96"/>
        <v>No</v>
      </c>
      <c r="AE391" s="7" t="str">
        <f t="shared" si="97"/>
        <v>Normal</v>
      </c>
    </row>
    <row r="392" spans="1:31">
      <c r="A392" t="s">
        <v>1391</v>
      </c>
      <c r="B392">
        <v>48521233</v>
      </c>
      <c r="C392" t="s">
        <v>501</v>
      </c>
      <c r="D392" t="s">
        <v>1392</v>
      </c>
      <c r="E392">
        <v>0</v>
      </c>
      <c r="F392" t="s">
        <v>45</v>
      </c>
      <c r="G392" t="s">
        <v>34</v>
      </c>
      <c r="H392" t="s">
        <v>74</v>
      </c>
      <c r="I392" t="s">
        <v>3374</v>
      </c>
      <c r="J392">
        <v>2207.37</v>
      </c>
      <c r="K392" t="s">
        <v>47</v>
      </c>
      <c r="L392" t="s">
        <v>81</v>
      </c>
      <c r="M392" s="1">
        <v>45899.584722222222</v>
      </c>
      <c r="N392">
        <v>50</v>
      </c>
      <c r="O392" t="s">
        <v>36</v>
      </c>
      <c r="P392" t="s">
        <v>62</v>
      </c>
      <c r="Q392" t="s">
        <v>1393</v>
      </c>
      <c r="R392" t="str">
        <f t="shared" si="84"/>
        <v>Susan Volkov</v>
      </c>
      <c r="S392" t="str">
        <f t="shared" si="85"/>
        <v xml:space="preserve"> Patricia Rodriguez   </v>
      </c>
      <c r="T392" t="str">
        <f t="shared" si="86"/>
        <v>ZAR</v>
      </c>
      <c r="U392" s="7" t="str">
        <f t="shared" si="87"/>
        <v>CAD</v>
      </c>
      <c r="V392" s="7" t="str">
        <f t="shared" si="88"/>
        <v>Germany</v>
      </c>
      <c r="W392" s="7" t="str">
        <f t="shared" si="89"/>
        <v>Australia</v>
      </c>
      <c r="X392" s="7" t="str">
        <f t="shared" si="90"/>
        <v>External</v>
      </c>
      <c r="Y392" s="7">
        <f t="shared" si="91"/>
        <v>2207.37</v>
      </c>
      <c r="Z392" s="7">
        <f t="shared" si="92"/>
        <v>50</v>
      </c>
      <c r="AA392" s="7">
        <f t="shared" si="93"/>
        <v>2025</v>
      </c>
      <c r="AB392" s="7">
        <f t="shared" si="94"/>
        <v>8</v>
      </c>
      <c r="AC392" s="7">
        <f t="shared" si="95"/>
        <v>1</v>
      </c>
      <c r="AD392" s="7" t="str">
        <f t="shared" si="96"/>
        <v>No</v>
      </c>
      <c r="AE392" s="7" t="str">
        <f t="shared" si="97"/>
        <v>Normal</v>
      </c>
    </row>
    <row r="393" spans="1:31">
      <c r="A393" t="s">
        <v>1394</v>
      </c>
      <c r="B393">
        <v>22139593</v>
      </c>
      <c r="C393" t="s">
        <v>1395</v>
      </c>
      <c r="D393" t="s">
        <v>857</v>
      </c>
      <c r="E393" t="s">
        <v>20</v>
      </c>
      <c r="F393" t="s">
        <v>34</v>
      </c>
      <c r="G393" t="s">
        <v>44</v>
      </c>
      <c r="I393" t="s">
        <v>3371</v>
      </c>
      <c r="J393">
        <v>5753.95</v>
      </c>
      <c r="K393" t="s">
        <v>27</v>
      </c>
      <c r="L393" t="s">
        <v>81</v>
      </c>
      <c r="M393" s="1">
        <v>44956.4375</v>
      </c>
      <c r="N393">
        <v>57</v>
      </c>
      <c r="O393" t="s">
        <v>36</v>
      </c>
      <c r="P393" t="s">
        <v>68</v>
      </c>
      <c r="Q393" t="s">
        <v>1396</v>
      </c>
      <c r="R393" t="str">
        <f t="shared" si="84"/>
        <v>Richard Jones</v>
      </c>
      <c r="S393" t="str">
        <f t="shared" si="85"/>
        <v>Linda Dubois</v>
      </c>
      <c r="T393" t="str">
        <f t="shared" si="86"/>
        <v>CAD</v>
      </c>
      <c r="U393" s="7" t="str">
        <f t="shared" si="87"/>
        <v>SGD</v>
      </c>
      <c r="V393" s="7" t="str">
        <f t="shared" si="88"/>
        <v>Germany</v>
      </c>
      <c r="W393" s="7" t="str">
        <f t="shared" si="89"/>
        <v>UAE</v>
      </c>
      <c r="X393" s="7" t="str">
        <f t="shared" si="90"/>
        <v>Outer-Transaction</v>
      </c>
      <c r="Y393" s="7">
        <f t="shared" si="91"/>
        <v>5753.95</v>
      </c>
      <c r="Z393" s="7">
        <f t="shared" si="92"/>
        <v>57</v>
      </c>
      <c r="AA393" s="7">
        <f t="shared" si="93"/>
        <v>2023</v>
      </c>
      <c r="AB393" s="7">
        <f t="shared" si="94"/>
        <v>1</v>
      </c>
      <c r="AC393" s="7">
        <f t="shared" si="95"/>
        <v>1</v>
      </c>
      <c r="AD393" s="7" t="str">
        <f t="shared" si="96"/>
        <v>No</v>
      </c>
      <c r="AE393" s="7" t="str">
        <f t="shared" si="97"/>
        <v>Normal</v>
      </c>
    </row>
    <row r="394" spans="1:31">
      <c r="A394" t="s">
        <v>1397</v>
      </c>
      <c r="B394">
        <v>39438509</v>
      </c>
      <c r="C394" t="s">
        <v>1398</v>
      </c>
      <c r="D394" t="s">
        <v>614</v>
      </c>
      <c r="E394" t="s">
        <v>20</v>
      </c>
      <c r="F394" t="s">
        <v>80</v>
      </c>
      <c r="G394" t="s">
        <v>34</v>
      </c>
      <c r="H394" t="s">
        <v>74</v>
      </c>
      <c r="I394" t="s">
        <v>3378</v>
      </c>
      <c r="J394">
        <v>6911.22</v>
      </c>
      <c r="K394" t="s">
        <v>27</v>
      </c>
      <c r="L394" t="s">
        <v>81</v>
      </c>
      <c r="M394" s="1">
        <v>43896.209722222222</v>
      </c>
      <c r="N394">
        <v>60</v>
      </c>
      <c r="O394" t="s">
        <v>93</v>
      </c>
      <c r="P394" t="s">
        <v>62</v>
      </c>
      <c r="Q394" t="s">
        <v>1399</v>
      </c>
      <c r="R394" t="str">
        <f t="shared" si="84"/>
        <v>ELENA WILLIAMS</v>
      </c>
      <c r="S394" t="str">
        <f t="shared" si="85"/>
        <v>Elizabeth Lopez</v>
      </c>
      <c r="T394" t="str">
        <f t="shared" si="86"/>
        <v>USD</v>
      </c>
      <c r="U394" s="7" t="str">
        <f t="shared" si="87"/>
        <v>CAD</v>
      </c>
      <c r="V394" s="7" t="str">
        <f t="shared" si="88"/>
        <v>USA</v>
      </c>
      <c r="W394" s="7" t="str">
        <f t="shared" si="89"/>
        <v>Australia</v>
      </c>
      <c r="X394" s="7" t="str">
        <f t="shared" si="90"/>
        <v>Inter-Transaction</v>
      </c>
      <c r="Y394" s="7">
        <f t="shared" si="91"/>
        <v>6911.22</v>
      </c>
      <c r="Z394" s="7">
        <f t="shared" si="92"/>
        <v>60</v>
      </c>
      <c r="AA394" s="7">
        <f t="shared" si="93"/>
        <v>2020</v>
      </c>
      <c r="AB394" s="7">
        <f t="shared" si="94"/>
        <v>3</v>
      </c>
      <c r="AC394" s="7">
        <f t="shared" si="95"/>
        <v>1</v>
      </c>
      <c r="AD394" s="7" t="str">
        <f t="shared" si="96"/>
        <v>No</v>
      </c>
      <c r="AE394" s="7" t="str">
        <f t="shared" si="97"/>
        <v>Normal</v>
      </c>
    </row>
    <row r="395" spans="1:31">
      <c r="A395" t="s">
        <v>1400</v>
      </c>
      <c r="B395">
        <v>67003442</v>
      </c>
      <c r="C395" t="s">
        <v>1401</v>
      </c>
      <c r="D395" t="s">
        <v>652</v>
      </c>
      <c r="E395" t="s">
        <v>20</v>
      </c>
      <c r="F395" t="s">
        <v>35</v>
      </c>
      <c r="G395" t="s">
        <v>686</v>
      </c>
      <c r="H395" t="s">
        <v>25</v>
      </c>
      <c r="I395" t="s">
        <v>3377</v>
      </c>
      <c r="J395">
        <v>8542.06</v>
      </c>
      <c r="K395" t="s">
        <v>39</v>
      </c>
      <c r="L395" t="s">
        <v>48</v>
      </c>
      <c r="M395" s="1">
        <v>44965.965277777781</v>
      </c>
      <c r="N395">
        <v>61</v>
      </c>
      <c r="O395" t="s">
        <v>93</v>
      </c>
      <c r="P395" t="s">
        <v>127</v>
      </c>
      <c r="Q395" t="s">
        <v>1402</v>
      </c>
      <c r="R395" t="str">
        <f t="shared" si="84"/>
        <v>Susan Johnson</v>
      </c>
      <c r="S395" t="str">
        <f t="shared" si="85"/>
        <v>Elena Brown</v>
      </c>
      <c r="T395" t="str">
        <f t="shared" si="86"/>
        <v>EUR</v>
      </c>
      <c r="U395" s="7" t="str">
        <f t="shared" si="87"/>
        <v>sgd</v>
      </c>
      <c r="V395" s="7" t="str">
        <f t="shared" si="88"/>
        <v>USA</v>
      </c>
      <c r="W395" s="7" t="str">
        <f t="shared" si="89"/>
        <v>Canada</v>
      </c>
      <c r="X395" s="7" t="str">
        <f t="shared" si="90"/>
        <v>Inter-Transaction</v>
      </c>
      <c r="Y395" s="7">
        <f t="shared" si="91"/>
        <v>8542.06</v>
      </c>
      <c r="Z395" s="7">
        <f t="shared" si="92"/>
        <v>61</v>
      </c>
      <c r="AA395" s="7">
        <f t="shared" si="93"/>
        <v>2023</v>
      </c>
      <c r="AB395" s="7">
        <f t="shared" si="94"/>
        <v>2</v>
      </c>
      <c r="AC395" s="7">
        <f t="shared" si="95"/>
        <v>1</v>
      </c>
      <c r="AD395" s="7" t="str">
        <f t="shared" si="96"/>
        <v>No</v>
      </c>
      <c r="AE395" s="7" t="str">
        <f t="shared" si="97"/>
        <v>Normal</v>
      </c>
    </row>
    <row r="396" spans="1:31">
      <c r="A396" t="s">
        <v>1403</v>
      </c>
      <c r="B396">
        <v>96549919</v>
      </c>
      <c r="C396" t="s">
        <v>1404</v>
      </c>
      <c r="D396" t="s">
        <v>1405</v>
      </c>
      <c r="E396" t="s">
        <v>20</v>
      </c>
      <c r="F396" t="s">
        <v>45</v>
      </c>
      <c r="G396" t="s">
        <v>80</v>
      </c>
      <c r="H396" t="s">
        <v>56</v>
      </c>
      <c r="I396" t="s">
        <v>3376</v>
      </c>
      <c r="J396">
        <v>10673.99</v>
      </c>
      <c r="K396" t="s">
        <v>57</v>
      </c>
      <c r="L396" t="s">
        <v>75</v>
      </c>
      <c r="M396" s="1">
        <v>44168.613888888889</v>
      </c>
      <c r="N396">
        <v>46</v>
      </c>
      <c r="O396" t="s">
        <v>37</v>
      </c>
      <c r="P396" t="s">
        <v>93</v>
      </c>
      <c r="Q396" t="s">
        <v>1406</v>
      </c>
      <c r="R396" t="str">
        <f t="shared" si="84"/>
        <v>Elena Smith</v>
      </c>
      <c r="S396" t="str">
        <f t="shared" si="85"/>
        <v>Barbara Brown</v>
      </c>
      <c r="T396" t="str">
        <f t="shared" si="86"/>
        <v>ZAR</v>
      </c>
      <c r="U396" s="7" t="str">
        <f t="shared" si="87"/>
        <v>USD</v>
      </c>
      <c r="V396" s="7" t="str">
        <f t="shared" si="88"/>
        <v>South Africa</v>
      </c>
      <c r="W396" s="7" t="str">
        <f t="shared" si="89"/>
        <v>USA</v>
      </c>
      <c r="X396" s="7" t="str">
        <f t="shared" si="90"/>
        <v>Internal</v>
      </c>
      <c r="Y396" s="7">
        <f t="shared" si="91"/>
        <v>10673.99</v>
      </c>
      <c r="Z396" s="7">
        <f t="shared" si="92"/>
        <v>46</v>
      </c>
      <c r="AA396" s="7">
        <f t="shared" si="93"/>
        <v>2020</v>
      </c>
      <c r="AB396" s="7">
        <f t="shared" si="94"/>
        <v>12</v>
      </c>
      <c r="AC396" s="7">
        <f t="shared" si="95"/>
        <v>1</v>
      </c>
      <c r="AD396" s="7" t="str">
        <f t="shared" si="96"/>
        <v>No</v>
      </c>
      <c r="AE396" s="7" t="str">
        <f t="shared" si="97"/>
        <v>High Risk</v>
      </c>
    </row>
    <row r="397" spans="1:31">
      <c r="A397" t="s">
        <v>1407</v>
      </c>
      <c r="B397">
        <v>93086647</v>
      </c>
      <c r="C397" t="s">
        <v>1408</v>
      </c>
      <c r="D397" t="s">
        <v>1409</v>
      </c>
      <c r="E397" t="s">
        <v>3375</v>
      </c>
      <c r="F397" t="s">
        <v>98</v>
      </c>
      <c r="G397" t="s">
        <v>116</v>
      </c>
      <c r="H397" t="s">
        <v>56</v>
      </c>
      <c r="I397" t="s">
        <v>3371</v>
      </c>
      <c r="J397">
        <v>829.53</v>
      </c>
      <c r="K397" t="s">
        <v>57</v>
      </c>
      <c r="L397" t="s">
        <v>81</v>
      </c>
      <c r="M397" s="1">
        <v>46001.810416666667</v>
      </c>
      <c r="N397">
        <v>30</v>
      </c>
      <c r="O397" t="s">
        <v>37</v>
      </c>
      <c r="P397" t="s">
        <v>37</v>
      </c>
      <c r="Q397" t="s">
        <v>1410</v>
      </c>
      <c r="R397" t="str">
        <f t="shared" si="84"/>
        <v>Mary Davis</v>
      </c>
      <c r="S397" t="str">
        <f t="shared" si="85"/>
        <v>Joseph Garcia</v>
      </c>
      <c r="T397" t="str">
        <f t="shared" si="86"/>
        <v>JPY</v>
      </c>
      <c r="U397" s="7" t="str">
        <f t="shared" si="87"/>
        <v>CHF</v>
      </c>
      <c r="V397" s="7" t="str">
        <f t="shared" si="88"/>
        <v>South Africa</v>
      </c>
      <c r="W397" s="7" t="str">
        <f t="shared" si="89"/>
        <v>South Africa</v>
      </c>
      <c r="X397" s="7" t="str">
        <f t="shared" si="90"/>
        <v>Outer-Transaction</v>
      </c>
      <c r="Y397" s="7">
        <f t="shared" si="91"/>
        <v>829.53</v>
      </c>
      <c r="Z397" s="7">
        <f t="shared" si="92"/>
        <v>30</v>
      </c>
      <c r="AA397" s="7">
        <f t="shared" si="93"/>
        <v>2025</v>
      </c>
      <c r="AB397" s="7">
        <f t="shared" si="94"/>
        <v>12</v>
      </c>
      <c r="AC397" s="7">
        <f t="shared" si="95"/>
        <v>1</v>
      </c>
      <c r="AD397" s="7" t="str">
        <f t="shared" si="96"/>
        <v>No</v>
      </c>
      <c r="AE397" s="7" t="str">
        <f t="shared" si="97"/>
        <v>Normal</v>
      </c>
    </row>
    <row r="398" spans="1:31">
      <c r="A398" t="s">
        <v>1411</v>
      </c>
      <c r="B398">
        <v>24289429</v>
      </c>
      <c r="D398" t="s">
        <v>874</v>
      </c>
      <c r="E398" t="s">
        <v>3375</v>
      </c>
      <c r="F398" t="s">
        <v>53</v>
      </c>
      <c r="G398" t="s">
        <v>126</v>
      </c>
      <c r="H398" t="s">
        <v>38</v>
      </c>
      <c r="I398" t="s">
        <v>3377</v>
      </c>
      <c r="J398">
        <v>8460.4500000000007</v>
      </c>
      <c r="K398" t="s">
        <v>39</v>
      </c>
      <c r="L398" t="s">
        <v>28</v>
      </c>
      <c r="M398" s="1">
        <v>45559.400694444441</v>
      </c>
      <c r="N398">
        <v>29</v>
      </c>
      <c r="O398" t="s">
        <v>54</v>
      </c>
      <c r="P398" t="s">
        <v>127</v>
      </c>
      <c r="Q398" t="s">
        <v>1412</v>
      </c>
      <c r="R398" t="str">
        <f t="shared" si="84"/>
        <v/>
      </c>
      <c r="S398" t="str">
        <f t="shared" si="85"/>
        <v>Nancy Smith</v>
      </c>
      <c r="T398" t="str">
        <f t="shared" si="86"/>
        <v>AED</v>
      </c>
      <c r="U398" s="7" t="str">
        <f t="shared" si="87"/>
        <v>inr</v>
      </c>
      <c r="V398" s="7" t="str">
        <f t="shared" si="88"/>
        <v>India</v>
      </c>
      <c r="W398" s="7" t="str">
        <f t="shared" si="89"/>
        <v>Canada</v>
      </c>
      <c r="X398" s="7" t="str">
        <f t="shared" si="90"/>
        <v>Inter-Transaction</v>
      </c>
      <c r="Y398" s="7">
        <f t="shared" si="91"/>
        <v>8460.4500000000007</v>
      </c>
      <c r="Z398" s="7">
        <f t="shared" si="92"/>
        <v>29</v>
      </c>
      <c r="AA398" s="7">
        <f t="shared" si="93"/>
        <v>2024</v>
      </c>
      <c r="AB398" s="7">
        <f t="shared" si="94"/>
        <v>9</v>
      </c>
      <c r="AC398" s="7">
        <f t="shared" si="95"/>
        <v>1</v>
      </c>
      <c r="AD398" s="7" t="str">
        <f t="shared" si="96"/>
        <v>No</v>
      </c>
      <c r="AE398" s="7" t="str">
        <f t="shared" si="97"/>
        <v>Normal</v>
      </c>
    </row>
    <row r="399" spans="1:31">
      <c r="A399" t="s">
        <v>1413</v>
      </c>
      <c r="B399">
        <v>62430988</v>
      </c>
      <c r="C399" t="s">
        <v>1414</v>
      </c>
      <c r="D399" t="s">
        <v>1415</v>
      </c>
      <c r="E399" t="s">
        <v>20</v>
      </c>
      <c r="F399" t="s">
        <v>34</v>
      </c>
      <c r="G399" t="s">
        <v>92</v>
      </c>
      <c r="H399" t="s">
        <v>56</v>
      </c>
      <c r="I399" t="s">
        <v>3372</v>
      </c>
      <c r="J399">
        <v>8799.51</v>
      </c>
      <c r="K399" t="s">
        <v>86</v>
      </c>
      <c r="L399" t="s">
        <v>75</v>
      </c>
      <c r="M399" s="1">
        <v>44277.62222222222</v>
      </c>
      <c r="N399">
        <v>63</v>
      </c>
      <c r="O399" t="s">
        <v>24</v>
      </c>
      <c r="P399" t="s">
        <v>37</v>
      </c>
      <c r="Q399" t="s">
        <v>1416</v>
      </c>
      <c r="R399" t="str">
        <f t="shared" si="84"/>
        <v>Fatima Lopez</v>
      </c>
      <c r="S399" t="str">
        <f t="shared" si="85"/>
        <v xml:space="preserve"> Michael Rostova   </v>
      </c>
      <c r="T399" t="str">
        <f t="shared" si="86"/>
        <v>CAD</v>
      </c>
      <c r="U399" s="7" t="str">
        <f t="shared" si="87"/>
        <v>AUD</v>
      </c>
      <c r="V399" s="7" t="str">
        <f t="shared" si="88"/>
        <v>Brazil</v>
      </c>
      <c r="W399" s="7" t="str">
        <f t="shared" si="89"/>
        <v>South Africa</v>
      </c>
      <c r="X399" s="7" t="str">
        <f t="shared" si="90"/>
        <v>Outer-Transaction</v>
      </c>
      <c r="Y399" s="7">
        <f t="shared" si="91"/>
        <v>8799.51</v>
      </c>
      <c r="Z399" s="7">
        <f t="shared" si="92"/>
        <v>63</v>
      </c>
      <c r="AA399" s="7">
        <f t="shared" si="93"/>
        <v>2021</v>
      </c>
      <c r="AB399" s="7">
        <f t="shared" si="94"/>
        <v>3</v>
      </c>
      <c r="AC399" s="7">
        <f t="shared" si="95"/>
        <v>1</v>
      </c>
      <c r="AD399" s="7" t="str">
        <f t="shared" si="96"/>
        <v>No</v>
      </c>
      <c r="AE399" s="7" t="str">
        <f t="shared" si="97"/>
        <v>High Risk</v>
      </c>
    </row>
    <row r="400" spans="1:31">
      <c r="A400" t="s">
        <v>1417</v>
      </c>
      <c r="B400">
        <v>97807942</v>
      </c>
      <c r="C400" t="s">
        <v>819</v>
      </c>
      <c r="D400" t="s">
        <v>1418</v>
      </c>
      <c r="E400" t="b">
        <v>0</v>
      </c>
      <c r="F400" t="s">
        <v>98</v>
      </c>
      <c r="G400" t="s">
        <v>98</v>
      </c>
      <c r="H400" t="s">
        <v>74</v>
      </c>
      <c r="I400" t="s">
        <v>3378</v>
      </c>
      <c r="J400">
        <v>4369.72</v>
      </c>
      <c r="K400" t="s">
        <v>27</v>
      </c>
      <c r="L400" t="s">
        <v>81</v>
      </c>
      <c r="M400" s="1">
        <v>44111.742361111108</v>
      </c>
      <c r="N400">
        <v>19</v>
      </c>
      <c r="O400" t="s">
        <v>55</v>
      </c>
      <c r="P400" t="s">
        <v>37</v>
      </c>
      <c r="Q400" t="s">
        <v>1419</v>
      </c>
      <c r="R400" t="str">
        <f t="shared" si="84"/>
        <v>Michael Dubois</v>
      </c>
      <c r="S400" t="str">
        <f t="shared" si="85"/>
        <v>Elena Garcia</v>
      </c>
      <c r="T400" t="str">
        <f t="shared" si="86"/>
        <v>JPY</v>
      </c>
      <c r="U400" s="7" t="str">
        <f t="shared" si="87"/>
        <v>JPY</v>
      </c>
      <c r="V400" s="7" t="str">
        <f t="shared" si="88"/>
        <v>UK</v>
      </c>
      <c r="W400" s="7" t="str">
        <f t="shared" si="89"/>
        <v>South Africa</v>
      </c>
      <c r="X400" s="7" t="str">
        <f t="shared" si="90"/>
        <v>Inter-Transaction</v>
      </c>
      <c r="Y400" s="7">
        <f t="shared" si="91"/>
        <v>4369.72</v>
      </c>
      <c r="Z400" s="7">
        <f t="shared" si="92"/>
        <v>19</v>
      </c>
      <c r="AA400" s="7">
        <f t="shared" si="93"/>
        <v>2020</v>
      </c>
      <c r="AB400" s="7">
        <f t="shared" si="94"/>
        <v>10</v>
      </c>
      <c r="AC400" s="7">
        <f t="shared" si="95"/>
        <v>1</v>
      </c>
      <c r="AD400" s="7" t="str">
        <f t="shared" si="96"/>
        <v>No</v>
      </c>
      <c r="AE400" s="7" t="str">
        <f t="shared" si="97"/>
        <v>Normal</v>
      </c>
    </row>
    <row r="401" spans="1:31">
      <c r="A401" t="s">
        <v>1420</v>
      </c>
      <c r="B401">
        <v>76776383</v>
      </c>
      <c r="C401" t="s">
        <v>957</v>
      </c>
      <c r="D401" t="s">
        <v>1421</v>
      </c>
      <c r="E401" t="s">
        <v>3375</v>
      </c>
      <c r="F401" t="s">
        <v>53</v>
      </c>
      <c r="G401" t="s">
        <v>98</v>
      </c>
      <c r="H401" t="s">
        <v>74</v>
      </c>
      <c r="I401" t="s">
        <v>3378</v>
      </c>
      <c r="J401">
        <v>2430.4699999999998</v>
      </c>
      <c r="K401" t="s">
        <v>57</v>
      </c>
      <c r="L401" t="s">
        <v>75</v>
      </c>
      <c r="M401" s="1">
        <v>44426.259722222225</v>
      </c>
      <c r="N401">
        <v>52</v>
      </c>
      <c r="O401" t="s">
        <v>55</v>
      </c>
      <c r="P401" t="s">
        <v>36</v>
      </c>
      <c r="Q401" t="s">
        <v>1422</v>
      </c>
      <c r="R401" t="str">
        <f t="shared" si="84"/>
        <v>Patricia Silva</v>
      </c>
      <c r="S401" t="str">
        <f t="shared" si="85"/>
        <v>John Jones</v>
      </c>
      <c r="T401" t="str">
        <f t="shared" si="86"/>
        <v>AED</v>
      </c>
      <c r="U401" s="7" t="str">
        <f t="shared" si="87"/>
        <v>JPY</v>
      </c>
      <c r="V401" s="7" t="str">
        <f t="shared" si="88"/>
        <v>UK</v>
      </c>
      <c r="W401" s="7" t="str">
        <f t="shared" si="89"/>
        <v>Germany</v>
      </c>
      <c r="X401" s="7" t="str">
        <f t="shared" si="90"/>
        <v>Inter-Transaction</v>
      </c>
      <c r="Y401" s="7">
        <f t="shared" si="91"/>
        <v>2430.4699999999998</v>
      </c>
      <c r="Z401" s="7">
        <f t="shared" si="92"/>
        <v>52</v>
      </c>
      <c r="AA401" s="7">
        <f t="shared" si="93"/>
        <v>2021</v>
      </c>
      <c r="AB401" s="7">
        <f t="shared" si="94"/>
        <v>8</v>
      </c>
      <c r="AC401" s="7">
        <f t="shared" si="95"/>
        <v>1</v>
      </c>
      <c r="AD401" s="7" t="str">
        <f t="shared" si="96"/>
        <v>No</v>
      </c>
      <c r="AE401" s="7" t="str">
        <f t="shared" si="97"/>
        <v>High Risk</v>
      </c>
    </row>
    <row r="402" spans="1:31">
      <c r="A402" t="s">
        <v>1423</v>
      </c>
      <c r="B402">
        <v>97280725</v>
      </c>
      <c r="C402" t="s">
        <v>150</v>
      </c>
      <c r="D402" t="s">
        <v>158</v>
      </c>
      <c r="E402" t="s">
        <v>20</v>
      </c>
      <c r="F402" t="s">
        <v>34</v>
      </c>
      <c r="H402" t="s">
        <v>38</v>
      </c>
      <c r="I402" t="s">
        <v>3378</v>
      </c>
      <c r="J402">
        <v>5611.51</v>
      </c>
      <c r="K402" t="s">
        <v>39</v>
      </c>
      <c r="L402" t="s">
        <v>81</v>
      </c>
      <c r="M402" s="1">
        <v>45817.720138888886</v>
      </c>
      <c r="N402">
        <v>25</v>
      </c>
      <c r="O402" t="s">
        <v>68</v>
      </c>
      <c r="P402" t="s">
        <v>93</v>
      </c>
      <c r="Q402" t="s">
        <v>1424</v>
      </c>
      <c r="R402" t="str">
        <f t="shared" si="84"/>
        <v>Priya Jones</v>
      </c>
      <c r="S402" t="str">
        <f t="shared" si="85"/>
        <v>Patricia Jackson</v>
      </c>
      <c r="T402" t="str">
        <f t="shared" si="86"/>
        <v>CAD</v>
      </c>
      <c r="U402" s="7" t="str">
        <f t="shared" si="87"/>
        <v/>
      </c>
      <c r="V402" s="7" t="str">
        <f t="shared" si="88"/>
        <v>UAE</v>
      </c>
      <c r="W402" s="7" t="str">
        <f t="shared" si="89"/>
        <v>USA</v>
      </c>
      <c r="X402" s="7" t="str">
        <f t="shared" si="90"/>
        <v>Inter-Transaction</v>
      </c>
      <c r="Y402" s="7">
        <f t="shared" si="91"/>
        <v>5611.51</v>
      </c>
      <c r="Z402" s="7">
        <f t="shared" si="92"/>
        <v>25</v>
      </c>
      <c r="AA402" s="7">
        <f t="shared" si="93"/>
        <v>2025</v>
      </c>
      <c r="AB402" s="7">
        <f t="shared" si="94"/>
        <v>6</v>
      </c>
      <c r="AC402" s="7">
        <f t="shared" si="95"/>
        <v>1</v>
      </c>
      <c r="AD402" s="7" t="str">
        <f t="shared" si="96"/>
        <v>No</v>
      </c>
      <c r="AE402" s="7" t="str">
        <f t="shared" si="97"/>
        <v>Normal</v>
      </c>
    </row>
    <row r="403" spans="1:31">
      <c r="A403" t="s">
        <v>1425</v>
      </c>
      <c r="B403">
        <v>24132859</v>
      </c>
      <c r="C403" t="s">
        <v>334</v>
      </c>
      <c r="D403" t="s">
        <v>1265</v>
      </c>
      <c r="E403" t="s">
        <v>20</v>
      </c>
      <c r="F403" t="s">
        <v>35</v>
      </c>
      <c r="G403" t="s">
        <v>121</v>
      </c>
      <c r="H403" t="s">
        <v>56</v>
      </c>
      <c r="I403" t="s">
        <v>3377</v>
      </c>
      <c r="J403">
        <v>1296.48</v>
      </c>
      <c r="K403" t="s">
        <v>86</v>
      </c>
      <c r="L403" t="s">
        <v>81</v>
      </c>
      <c r="M403" s="1">
        <v>44905.819444444445</v>
      </c>
      <c r="N403">
        <v>43</v>
      </c>
      <c r="O403" t="s">
        <v>36</v>
      </c>
      <c r="P403" t="s">
        <v>23</v>
      </c>
      <c r="Q403" t="s">
        <v>1426</v>
      </c>
      <c r="R403" t="str">
        <f t="shared" si="84"/>
        <v>Barbara Gonzalez</v>
      </c>
      <c r="S403" t="str">
        <f t="shared" si="85"/>
        <v>Linda Jackson</v>
      </c>
      <c r="T403" t="str">
        <f t="shared" si="86"/>
        <v>EUR</v>
      </c>
      <c r="U403" s="7" t="str">
        <f t="shared" si="87"/>
        <v>INR</v>
      </c>
      <c r="V403" s="7" t="str">
        <f t="shared" si="88"/>
        <v>Germany</v>
      </c>
      <c r="W403" s="7" t="str">
        <f t="shared" si="89"/>
        <v>France</v>
      </c>
      <c r="X403" s="7" t="str">
        <f t="shared" si="90"/>
        <v>Inter-Transaction</v>
      </c>
      <c r="Y403" s="7">
        <f t="shared" si="91"/>
        <v>1296.48</v>
      </c>
      <c r="Z403" s="7">
        <f t="shared" si="92"/>
        <v>43</v>
      </c>
      <c r="AA403" s="7">
        <f t="shared" si="93"/>
        <v>2022</v>
      </c>
      <c r="AB403" s="7">
        <f t="shared" si="94"/>
        <v>12</v>
      </c>
      <c r="AC403" s="7">
        <f t="shared" si="95"/>
        <v>1</v>
      </c>
      <c r="AD403" s="7" t="str">
        <f t="shared" si="96"/>
        <v>No</v>
      </c>
      <c r="AE403" s="7" t="str">
        <f t="shared" si="97"/>
        <v>Normal</v>
      </c>
    </row>
    <row r="404" spans="1:31">
      <c r="A404" t="s">
        <v>1427</v>
      </c>
      <c r="B404">
        <v>47362868</v>
      </c>
      <c r="C404" t="s">
        <v>281</v>
      </c>
      <c r="D404" t="s">
        <v>1428</v>
      </c>
      <c r="E404">
        <v>1</v>
      </c>
      <c r="F404" t="s">
        <v>21</v>
      </c>
      <c r="G404" t="s">
        <v>45</v>
      </c>
      <c r="H404" t="s">
        <v>103</v>
      </c>
      <c r="I404" t="s">
        <v>3372</v>
      </c>
      <c r="J404">
        <v>14678.63</v>
      </c>
      <c r="K404" t="s">
        <v>47</v>
      </c>
      <c r="L404" t="s">
        <v>28</v>
      </c>
      <c r="M404" s="1">
        <v>44040.959027777775</v>
      </c>
      <c r="N404">
        <v>51</v>
      </c>
      <c r="O404" t="s">
        <v>24</v>
      </c>
      <c r="P404" t="s">
        <v>62</v>
      </c>
      <c r="Q404" t="s">
        <v>1429</v>
      </c>
      <c r="R404" t="str">
        <f t="shared" si="84"/>
        <v>Thomas Johnson</v>
      </c>
      <c r="S404" t="str">
        <f t="shared" si="85"/>
        <v xml:space="preserve"> Karen Jones   </v>
      </c>
      <c r="T404" t="str">
        <f t="shared" si="86"/>
        <v>GBP</v>
      </c>
      <c r="U404" s="7" t="str">
        <f t="shared" si="87"/>
        <v>ZAR</v>
      </c>
      <c r="V404" s="7" t="str">
        <f t="shared" si="88"/>
        <v>Brazil</v>
      </c>
      <c r="W404" s="7" t="str">
        <f t="shared" si="89"/>
        <v>Australia</v>
      </c>
      <c r="X404" s="7" t="str">
        <f t="shared" si="90"/>
        <v>Outer-Transaction</v>
      </c>
      <c r="Y404" s="7">
        <f t="shared" si="91"/>
        <v>14678.63</v>
      </c>
      <c r="Z404" s="7">
        <f t="shared" si="92"/>
        <v>51</v>
      </c>
      <c r="AA404" s="7">
        <f t="shared" si="93"/>
        <v>2020</v>
      </c>
      <c r="AB404" s="7">
        <f t="shared" si="94"/>
        <v>7</v>
      </c>
      <c r="AC404" s="7">
        <f t="shared" si="95"/>
        <v>1</v>
      </c>
      <c r="AD404" s="7" t="str">
        <f t="shared" si="96"/>
        <v>No</v>
      </c>
      <c r="AE404" s="7" t="str">
        <f t="shared" si="97"/>
        <v>Normal</v>
      </c>
    </row>
    <row r="405" spans="1:31">
      <c r="A405" t="s">
        <v>1430</v>
      </c>
      <c r="B405">
        <v>50042087</v>
      </c>
      <c r="C405" t="s">
        <v>1290</v>
      </c>
      <c r="D405" t="s">
        <v>401</v>
      </c>
      <c r="E405" t="s">
        <v>20</v>
      </c>
      <c r="F405" t="s">
        <v>121</v>
      </c>
      <c r="G405" t="s">
        <v>180</v>
      </c>
      <c r="H405" t="s">
        <v>103</v>
      </c>
      <c r="I405" t="s">
        <v>3371</v>
      </c>
      <c r="J405">
        <v>2987.09</v>
      </c>
      <c r="K405" t="s">
        <v>39</v>
      </c>
      <c r="L405" t="s">
        <v>81</v>
      </c>
      <c r="M405" s="1">
        <v>43956.304861111108</v>
      </c>
      <c r="N405">
        <v>24</v>
      </c>
      <c r="O405" t="s">
        <v>23</v>
      </c>
      <c r="P405" t="s">
        <v>23</v>
      </c>
      <c r="Q405" t="s">
        <v>1431</v>
      </c>
      <c r="R405" t="str">
        <f t="shared" si="84"/>
        <v>Zayn Rostova</v>
      </c>
      <c r="S405" t="str">
        <f t="shared" si="85"/>
        <v>Thomas Malik</v>
      </c>
      <c r="T405" t="str">
        <f t="shared" si="86"/>
        <v>INR</v>
      </c>
      <c r="U405" s="7" t="str">
        <f t="shared" si="87"/>
        <v>zar</v>
      </c>
      <c r="V405" s="7" t="str">
        <f t="shared" si="88"/>
        <v>France</v>
      </c>
      <c r="W405" s="7" t="str">
        <f t="shared" si="89"/>
        <v>France</v>
      </c>
      <c r="X405" s="7" t="str">
        <f t="shared" si="90"/>
        <v>Outer-Transaction</v>
      </c>
      <c r="Y405" s="7">
        <f t="shared" si="91"/>
        <v>2987.09</v>
      </c>
      <c r="Z405" s="7">
        <f t="shared" si="92"/>
        <v>24</v>
      </c>
      <c r="AA405" s="7">
        <f t="shared" si="93"/>
        <v>2020</v>
      </c>
      <c r="AB405" s="7">
        <f t="shared" si="94"/>
        <v>5</v>
      </c>
      <c r="AC405" s="7">
        <f t="shared" si="95"/>
        <v>1</v>
      </c>
      <c r="AD405" s="7" t="str">
        <f t="shared" si="96"/>
        <v>No</v>
      </c>
      <c r="AE405" s="7" t="str">
        <f t="shared" si="97"/>
        <v>Normal</v>
      </c>
    </row>
    <row r="406" spans="1:31">
      <c r="A406" t="s">
        <v>1432</v>
      </c>
      <c r="B406">
        <v>85283856</v>
      </c>
      <c r="C406" t="s">
        <v>1433</v>
      </c>
      <c r="D406" t="s">
        <v>1130</v>
      </c>
      <c r="E406" t="s">
        <v>20</v>
      </c>
      <c r="F406" t="s">
        <v>45</v>
      </c>
      <c r="G406" t="s">
        <v>116</v>
      </c>
      <c r="I406" t="s">
        <v>3374</v>
      </c>
      <c r="J406">
        <v>4754.5600000000004</v>
      </c>
      <c r="K406" t="s">
        <v>47</v>
      </c>
      <c r="L406" t="s">
        <v>81</v>
      </c>
      <c r="M406" s="1">
        <v>44322.070833333331</v>
      </c>
      <c r="N406">
        <v>85</v>
      </c>
      <c r="O406" t="s">
        <v>93</v>
      </c>
      <c r="P406" t="s">
        <v>36</v>
      </c>
      <c r="Q406" t="s">
        <v>1434</v>
      </c>
      <c r="R406" t="str">
        <f t="shared" si="84"/>
        <v>Lucas Volkov</v>
      </c>
      <c r="S406" t="str">
        <f t="shared" si="85"/>
        <v>Nancy Miller</v>
      </c>
      <c r="T406" t="str">
        <f t="shared" si="86"/>
        <v>ZAR</v>
      </c>
      <c r="U406" s="7" t="str">
        <f t="shared" si="87"/>
        <v>CHF</v>
      </c>
      <c r="V406" s="7" t="str">
        <f t="shared" si="88"/>
        <v>USA</v>
      </c>
      <c r="W406" s="7" t="str">
        <f t="shared" si="89"/>
        <v>Germany</v>
      </c>
      <c r="X406" s="7" t="str">
        <f t="shared" si="90"/>
        <v>External</v>
      </c>
      <c r="Y406" s="7">
        <f t="shared" si="91"/>
        <v>4754.5600000000004</v>
      </c>
      <c r="Z406" s="7">
        <f t="shared" si="92"/>
        <v>85</v>
      </c>
      <c r="AA406" s="7">
        <f t="shared" si="93"/>
        <v>2021</v>
      </c>
      <c r="AB406" s="7">
        <f t="shared" si="94"/>
        <v>5</v>
      </c>
      <c r="AC406" s="7">
        <f t="shared" si="95"/>
        <v>1</v>
      </c>
      <c r="AD406" s="7" t="str">
        <f t="shared" si="96"/>
        <v>No</v>
      </c>
      <c r="AE406" s="7" t="str">
        <f t="shared" si="97"/>
        <v>Normal</v>
      </c>
    </row>
    <row r="407" spans="1:31">
      <c r="A407" t="s">
        <v>1435</v>
      </c>
      <c r="B407">
        <v>26873477</v>
      </c>
      <c r="C407" t="s">
        <v>1079</v>
      </c>
      <c r="D407" t="s">
        <v>1436</v>
      </c>
      <c r="E407" t="s">
        <v>20</v>
      </c>
      <c r="F407" t="s">
        <v>121</v>
      </c>
      <c r="G407" t="s">
        <v>22</v>
      </c>
      <c r="H407" t="s">
        <v>103</v>
      </c>
      <c r="I407" t="s">
        <v>3371</v>
      </c>
      <c r="J407">
        <v>14286.13</v>
      </c>
      <c r="K407" t="s">
        <v>27</v>
      </c>
      <c r="L407" t="s">
        <v>28</v>
      </c>
      <c r="M407" s="1">
        <v>44800.275694444441</v>
      </c>
      <c r="N407">
        <v>75</v>
      </c>
      <c r="O407" t="s">
        <v>62</v>
      </c>
      <c r="P407" t="s">
        <v>37</v>
      </c>
      <c r="Q407" t="s">
        <v>1437</v>
      </c>
      <c r="R407" t="str">
        <f t="shared" si="84"/>
        <v>Sanjay Anderson</v>
      </c>
      <c r="S407" t="str">
        <f t="shared" si="85"/>
        <v>Sanjay Jackson</v>
      </c>
      <c r="T407" t="str">
        <f t="shared" si="86"/>
        <v>INR</v>
      </c>
      <c r="U407" s="7" t="str">
        <f t="shared" si="87"/>
        <v>BRL</v>
      </c>
      <c r="V407" s="7" t="str">
        <f t="shared" si="88"/>
        <v>Australia</v>
      </c>
      <c r="W407" s="7" t="str">
        <f t="shared" si="89"/>
        <v>South Africa</v>
      </c>
      <c r="X407" s="7" t="str">
        <f t="shared" si="90"/>
        <v>Outer-Transaction</v>
      </c>
      <c r="Y407" s="7">
        <f t="shared" si="91"/>
        <v>14286.13</v>
      </c>
      <c r="Z407" s="7">
        <f t="shared" si="92"/>
        <v>75</v>
      </c>
      <c r="AA407" s="7">
        <f t="shared" si="93"/>
        <v>2022</v>
      </c>
      <c r="AB407" s="7">
        <f t="shared" si="94"/>
        <v>8</v>
      </c>
      <c r="AC407" s="7">
        <f t="shared" si="95"/>
        <v>1</v>
      </c>
      <c r="AD407" s="7" t="str">
        <f t="shared" si="96"/>
        <v>No</v>
      </c>
      <c r="AE407" s="7" t="str">
        <f t="shared" si="97"/>
        <v>Normal</v>
      </c>
    </row>
    <row r="408" spans="1:31">
      <c r="A408" t="s">
        <v>1438</v>
      </c>
      <c r="B408">
        <v>65573350</v>
      </c>
      <c r="C408" t="s">
        <v>163</v>
      </c>
      <c r="E408" t="s">
        <v>20</v>
      </c>
      <c r="F408" t="s">
        <v>98</v>
      </c>
      <c r="G408" t="s">
        <v>34</v>
      </c>
      <c r="H408" t="s">
        <v>38</v>
      </c>
      <c r="I408" t="s">
        <v>3372</v>
      </c>
      <c r="J408">
        <v>5729.63</v>
      </c>
      <c r="K408" t="s">
        <v>39</v>
      </c>
      <c r="L408" t="s">
        <v>75</v>
      </c>
      <c r="M408" s="1">
        <v>44411.37777777778</v>
      </c>
      <c r="N408">
        <v>46</v>
      </c>
      <c r="O408" t="s">
        <v>127</v>
      </c>
      <c r="P408" t="s">
        <v>68</v>
      </c>
      <c r="Q408" t="s">
        <v>1439</v>
      </c>
      <c r="R408" t="str">
        <f t="shared" si="84"/>
        <v>Jessica Lopez</v>
      </c>
      <c r="S408" t="str">
        <f t="shared" si="85"/>
        <v/>
      </c>
      <c r="T408" t="str">
        <f t="shared" si="86"/>
        <v>JPY</v>
      </c>
      <c r="U408" s="7" t="str">
        <f t="shared" si="87"/>
        <v>CAD</v>
      </c>
      <c r="V408" s="7" t="str">
        <f t="shared" si="88"/>
        <v>Canada</v>
      </c>
      <c r="W408" s="7" t="str">
        <f t="shared" si="89"/>
        <v>UAE</v>
      </c>
      <c r="X408" s="7" t="str">
        <f t="shared" si="90"/>
        <v>Outer-Transaction</v>
      </c>
      <c r="Y408" s="7">
        <f t="shared" si="91"/>
        <v>5729.63</v>
      </c>
      <c r="Z408" s="7">
        <f t="shared" si="92"/>
        <v>46</v>
      </c>
      <c r="AA408" s="7">
        <f t="shared" si="93"/>
        <v>2021</v>
      </c>
      <c r="AB408" s="7">
        <f t="shared" si="94"/>
        <v>8</v>
      </c>
      <c r="AC408" s="7">
        <f t="shared" si="95"/>
        <v>1</v>
      </c>
      <c r="AD408" s="7" t="str">
        <f t="shared" si="96"/>
        <v>No</v>
      </c>
      <c r="AE408" s="7" t="str">
        <f t="shared" si="97"/>
        <v>High Risk</v>
      </c>
    </row>
    <row r="409" spans="1:31">
      <c r="A409" t="s">
        <v>1440</v>
      </c>
      <c r="B409">
        <v>93728466</v>
      </c>
      <c r="C409" t="s">
        <v>1300</v>
      </c>
      <c r="D409" t="s">
        <v>1441</v>
      </c>
      <c r="E409" t="s">
        <v>20</v>
      </c>
      <c r="F409" t="s">
        <v>116</v>
      </c>
      <c r="G409" t="s">
        <v>80</v>
      </c>
      <c r="I409" t="s">
        <v>3371</v>
      </c>
      <c r="J409">
        <v>12846.58</v>
      </c>
      <c r="K409" t="s">
        <v>86</v>
      </c>
      <c r="L409" t="s">
        <v>75</v>
      </c>
      <c r="M409" s="1">
        <v>46136.416666666664</v>
      </c>
      <c r="N409">
        <v>53</v>
      </c>
      <c r="O409" t="s">
        <v>54</v>
      </c>
      <c r="P409" t="s">
        <v>62</v>
      </c>
      <c r="Q409" t="s">
        <v>1442</v>
      </c>
      <c r="R409" t="str">
        <f t="shared" si="84"/>
        <v>Priya Moore</v>
      </c>
      <c r="S409" t="str">
        <f t="shared" si="85"/>
        <v>Patricia Nair</v>
      </c>
      <c r="T409" t="str">
        <f t="shared" si="86"/>
        <v>CHF</v>
      </c>
      <c r="U409" s="7" t="str">
        <f t="shared" si="87"/>
        <v>USD</v>
      </c>
      <c r="V409" s="7" t="str">
        <f t="shared" si="88"/>
        <v>India</v>
      </c>
      <c r="W409" s="7" t="str">
        <f t="shared" si="89"/>
        <v>Australia</v>
      </c>
      <c r="X409" s="7" t="str">
        <f t="shared" si="90"/>
        <v>Outer-Transaction</v>
      </c>
      <c r="Y409" s="7">
        <f t="shared" si="91"/>
        <v>12846.58</v>
      </c>
      <c r="Z409" s="7">
        <f t="shared" si="92"/>
        <v>53</v>
      </c>
      <c r="AA409" s="7">
        <f t="shared" si="93"/>
        <v>2026</v>
      </c>
      <c r="AB409" s="7">
        <f t="shared" si="94"/>
        <v>4</v>
      </c>
      <c r="AC409" s="7">
        <f t="shared" si="95"/>
        <v>1</v>
      </c>
      <c r="AD409" s="7" t="str">
        <f t="shared" si="96"/>
        <v>No</v>
      </c>
      <c r="AE409" s="7" t="str">
        <f t="shared" si="97"/>
        <v>High Risk</v>
      </c>
    </row>
    <row r="410" spans="1:31">
      <c r="A410" t="s">
        <v>1443</v>
      </c>
      <c r="B410">
        <v>48064741</v>
      </c>
      <c r="C410" t="s">
        <v>1444</v>
      </c>
      <c r="D410" t="s">
        <v>1445</v>
      </c>
      <c r="E410" t="s">
        <v>20</v>
      </c>
      <c r="F410" t="s">
        <v>92</v>
      </c>
      <c r="G410" t="s">
        <v>45</v>
      </c>
      <c r="H410" t="s">
        <v>103</v>
      </c>
      <c r="I410" t="s">
        <v>3376</v>
      </c>
      <c r="J410">
        <v>12302.32</v>
      </c>
      <c r="K410" t="s">
        <v>27</v>
      </c>
      <c r="L410" t="s">
        <v>75</v>
      </c>
      <c r="M410" s="1">
        <v>45042.079861111109</v>
      </c>
      <c r="N410">
        <v>38</v>
      </c>
      <c r="O410" t="s">
        <v>36</v>
      </c>
      <c r="P410" t="s">
        <v>62</v>
      </c>
      <c r="Q410" t="s">
        <v>1446</v>
      </c>
      <c r="R410" t="str">
        <f t="shared" si="84"/>
        <v>DAVID VOLKOV</v>
      </c>
      <c r="S410" t="str">
        <f t="shared" si="85"/>
        <v>Marta Rodriguez</v>
      </c>
      <c r="T410" t="str">
        <f t="shared" si="86"/>
        <v>AUD</v>
      </c>
      <c r="U410" s="7" t="str">
        <f t="shared" si="87"/>
        <v>ZAR</v>
      </c>
      <c r="V410" s="7" t="str">
        <f t="shared" si="88"/>
        <v>Germany</v>
      </c>
      <c r="W410" s="7" t="str">
        <f t="shared" si="89"/>
        <v>Australia</v>
      </c>
      <c r="X410" s="7" t="str">
        <f t="shared" si="90"/>
        <v>Internal</v>
      </c>
      <c r="Y410" s="7">
        <f t="shared" si="91"/>
        <v>12302.32</v>
      </c>
      <c r="Z410" s="7">
        <f t="shared" si="92"/>
        <v>38</v>
      </c>
      <c r="AA410" s="7">
        <f t="shared" si="93"/>
        <v>2023</v>
      </c>
      <c r="AB410" s="7">
        <f t="shared" si="94"/>
        <v>4</v>
      </c>
      <c r="AC410" s="7">
        <f t="shared" si="95"/>
        <v>1</v>
      </c>
      <c r="AD410" s="7" t="str">
        <f t="shared" si="96"/>
        <v>No</v>
      </c>
      <c r="AE410" s="7" t="str">
        <f t="shared" si="97"/>
        <v>High Risk</v>
      </c>
    </row>
    <row r="411" spans="1:31">
      <c r="A411" t="s">
        <v>1447</v>
      </c>
      <c r="B411">
        <v>87558199</v>
      </c>
      <c r="E411" t="b">
        <v>1</v>
      </c>
      <c r="F411" t="s">
        <v>21</v>
      </c>
      <c r="G411" t="s">
        <v>92</v>
      </c>
      <c r="H411" t="s">
        <v>38</v>
      </c>
      <c r="I411" t="s">
        <v>3377</v>
      </c>
      <c r="J411">
        <v>9475.2999999999993</v>
      </c>
      <c r="K411" t="s">
        <v>39</v>
      </c>
      <c r="L411" t="s">
        <v>75</v>
      </c>
      <c r="M411" s="1">
        <v>44060.012499999997</v>
      </c>
      <c r="N411">
        <v>53</v>
      </c>
      <c r="O411" t="s">
        <v>36</v>
      </c>
      <c r="P411" t="s">
        <v>93</v>
      </c>
      <c r="Q411" t="s">
        <v>1448</v>
      </c>
      <c r="R411" t="str">
        <f t="shared" si="84"/>
        <v/>
      </c>
      <c r="S411" t="str">
        <f t="shared" si="85"/>
        <v/>
      </c>
      <c r="T411" t="str">
        <f t="shared" si="86"/>
        <v>GBP</v>
      </c>
      <c r="U411" s="7" t="str">
        <f t="shared" si="87"/>
        <v>AUD</v>
      </c>
      <c r="V411" s="7" t="str">
        <f t="shared" si="88"/>
        <v>Germany</v>
      </c>
      <c r="W411" s="7" t="str">
        <f t="shared" si="89"/>
        <v>USA</v>
      </c>
      <c r="X411" s="7" t="str">
        <f t="shared" si="90"/>
        <v>Inter-Transaction</v>
      </c>
      <c r="Y411" s="7">
        <f t="shared" si="91"/>
        <v>9475.2999999999993</v>
      </c>
      <c r="Z411" s="7">
        <f t="shared" si="92"/>
        <v>53</v>
      </c>
      <c r="AA411" s="7">
        <f t="shared" si="93"/>
        <v>2020</v>
      </c>
      <c r="AB411" s="7">
        <f t="shared" si="94"/>
        <v>8</v>
      </c>
      <c r="AC411" s="7">
        <f t="shared" si="95"/>
        <v>1</v>
      </c>
      <c r="AD411" s="7" t="str">
        <f t="shared" si="96"/>
        <v>No</v>
      </c>
      <c r="AE411" s="7" t="str">
        <f t="shared" si="97"/>
        <v>High Risk</v>
      </c>
    </row>
    <row r="412" spans="1:31">
      <c r="A412" t="s">
        <v>1449</v>
      </c>
      <c r="B412">
        <v>82970485</v>
      </c>
      <c r="C412" t="s">
        <v>950</v>
      </c>
      <c r="D412" t="s">
        <v>207</v>
      </c>
      <c r="E412" t="s">
        <v>20</v>
      </c>
      <c r="F412" t="s">
        <v>22</v>
      </c>
      <c r="G412" t="s">
        <v>21</v>
      </c>
      <c r="H412" t="s">
        <v>74</v>
      </c>
      <c r="I412" t="s">
        <v>3378</v>
      </c>
      <c r="J412">
        <v>2915.5</v>
      </c>
      <c r="K412" t="s">
        <v>47</v>
      </c>
      <c r="L412" t="s">
        <v>81</v>
      </c>
      <c r="M412" s="1">
        <v>44019.055555555555</v>
      </c>
      <c r="N412">
        <v>27</v>
      </c>
      <c r="O412" t="s">
        <v>36</v>
      </c>
      <c r="P412" t="s">
        <v>24</v>
      </c>
      <c r="Q412" t="s">
        <v>1450</v>
      </c>
      <c r="R412" t="str">
        <f t="shared" si="84"/>
        <v>Priya Williams</v>
      </c>
      <c r="S412" t="str">
        <f t="shared" si="85"/>
        <v>Christopher Gonzalez</v>
      </c>
      <c r="T412" t="str">
        <f t="shared" si="86"/>
        <v>BRL</v>
      </c>
      <c r="U412" s="7" t="str">
        <f t="shared" si="87"/>
        <v>GBP</v>
      </c>
      <c r="V412" s="7" t="str">
        <f t="shared" si="88"/>
        <v>Germany</v>
      </c>
      <c r="W412" s="7" t="str">
        <f t="shared" si="89"/>
        <v>Brazil</v>
      </c>
      <c r="X412" s="7" t="str">
        <f t="shared" si="90"/>
        <v>Inter-Transaction</v>
      </c>
      <c r="Y412" s="7">
        <f t="shared" si="91"/>
        <v>2915.5</v>
      </c>
      <c r="Z412" s="7">
        <f t="shared" si="92"/>
        <v>27</v>
      </c>
      <c r="AA412" s="7">
        <f t="shared" si="93"/>
        <v>2020</v>
      </c>
      <c r="AB412" s="7">
        <f t="shared" si="94"/>
        <v>7</v>
      </c>
      <c r="AC412" s="7">
        <f t="shared" si="95"/>
        <v>1</v>
      </c>
      <c r="AD412" s="7" t="str">
        <f t="shared" si="96"/>
        <v>No</v>
      </c>
      <c r="AE412" s="7" t="str">
        <f t="shared" si="97"/>
        <v>Normal</v>
      </c>
    </row>
    <row r="413" spans="1:31">
      <c r="A413" t="s">
        <v>1451</v>
      </c>
      <c r="B413">
        <v>71623079</v>
      </c>
      <c r="C413" t="s">
        <v>1452</v>
      </c>
      <c r="D413" t="s">
        <v>768</v>
      </c>
      <c r="E413" t="s">
        <v>20</v>
      </c>
      <c r="F413" t="s">
        <v>53</v>
      </c>
      <c r="H413" t="s">
        <v>56</v>
      </c>
      <c r="I413" t="s">
        <v>3377</v>
      </c>
      <c r="J413">
        <v>6212.04</v>
      </c>
      <c r="K413" t="s">
        <v>39</v>
      </c>
      <c r="L413" t="s">
        <v>28</v>
      </c>
      <c r="M413" s="1">
        <v>45888.806944444441</v>
      </c>
      <c r="N413">
        <v>41</v>
      </c>
      <c r="O413" t="s">
        <v>93</v>
      </c>
      <c r="P413" t="s">
        <v>55</v>
      </c>
      <c r="Q413" t="s">
        <v>1453</v>
      </c>
      <c r="R413" t="str">
        <f t="shared" si="84"/>
        <v>Priya Martin</v>
      </c>
      <c r="S413" t="str">
        <f t="shared" si="85"/>
        <v>Patricia Brown</v>
      </c>
      <c r="T413" t="str">
        <f t="shared" si="86"/>
        <v>AED</v>
      </c>
      <c r="U413" s="7" t="str">
        <f t="shared" si="87"/>
        <v/>
      </c>
      <c r="V413" s="7" t="str">
        <f t="shared" si="88"/>
        <v>USA</v>
      </c>
      <c r="W413" s="7" t="str">
        <f t="shared" si="89"/>
        <v>UK</v>
      </c>
      <c r="X413" s="7" t="str">
        <f t="shared" si="90"/>
        <v>Inter-Transaction</v>
      </c>
      <c r="Y413" s="7">
        <f t="shared" si="91"/>
        <v>6212.04</v>
      </c>
      <c r="Z413" s="7">
        <f t="shared" si="92"/>
        <v>41</v>
      </c>
      <c r="AA413" s="7">
        <f t="shared" si="93"/>
        <v>2025</v>
      </c>
      <c r="AB413" s="7">
        <f t="shared" si="94"/>
        <v>8</v>
      </c>
      <c r="AC413" s="7">
        <f t="shared" si="95"/>
        <v>1</v>
      </c>
      <c r="AD413" s="7" t="str">
        <f t="shared" si="96"/>
        <v>No</v>
      </c>
      <c r="AE413" s="7" t="str">
        <f t="shared" si="97"/>
        <v>Normal</v>
      </c>
    </row>
    <row r="414" spans="1:31">
      <c r="A414" t="s">
        <v>1454</v>
      </c>
      <c r="B414">
        <v>33981630</v>
      </c>
      <c r="C414" t="s">
        <v>1287</v>
      </c>
      <c r="D414" t="s">
        <v>1455</v>
      </c>
      <c r="E414" t="s">
        <v>3373</v>
      </c>
      <c r="F414" t="s">
        <v>35</v>
      </c>
      <c r="G414" t="s">
        <v>34</v>
      </c>
      <c r="I414" t="s">
        <v>3378</v>
      </c>
      <c r="J414">
        <v>13899.48</v>
      </c>
      <c r="K414" t="s">
        <v>47</v>
      </c>
      <c r="L414" t="s">
        <v>28</v>
      </c>
      <c r="M414" s="1">
        <v>44332.849305555559</v>
      </c>
      <c r="N414">
        <v>81</v>
      </c>
      <c r="O414" t="s">
        <v>93</v>
      </c>
      <c r="P414" t="s">
        <v>55</v>
      </c>
      <c r="Q414" t="s">
        <v>1456</v>
      </c>
      <c r="R414" t="str">
        <f t="shared" si="84"/>
        <v>Marta Jackson</v>
      </c>
      <c r="S414" t="str">
        <f t="shared" si="85"/>
        <v>Sanjay Martin</v>
      </c>
      <c r="T414" t="str">
        <f t="shared" si="86"/>
        <v>EUR</v>
      </c>
      <c r="U414" s="7" t="str">
        <f t="shared" si="87"/>
        <v>CAD</v>
      </c>
      <c r="V414" s="7" t="str">
        <f t="shared" si="88"/>
        <v>USA</v>
      </c>
      <c r="W414" s="7" t="str">
        <f t="shared" si="89"/>
        <v>UK</v>
      </c>
      <c r="X414" s="7" t="str">
        <f t="shared" si="90"/>
        <v>Inter-Transaction</v>
      </c>
      <c r="Y414" s="7">
        <f t="shared" si="91"/>
        <v>13899.48</v>
      </c>
      <c r="Z414" s="7">
        <f t="shared" si="92"/>
        <v>81</v>
      </c>
      <c r="AA414" s="7">
        <f t="shared" si="93"/>
        <v>2021</v>
      </c>
      <c r="AB414" s="7">
        <f t="shared" si="94"/>
        <v>5</v>
      </c>
      <c r="AC414" s="7">
        <f t="shared" si="95"/>
        <v>1</v>
      </c>
      <c r="AD414" s="7" t="str">
        <f t="shared" si="96"/>
        <v>No</v>
      </c>
      <c r="AE414" s="7" t="str">
        <f t="shared" si="97"/>
        <v>Normal</v>
      </c>
    </row>
    <row r="415" spans="1:31">
      <c r="A415" t="s">
        <v>1457</v>
      </c>
      <c r="B415">
        <v>21199497</v>
      </c>
      <c r="C415" t="s">
        <v>1458</v>
      </c>
      <c r="D415" t="s">
        <v>405</v>
      </c>
      <c r="E415" t="s">
        <v>20</v>
      </c>
      <c r="F415" t="s">
        <v>121</v>
      </c>
      <c r="G415" t="s">
        <v>35</v>
      </c>
      <c r="H415" t="s">
        <v>38</v>
      </c>
      <c r="I415" t="s">
        <v>3372</v>
      </c>
      <c r="J415">
        <v>13836</v>
      </c>
      <c r="K415" t="s">
        <v>57</v>
      </c>
      <c r="L415" t="s">
        <v>48</v>
      </c>
      <c r="M415" s="1">
        <v>45963.132638888892</v>
      </c>
      <c r="N415">
        <v>66</v>
      </c>
      <c r="O415" t="s">
        <v>127</v>
      </c>
      <c r="P415" t="s">
        <v>55</v>
      </c>
      <c r="Q415" t="s">
        <v>1459</v>
      </c>
      <c r="R415" t="str">
        <f t="shared" si="84"/>
        <v>Fatima Rostova</v>
      </c>
      <c r="S415" t="str">
        <f t="shared" si="85"/>
        <v>Michael Rodriguez</v>
      </c>
      <c r="T415" t="str">
        <f t="shared" si="86"/>
        <v>INR</v>
      </c>
      <c r="U415" s="7" t="str">
        <f t="shared" si="87"/>
        <v>EUR</v>
      </c>
      <c r="V415" s="7" t="str">
        <f t="shared" si="88"/>
        <v>Canada</v>
      </c>
      <c r="W415" s="7" t="str">
        <f t="shared" si="89"/>
        <v>UK</v>
      </c>
      <c r="X415" s="7" t="str">
        <f t="shared" si="90"/>
        <v>Outer-Transaction</v>
      </c>
      <c r="Y415" s="7">
        <f t="shared" si="91"/>
        <v>13836</v>
      </c>
      <c r="Z415" s="7">
        <f t="shared" si="92"/>
        <v>66</v>
      </c>
      <c r="AA415" s="7">
        <f t="shared" si="93"/>
        <v>2025</v>
      </c>
      <c r="AB415" s="7">
        <f t="shared" si="94"/>
        <v>11</v>
      </c>
      <c r="AC415" s="7">
        <f t="shared" si="95"/>
        <v>1</v>
      </c>
      <c r="AD415" s="7" t="str">
        <f t="shared" si="96"/>
        <v>No</v>
      </c>
      <c r="AE415" s="7" t="str">
        <f t="shared" si="97"/>
        <v>Normal</v>
      </c>
    </row>
    <row r="416" spans="1:31">
      <c r="A416" t="s">
        <v>1460</v>
      </c>
      <c r="B416">
        <v>37626276</v>
      </c>
      <c r="C416" t="s">
        <v>1461</v>
      </c>
      <c r="D416" t="s">
        <v>1462</v>
      </c>
      <c r="E416" t="s">
        <v>20</v>
      </c>
      <c r="F416" t="s">
        <v>116</v>
      </c>
      <c r="G416" t="s">
        <v>22</v>
      </c>
      <c r="H416" t="s">
        <v>103</v>
      </c>
      <c r="I416" t="s">
        <v>3378</v>
      </c>
      <c r="J416">
        <v>13469.44</v>
      </c>
      <c r="K416" t="s">
        <v>86</v>
      </c>
      <c r="L416" t="s">
        <v>81</v>
      </c>
      <c r="M416" s="1">
        <v>43879.888194444444</v>
      </c>
      <c r="N416">
        <v>53</v>
      </c>
      <c r="O416" t="s">
        <v>23</v>
      </c>
      <c r="P416" t="s">
        <v>24</v>
      </c>
      <c r="Q416" t="s">
        <v>1463</v>
      </c>
      <c r="R416" t="str">
        <f t="shared" si="84"/>
        <v>Fatima Thomas</v>
      </c>
      <c r="S416" t="str">
        <f t="shared" si="85"/>
        <v>Jessica Volkov</v>
      </c>
      <c r="T416" t="str">
        <f t="shared" si="86"/>
        <v>CHF</v>
      </c>
      <c r="U416" s="7" t="str">
        <f t="shared" si="87"/>
        <v>BRL</v>
      </c>
      <c r="V416" s="7" t="str">
        <f t="shared" si="88"/>
        <v>France</v>
      </c>
      <c r="W416" s="7" t="str">
        <f t="shared" si="89"/>
        <v>Brazil</v>
      </c>
      <c r="X416" s="7" t="str">
        <f t="shared" si="90"/>
        <v>Inter-Transaction</v>
      </c>
      <c r="Y416" s="7">
        <f t="shared" si="91"/>
        <v>13469.44</v>
      </c>
      <c r="Z416" s="7">
        <f t="shared" si="92"/>
        <v>53</v>
      </c>
      <c r="AA416" s="7">
        <f t="shared" si="93"/>
        <v>2020</v>
      </c>
      <c r="AB416" s="7">
        <f t="shared" si="94"/>
        <v>2</v>
      </c>
      <c r="AC416" s="7">
        <f t="shared" si="95"/>
        <v>1</v>
      </c>
      <c r="AD416" s="7" t="str">
        <f t="shared" si="96"/>
        <v>No</v>
      </c>
      <c r="AE416" s="7" t="str">
        <f t="shared" si="97"/>
        <v>Normal</v>
      </c>
    </row>
    <row r="417" spans="1:31">
      <c r="A417" t="s">
        <v>1464</v>
      </c>
      <c r="B417">
        <v>63459816</v>
      </c>
      <c r="C417" t="s">
        <v>1465</v>
      </c>
      <c r="D417" t="s">
        <v>536</v>
      </c>
      <c r="E417" t="s">
        <v>20</v>
      </c>
      <c r="F417" t="s">
        <v>21</v>
      </c>
      <c r="G417" t="s">
        <v>34</v>
      </c>
      <c r="H417" t="s">
        <v>25</v>
      </c>
      <c r="I417" t="s">
        <v>3378</v>
      </c>
      <c r="J417">
        <v>10327.5</v>
      </c>
      <c r="K417" t="s">
        <v>57</v>
      </c>
      <c r="L417" t="s">
        <v>48</v>
      </c>
      <c r="M417" s="1">
        <v>44519.708333333336</v>
      </c>
      <c r="N417">
        <v>41</v>
      </c>
      <c r="O417" t="s">
        <v>24</v>
      </c>
      <c r="P417" t="s">
        <v>93</v>
      </c>
      <c r="Q417" t="s">
        <v>1466</v>
      </c>
      <c r="R417" t="str">
        <f t="shared" si="84"/>
        <v>John Brown</v>
      </c>
      <c r="S417" t="str">
        <f t="shared" si="85"/>
        <v>Linda Silva</v>
      </c>
      <c r="T417" t="str">
        <f t="shared" si="86"/>
        <v>GBP</v>
      </c>
      <c r="U417" s="7" t="str">
        <f t="shared" si="87"/>
        <v>CAD</v>
      </c>
      <c r="V417" s="7" t="str">
        <f t="shared" si="88"/>
        <v>Brazil</v>
      </c>
      <c r="W417" s="7" t="str">
        <f t="shared" si="89"/>
        <v>USA</v>
      </c>
      <c r="X417" s="7" t="str">
        <f t="shared" si="90"/>
        <v>Inter-Transaction</v>
      </c>
      <c r="Y417" s="7">
        <f t="shared" si="91"/>
        <v>10327.5</v>
      </c>
      <c r="Z417" s="7">
        <f t="shared" si="92"/>
        <v>41</v>
      </c>
      <c r="AA417" s="7">
        <f t="shared" si="93"/>
        <v>2021</v>
      </c>
      <c r="AB417" s="7">
        <f t="shared" si="94"/>
        <v>11</v>
      </c>
      <c r="AC417" s="7">
        <f t="shared" si="95"/>
        <v>1</v>
      </c>
      <c r="AD417" s="7" t="str">
        <f t="shared" si="96"/>
        <v>No</v>
      </c>
      <c r="AE417" s="7" t="str">
        <f t="shared" si="97"/>
        <v>Normal</v>
      </c>
    </row>
    <row r="418" spans="1:31">
      <c r="A418" t="s">
        <v>1467</v>
      </c>
      <c r="B418">
        <v>85290602</v>
      </c>
      <c r="C418" t="s">
        <v>1468</v>
      </c>
      <c r="D418" t="s">
        <v>1469</v>
      </c>
      <c r="E418" t="s">
        <v>3375</v>
      </c>
      <c r="F418" t="s">
        <v>45</v>
      </c>
      <c r="G418" t="s">
        <v>35</v>
      </c>
      <c r="H418" t="s">
        <v>74</v>
      </c>
      <c r="I418" t="s">
        <v>3371</v>
      </c>
      <c r="J418">
        <v>754.4</v>
      </c>
      <c r="K418" t="s">
        <v>39</v>
      </c>
      <c r="L418" t="s">
        <v>81</v>
      </c>
      <c r="M418" s="1">
        <v>44217.015972222223</v>
      </c>
      <c r="N418">
        <v>40</v>
      </c>
      <c r="O418" t="s">
        <v>36</v>
      </c>
      <c r="P418" t="s">
        <v>24</v>
      </c>
      <c r="Q418" t="s">
        <v>1470</v>
      </c>
      <c r="R418" t="str">
        <f t="shared" si="84"/>
        <v>David Rostova</v>
      </c>
      <c r="S418" t="str">
        <f t="shared" si="85"/>
        <v>Nancy Volkov</v>
      </c>
      <c r="T418" t="str">
        <f t="shared" si="86"/>
        <v>ZAR</v>
      </c>
      <c r="U418" s="7" t="str">
        <f t="shared" si="87"/>
        <v>EUR</v>
      </c>
      <c r="V418" s="7" t="str">
        <f t="shared" si="88"/>
        <v>Germany</v>
      </c>
      <c r="W418" s="7" t="str">
        <f t="shared" si="89"/>
        <v>Brazil</v>
      </c>
      <c r="X418" s="7" t="str">
        <f t="shared" si="90"/>
        <v>Outer-Transaction</v>
      </c>
      <c r="Y418" s="7">
        <f t="shared" si="91"/>
        <v>754.4</v>
      </c>
      <c r="Z418" s="7">
        <f t="shared" si="92"/>
        <v>40</v>
      </c>
      <c r="AA418" s="7">
        <f t="shared" si="93"/>
        <v>2021</v>
      </c>
      <c r="AB418" s="7">
        <f t="shared" si="94"/>
        <v>1</v>
      </c>
      <c r="AC418" s="7">
        <f t="shared" si="95"/>
        <v>1</v>
      </c>
      <c r="AD418" s="7" t="str">
        <f t="shared" si="96"/>
        <v>No</v>
      </c>
      <c r="AE418" s="7" t="str">
        <f t="shared" si="97"/>
        <v>Normal</v>
      </c>
    </row>
    <row r="419" spans="1:31">
      <c r="A419" t="s">
        <v>1471</v>
      </c>
      <c r="B419">
        <v>12393947</v>
      </c>
      <c r="C419" t="s">
        <v>1472</v>
      </c>
      <c r="D419" t="s">
        <v>1473</v>
      </c>
      <c r="E419" t="b">
        <v>1</v>
      </c>
      <c r="F419" t="s">
        <v>44</v>
      </c>
      <c r="G419" t="s">
        <v>176</v>
      </c>
      <c r="H419" t="s">
        <v>103</v>
      </c>
      <c r="I419" t="s">
        <v>3374</v>
      </c>
      <c r="J419">
        <v>253.92</v>
      </c>
      <c r="K419" t="s">
        <v>39</v>
      </c>
      <c r="L419" t="s">
        <v>28</v>
      </c>
      <c r="M419" s="1">
        <v>44800.565972222219</v>
      </c>
      <c r="N419">
        <v>79</v>
      </c>
      <c r="O419" t="s">
        <v>55</v>
      </c>
      <c r="P419" t="s">
        <v>55</v>
      </c>
      <c r="Q419" t="s">
        <v>1474</v>
      </c>
      <c r="R419" t="str">
        <f t="shared" si="84"/>
        <v>Sanjay Silva</v>
      </c>
      <c r="S419" t="str">
        <f t="shared" si="85"/>
        <v>Zayn Jackson</v>
      </c>
      <c r="T419" t="str">
        <f t="shared" si="86"/>
        <v>SGD</v>
      </c>
      <c r="U419" s="7" t="str">
        <f t="shared" si="87"/>
        <v>aed</v>
      </c>
      <c r="V419" s="7" t="str">
        <f t="shared" si="88"/>
        <v>UK</v>
      </c>
      <c r="W419" s="7" t="str">
        <f t="shared" si="89"/>
        <v>UK</v>
      </c>
      <c r="X419" s="7" t="str">
        <f t="shared" si="90"/>
        <v>External</v>
      </c>
      <c r="Y419" s="7">
        <f t="shared" si="91"/>
        <v>253.92</v>
      </c>
      <c r="Z419" s="7">
        <f t="shared" si="92"/>
        <v>79</v>
      </c>
      <c r="AA419" s="7">
        <f t="shared" si="93"/>
        <v>2022</v>
      </c>
      <c r="AB419" s="7">
        <f t="shared" si="94"/>
        <v>8</v>
      </c>
      <c r="AC419" s="7">
        <f t="shared" si="95"/>
        <v>1</v>
      </c>
      <c r="AD419" s="7" t="str">
        <f t="shared" si="96"/>
        <v>No</v>
      </c>
      <c r="AE419" s="7" t="str">
        <f t="shared" si="97"/>
        <v>Normal</v>
      </c>
    </row>
    <row r="420" spans="1:31">
      <c r="A420" t="s">
        <v>1475</v>
      </c>
      <c r="B420">
        <v>62791522</v>
      </c>
      <c r="C420" t="s">
        <v>1131</v>
      </c>
      <c r="D420" t="s">
        <v>1476</v>
      </c>
      <c r="E420" t="s">
        <v>3375</v>
      </c>
      <c r="F420" t="s">
        <v>35</v>
      </c>
      <c r="G420" t="s">
        <v>34</v>
      </c>
      <c r="H420" t="s">
        <v>103</v>
      </c>
      <c r="I420" t="s">
        <v>3374</v>
      </c>
      <c r="J420">
        <v>10866.56</v>
      </c>
      <c r="K420" t="s">
        <v>47</v>
      </c>
      <c r="L420" t="s">
        <v>48</v>
      </c>
      <c r="M420" s="1">
        <v>44836.173611111109</v>
      </c>
      <c r="N420">
        <v>54</v>
      </c>
      <c r="O420" t="s">
        <v>37</v>
      </c>
      <c r="P420" t="s">
        <v>36</v>
      </c>
      <c r="Q420" t="s">
        <v>1477</v>
      </c>
      <c r="R420" t="str">
        <f t="shared" si="84"/>
        <v>Barbara Rostova</v>
      </c>
      <c r="S420" t="str">
        <f t="shared" si="85"/>
        <v>Thomas Thomas</v>
      </c>
      <c r="T420" t="str">
        <f t="shared" si="86"/>
        <v>EUR</v>
      </c>
      <c r="U420" s="7" t="str">
        <f t="shared" si="87"/>
        <v>CAD</v>
      </c>
      <c r="V420" s="7" t="str">
        <f t="shared" si="88"/>
        <v>South Africa</v>
      </c>
      <c r="W420" s="7" t="str">
        <f t="shared" si="89"/>
        <v>Germany</v>
      </c>
      <c r="X420" s="7" t="str">
        <f t="shared" si="90"/>
        <v>External</v>
      </c>
      <c r="Y420" s="7">
        <f t="shared" si="91"/>
        <v>10866.56</v>
      </c>
      <c r="Z420" s="7">
        <f t="shared" si="92"/>
        <v>54</v>
      </c>
      <c r="AA420" s="7">
        <f t="shared" si="93"/>
        <v>2022</v>
      </c>
      <c r="AB420" s="7">
        <f t="shared" si="94"/>
        <v>10</v>
      </c>
      <c r="AC420" s="7">
        <f t="shared" si="95"/>
        <v>1</v>
      </c>
      <c r="AD420" s="7" t="str">
        <f t="shared" si="96"/>
        <v>No</v>
      </c>
      <c r="AE420" s="7" t="str">
        <f t="shared" si="97"/>
        <v>Normal</v>
      </c>
    </row>
    <row r="421" spans="1:31">
      <c r="A421" t="s">
        <v>1478</v>
      </c>
      <c r="B421">
        <v>44854691</v>
      </c>
      <c r="C421" t="s">
        <v>1479</v>
      </c>
      <c r="D421" t="s">
        <v>1480</v>
      </c>
      <c r="E421" t="s">
        <v>20</v>
      </c>
      <c r="F421" t="s">
        <v>53</v>
      </c>
      <c r="G421" t="s">
        <v>35</v>
      </c>
      <c r="H421" t="s">
        <v>74</v>
      </c>
      <c r="I421" t="s">
        <v>3376</v>
      </c>
      <c r="J421">
        <v>6915.8</v>
      </c>
      <c r="K421" t="s">
        <v>47</v>
      </c>
      <c r="L421" t="s">
        <v>75</v>
      </c>
      <c r="M421" s="1">
        <v>46096.999305555553</v>
      </c>
      <c r="N421">
        <v>29</v>
      </c>
      <c r="O421" t="s">
        <v>55</v>
      </c>
      <c r="P421" t="s">
        <v>127</v>
      </c>
      <c r="Q421" t="s">
        <v>1481</v>
      </c>
      <c r="R421" t="str">
        <f t="shared" si="84"/>
        <v>Carlos Silva</v>
      </c>
      <c r="S421" t="str">
        <f t="shared" si="85"/>
        <v>Mary Brown</v>
      </c>
      <c r="T421" t="str">
        <f t="shared" si="86"/>
        <v>AED</v>
      </c>
      <c r="U421" s="7" t="str">
        <f t="shared" si="87"/>
        <v>EUR</v>
      </c>
      <c r="V421" s="7" t="str">
        <f t="shared" si="88"/>
        <v>UK</v>
      </c>
      <c r="W421" s="7" t="str">
        <f t="shared" si="89"/>
        <v>Canada</v>
      </c>
      <c r="X421" s="7" t="str">
        <f t="shared" si="90"/>
        <v>Internal</v>
      </c>
      <c r="Y421" s="7">
        <f t="shared" si="91"/>
        <v>6915.8</v>
      </c>
      <c r="Z421" s="7">
        <f t="shared" si="92"/>
        <v>29</v>
      </c>
      <c r="AA421" s="7">
        <f t="shared" si="93"/>
        <v>2026</v>
      </c>
      <c r="AB421" s="7">
        <f t="shared" si="94"/>
        <v>3</v>
      </c>
      <c r="AC421" s="7">
        <f t="shared" si="95"/>
        <v>1</v>
      </c>
      <c r="AD421" s="7" t="str">
        <f t="shared" si="96"/>
        <v>No</v>
      </c>
      <c r="AE421" s="7" t="str">
        <f t="shared" si="97"/>
        <v>High Risk</v>
      </c>
    </row>
    <row r="422" spans="1:31">
      <c r="A422" t="s">
        <v>1482</v>
      </c>
      <c r="B422">
        <v>74146251</v>
      </c>
      <c r="C422" t="s">
        <v>797</v>
      </c>
      <c r="D422" t="s">
        <v>1483</v>
      </c>
      <c r="E422" t="s">
        <v>3375</v>
      </c>
      <c r="F422" t="s">
        <v>44</v>
      </c>
      <c r="G422" t="s">
        <v>121</v>
      </c>
      <c r="H422" t="s">
        <v>74</v>
      </c>
      <c r="I422" t="s">
        <v>3374</v>
      </c>
      <c r="J422">
        <v>9710.5400000000009</v>
      </c>
      <c r="K422" t="s">
        <v>47</v>
      </c>
      <c r="L422" t="s">
        <v>28</v>
      </c>
      <c r="M422" s="1">
        <v>45555.925000000003</v>
      </c>
      <c r="N422">
        <v>72</v>
      </c>
      <c r="O422" t="s">
        <v>68</v>
      </c>
      <c r="P422" t="s">
        <v>37</v>
      </c>
      <c r="Q422" t="s">
        <v>1484</v>
      </c>
      <c r="R422" t="str">
        <f t="shared" si="84"/>
        <v>Marta Thomas</v>
      </c>
      <c r="S422" t="str">
        <f t="shared" si="85"/>
        <v>David Hernandez</v>
      </c>
      <c r="T422" t="str">
        <f t="shared" si="86"/>
        <v>SGD</v>
      </c>
      <c r="U422" s="7" t="str">
        <f t="shared" si="87"/>
        <v>INR</v>
      </c>
      <c r="V422" s="7" t="str">
        <f t="shared" si="88"/>
        <v>UAE</v>
      </c>
      <c r="W422" s="7" t="str">
        <f t="shared" si="89"/>
        <v>South Africa</v>
      </c>
      <c r="X422" s="7" t="str">
        <f t="shared" si="90"/>
        <v>External</v>
      </c>
      <c r="Y422" s="7">
        <f t="shared" si="91"/>
        <v>9710.5400000000009</v>
      </c>
      <c r="Z422" s="7">
        <f t="shared" si="92"/>
        <v>72</v>
      </c>
      <c r="AA422" s="7">
        <f t="shared" si="93"/>
        <v>2024</v>
      </c>
      <c r="AB422" s="7">
        <f t="shared" si="94"/>
        <v>9</v>
      </c>
      <c r="AC422" s="7">
        <f t="shared" si="95"/>
        <v>1</v>
      </c>
      <c r="AD422" s="7" t="str">
        <f t="shared" si="96"/>
        <v>No</v>
      </c>
      <c r="AE422" s="7" t="str">
        <f t="shared" si="97"/>
        <v>Normal</v>
      </c>
    </row>
    <row r="423" spans="1:31">
      <c r="A423" t="s">
        <v>1485</v>
      </c>
      <c r="B423">
        <v>89258668</v>
      </c>
      <c r="C423" t="s">
        <v>174</v>
      </c>
      <c r="D423" t="s">
        <v>843</v>
      </c>
      <c r="E423" t="s">
        <v>20</v>
      </c>
      <c r="F423" t="s">
        <v>53</v>
      </c>
      <c r="G423" t="s">
        <v>22</v>
      </c>
      <c r="H423" t="s">
        <v>103</v>
      </c>
      <c r="I423" t="s">
        <v>3372</v>
      </c>
      <c r="J423">
        <v>14626.22</v>
      </c>
      <c r="K423" t="s">
        <v>27</v>
      </c>
      <c r="L423" t="s">
        <v>48</v>
      </c>
      <c r="M423" s="1">
        <v>45835.640972222223</v>
      </c>
      <c r="N423">
        <v>30</v>
      </c>
      <c r="O423" t="s">
        <v>55</v>
      </c>
      <c r="P423" t="s">
        <v>24</v>
      </c>
      <c r="Q423" t="s">
        <v>1486</v>
      </c>
      <c r="R423" t="str">
        <f t="shared" si="84"/>
        <v>Jean-Pierre Taylor</v>
      </c>
      <c r="S423" t="str">
        <f t="shared" si="85"/>
        <v>Charles Malik</v>
      </c>
      <c r="T423" t="str">
        <f t="shared" si="86"/>
        <v>AED</v>
      </c>
      <c r="U423" s="7" t="str">
        <f t="shared" si="87"/>
        <v>BRL</v>
      </c>
      <c r="V423" s="7" t="str">
        <f t="shared" si="88"/>
        <v>UK</v>
      </c>
      <c r="W423" s="7" t="str">
        <f t="shared" si="89"/>
        <v>Brazil</v>
      </c>
      <c r="X423" s="7" t="str">
        <f t="shared" si="90"/>
        <v>Outer-Transaction</v>
      </c>
      <c r="Y423" s="7">
        <f t="shared" si="91"/>
        <v>14626.22</v>
      </c>
      <c r="Z423" s="7">
        <f t="shared" si="92"/>
        <v>30</v>
      </c>
      <c r="AA423" s="7">
        <f t="shared" si="93"/>
        <v>2025</v>
      </c>
      <c r="AB423" s="7">
        <f t="shared" si="94"/>
        <v>6</v>
      </c>
      <c r="AC423" s="7">
        <f t="shared" si="95"/>
        <v>1</v>
      </c>
      <c r="AD423" s="7" t="str">
        <f t="shared" si="96"/>
        <v>No</v>
      </c>
      <c r="AE423" s="7" t="str">
        <f t="shared" si="97"/>
        <v>Normal</v>
      </c>
    </row>
    <row r="424" spans="1:31">
      <c r="A424" t="s">
        <v>1487</v>
      </c>
      <c r="B424">
        <v>24384568</v>
      </c>
      <c r="C424" t="s">
        <v>146</v>
      </c>
      <c r="D424" t="s">
        <v>79</v>
      </c>
      <c r="E424" t="s">
        <v>3373</v>
      </c>
      <c r="F424" t="s">
        <v>91</v>
      </c>
      <c r="G424" t="s">
        <v>53</v>
      </c>
      <c r="H424" t="s">
        <v>25</v>
      </c>
      <c r="I424" t="s">
        <v>3378</v>
      </c>
      <c r="J424">
        <v>6477.79</v>
      </c>
      <c r="K424" t="s">
        <v>47</v>
      </c>
      <c r="L424" t="s">
        <v>81</v>
      </c>
      <c r="M424" s="1">
        <v>46133.515972222223</v>
      </c>
      <c r="N424">
        <v>40</v>
      </c>
      <c r="O424" t="s">
        <v>68</v>
      </c>
      <c r="P424" t="s">
        <v>93</v>
      </c>
      <c r="Q424" t="s">
        <v>1488</v>
      </c>
      <c r="R424" t="str">
        <f t="shared" si="84"/>
        <v>Fatima Brown</v>
      </c>
      <c r="S424" t="str">
        <f t="shared" si="85"/>
        <v>Elizabeth Smith</v>
      </c>
      <c r="T424" t="str">
        <f t="shared" si="86"/>
        <v>gbp</v>
      </c>
      <c r="U424" s="7" t="str">
        <f t="shared" si="87"/>
        <v>AED</v>
      </c>
      <c r="V424" s="7" t="str">
        <f t="shared" si="88"/>
        <v>UAE</v>
      </c>
      <c r="W424" s="7" t="str">
        <f t="shared" si="89"/>
        <v>USA</v>
      </c>
      <c r="X424" s="7" t="str">
        <f t="shared" si="90"/>
        <v>Inter-Transaction</v>
      </c>
      <c r="Y424" s="7">
        <f t="shared" si="91"/>
        <v>6477.79</v>
      </c>
      <c r="Z424" s="7">
        <f t="shared" si="92"/>
        <v>40</v>
      </c>
      <c r="AA424" s="7">
        <f t="shared" si="93"/>
        <v>2026</v>
      </c>
      <c r="AB424" s="7">
        <f t="shared" si="94"/>
        <v>4</v>
      </c>
      <c r="AC424" s="7">
        <f t="shared" si="95"/>
        <v>2</v>
      </c>
      <c r="AD424" s="7" t="str">
        <f t="shared" si="96"/>
        <v>No</v>
      </c>
      <c r="AE424" s="7" t="str">
        <f t="shared" si="97"/>
        <v>Normal</v>
      </c>
    </row>
    <row r="425" spans="1:31">
      <c r="A425" t="s">
        <v>1489</v>
      </c>
      <c r="B425">
        <v>36029062</v>
      </c>
      <c r="C425" t="s">
        <v>1490</v>
      </c>
      <c r="D425" t="s">
        <v>1409</v>
      </c>
      <c r="E425" t="s">
        <v>20</v>
      </c>
      <c r="F425" t="s">
        <v>98</v>
      </c>
      <c r="G425" t="s">
        <v>116</v>
      </c>
      <c r="H425" t="s">
        <v>74</v>
      </c>
      <c r="I425" t="s">
        <v>3377</v>
      </c>
      <c r="J425">
        <v>806.54</v>
      </c>
      <c r="K425" t="s">
        <v>86</v>
      </c>
      <c r="L425" t="s">
        <v>75</v>
      </c>
      <c r="M425" s="1">
        <v>46114.892361111109</v>
      </c>
      <c r="N425">
        <v>47</v>
      </c>
      <c r="O425" t="s">
        <v>62</v>
      </c>
      <c r="P425" t="s">
        <v>93</v>
      </c>
      <c r="Q425" t="s">
        <v>1491</v>
      </c>
      <c r="R425" t="str">
        <f t="shared" si="84"/>
        <v>Barbara Miller</v>
      </c>
      <c r="S425" t="str">
        <f t="shared" si="85"/>
        <v>Joseph Garcia</v>
      </c>
      <c r="T425" t="str">
        <f t="shared" si="86"/>
        <v>JPY</v>
      </c>
      <c r="U425" s="7" t="str">
        <f t="shared" si="87"/>
        <v>CHF</v>
      </c>
      <c r="V425" s="7" t="str">
        <f t="shared" si="88"/>
        <v>Australia</v>
      </c>
      <c r="W425" s="7" t="str">
        <f t="shared" si="89"/>
        <v>USA</v>
      </c>
      <c r="X425" s="7" t="str">
        <f t="shared" si="90"/>
        <v>Inter-Transaction</v>
      </c>
      <c r="Y425" s="7">
        <f t="shared" si="91"/>
        <v>806.54</v>
      </c>
      <c r="Z425" s="7">
        <f t="shared" si="92"/>
        <v>47</v>
      </c>
      <c r="AA425" s="7">
        <f t="shared" si="93"/>
        <v>2026</v>
      </c>
      <c r="AB425" s="7">
        <f t="shared" si="94"/>
        <v>4</v>
      </c>
      <c r="AC425" s="7">
        <f t="shared" si="95"/>
        <v>1</v>
      </c>
      <c r="AD425" s="7" t="str">
        <f t="shared" si="96"/>
        <v>No</v>
      </c>
      <c r="AE425" s="7" t="str">
        <f t="shared" si="97"/>
        <v>High Risk</v>
      </c>
    </row>
    <row r="426" spans="1:31">
      <c r="A426" t="s">
        <v>1492</v>
      </c>
      <c r="B426">
        <v>46006180</v>
      </c>
      <c r="C426" t="s">
        <v>89</v>
      </c>
      <c r="D426" t="s">
        <v>536</v>
      </c>
      <c r="E426" t="s">
        <v>20</v>
      </c>
      <c r="F426" t="s">
        <v>45</v>
      </c>
      <c r="G426" t="s">
        <v>176</v>
      </c>
      <c r="H426" t="s">
        <v>38</v>
      </c>
      <c r="I426" t="s">
        <v>3372</v>
      </c>
      <c r="J426">
        <v>11088.97</v>
      </c>
      <c r="K426" t="s">
        <v>47</v>
      </c>
      <c r="L426" t="s">
        <v>48</v>
      </c>
      <c r="M426" s="1">
        <v>45438.052083333336</v>
      </c>
      <c r="N426">
        <v>34</v>
      </c>
      <c r="O426" t="s">
        <v>37</v>
      </c>
      <c r="P426" t="s">
        <v>23</v>
      </c>
      <c r="Q426" t="s">
        <v>1493</v>
      </c>
      <c r="R426" t="str">
        <f t="shared" si="84"/>
        <v>Sarah Miller</v>
      </c>
      <c r="S426" t="str">
        <f t="shared" si="85"/>
        <v>Linda Silva</v>
      </c>
      <c r="T426" t="str">
        <f t="shared" si="86"/>
        <v>ZAR</v>
      </c>
      <c r="U426" s="7" t="str">
        <f t="shared" si="87"/>
        <v>aed</v>
      </c>
      <c r="V426" s="7" t="str">
        <f t="shared" si="88"/>
        <v>South Africa</v>
      </c>
      <c r="W426" s="7" t="str">
        <f t="shared" si="89"/>
        <v>France</v>
      </c>
      <c r="X426" s="7" t="str">
        <f t="shared" si="90"/>
        <v>Outer-Transaction</v>
      </c>
      <c r="Y426" s="7">
        <f t="shared" si="91"/>
        <v>11088.97</v>
      </c>
      <c r="Z426" s="7">
        <f t="shared" si="92"/>
        <v>34</v>
      </c>
      <c r="AA426" s="7">
        <f t="shared" si="93"/>
        <v>2024</v>
      </c>
      <c r="AB426" s="7">
        <f t="shared" si="94"/>
        <v>5</v>
      </c>
      <c r="AC426" s="7">
        <f t="shared" si="95"/>
        <v>1</v>
      </c>
      <c r="AD426" s="7" t="str">
        <f t="shared" si="96"/>
        <v>No</v>
      </c>
      <c r="AE426" s="7" t="str">
        <f t="shared" si="97"/>
        <v>Normal</v>
      </c>
    </row>
    <row r="427" spans="1:31">
      <c r="A427" t="s">
        <v>1494</v>
      </c>
      <c r="B427">
        <v>12795332</v>
      </c>
      <c r="C427" t="s">
        <v>300</v>
      </c>
      <c r="D427" t="s">
        <v>1066</v>
      </c>
      <c r="E427" t="s">
        <v>20</v>
      </c>
      <c r="F427" t="s">
        <v>80</v>
      </c>
      <c r="G427" t="s">
        <v>1084</v>
      </c>
      <c r="H427" t="s">
        <v>25</v>
      </c>
      <c r="I427" t="s">
        <v>3377</v>
      </c>
      <c r="J427">
        <v>8513.33</v>
      </c>
      <c r="K427" t="s">
        <v>57</v>
      </c>
      <c r="L427" t="s">
        <v>48</v>
      </c>
      <c r="M427" s="1">
        <v>45620.239583333336</v>
      </c>
      <c r="N427">
        <v>79</v>
      </c>
      <c r="O427" t="s">
        <v>55</v>
      </c>
      <c r="P427" t="s">
        <v>127</v>
      </c>
      <c r="Q427" t="s">
        <v>1495</v>
      </c>
      <c r="R427" t="str">
        <f t="shared" si="84"/>
        <v>Linda Rodriguez</v>
      </c>
      <c r="S427" t="str">
        <f t="shared" si="85"/>
        <v>Carlos Williams</v>
      </c>
      <c r="T427" t="str">
        <f t="shared" si="86"/>
        <v>USD</v>
      </c>
      <c r="U427" s="7" t="str">
        <f t="shared" si="87"/>
        <v>chf</v>
      </c>
      <c r="V427" s="7" t="str">
        <f t="shared" si="88"/>
        <v>UK</v>
      </c>
      <c r="W427" s="7" t="str">
        <f t="shared" si="89"/>
        <v>Canada</v>
      </c>
      <c r="X427" s="7" t="str">
        <f t="shared" si="90"/>
        <v>Inter-Transaction</v>
      </c>
      <c r="Y427" s="7">
        <f t="shared" si="91"/>
        <v>8513.33</v>
      </c>
      <c r="Z427" s="7">
        <f t="shared" si="92"/>
        <v>79</v>
      </c>
      <c r="AA427" s="7">
        <f t="shared" si="93"/>
        <v>2024</v>
      </c>
      <c r="AB427" s="7">
        <f t="shared" si="94"/>
        <v>11</v>
      </c>
      <c r="AC427" s="7">
        <f t="shared" si="95"/>
        <v>1</v>
      </c>
      <c r="AD427" s="7" t="str">
        <f t="shared" si="96"/>
        <v>No</v>
      </c>
      <c r="AE427" s="7" t="str">
        <f t="shared" si="97"/>
        <v>Normal</v>
      </c>
    </row>
    <row r="428" spans="1:31">
      <c r="A428" t="s">
        <v>1496</v>
      </c>
      <c r="B428">
        <v>83244637</v>
      </c>
      <c r="C428" t="s">
        <v>219</v>
      </c>
      <c r="D428" t="s">
        <v>362</v>
      </c>
      <c r="E428" t="s">
        <v>20</v>
      </c>
      <c r="F428" t="s">
        <v>80</v>
      </c>
      <c r="G428" t="s">
        <v>34</v>
      </c>
      <c r="I428" t="s">
        <v>3372</v>
      </c>
      <c r="J428">
        <v>1700.29</v>
      </c>
      <c r="K428" t="s">
        <v>27</v>
      </c>
      <c r="L428" t="s">
        <v>28</v>
      </c>
      <c r="M428" s="1">
        <v>44101.033333333333</v>
      </c>
      <c r="N428">
        <v>30</v>
      </c>
      <c r="O428" t="s">
        <v>62</v>
      </c>
      <c r="P428" t="s">
        <v>68</v>
      </c>
      <c r="Q428" t="s">
        <v>1497</v>
      </c>
      <c r="R428" t="str">
        <f t="shared" si="84"/>
        <v>David Velez</v>
      </c>
      <c r="S428" t="str">
        <f t="shared" si="85"/>
        <v>Sarah Rodriguez</v>
      </c>
      <c r="T428" t="str">
        <f t="shared" si="86"/>
        <v>USD</v>
      </c>
      <c r="U428" s="7" t="str">
        <f t="shared" si="87"/>
        <v>CAD</v>
      </c>
      <c r="V428" s="7" t="str">
        <f t="shared" si="88"/>
        <v>Australia</v>
      </c>
      <c r="W428" s="7" t="str">
        <f t="shared" si="89"/>
        <v>UAE</v>
      </c>
      <c r="X428" s="7" t="str">
        <f t="shared" si="90"/>
        <v>Outer-Transaction</v>
      </c>
      <c r="Y428" s="7">
        <f t="shared" si="91"/>
        <v>1700.29</v>
      </c>
      <c r="Z428" s="7">
        <f t="shared" si="92"/>
        <v>30</v>
      </c>
      <c r="AA428" s="7">
        <f t="shared" si="93"/>
        <v>2020</v>
      </c>
      <c r="AB428" s="7">
        <f t="shared" si="94"/>
        <v>9</v>
      </c>
      <c r="AC428" s="7">
        <f t="shared" si="95"/>
        <v>1</v>
      </c>
      <c r="AD428" s="7" t="str">
        <f t="shared" si="96"/>
        <v>No</v>
      </c>
      <c r="AE428" s="7" t="str">
        <f t="shared" si="97"/>
        <v>Normal</v>
      </c>
    </row>
    <row r="429" spans="1:31">
      <c r="A429" t="s">
        <v>1498</v>
      </c>
      <c r="B429">
        <v>67810328</v>
      </c>
      <c r="C429" t="s">
        <v>1499</v>
      </c>
      <c r="D429" t="s">
        <v>442</v>
      </c>
      <c r="E429" t="s">
        <v>20</v>
      </c>
      <c r="F429" t="s">
        <v>92</v>
      </c>
      <c r="G429" t="s">
        <v>45</v>
      </c>
      <c r="H429" t="s">
        <v>38</v>
      </c>
      <c r="I429" t="s">
        <v>3371</v>
      </c>
      <c r="J429">
        <v>3986.99</v>
      </c>
      <c r="K429" t="s">
        <v>57</v>
      </c>
      <c r="L429" t="s">
        <v>75</v>
      </c>
      <c r="M429" s="1">
        <v>43953.451388888891</v>
      </c>
      <c r="N429">
        <v>76</v>
      </c>
      <c r="O429" t="s">
        <v>54</v>
      </c>
      <c r="P429" t="s">
        <v>62</v>
      </c>
      <c r="Q429" t="s">
        <v>1500</v>
      </c>
      <c r="R429" t="str">
        <f t="shared" si="84"/>
        <v>Susan Miller</v>
      </c>
      <c r="S429" t="str">
        <f t="shared" si="85"/>
        <v>Fatima Williams</v>
      </c>
      <c r="T429" t="str">
        <f t="shared" si="86"/>
        <v>AUD</v>
      </c>
      <c r="U429" s="7" t="str">
        <f t="shared" si="87"/>
        <v>ZAR</v>
      </c>
      <c r="V429" s="7" t="str">
        <f t="shared" si="88"/>
        <v>India</v>
      </c>
      <c r="W429" s="7" t="str">
        <f t="shared" si="89"/>
        <v>Australia</v>
      </c>
      <c r="X429" s="7" t="str">
        <f t="shared" si="90"/>
        <v>Outer-Transaction</v>
      </c>
      <c r="Y429" s="7">
        <f t="shared" si="91"/>
        <v>3986.99</v>
      </c>
      <c r="Z429" s="7">
        <f t="shared" si="92"/>
        <v>76</v>
      </c>
      <c r="AA429" s="7">
        <f t="shared" si="93"/>
        <v>2020</v>
      </c>
      <c r="AB429" s="7">
        <f t="shared" si="94"/>
        <v>5</v>
      </c>
      <c r="AC429" s="7">
        <f t="shared" si="95"/>
        <v>1</v>
      </c>
      <c r="AD429" s="7" t="str">
        <f t="shared" si="96"/>
        <v>No</v>
      </c>
      <c r="AE429" s="7" t="str">
        <f t="shared" si="97"/>
        <v>High Risk</v>
      </c>
    </row>
    <row r="430" spans="1:31">
      <c r="A430" t="s">
        <v>1501</v>
      </c>
      <c r="B430">
        <v>26503581</v>
      </c>
      <c r="D430" t="s">
        <v>396</v>
      </c>
      <c r="E430">
        <v>1</v>
      </c>
      <c r="F430" t="s">
        <v>34</v>
      </c>
      <c r="G430" t="s">
        <v>53</v>
      </c>
      <c r="H430" t="s">
        <v>38</v>
      </c>
      <c r="I430" t="s">
        <v>3378</v>
      </c>
      <c r="J430">
        <v>9360.69</v>
      </c>
      <c r="K430" t="s">
        <v>47</v>
      </c>
      <c r="L430" t="s">
        <v>75</v>
      </c>
      <c r="M430" s="1">
        <v>45111.112500000003</v>
      </c>
      <c r="N430">
        <v>36</v>
      </c>
      <c r="O430" t="s">
        <v>24</v>
      </c>
      <c r="P430" t="s">
        <v>55</v>
      </c>
      <c r="Q430" t="s">
        <v>1502</v>
      </c>
      <c r="R430" t="str">
        <f t="shared" si="84"/>
        <v/>
      </c>
      <c r="S430" t="str">
        <f t="shared" si="85"/>
        <v>Thomas Jackson</v>
      </c>
      <c r="T430" t="str">
        <f t="shared" si="86"/>
        <v>CAD</v>
      </c>
      <c r="U430" s="7" t="str">
        <f t="shared" si="87"/>
        <v>AED</v>
      </c>
      <c r="V430" s="7" t="str">
        <f t="shared" si="88"/>
        <v>Brazil</v>
      </c>
      <c r="W430" s="7" t="str">
        <f t="shared" si="89"/>
        <v>UK</v>
      </c>
      <c r="X430" s="7" t="str">
        <f t="shared" si="90"/>
        <v>Inter-Transaction</v>
      </c>
      <c r="Y430" s="7">
        <f t="shared" si="91"/>
        <v>9360.69</v>
      </c>
      <c r="Z430" s="7">
        <f t="shared" si="92"/>
        <v>36</v>
      </c>
      <c r="AA430" s="7">
        <f t="shared" si="93"/>
        <v>2023</v>
      </c>
      <c r="AB430" s="7">
        <f t="shared" si="94"/>
        <v>7</v>
      </c>
      <c r="AC430" s="7">
        <f t="shared" si="95"/>
        <v>1</v>
      </c>
      <c r="AD430" s="7" t="str">
        <f t="shared" si="96"/>
        <v>No</v>
      </c>
      <c r="AE430" s="7" t="str">
        <f t="shared" si="97"/>
        <v>High Risk</v>
      </c>
    </row>
    <row r="431" spans="1:31">
      <c r="A431" t="s">
        <v>1503</v>
      </c>
      <c r="B431">
        <v>51046667</v>
      </c>
      <c r="C431" t="s">
        <v>1504</v>
      </c>
      <c r="D431" t="s">
        <v>1505</v>
      </c>
      <c r="E431" t="s">
        <v>3375</v>
      </c>
      <c r="F431" t="s">
        <v>80</v>
      </c>
      <c r="G431" t="s">
        <v>53</v>
      </c>
      <c r="H431" t="s">
        <v>38</v>
      </c>
      <c r="I431" t="s">
        <v>3371</v>
      </c>
      <c r="J431">
        <v>14305.74</v>
      </c>
      <c r="K431" t="s">
        <v>57</v>
      </c>
      <c r="L431" t="s">
        <v>48</v>
      </c>
      <c r="M431" s="1">
        <v>45275.177777777775</v>
      </c>
      <c r="N431">
        <v>66</v>
      </c>
      <c r="O431" t="s">
        <v>62</v>
      </c>
      <c r="P431" t="s">
        <v>68</v>
      </c>
      <c r="Q431" t="s">
        <v>1506</v>
      </c>
      <c r="R431" t="str">
        <f t="shared" si="84"/>
        <v>John Wilson</v>
      </c>
      <c r="S431" t="str">
        <f t="shared" si="85"/>
        <v>Susan Velez</v>
      </c>
      <c r="T431" t="str">
        <f t="shared" si="86"/>
        <v>USD</v>
      </c>
      <c r="U431" s="7" t="str">
        <f t="shared" si="87"/>
        <v>AED</v>
      </c>
      <c r="V431" s="7" t="str">
        <f t="shared" si="88"/>
        <v>Australia</v>
      </c>
      <c r="W431" s="7" t="str">
        <f t="shared" si="89"/>
        <v>UAE</v>
      </c>
      <c r="X431" s="7" t="str">
        <f t="shared" si="90"/>
        <v>Outer-Transaction</v>
      </c>
      <c r="Y431" s="7">
        <f t="shared" si="91"/>
        <v>14305.74</v>
      </c>
      <c r="Z431" s="7">
        <f t="shared" si="92"/>
        <v>66</v>
      </c>
      <c r="AA431" s="7">
        <f t="shared" si="93"/>
        <v>2023</v>
      </c>
      <c r="AB431" s="7">
        <f t="shared" si="94"/>
        <v>12</v>
      </c>
      <c r="AC431" s="7">
        <f t="shared" si="95"/>
        <v>1</v>
      </c>
      <c r="AD431" s="7" t="str">
        <f t="shared" si="96"/>
        <v>No</v>
      </c>
      <c r="AE431" s="7" t="str">
        <f t="shared" si="97"/>
        <v>Normal</v>
      </c>
    </row>
    <row r="432" spans="1:31">
      <c r="A432" t="s">
        <v>1507</v>
      </c>
      <c r="B432">
        <v>61840367</v>
      </c>
      <c r="C432" t="s">
        <v>847</v>
      </c>
      <c r="D432" t="s">
        <v>1508</v>
      </c>
      <c r="E432" t="s">
        <v>3373</v>
      </c>
      <c r="F432" t="s">
        <v>53</v>
      </c>
      <c r="G432" t="s">
        <v>116</v>
      </c>
      <c r="I432" t="s">
        <v>3371</v>
      </c>
      <c r="J432">
        <v>3757.81</v>
      </c>
      <c r="K432" t="s">
        <v>39</v>
      </c>
      <c r="L432" t="s">
        <v>48</v>
      </c>
      <c r="M432" s="1">
        <v>44089.901388888888</v>
      </c>
      <c r="N432">
        <v>29</v>
      </c>
      <c r="O432" t="s">
        <v>24</v>
      </c>
      <c r="P432" t="s">
        <v>23</v>
      </c>
      <c r="Q432" t="s">
        <v>1509</v>
      </c>
      <c r="R432" t="str">
        <f t="shared" si="84"/>
        <v>Jessica Gonzalez</v>
      </c>
      <c r="S432" t="str">
        <f t="shared" si="85"/>
        <v>Carlos Brown</v>
      </c>
      <c r="T432" t="str">
        <f t="shared" si="86"/>
        <v>AED</v>
      </c>
      <c r="U432" s="7" t="str">
        <f t="shared" si="87"/>
        <v>CHF</v>
      </c>
      <c r="V432" s="7" t="str">
        <f t="shared" si="88"/>
        <v>Brazil</v>
      </c>
      <c r="W432" s="7" t="str">
        <f t="shared" si="89"/>
        <v>France</v>
      </c>
      <c r="X432" s="7" t="str">
        <f t="shared" si="90"/>
        <v>Outer-Transaction</v>
      </c>
      <c r="Y432" s="7">
        <f t="shared" si="91"/>
        <v>3757.81</v>
      </c>
      <c r="Z432" s="7">
        <f t="shared" si="92"/>
        <v>29</v>
      </c>
      <c r="AA432" s="7">
        <f t="shared" si="93"/>
        <v>2020</v>
      </c>
      <c r="AB432" s="7">
        <f t="shared" si="94"/>
        <v>9</v>
      </c>
      <c r="AC432" s="7">
        <f t="shared" si="95"/>
        <v>1</v>
      </c>
      <c r="AD432" s="7" t="str">
        <f t="shared" si="96"/>
        <v>No</v>
      </c>
      <c r="AE432" s="7" t="str">
        <f t="shared" si="97"/>
        <v>Normal</v>
      </c>
    </row>
    <row r="433" spans="1:31">
      <c r="A433" t="s">
        <v>1510</v>
      </c>
      <c r="B433">
        <v>22890579</v>
      </c>
      <c r="C433" t="s">
        <v>408</v>
      </c>
      <c r="D433" t="s">
        <v>1511</v>
      </c>
      <c r="E433" t="s">
        <v>20</v>
      </c>
      <c r="F433" t="s">
        <v>45</v>
      </c>
      <c r="G433" t="s">
        <v>22</v>
      </c>
      <c r="H433" t="s">
        <v>38</v>
      </c>
      <c r="I433" t="s">
        <v>3377</v>
      </c>
      <c r="J433">
        <v>14362.8</v>
      </c>
      <c r="K433" t="s">
        <v>39</v>
      </c>
      <c r="L433" t="s">
        <v>28</v>
      </c>
      <c r="M433" s="1">
        <v>44778.393750000003</v>
      </c>
      <c r="N433">
        <v>78</v>
      </c>
      <c r="O433" t="s">
        <v>55</v>
      </c>
      <c r="P433" t="s">
        <v>55</v>
      </c>
      <c r="Q433" t="s">
        <v>1512</v>
      </c>
      <c r="R433" t="str">
        <f t="shared" si="84"/>
        <v>Michael Taylor</v>
      </c>
      <c r="S433" t="str">
        <f t="shared" si="85"/>
        <v>Thomas Rostova</v>
      </c>
      <c r="T433" t="str">
        <f t="shared" si="86"/>
        <v>ZAR</v>
      </c>
      <c r="U433" s="7" t="str">
        <f t="shared" si="87"/>
        <v>BRL</v>
      </c>
      <c r="V433" s="7" t="str">
        <f t="shared" si="88"/>
        <v>UK</v>
      </c>
      <c r="W433" s="7" t="str">
        <f t="shared" si="89"/>
        <v>UK</v>
      </c>
      <c r="X433" s="7" t="str">
        <f t="shared" si="90"/>
        <v>Inter-Transaction</v>
      </c>
      <c r="Y433" s="7">
        <f t="shared" si="91"/>
        <v>14362.8</v>
      </c>
      <c r="Z433" s="7">
        <f t="shared" si="92"/>
        <v>78</v>
      </c>
      <c r="AA433" s="7">
        <f t="shared" si="93"/>
        <v>2022</v>
      </c>
      <c r="AB433" s="7">
        <f t="shared" si="94"/>
        <v>8</v>
      </c>
      <c r="AC433" s="7">
        <f t="shared" si="95"/>
        <v>1</v>
      </c>
      <c r="AD433" s="7" t="str">
        <f t="shared" si="96"/>
        <v>No</v>
      </c>
      <c r="AE433" s="7" t="str">
        <f t="shared" si="97"/>
        <v>Normal</v>
      </c>
    </row>
    <row r="434" spans="1:31">
      <c r="A434" t="s">
        <v>1513</v>
      </c>
      <c r="B434">
        <v>49371856</v>
      </c>
      <c r="C434" t="s">
        <v>1514</v>
      </c>
      <c r="D434" t="s">
        <v>90</v>
      </c>
      <c r="E434" t="s">
        <v>20</v>
      </c>
      <c r="F434" t="s">
        <v>45</v>
      </c>
      <c r="G434" t="s">
        <v>80</v>
      </c>
      <c r="H434" t="s">
        <v>103</v>
      </c>
      <c r="I434" t="s">
        <v>3374</v>
      </c>
      <c r="J434">
        <v>1614.66</v>
      </c>
      <c r="K434" t="s">
        <v>27</v>
      </c>
      <c r="L434" t="s">
        <v>28</v>
      </c>
      <c r="M434" s="1">
        <v>45925.418055555558</v>
      </c>
      <c r="N434">
        <v>36</v>
      </c>
      <c r="O434" t="s">
        <v>23</v>
      </c>
      <c r="P434" t="s">
        <v>127</v>
      </c>
      <c r="Q434" t="s">
        <v>1515</v>
      </c>
      <c r="R434" t="str">
        <f t="shared" si="84"/>
        <v>Mary Dubois</v>
      </c>
      <c r="S434" t="str">
        <f t="shared" si="85"/>
        <v>Zayn Gonzalez</v>
      </c>
      <c r="T434" t="str">
        <f t="shared" si="86"/>
        <v>ZAR</v>
      </c>
      <c r="U434" s="7" t="str">
        <f t="shared" si="87"/>
        <v>USD</v>
      </c>
      <c r="V434" s="7" t="str">
        <f t="shared" si="88"/>
        <v>France</v>
      </c>
      <c r="W434" s="7" t="str">
        <f t="shared" si="89"/>
        <v>Canada</v>
      </c>
      <c r="X434" s="7" t="str">
        <f t="shared" si="90"/>
        <v>External</v>
      </c>
      <c r="Y434" s="7">
        <f t="shared" si="91"/>
        <v>1614.66</v>
      </c>
      <c r="Z434" s="7">
        <f t="shared" si="92"/>
        <v>36</v>
      </c>
      <c r="AA434" s="7">
        <f t="shared" si="93"/>
        <v>2025</v>
      </c>
      <c r="AB434" s="7">
        <f t="shared" si="94"/>
        <v>9</v>
      </c>
      <c r="AC434" s="7">
        <f t="shared" si="95"/>
        <v>1</v>
      </c>
      <c r="AD434" s="7" t="str">
        <f t="shared" si="96"/>
        <v>No</v>
      </c>
      <c r="AE434" s="7" t="str">
        <f t="shared" si="97"/>
        <v>Normal</v>
      </c>
    </row>
    <row r="435" spans="1:31">
      <c r="A435" t="s">
        <v>1516</v>
      </c>
      <c r="B435">
        <v>37523284</v>
      </c>
      <c r="C435" t="s">
        <v>1033</v>
      </c>
      <c r="D435" t="s">
        <v>682</v>
      </c>
      <c r="E435">
        <v>1</v>
      </c>
      <c r="F435" t="s">
        <v>21</v>
      </c>
      <c r="G435" t="s">
        <v>121</v>
      </c>
      <c r="H435" t="s">
        <v>25</v>
      </c>
      <c r="I435" t="s">
        <v>3372</v>
      </c>
      <c r="J435">
        <v>9358.7199999999993</v>
      </c>
      <c r="K435" t="s">
        <v>47</v>
      </c>
      <c r="L435" t="s">
        <v>28</v>
      </c>
      <c r="M435" s="1">
        <v>44693.79791666667</v>
      </c>
      <c r="N435">
        <v>26</v>
      </c>
      <c r="O435" t="s">
        <v>62</v>
      </c>
      <c r="P435" t="s">
        <v>23</v>
      </c>
      <c r="Q435" t="s">
        <v>1517</v>
      </c>
      <c r="R435" t="str">
        <f t="shared" si="84"/>
        <v>Charles Jones</v>
      </c>
      <c r="S435" t="str">
        <f t="shared" si="85"/>
        <v>Karen Al-Sayed</v>
      </c>
      <c r="T435" t="str">
        <f t="shared" si="86"/>
        <v>GBP</v>
      </c>
      <c r="U435" s="7" t="str">
        <f t="shared" si="87"/>
        <v>INR</v>
      </c>
      <c r="V435" s="7" t="str">
        <f t="shared" si="88"/>
        <v>Australia</v>
      </c>
      <c r="W435" s="7" t="str">
        <f t="shared" si="89"/>
        <v>France</v>
      </c>
      <c r="X435" s="7" t="str">
        <f t="shared" si="90"/>
        <v>Outer-Transaction</v>
      </c>
      <c r="Y435" s="7">
        <f t="shared" si="91"/>
        <v>9358.7199999999993</v>
      </c>
      <c r="Z435" s="7">
        <f t="shared" si="92"/>
        <v>26</v>
      </c>
      <c r="AA435" s="7">
        <f t="shared" si="93"/>
        <v>2022</v>
      </c>
      <c r="AB435" s="7">
        <f t="shared" si="94"/>
        <v>5</v>
      </c>
      <c r="AC435" s="7">
        <f t="shared" si="95"/>
        <v>1</v>
      </c>
      <c r="AD435" s="7" t="str">
        <f t="shared" si="96"/>
        <v>No</v>
      </c>
      <c r="AE435" s="7" t="str">
        <f t="shared" si="97"/>
        <v>Normal</v>
      </c>
    </row>
    <row r="436" spans="1:31">
      <c r="A436" t="s">
        <v>1518</v>
      </c>
      <c r="B436">
        <v>69567958</v>
      </c>
      <c r="C436" t="s">
        <v>1519</v>
      </c>
      <c r="D436" t="s">
        <v>633</v>
      </c>
      <c r="E436" t="s">
        <v>20</v>
      </c>
      <c r="F436" t="s">
        <v>44</v>
      </c>
      <c r="G436" t="s">
        <v>21</v>
      </c>
      <c r="I436" t="s">
        <v>3376</v>
      </c>
      <c r="J436">
        <v>1856.72</v>
      </c>
      <c r="K436" t="s">
        <v>47</v>
      </c>
      <c r="L436" t="s">
        <v>28</v>
      </c>
      <c r="M436" s="1">
        <v>44355.384027777778</v>
      </c>
      <c r="N436">
        <v>45</v>
      </c>
      <c r="O436" t="s">
        <v>37</v>
      </c>
      <c r="P436" t="s">
        <v>55</v>
      </c>
      <c r="Q436" t="s">
        <v>1520</v>
      </c>
      <c r="R436" t="str">
        <f t="shared" si="84"/>
        <v>Joseph Johnson</v>
      </c>
      <c r="S436" t="str">
        <f t="shared" si="85"/>
        <v>Priya Brown</v>
      </c>
      <c r="T436" t="str">
        <f t="shared" si="86"/>
        <v>SGD</v>
      </c>
      <c r="U436" s="7" t="str">
        <f t="shared" si="87"/>
        <v>GBP</v>
      </c>
      <c r="V436" s="7" t="str">
        <f t="shared" si="88"/>
        <v>South Africa</v>
      </c>
      <c r="W436" s="7" t="str">
        <f t="shared" si="89"/>
        <v>UK</v>
      </c>
      <c r="X436" s="7" t="str">
        <f t="shared" si="90"/>
        <v>Internal</v>
      </c>
      <c r="Y436" s="7">
        <f t="shared" si="91"/>
        <v>1856.72</v>
      </c>
      <c r="Z436" s="7">
        <f t="shared" si="92"/>
        <v>45</v>
      </c>
      <c r="AA436" s="7">
        <f t="shared" si="93"/>
        <v>2021</v>
      </c>
      <c r="AB436" s="7">
        <f t="shared" si="94"/>
        <v>6</v>
      </c>
      <c r="AC436" s="7">
        <f t="shared" si="95"/>
        <v>1</v>
      </c>
      <c r="AD436" s="7" t="str">
        <f t="shared" si="96"/>
        <v>No</v>
      </c>
      <c r="AE436" s="7" t="str">
        <f t="shared" si="97"/>
        <v>Normal</v>
      </c>
    </row>
    <row r="437" spans="1:31">
      <c r="A437" t="s">
        <v>1521</v>
      </c>
      <c r="B437">
        <v>48849191</v>
      </c>
      <c r="C437" t="s">
        <v>1036</v>
      </c>
      <c r="D437" t="s">
        <v>1013</v>
      </c>
      <c r="E437" t="s">
        <v>20</v>
      </c>
      <c r="F437" t="s">
        <v>53</v>
      </c>
      <c r="G437" t="s">
        <v>92</v>
      </c>
      <c r="H437" t="s">
        <v>103</v>
      </c>
      <c r="I437" t="s">
        <v>3372</v>
      </c>
      <c r="J437">
        <v>1810.7</v>
      </c>
      <c r="K437" t="s">
        <v>39</v>
      </c>
      <c r="L437" t="s">
        <v>28</v>
      </c>
      <c r="M437" s="1">
        <v>44718.490277777775</v>
      </c>
      <c r="N437">
        <v>69</v>
      </c>
      <c r="O437" t="s">
        <v>55</v>
      </c>
      <c r="P437" t="s">
        <v>127</v>
      </c>
      <c r="Q437" t="s">
        <v>1522</v>
      </c>
      <c r="R437" t="str">
        <f t="shared" si="84"/>
        <v>Marta Brown</v>
      </c>
      <c r="S437" t="str">
        <f t="shared" si="85"/>
        <v>Christopher Thomas</v>
      </c>
      <c r="T437" t="str">
        <f t="shared" si="86"/>
        <v>AED</v>
      </c>
      <c r="U437" s="7" t="str">
        <f t="shared" si="87"/>
        <v>AUD</v>
      </c>
      <c r="V437" s="7" t="str">
        <f t="shared" si="88"/>
        <v>UK</v>
      </c>
      <c r="W437" s="7" t="str">
        <f t="shared" si="89"/>
        <v>Canada</v>
      </c>
      <c r="X437" s="7" t="str">
        <f t="shared" si="90"/>
        <v>Outer-Transaction</v>
      </c>
      <c r="Y437" s="7">
        <f t="shared" si="91"/>
        <v>1810.7</v>
      </c>
      <c r="Z437" s="7">
        <f t="shared" si="92"/>
        <v>69</v>
      </c>
      <c r="AA437" s="7">
        <f t="shared" si="93"/>
        <v>2022</v>
      </c>
      <c r="AB437" s="7">
        <f t="shared" si="94"/>
        <v>6</v>
      </c>
      <c r="AC437" s="7">
        <f t="shared" si="95"/>
        <v>1</v>
      </c>
      <c r="AD437" s="7" t="str">
        <f t="shared" si="96"/>
        <v>No</v>
      </c>
      <c r="AE437" s="7" t="str">
        <f t="shared" si="97"/>
        <v>Normal</v>
      </c>
    </row>
    <row r="438" spans="1:31">
      <c r="A438" t="s">
        <v>1523</v>
      </c>
      <c r="B438">
        <v>71518719</v>
      </c>
      <c r="C438" t="s">
        <v>1524</v>
      </c>
      <c r="D438" t="s">
        <v>1525</v>
      </c>
      <c r="E438" t="s">
        <v>20</v>
      </c>
      <c r="F438" t="s">
        <v>98</v>
      </c>
      <c r="G438" t="s">
        <v>121</v>
      </c>
      <c r="H438" t="s">
        <v>103</v>
      </c>
      <c r="I438" t="s">
        <v>3374</v>
      </c>
      <c r="J438">
        <v>10790.94</v>
      </c>
      <c r="K438" t="s">
        <v>57</v>
      </c>
      <c r="L438" t="s">
        <v>81</v>
      </c>
      <c r="M438" s="1">
        <v>44038.395138888889</v>
      </c>
      <c r="N438">
        <v>33</v>
      </c>
      <c r="O438" t="s">
        <v>36</v>
      </c>
      <c r="P438" t="s">
        <v>54</v>
      </c>
      <c r="Q438" t="s">
        <v>1526</v>
      </c>
      <c r="R438" t="str">
        <f t="shared" si="84"/>
        <v>DAVID SMITH</v>
      </c>
      <c r="S438" t="str">
        <f t="shared" si="85"/>
        <v>Linda Lopez</v>
      </c>
      <c r="T438" t="str">
        <f t="shared" si="86"/>
        <v>JPY</v>
      </c>
      <c r="U438" s="7" t="str">
        <f t="shared" si="87"/>
        <v>INR</v>
      </c>
      <c r="V438" s="7" t="str">
        <f t="shared" si="88"/>
        <v>Germany</v>
      </c>
      <c r="W438" s="7" t="str">
        <f t="shared" si="89"/>
        <v>India</v>
      </c>
      <c r="X438" s="7" t="str">
        <f t="shared" si="90"/>
        <v>External</v>
      </c>
      <c r="Y438" s="7">
        <f t="shared" si="91"/>
        <v>10790.94</v>
      </c>
      <c r="Z438" s="7">
        <f t="shared" si="92"/>
        <v>33</v>
      </c>
      <c r="AA438" s="7">
        <f t="shared" si="93"/>
        <v>2020</v>
      </c>
      <c r="AB438" s="7">
        <f t="shared" si="94"/>
        <v>7</v>
      </c>
      <c r="AC438" s="7">
        <f t="shared" si="95"/>
        <v>1</v>
      </c>
      <c r="AD438" s="7" t="str">
        <f t="shared" si="96"/>
        <v>No</v>
      </c>
      <c r="AE438" s="7" t="str">
        <f t="shared" si="97"/>
        <v>Normal</v>
      </c>
    </row>
    <row r="439" spans="1:31">
      <c r="A439" t="s">
        <v>1527</v>
      </c>
      <c r="B439">
        <v>73317523</v>
      </c>
      <c r="C439" t="s">
        <v>1164</v>
      </c>
      <c r="D439" t="s">
        <v>1265</v>
      </c>
      <c r="E439" t="s">
        <v>33</v>
      </c>
      <c r="F439" t="s">
        <v>98</v>
      </c>
      <c r="G439" t="s">
        <v>45</v>
      </c>
      <c r="H439" t="s">
        <v>38</v>
      </c>
      <c r="I439" t="s">
        <v>3372</v>
      </c>
      <c r="J439">
        <v>1022.87</v>
      </c>
      <c r="K439" t="s">
        <v>86</v>
      </c>
      <c r="L439" t="s">
        <v>48</v>
      </c>
      <c r="M439" s="1">
        <v>43979.396527777775</v>
      </c>
      <c r="N439">
        <v>29</v>
      </c>
      <c r="O439" t="s">
        <v>93</v>
      </c>
      <c r="P439" t="s">
        <v>68</v>
      </c>
      <c r="Q439" t="s">
        <v>1528</v>
      </c>
      <c r="R439" t="str">
        <f t="shared" si="84"/>
        <v>Nancy Velez</v>
      </c>
      <c r="S439" t="str">
        <f t="shared" si="85"/>
        <v>Linda Jackson</v>
      </c>
      <c r="T439" t="str">
        <f t="shared" si="86"/>
        <v>JPY</v>
      </c>
      <c r="U439" s="7" t="str">
        <f t="shared" si="87"/>
        <v>ZAR</v>
      </c>
      <c r="V439" s="7" t="str">
        <f t="shared" si="88"/>
        <v>USA</v>
      </c>
      <c r="W439" s="7" t="str">
        <f t="shared" si="89"/>
        <v>UAE</v>
      </c>
      <c r="X439" s="7" t="str">
        <f t="shared" si="90"/>
        <v>Outer-Transaction</v>
      </c>
      <c r="Y439" s="7">
        <f t="shared" si="91"/>
        <v>1022.87</v>
      </c>
      <c r="Z439" s="7">
        <f t="shared" si="92"/>
        <v>29</v>
      </c>
      <c r="AA439" s="7">
        <f t="shared" si="93"/>
        <v>2020</v>
      </c>
      <c r="AB439" s="7">
        <f t="shared" si="94"/>
        <v>5</v>
      </c>
      <c r="AC439" s="7">
        <f t="shared" si="95"/>
        <v>2</v>
      </c>
      <c r="AD439" s="7" t="str">
        <f t="shared" si="96"/>
        <v>No</v>
      </c>
      <c r="AE439" s="7" t="str">
        <f t="shared" si="97"/>
        <v>Normal</v>
      </c>
    </row>
    <row r="440" spans="1:31">
      <c r="A440" t="s">
        <v>1529</v>
      </c>
      <c r="B440">
        <v>41758221</v>
      </c>
      <c r="C440" t="s">
        <v>1530</v>
      </c>
      <c r="D440" t="s">
        <v>1531</v>
      </c>
      <c r="E440" t="s">
        <v>33</v>
      </c>
      <c r="F440" t="s">
        <v>92</v>
      </c>
      <c r="G440" t="s">
        <v>92</v>
      </c>
      <c r="H440" t="s">
        <v>56</v>
      </c>
      <c r="I440" t="s">
        <v>3378</v>
      </c>
      <c r="J440">
        <v>9101.93</v>
      </c>
      <c r="K440" t="s">
        <v>86</v>
      </c>
      <c r="L440" t="s">
        <v>48</v>
      </c>
      <c r="M440" s="1">
        <v>44268.75</v>
      </c>
      <c r="N440">
        <v>42</v>
      </c>
      <c r="O440" t="s">
        <v>62</v>
      </c>
      <c r="P440" t="s">
        <v>68</v>
      </c>
      <c r="Q440" t="s">
        <v>1532</v>
      </c>
      <c r="R440" t="str">
        <f t="shared" si="84"/>
        <v>PATRICIA VOLKOV</v>
      </c>
      <c r="S440" t="str">
        <f t="shared" si="85"/>
        <v>Carlos Garcia</v>
      </c>
      <c r="T440" t="str">
        <f t="shared" si="86"/>
        <v>AUD</v>
      </c>
      <c r="U440" s="7" t="str">
        <f t="shared" si="87"/>
        <v>AUD</v>
      </c>
      <c r="V440" s="7" t="str">
        <f t="shared" si="88"/>
        <v>Australia</v>
      </c>
      <c r="W440" s="7" t="str">
        <f t="shared" si="89"/>
        <v>UAE</v>
      </c>
      <c r="X440" s="7" t="str">
        <f t="shared" si="90"/>
        <v>Inter-Transaction</v>
      </c>
      <c r="Y440" s="7">
        <f t="shared" si="91"/>
        <v>9101.93</v>
      </c>
      <c r="Z440" s="7">
        <f t="shared" si="92"/>
        <v>42</v>
      </c>
      <c r="AA440" s="7">
        <f t="shared" si="93"/>
        <v>2021</v>
      </c>
      <c r="AB440" s="7">
        <f t="shared" si="94"/>
        <v>3</v>
      </c>
      <c r="AC440" s="7">
        <f t="shared" si="95"/>
        <v>1</v>
      </c>
      <c r="AD440" s="7" t="str">
        <f t="shared" si="96"/>
        <v>No</v>
      </c>
      <c r="AE440" s="7" t="str">
        <f t="shared" si="97"/>
        <v>Normal</v>
      </c>
    </row>
    <row r="441" spans="1:31">
      <c r="A441" t="s">
        <v>1533</v>
      </c>
      <c r="B441">
        <v>48398260</v>
      </c>
      <c r="C441" t="s">
        <v>1534</v>
      </c>
      <c r="D441" t="s">
        <v>1535</v>
      </c>
      <c r="E441" t="s">
        <v>20</v>
      </c>
      <c r="F441" t="s">
        <v>98</v>
      </c>
      <c r="G441" t="s">
        <v>121</v>
      </c>
      <c r="H441" t="s">
        <v>74</v>
      </c>
      <c r="I441" t="s">
        <v>3377</v>
      </c>
      <c r="J441">
        <v>5399.82</v>
      </c>
      <c r="K441" t="s">
        <v>39</v>
      </c>
      <c r="L441" t="s">
        <v>28</v>
      </c>
      <c r="M441" s="1">
        <v>46033.997916666667</v>
      </c>
      <c r="N441">
        <v>69</v>
      </c>
      <c r="O441" t="s">
        <v>37</v>
      </c>
      <c r="P441" t="s">
        <v>62</v>
      </c>
      <c r="Q441" t="s">
        <v>1536</v>
      </c>
      <c r="R441" t="str">
        <f t="shared" si="84"/>
        <v>Elizabeth Miller</v>
      </c>
      <c r="S441" t="str">
        <f t="shared" si="85"/>
        <v xml:space="preserve"> Fatima Garcia   </v>
      </c>
      <c r="T441" t="str">
        <f t="shared" si="86"/>
        <v>JPY</v>
      </c>
      <c r="U441" s="7" t="str">
        <f t="shared" si="87"/>
        <v>INR</v>
      </c>
      <c r="V441" s="7" t="str">
        <f t="shared" si="88"/>
        <v>South Africa</v>
      </c>
      <c r="W441" s="7" t="str">
        <f t="shared" si="89"/>
        <v>Australia</v>
      </c>
      <c r="X441" s="7" t="str">
        <f t="shared" si="90"/>
        <v>Inter-Transaction</v>
      </c>
      <c r="Y441" s="7">
        <f t="shared" si="91"/>
        <v>5399.82</v>
      </c>
      <c r="Z441" s="7">
        <f t="shared" si="92"/>
        <v>69</v>
      </c>
      <c r="AA441" s="7">
        <f t="shared" si="93"/>
        <v>2026</v>
      </c>
      <c r="AB441" s="7">
        <f t="shared" si="94"/>
        <v>1</v>
      </c>
      <c r="AC441" s="7">
        <f t="shared" si="95"/>
        <v>1</v>
      </c>
      <c r="AD441" s="7" t="str">
        <f t="shared" si="96"/>
        <v>No</v>
      </c>
      <c r="AE441" s="7" t="str">
        <f t="shared" si="97"/>
        <v>Normal</v>
      </c>
    </row>
    <row r="442" spans="1:31">
      <c r="A442" t="s">
        <v>1537</v>
      </c>
      <c r="B442">
        <v>73583349</v>
      </c>
      <c r="C442" t="s">
        <v>517</v>
      </c>
      <c r="D442" t="s">
        <v>822</v>
      </c>
      <c r="E442" t="s">
        <v>3373</v>
      </c>
      <c r="F442" t="s">
        <v>21</v>
      </c>
      <c r="G442" t="s">
        <v>35</v>
      </c>
      <c r="H442" t="s">
        <v>38</v>
      </c>
      <c r="I442" t="s">
        <v>3378</v>
      </c>
      <c r="J442">
        <v>1522.69</v>
      </c>
      <c r="K442" t="s">
        <v>39</v>
      </c>
      <c r="L442" t="s">
        <v>48</v>
      </c>
      <c r="M442" s="1">
        <v>45552.375694444447</v>
      </c>
      <c r="N442">
        <v>70</v>
      </c>
      <c r="O442" t="s">
        <v>54</v>
      </c>
      <c r="P442" t="s">
        <v>127</v>
      </c>
      <c r="Q442" t="s">
        <v>1538</v>
      </c>
      <c r="R442" t="str">
        <f t="shared" si="84"/>
        <v>Charles Lopez</v>
      </c>
      <c r="S442" t="str">
        <f t="shared" si="85"/>
        <v>Susan Martin</v>
      </c>
      <c r="T442" t="str">
        <f t="shared" si="86"/>
        <v>GBP</v>
      </c>
      <c r="U442" s="7" t="str">
        <f t="shared" si="87"/>
        <v>EUR</v>
      </c>
      <c r="V442" s="7" t="str">
        <f t="shared" si="88"/>
        <v>India</v>
      </c>
      <c r="W442" s="7" t="str">
        <f t="shared" si="89"/>
        <v>Canada</v>
      </c>
      <c r="X442" s="7" t="str">
        <f t="shared" si="90"/>
        <v>Inter-Transaction</v>
      </c>
      <c r="Y442" s="7">
        <f t="shared" si="91"/>
        <v>1522.69</v>
      </c>
      <c r="Z442" s="7">
        <f t="shared" si="92"/>
        <v>70</v>
      </c>
      <c r="AA442" s="7">
        <f t="shared" si="93"/>
        <v>2024</v>
      </c>
      <c r="AB442" s="7">
        <f t="shared" si="94"/>
        <v>9</v>
      </c>
      <c r="AC442" s="7">
        <f t="shared" si="95"/>
        <v>1</v>
      </c>
      <c r="AD442" s="7" t="str">
        <f t="shared" si="96"/>
        <v>No</v>
      </c>
      <c r="AE442" s="7" t="str">
        <f t="shared" si="97"/>
        <v>Normal</v>
      </c>
    </row>
    <row r="443" spans="1:31">
      <c r="A443" t="s">
        <v>1539</v>
      </c>
      <c r="B443">
        <v>19120472</v>
      </c>
      <c r="C443" t="s">
        <v>365</v>
      </c>
      <c r="D443" t="s">
        <v>1540</v>
      </c>
      <c r="E443" t="s">
        <v>20</v>
      </c>
      <c r="F443" t="s">
        <v>116</v>
      </c>
      <c r="G443" t="s">
        <v>121</v>
      </c>
      <c r="I443" t="s">
        <v>3377</v>
      </c>
      <c r="J443">
        <v>8745.76</v>
      </c>
      <c r="K443" t="s">
        <v>57</v>
      </c>
      <c r="L443" t="s">
        <v>28</v>
      </c>
      <c r="M443" s="1">
        <v>44188.686805555553</v>
      </c>
      <c r="N443">
        <v>40</v>
      </c>
      <c r="O443" t="s">
        <v>36</v>
      </c>
      <c r="P443" t="s">
        <v>24</v>
      </c>
      <c r="Q443" t="s">
        <v>1541</v>
      </c>
      <c r="R443" t="str">
        <f t="shared" si="84"/>
        <v>Zayn Malik</v>
      </c>
      <c r="S443" t="str">
        <f t="shared" si="85"/>
        <v xml:space="preserve"> Linda Martinez   </v>
      </c>
      <c r="T443" t="str">
        <f t="shared" si="86"/>
        <v>CHF</v>
      </c>
      <c r="U443" s="7" t="str">
        <f t="shared" si="87"/>
        <v>INR</v>
      </c>
      <c r="V443" s="7" t="str">
        <f t="shared" si="88"/>
        <v>Germany</v>
      </c>
      <c r="W443" s="7" t="str">
        <f t="shared" si="89"/>
        <v>Brazil</v>
      </c>
      <c r="X443" s="7" t="str">
        <f t="shared" si="90"/>
        <v>Inter-Transaction</v>
      </c>
      <c r="Y443" s="7">
        <f t="shared" si="91"/>
        <v>8745.76</v>
      </c>
      <c r="Z443" s="7">
        <f t="shared" si="92"/>
        <v>40</v>
      </c>
      <c r="AA443" s="7">
        <f t="shared" si="93"/>
        <v>2020</v>
      </c>
      <c r="AB443" s="7">
        <f t="shared" si="94"/>
        <v>12</v>
      </c>
      <c r="AC443" s="7">
        <f t="shared" si="95"/>
        <v>1</v>
      </c>
      <c r="AD443" s="7" t="str">
        <f t="shared" si="96"/>
        <v>No</v>
      </c>
      <c r="AE443" s="7" t="str">
        <f t="shared" si="97"/>
        <v>Normal</v>
      </c>
    </row>
    <row r="444" spans="1:31">
      <c r="A444" t="s">
        <v>1542</v>
      </c>
      <c r="B444">
        <v>99031467</v>
      </c>
      <c r="C444" t="s">
        <v>1159</v>
      </c>
      <c r="D444" t="s">
        <v>1408</v>
      </c>
      <c r="E444" t="s">
        <v>20</v>
      </c>
      <c r="F444" t="s">
        <v>116</v>
      </c>
      <c r="G444" t="s">
        <v>1084</v>
      </c>
      <c r="H444" t="s">
        <v>38</v>
      </c>
      <c r="I444" t="s">
        <v>3374</v>
      </c>
      <c r="J444">
        <v>9190.3700000000008</v>
      </c>
      <c r="K444" t="s">
        <v>86</v>
      </c>
      <c r="L444" t="s">
        <v>81</v>
      </c>
      <c r="M444" s="1">
        <v>45071.984722222223</v>
      </c>
      <c r="N444">
        <v>33</v>
      </c>
      <c r="O444" t="s">
        <v>54</v>
      </c>
      <c r="P444" t="s">
        <v>54</v>
      </c>
      <c r="Q444" t="s">
        <v>1543</v>
      </c>
      <c r="R444" t="str">
        <f t="shared" si="84"/>
        <v>Priya Volkov</v>
      </c>
      <c r="S444" t="str">
        <f t="shared" si="85"/>
        <v>Mary Davis</v>
      </c>
      <c r="T444" t="str">
        <f t="shared" si="86"/>
        <v>CHF</v>
      </c>
      <c r="U444" s="7" t="str">
        <f t="shared" si="87"/>
        <v>chf</v>
      </c>
      <c r="V444" s="7" t="str">
        <f t="shared" si="88"/>
        <v>India</v>
      </c>
      <c r="W444" s="7" t="str">
        <f t="shared" si="89"/>
        <v>India</v>
      </c>
      <c r="X444" s="7" t="str">
        <f t="shared" si="90"/>
        <v>External</v>
      </c>
      <c r="Y444" s="7">
        <f t="shared" si="91"/>
        <v>9190.3700000000008</v>
      </c>
      <c r="Z444" s="7">
        <f t="shared" si="92"/>
        <v>33</v>
      </c>
      <c r="AA444" s="7">
        <f t="shared" si="93"/>
        <v>2023</v>
      </c>
      <c r="AB444" s="7">
        <f t="shared" si="94"/>
        <v>5</v>
      </c>
      <c r="AC444" s="7">
        <f t="shared" si="95"/>
        <v>1</v>
      </c>
      <c r="AD444" s="7" t="str">
        <f t="shared" si="96"/>
        <v>No</v>
      </c>
      <c r="AE444" s="7" t="str">
        <f t="shared" si="97"/>
        <v>Normal</v>
      </c>
    </row>
    <row r="445" spans="1:31">
      <c r="A445" t="s">
        <v>1544</v>
      </c>
      <c r="B445">
        <v>40568777</v>
      </c>
      <c r="C445" t="s">
        <v>1545</v>
      </c>
      <c r="D445" t="s">
        <v>671</v>
      </c>
      <c r="E445" t="s">
        <v>3375</v>
      </c>
      <c r="F445" t="s">
        <v>121</v>
      </c>
      <c r="G445" t="s">
        <v>98</v>
      </c>
      <c r="H445" t="s">
        <v>56</v>
      </c>
      <c r="I445" t="s">
        <v>3372</v>
      </c>
      <c r="J445">
        <v>10434.65</v>
      </c>
      <c r="K445" t="s">
        <v>39</v>
      </c>
      <c r="L445" t="s">
        <v>81</v>
      </c>
      <c r="M445" s="1">
        <v>45761.285416666666</v>
      </c>
      <c r="N445">
        <v>74</v>
      </c>
      <c r="O445" t="s">
        <v>55</v>
      </c>
      <c r="P445" t="s">
        <v>36</v>
      </c>
      <c r="Q445" t="s">
        <v>1546</v>
      </c>
      <c r="R445" t="str">
        <f t="shared" si="84"/>
        <v>JOHN SOUZA</v>
      </c>
      <c r="S445" t="str">
        <f t="shared" si="85"/>
        <v>Mary Smith</v>
      </c>
      <c r="T445" t="str">
        <f t="shared" si="86"/>
        <v>INR</v>
      </c>
      <c r="U445" s="7" t="str">
        <f t="shared" si="87"/>
        <v>JPY</v>
      </c>
      <c r="V445" s="7" t="str">
        <f t="shared" si="88"/>
        <v>UK</v>
      </c>
      <c r="W445" s="7" t="str">
        <f t="shared" si="89"/>
        <v>Germany</v>
      </c>
      <c r="X445" s="7" t="str">
        <f t="shared" si="90"/>
        <v>Outer-Transaction</v>
      </c>
      <c r="Y445" s="7">
        <f t="shared" si="91"/>
        <v>10434.65</v>
      </c>
      <c r="Z445" s="7">
        <f t="shared" si="92"/>
        <v>74</v>
      </c>
      <c r="AA445" s="7">
        <f t="shared" si="93"/>
        <v>2025</v>
      </c>
      <c r="AB445" s="7">
        <f t="shared" si="94"/>
        <v>4</v>
      </c>
      <c r="AC445" s="7">
        <f t="shared" si="95"/>
        <v>1</v>
      </c>
      <c r="AD445" s="7" t="str">
        <f t="shared" si="96"/>
        <v>No</v>
      </c>
      <c r="AE445" s="7" t="str">
        <f t="shared" si="97"/>
        <v>Normal</v>
      </c>
    </row>
    <row r="446" spans="1:31">
      <c r="A446" t="s">
        <v>1547</v>
      </c>
      <c r="B446">
        <v>41966664</v>
      </c>
      <c r="C446" t="s">
        <v>1548</v>
      </c>
      <c r="D446" t="s">
        <v>1549</v>
      </c>
      <c r="E446" t="s">
        <v>20</v>
      </c>
      <c r="F446" t="s">
        <v>22</v>
      </c>
      <c r="G446" t="s">
        <v>294</v>
      </c>
      <c r="H446" t="s">
        <v>25</v>
      </c>
      <c r="I446" t="s">
        <v>3377</v>
      </c>
      <c r="J446">
        <v>1909.47</v>
      </c>
      <c r="K446" t="s">
        <v>47</v>
      </c>
      <c r="L446" t="s">
        <v>75</v>
      </c>
      <c r="M446" s="1">
        <v>44286.347916666666</v>
      </c>
      <c r="N446">
        <v>56</v>
      </c>
      <c r="O446" t="s">
        <v>93</v>
      </c>
      <c r="P446" t="s">
        <v>55</v>
      </c>
      <c r="Q446" t="s">
        <v>1550</v>
      </c>
      <c r="R446" t="str">
        <f t="shared" si="84"/>
        <v>Elizabeth Williams</v>
      </c>
      <c r="S446" t="str">
        <f t="shared" si="85"/>
        <v>Christopher Smith</v>
      </c>
      <c r="T446" t="str">
        <f t="shared" si="86"/>
        <v>BRL</v>
      </c>
      <c r="U446" s="7" t="str">
        <f t="shared" si="87"/>
        <v>jpy</v>
      </c>
      <c r="V446" s="7" t="str">
        <f t="shared" si="88"/>
        <v>USA</v>
      </c>
      <c r="W446" s="7" t="str">
        <f t="shared" si="89"/>
        <v>UK</v>
      </c>
      <c r="X446" s="7" t="str">
        <f t="shared" si="90"/>
        <v>Inter-Transaction</v>
      </c>
      <c r="Y446" s="7">
        <f t="shared" si="91"/>
        <v>1909.47</v>
      </c>
      <c r="Z446" s="7">
        <f t="shared" si="92"/>
        <v>56</v>
      </c>
      <c r="AA446" s="7">
        <f t="shared" si="93"/>
        <v>2021</v>
      </c>
      <c r="AB446" s="7">
        <f t="shared" si="94"/>
        <v>3</v>
      </c>
      <c r="AC446" s="7">
        <f t="shared" si="95"/>
        <v>1</v>
      </c>
      <c r="AD446" s="7" t="str">
        <f t="shared" si="96"/>
        <v>No</v>
      </c>
      <c r="AE446" s="7" t="str">
        <f t="shared" si="97"/>
        <v>High Risk</v>
      </c>
    </row>
    <row r="447" spans="1:31">
      <c r="A447" t="s">
        <v>1551</v>
      </c>
      <c r="B447">
        <v>98126056</v>
      </c>
      <c r="C447" t="s">
        <v>1143</v>
      </c>
      <c r="D447" t="s">
        <v>551</v>
      </c>
      <c r="E447" t="s">
        <v>20</v>
      </c>
      <c r="F447" t="s">
        <v>22</v>
      </c>
      <c r="G447" t="s">
        <v>22</v>
      </c>
      <c r="H447" t="s">
        <v>103</v>
      </c>
      <c r="I447" t="s">
        <v>3376</v>
      </c>
      <c r="J447">
        <v>4397.32</v>
      </c>
      <c r="K447" t="s">
        <v>47</v>
      </c>
      <c r="L447" t="s">
        <v>75</v>
      </c>
      <c r="M447" s="1">
        <v>45463.072916666664</v>
      </c>
      <c r="N447">
        <v>70</v>
      </c>
      <c r="O447" t="s">
        <v>62</v>
      </c>
      <c r="P447" t="s">
        <v>54</v>
      </c>
      <c r="Q447" t="s">
        <v>1552</v>
      </c>
      <c r="R447" t="str">
        <f t="shared" si="84"/>
        <v>Robert Williams</v>
      </c>
      <c r="S447" t="str">
        <f t="shared" si="85"/>
        <v>David Moore</v>
      </c>
      <c r="T447" t="str">
        <f t="shared" si="86"/>
        <v>BRL</v>
      </c>
      <c r="U447" s="7" t="str">
        <f t="shared" si="87"/>
        <v>BRL</v>
      </c>
      <c r="V447" s="7" t="str">
        <f t="shared" si="88"/>
        <v>Australia</v>
      </c>
      <c r="W447" s="7" t="str">
        <f t="shared" si="89"/>
        <v>India</v>
      </c>
      <c r="X447" s="7" t="str">
        <f t="shared" si="90"/>
        <v>Internal</v>
      </c>
      <c r="Y447" s="7">
        <f t="shared" si="91"/>
        <v>4397.32</v>
      </c>
      <c r="Z447" s="7">
        <f t="shared" si="92"/>
        <v>70</v>
      </c>
      <c r="AA447" s="7">
        <f t="shared" si="93"/>
        <v>2024</v>
      </c>
      <c r="AB447" s="7">
        <f t="shared" si="94"/>
        <v>6</v>
      </c>
      <c r="AC447" s="7">
        <f t="shared" si="95"/>
        <v>1</v>
      </c>
      <c r="AD447" s="7" t="str">
        <f t="shared" si="96"/>
        <v>No</v>
      </c>
      <c r="AE447" s="7" t="str">
        <f t="shared" si="97"/>
        <v>High Risk</v>
      </c>
    </row>
    <row r="448" spans="1:31">
      <c r="A448" t="s">
        <v>1553</v>
      </c>
      <c r="C448" t="s">
        <v>150</v>
      </c>
      <c r="D448" t="s">
        <v>1180</v>
      </c>
      <c r="E448" t="s">
        <v>20</v>
      </c>
      <c r="F448" t="s">
        <v>22</v>
      </c>
      <c r="G448" t="s">
        <v>98</v>
      </c>
      <c r="I448" t="s">
        <v>3372</v>
      </c>
      <c r="J448">
        <v>9752.1200000000008</v>
      </c>
      <c r="K448" t="s">
        <v>39</v>
      </c>
      <c r="L448" t="s">
        <v>28</v>
      </c>
      <c r="M448" s="1">
        <v>44459.666666666664</v>
      </c>
      <c r="N448">
        <v>59</v>
      </c>
      <c r="O448" t="s">
        <v>62</v>
      </c>
      <c r="P448" t="s">
        <v>127</v>
      </c>
      <c r="Q448" t="s">
        <v>1554</v>
      </c>
      <c r="R448" t="str">
        <f t="shared" si="84"/>
        <v>Priya Jones</v>
      </c>
      <c r="S448" t="str">
        <f t="shared" si="85"/>
        <v>Amir Taylor</v>
      </c>
      <c r="T448" t="str">
        <f t="shared" si="86"/>
        <v>BRL</v>
      </c>
      <c r="U448" s="7" t="str">
        <f t="shared" si="87"/>
        <v>JPY</v>
      </c>
      <c r="V448" s="7" t="str">
        <f t="shared" si="88"/>
        <v>Australia</v>
      </c>
      <c r="W448" s="7" t="str">
        <f t="shared" si="89"/>
        <v>Canada</v>
      </c>
      <c r="X448" s="7" t="str">
        <f t="shared" si="90"/>
        <v>Outer-Transaction</v>
      </c>
      <c r="Y448" s="7">
        <f t="shared" si="91"/>
        <v>9752.1200000000008</v>
      </c>
      <c r="Z448" s="7">
        <f t="shared" si="92"/>
        <v>59</v>
      </c>
      <c r="AA448" s="7">
        <f t="shared" si="93"/>
        <v>2021</v>
      </c>
      <c r="AB448" s="7">
        <f t="shared" si="94"/>
        <v>9</v>
      </c>
      <c r="AC448" s="7">
        <f t="shared" si="95"/>
        <v>1</v>
      </c>
      <c r="AD448" s="7" t="str">
        <f t="shared" si="96"/>
        <v>No</v>
      </c>
      <c r="AE448" s="7" t="str">
        <f t="shared" si="97"/>
        <v>Normal</v>
      </c>
    </row>
    <row r="449" spans="1:31">
      <c r="A449" t="s">
        <v>1555</v>
      </c>
      <c r="B449">
        <v>91838954</v>
      </c>
      <c r="C449" t="s">
        <v>179</v>
      </c>
      <c r="D449" t="s">
        <v>637</v>
      </c>
      <c r="E449" t="s">
        <v>20</v>
      </c>
      <c r="F449" t="s">
        <v>44</v>
      </c>
      <c r="G449" t="s">
        <v>80</v>
      </c>
      <c r="H449" t="s">
        <v>25</v>
      </c>
      <c r="I449" t="s">
        <v>3376</v>
      </c>
      <c r="J449">
        <v>11447.31</v>
      </c>
      <c r="K449" t="s">
        <v>86</v>
      </c>
      <c r="L449" t="s">
        <v>75</v>
      </c>
      <c r="M449" s="1">
        <v>44316.34652777778</v>
      </c>
      <c r="N449">
        <v>75</v>
      </c>
      <c r="O449" t="s">
        <v>23</v>
      </c>
      <c r="P449" t="s">
        <v>37</v>
      </c>
      <c r="Q449" t="s">
        <v>1556</v>
      </c>
      <c r="R449" t="str">
        <f t="shared" si="84"/>
        <v>Joseph Thomas</v>
      </c>
      <c r="S449" t="str">
        <f t="shared" si="85"/>
        <v>John Malik</v>
      </c>
      <c r="T449" t="str">
        <f t="shared" si="86"/>
        <v>SGD</v>
      </c>
      <c r="U449" s="7" t="str">
        <f t="shared" si="87"/>
        <v>USD</v>
      </c>
      <c r="V449" s="7" t="str">
        <f t="shared" si="88"/>
        <v>France</v>
      </c>
      <c r="W449" s="7" t="str">
        <f t="shared" si="89"/>
        <v>South Africa</v>
      </c>
      <c r="X449" s="7" t="str">
        <f t="shared" si="90"/>
        <v>Internal</v>
      </c>
      <c r="Y449" s="7">
        <f t="shared" si="91"/>
        <v>11447.31</v>
      </c>
      <c r="Z449" s="7">
        <f t="shared" si="92"/>
        <v>75</v>
      </c>
      <c r="AA449" s="7">
        <f t="shared" si="93"/>
        <v>2021</v>
      </c>
      <c r="AB449" s="7">
        <f t="shared" si="94"/>
        <v>4</v>
      </c>
      <c r="AC449" s="7">
        <f t="shared" si="95"/>
        <v>1</v>
      </c>
      <c r="AD449" s="7" t="str">
        <f t="shared" si="96"/>
        <v>No</v>
      </c>
      <c r="AE449" s="7" t="str">
        <f t="shared" si="97"/>
        <v>High Risk</v>
      </c>
    </row>
    <row r="450" spans="1:31">
      <c r="A450" t="s">
        <v>1557</v>
      </c>
      <c r="C450" t="s">
        <v>1558</v>
      </c>
      <c r="D450" t="s">
        <v>678</v>
      </c>
      <c r="E450">
        <v>1</v>
      </c>
      <c r="F450" t="s">
        <v>45</v>
      </c>
      <c r="G450" t="s">
        <v>53</v>
      </c>
      <c r="H450" t="s">
        <v>38</v>
      </c>
      <c r="I450" t="s">
        <v>3378</v>
      </c>
      <c r="J450">
        <v>2446.61</v>
      </c>
      <c r="K450" t="s">
        <v>39</v>
      </c>
      <c r="L450" t="s">
        <v>81</v>
      </c>
      <c r="M450" s="1">
        <v>44030.845833333333</v>
      </c>
      <c r="N450">
        <v>56</v>
      </c>
      <c r="O450" t="s">
        <v>23</v>
      </c>
      <c r="P450" t="s">
        <v>55</v>
      </c>
      <c r="Q450" t="s">
        <v>1559</v>
      </c>
      <c r="R450" t="str">
        <f t="shared" ref="R450:R513" si="98">TRIM(C450)</f>
        <v>Lucas Brown</v>
      </c>
      <c r="S450" t="str">
        <f t="shared" ref="S450:S513" si="99">PROPER(D450)</f>
        <v>Karen Gonzalez</v>
      </c>
      <c r="T450" t="str">
        <f t="shared" ref="T450:T513" si="100">TRIM(F450)</f>
        <v>ZAR</v>
      </c>
      <c r="U450" s="7" t="str">
        <f t="shared" ref="U450:U513" si="101">TRIM(G450)</f>
        <v>AED</v>
      </c>
      <c r="V450" s="7" t="str">
        <f t="shared" ref="V450:V513" si="102">TRIM(O450)</f>
        <v>France</v>
      </c>
      <c r="W450" s="7" t="str">
        <f t="shared" ref="W450:W513" si="103">TRIM(P450)</f>
        <v>UK</v>
      </c>
      <c r="X450" s="7" t="str">
        <f t="shared" ref="X450:X513" si="104">PROPER(I450)</f>
        <v>Inter-Transaction</v>
      </c>
      <c r="Y450" s="7">
        <f t="shared" ref="Y450:Y513" si="105">IF(J450="",AVERAGE($J:$J),J450)</f>
        <v>2446.61</v>
      </c>
      <c r="Z450" s="7">
        <f t="shared" ref="Z450:Z513" si="106">IF(N450="",AVERAGE($N:$N),N450)</f>
        <v>56</v>
      </c>
      <c r="AA450" s="7">
        <f t="shared" ref="AA450:AA513" si="107">YEAR(M450)</f>
        <v>2020</v>
      </c>
      <c r="AB450" s="7">
        <f t="shared" ref="AB450:AB513" si="108">MONTH(M450)</f>
        <v>7</v>
      </c>
      <c r="AC450" s="7">
        <f t="shared" ref="AC450:AC513" si="109">COUNTIF(A:A,A450)</f>
        <v>1</v>
      </c>
      <c r="AD450" s="7" t="str">
        <f t="shared" ref="AD450:AD513" si="110">IF(C450="YES","Yes","No")</f>
        <v>No</v>
      </c>
      <c r="AE450" s="7" t="str">
        <f t="shared" ref="AE450:AE513" si="111">IF(L450="HIGH","High Risk","Normal")</f>
        <v>Normal</v>
      </c>
    </row>
    <row r="451" spans="1:31">
      <c r="A451" t="s">
        <v>1560</v>
      </c>
      <c r="C451" t="s">
        <v>1561</v>
      </c>
      <c r="D451" t="s">
        <v>1562</v>
      </c>
      <c r="E451" t="s">
        <v>20</v>
      </c>
      <c r="F451" t="s">
        <v>53</v>
      </c>
      <c r="G451" t="s">
        <v>45</v>
      </c>
      <c r="I451" t="s">
        <v>3378</v>
      </c>
      <c r="J451">
        <v>12541.64</v>
      </c>
      <c r="K451" t="s">
        <v>47</v>
      </c>
      <c r="L451" t="s">
        <v>81</v>
      </c>
      <c r="M451" s="1">
        <v>44201.165972222225</v>
      </c>
      <c r="N451">
        <v>31</v>
      </c>
      <c r="O451" t="s">
        <v>55</v>
      </c>
      <c r="P451" t="s">
        <v>93</v>
      </c>
      <c r="Q451" t="s">
        <v>1563</v>
      </c>
      <c r="R451" t="str">
        <f t="shared" si="98"/>
        <v>CHRISTOPHER GONZALEZ</v>
      </c>
      <c r="S451" t="str">
        <f t="shared" si="99"/>
        <v>Mary Martin</v>
      </c>
      <c r="T451" t="str">
        <f t="shared" si="100"/>
        <v>AED</v>
      </c>
      <c r="U451" s="7" t="str">
        <f t="shared" si="101"/>
        <v>ZAR</v>
      </c>
      <c r="V451" s="7" t="str">
        <f t="shared" si="102"/>
        <v>UK</v>
      </c>
      <c r="W451" s="7" t="str">
        <f t="shared" si="103"/>
        <v>USA</v>
      </c>
      <c r="X451" s="7" t="str">
        <f t="shared" si="104"/>
        <v>Inter-Transaction</v>
      </c>
      <c r="Y451" s="7">
        <f t="shared" si="105"/>
        <v>12541.64</v>
      </c>
      <c r="Z451" s="7">
        <f t="shared" si="106"/>
        <v>31</v>
      </c>
      <c r="AA451" s="7">
        <f t="shared" si="107"/>
        <v>2021</v>
      </c>
      <c r="AB451" s="7">
        <f t="shared" si="108"/>
        <v>1</v>
      </c>
      <c r="AC451" s="7">
        <f t="shared" si="109"/>
        <v>1</v>
      </c>
      <c r="AD451" s="7" t="str">
        <f t="shared" si="110"/>
        <v>No</v>
      </c>
      <c r="AE451" s="7" t="str">
        <f t="shared" si="111"/>
        <v>Normal</v>
      </c>
    </row>
    <row r="452" spans="1:31">
      <c r="A452" t="s">
        <v>1564</v>
      </c>
      <c r="C452" t="s">
        <v>854</v>
      </c>
      <c r="D452" t="s">
        <v>1565</v>
      </c>
      <c r="E452" t="s">
        <v>20</v>
      </c>
      <c r="F452" t="s">
        <v>35</v>
      </c>
      <c r="G452" t="s">
        <v>44</v>
      </c>
      <c r="I452" t="s">
        <v>3371</v>
      </c>
      <c r="J452">
        <v>2212.06</v>
      </c>
      <c r="K452" t="s">
        <v>27</v>
      </c>
      <c r="L452" t="s">
        <v>28</v>
      </c>
      <c r="M452" s="1">
        <v>44844.322222222225</v>
      </c>
      <c r="N452">
        <v>22</v>
      </c>
      <c r="O452" t="s">
        <v>55</v>
      </c>
      <c r="P452" t="s">
        <v>68</v>
      </c>
      <c r="Q452" t="s">
        <v>1566</v>
      </c>
      <c r="R452" t="str">
        <f t="shared" si="98"/>
        <v>Robert Rodriguez</v>
      </c>
      <c r="S452" t="str">
        <f t="shared" si="99"/>
        <v>Carlos Martin</v>
      </c>
      <c r="T452" t="str">
        <f t="shared" si="100"/>
        <v>EUR</v>
      </c>
      <c r="U452" s="7" t="str">
        <f t="shared" si="101"/>
        <v>SGD</v>
      </c>
      <c r="V452" s="7" t="str">
        <f t="shared" si="102"/>
        <v>UK</v>
      </c>
      <c r="W452" s="7" t="str">
        <f t="shared" si="103"/>
        <v>UAE</v>
      </c>
      <c r="X452" s="7" t="str">
        <f t="shared" si="104"/>
        <v>Outer-Transaction</v>
      </c>
      <c r="Y452" s="7">
        <f t="shared" si="105"/>
        <v>2212.06</v>
      </c>
      <c r="Z452" s="7">
        <f t="shared" si="106"/>
        <v>22</v>
      </c>
      <c r="AA452" s="7">
        <f t="shared" si="107"/>
        <v>2022</v>
      </c>
      <c r="AB452" s="7">
        <f t="shared" si="108"/>
        <v>10</v>
      </c>
      <c r="AC452" s="7">
        <f t="shared" si="109"/>
        <v>1</v>
      </c>
      <c r="AD452" s="7" t="str">
        <f t="shared" si="110"/>
        <v>No</v>
      </c>
      <c r="AE452" s="7" t="str">
        <f t="shared" si="111"/>
        <v>Normal</v>
      </c>
    </row>
    <row r="453" spans="1:31">
      <c r="A453" t="s">
        <v>1567</v>
      </c>
      <c r="B453">
        <v>18162164</v>
      </c>
      <c r="C453" t="s">
        <v>1568</v>
      </c>
      <c r="E453" t="s">
        <v>20</v>
      </c>
      <c r="F453" t="s">
        <v>34</v>
      </c>
      <c r="G453" t="s">
        <v>98</v>
      </c>
      <c r="H453" t="s">
        <v>38</v>
      </c>
      <c r="I453" t="s">
        <v>3377</v>
      </c>
      <c r="J453">
        <v>3562.31</v>
      </c>
      <c r="K453" t="s">
        <v>57</v>
      </c>
      <c r="L453" t="s">
        <v>75</v>
      </c>
      <c r="M453" s="1">
        <v>45813.130555555559</v>
      </c>
      <c r="N453">
        <v>52</v>
      </c>
      <c r="O453" t="s">
        <v>93</v>
      </c>
      <c r="P453" t="s">
        <v>127</v>
      </c>
      <c r="Q453" t="s">
        <v>1569</v>
      </c>
      <c r="R453" t="str">
        <f t="shared" si="98"/>
        <v>Elena Rodriguez</v>
      </c>
      <c r="S453" t="str">
        <f t="shared" si="99"/>
        <v/>
      </c>
      <c r="T453" t="str">
        <f t="shared" si="100"/>
        <v>CAD</v>
      </c>
      <c r="U453" s="7" t="str">
        <f t="shared" si="101"/>
        <v>JPY</v>
      </c>
      <c r="V453" s="7" t="str">
        <f t="shared" si="102"/>
        <v>USA</v>
      </c>
      <c r="W453" s="7" t="str">
        <f t="shared" si="103"/>
        <v>Canada</v>
      </c>
      <c r="X453" s="7" t="str">
        <f t="shared" si="104"/>
        <v>Inter-Transaction</v>
      </c>
      <c r="Y453" s="7">
        <f t="shared" si="105"/>
        <v>3562.31</v>
      </c>
      <c r="Z453" s="7">
        <f t="shared" si="106"/>
        <v>52</v>
      </c>
      <c r="AA453" s="7">
        <f t="shared" si="107"/>
        <v>2025</v>
      </c>
      <c r="AB453" s="7">
        <f t="shared" si="108"/>
        <v>6</v>
      </c>
      <c r="AC453" s="7">
        <f t="shared" si="109"/>
        <v>1</v>
      </c>
      <c r="AD453" s="7" t="str">
        <f t="shared" si="110"/>
        <v>No</v>
      </c>
      <c r="AE453" s="7" t="str">
        <f t="shared" si="111"/>
        <v>High Risk</v>
      </c>
    </row>
    <row r="454" spans="1:31">
      <c r="A454" t="s">
        <v>1570</v>
      </c>
      <c r="B454">
        <v>97507034</v>
      </c>
      <c r="C454" t="s">
        <v>715</v>
      </c>
      <c r="D454" t="s">
        <v>1571</v>
      </c>
      <c r="E454" t="s">
        <v>20</v>
      </c>
      <c r="F454" t="s">
        <v>34</v>
      </c>
      <c r="G454" t="s">
        <v>80</v>
      </c>
      <c r="H454" t="s">
        <v>103</v>
      </c>
      <c r="I454" t="s">
        <v>3376</v>
      </c>
      <c r="J454">
        <v>10739.36</v>
      </c>
      <c r="K454" t="s">
        <v>27</v>
      </c>
      <c r="L454" t="s">
        <v>75</v>
      </c>
      <c r="M454" s="1">
        <v>45302.347916666666</v>
      </c>
      <c r="N454">
        <v>35</v>
      </c>
      <c r="O454" t="s">
        <v>23</v>
      </c>
      <c r="P454" t="s">
        <v>93</v>
      </c>
      <c r="Q454" t="s">
        <v>1572</v>
      </c>
      <c r="R454" t="str">
        <f t="shared" si="98"/>
        <v>Susan Thomas</v>
      </c>
      <c r="S454" t="str">
        <f t="shared" si="99"/>
        <v>Barbara Martin</v>
      </c>
      <c r="T454" t="str">
        <f t="shared" si="100"/>
        <v>CAD</v>
      </c>
      <c r="U454" s="7" t="str">
        <f t="shared" si="101"/>
        <v>USD</v>
      </c>
      <c r="V454" s="7" t="str">
        <f t="shared" si="102"/>
        <v>France</v>
      </c>
      <c r="W454" s="7" t="str">
        <f t="shared" si="103"/>
        <v>USA</v>
      </c>
      <c r="X454" s="7" t="str">
        <f t="shared" si="104"/>
        <v>Internal</v>
      </c>
      <c r="Y454" s="7">
        <f t="shared" si="105"/>
        <v>10739.36</v>
      </c>
      <c r="Z454" s="7">
        <f t="shared" si="106"/>
        <v>35</v>
      </c>
      <c r="AA454" s="7">
        <f t="shared" si="107"/>
        <v>2024</v>
      </c>
      <c r="AB454" s="7">
        <f t="shared" si="108"/>
        <v>1</v>
      </c>
      <c r="AC454" s="7">
        <f t="shared" si="109"/>
        <v>1</v>
      </c>
      <c r="AD454" s="7" t="str">
        <f t="shared" si="110"/>
        <v>No</v>
      </c>
      <c r="AE454" s="7" t="str">
        <f t="shared" si="111"/>
        <v>High Risk</v>
      </c>
    </row>
    <row r="455" spans="1:31">
      <c r="A455" t="s">
        <v>1573</v>
      </c>
      <c r="B455">
        <v>40142752</v>
      </c>
      <c r="C455" t="s">
        <v>1574</v>
      </c>
      <c r="D455" t="s">
        <v>1575</v>
      </c>
      <c r="E455" t="s">
        <v>20</v>
      </c>
      <c r="F455" t="s">
        <v>92</v>
      </c>
      <c r="G455" t="s">
        <v>98</v>
      </c>
      <c r="H455" t="s">
        <v>38</v>
      </c>
      <c r="I455" t="s">
        <v>3376</v>
      </c>
      <c r="J455">
        <v>6620.85</v>
      </c>
      <c r="K455" t="s">
        <v>57</v>
      </c>
      <c r="L455" t="s">
        <v>48</v>
      </c>
      <c r="M455" s="1">
        <v>44078.71597222222</v>
      </c>
      <c r="N455">
        <v>26</v>
      </c>
      <c r="O455" t="s">
        <v>37</v>
      </c>
      <c r="P455" t="s">
        <v>62</v>
      </c>
      <c r="Q455" t="s">
        <v>1576</v>
      </c>
      <c r="R455" t="str">
        <f t="shared" si="98"/>
        <v>CHRISTOPHER TAYLOR</v>
      </c>
      <c r="S455" t="str">
        <f t="shared" si="99"/>
        <v>Christopher Nair</v>
      </c>
      <c r="T455" t="str">
        <f t="shared" si="100"/>
        <v>AUD</v>
      </c>
      <c r="U455" s="7" t="str">
        <f t="shared" si="101"/>
        <v>JPY</v>
      </c>
      <c r="V455" s="7" t="str">
        <f t="shared" si="102"/>
        <v>South Africa</v>
      </c>
      <c r="W455" s="7" t="str">
        <f t="shared" si="103"/>
        <v>Australia</v>
      </c>
      <c r="X455" s="7" t="str">
        <f t="shared" si="104"/>
        <v>Internal</v>
      </c>
      <c r="Y455" s="7">
        <f t="shared" si="105"/>
        <v>6620.85</v>
      </c>
      <c r="Z455" s="7">
        <f t="shared" si="106"/>
        <v>26</v>
      </c>
      <c r="AA455" s="7">
        <f t="shared" si="107"/>
        <v>2020</v>
      </c>
      <c r="AB455" s="7">
        <f t="shared" si="108"/>
        <v>9</v>
      </c>
      <c r="AC455" s="7">
        <f t="shared" si="109"/>
        <v>1</v>
      </c>
      <c r="AD455" s="7" t="str">
        <f t="shared" si="110"/>
        <v>No</v>
      </c>
      <c r="AE455" s="7" t="str">
        <f t="shared" si="111"/>
        <v>Normal</v>
      </c>
    </row>
    <row r="456" spans="1:31">
      <c r="A456" t="s">
        <v>1577</v>
      </c>
      <c r="B456">
        <v>42352710</v>
      </c>
      <c r="C456" t="s">
        <v>1578</v>
      </c>
      <c r="D456" t="s">
        <v>1579</v>
      </c>
      <c r="E456" t="s">
        <v>20</v>
      </c>
      <c r="F456" t="s">
        <v>34</v>
      </c>
      <c r="G456" t="s">
        <v>98</v>
      </c>
      <c r="H456" t="s">
        <v>56</v>
      </c>
      <c r="I456" t="s">
        <v>3371</v>
      </c>
      <c r="J456">
        <v>8544.44</v>
      </c>
      <c r="K456" t="s">
        <v>47</v>
      </c>
      <c r="L456" t="s">
        <v>48</v>
      </c>
      <c r="M456" s="1">
        <v>44618.404166666667</v>
      </c>
      <c r="N456">
        <v>75</v>
      </c>
      <c r="O456" t="s">
        <v>37</v>
      </c>
      <c r="P456" t="s">
        <v>23</v>
      </c>
      <c r="Q456" t="s">
        <v>1580</v>
      </c>
      <c r="R456" t="str">
        <f t="shared" si="98"/>
        <v>Thomas Al-Sayed</v>
      </c>
      <c r="S456" t="str">
        <f t="shared" si="99"/>
        <v>Carlos Wilson</v>
      </c>
      <c r="T456" t="str">
        <f t="shared" si="100"/>
        <v>CAD</v>
      </c>
      <c r="U456" s="7" t="str">
        <f t="shared" si="101"/>
        <v>JPY</v>
      </c>
      <c r="V456" s="7" t="str">
        <f t="shared" si="102"/>
        <v>South Africa</v>
      </c>
      <c r="W456" s="7" t="str">
        <f t="shared" si="103"/>
        <v>France</v>
      </c>
      <c r="X456" s="7" t="str">
        <f t="shared" si="104"/>
        <v>Outer-Transaction</v>
      </c>
      <c r="Y456" s="7">
        <f t="shared" si="105"/>
        <v>8544.44</v>
      </c>
      <c r="Z456" s="7">
        <f t="shared" si="106"/>
        <v>75</v>
      </c>
      <c r="AA456" s="7">
        <f t="shared" si="107"/>
        <v>2022</v>
      </c>
      <c r="AB456" s="7">
        <f t="shared" si="108"/>
        <v>2</v>
      </c>
      <c r="AC456" s="7">
        <f t="shared" si="109"/>
        <v>1</v>
      </c>
      <c r="AD456" s="7" t="str">
        <f t="shared" si="110"/>
        <v>No</v>
      </c>
      <c r="AE456" s="7" t="str">
        <f t="shared" si="111"/>
        <v>Normal</v>
      </c>
    </row>
    <row r="457" spans="1:31">
      <c r="A457" t="s">
        <v>1581</v>
      </c>
      <c r="B457">
        <v>77783433</v>
      </c>
      <c r="C457" t="s">
        <v>700</v>
      </c>
      <c r="D457" t="s">
        <v>376</v>
      </c>
      <c r="E457" t="s">
        <v>3373</v>
      </c>
      <c r="F457" t="s">
        <v>121</v>
      </c>
      <c r="G457" t="s">
        <v>21</v>
      </c>
      <c r="H457" t="s">
        <v>56</v>
      </c>
      <c r="I457" t="s">
        <v>3374</v>
      </c>
      <c r="J457">
        <v>1523.92</v>
      </c>
      <c r="K457" t="s">
        <v>86</v>
      </c>
      <c r="L457" t="s">
        <v>81</v>
      </c>
      <c r="M457" s="1">
        <v>46142.255555555559</v>
      </c>
      <c r="N457">
        <v>34</v>
      </c>
      <c r="O457" t="s">
        <v>93</v>
      </c>
      <c r="P457" t="s">
        <v>36</v>
      </c>
      <c r="Q457" t="s">
        <v>1582</v>
      </c>
      <c r="R457" t="str">
        <f t="shared" si="98"/>
        <v>Michael Jackson</v>
      </c>
      <c r="S457" t="str">
        <f t="shared" si="99"/>
        <v>Sarah Nair</v>
      </c>
      <c r="T457" t="str">
        <f t="shared" si="100"/>
        <v>INR</v>
      </c>
      <c r="U457" s="7" t="str">
        <f t="shared" si="101"/>
        <v>GBP</v>
      </c>
      <c r="V457" s="7" t="str">
        <f t="shared" si="102"/>
        <v>USA</v>
      </c>
      <c r="W457" s="7" t="str">
        <f t="shared" si="103"/>
        <v>Germany</v>
      </c>
      <c r="X457" s="7" t="str">
        <f t="shared" si="104"/>
        <v>External</v>
      </c>
      <c r="Y457" s="7">
        <f t="shared" si="105"/>
        <v>1523.92</v>
      </c>
      <c r="Z457" s="7">
        <f t="shared" si="106"/>
        <v>34</v>
      </c>
      <c r="AA457" s="7">
        <f t="shared" si="107"/>
        <v>2026</v>
      </c>
      <c r="AB457" s="7">
        <f t="shared" si="108"/>
        <v>4</v>
      </c>
      <c r="AC457" s="7">
        <f t="shared" si="109"/>
        <v>1</v>
      </c>
      <c r="AD457" s="7" t="str">
        <f t="shared" si="110"/>
        <v>No</v>
      </c>
      <c r="AE457" s="7" t="str">
        <f t="shared" si="111"/>
        <v>Normal</v>
      </c>
    </row>
    <row r="458" spans="1:31">
      <c r="A458" t="s">
        <v>1583</v>
      </c>
      <c r="B458">
        <v>63998141</v>
      </c>
      <c r="C458" t="s">
        <v>1584</v>
      </c>
      <c r="D458" t="s">
        <v>435</v>
      </c>
      <c r="E458" t="s">
        <v>20</v>
      </c>
      <c r="F458" t="s">
        <v>34</v>
      </c>
      <c r="G458" t="s">
        <v>34</v>
      </c>
      <c r="H458" t="s">
        <v>103</v>
      </c>
      <c r="I458" t="s">
        <v>3372</v>
      </c>
      <c r="J458">
        <v>13661.01</v>
      </c>
      <c r="K458" t="s">
        <v>39</v>
      </c>
      <c r="L458" t="s">
        <v>81</v>
      </c>
      <c r="M458" s="1">
        <v>45909.220833333333</v>
      </c>
      <c r="N458">
        <v>24</v>
      </c>
      <c r="O458" t="s">
        <v>37</v>
      </c>
      <c r="P458" t="s">
        <v>36</v>
      </c>
      <c r="Q458" t="s">
        <v>1585</v>
      </c>
      <c r="R458" t="str">
        <f t="shared" si="98"/>
        <v>ELENA MOORE</v>
      </c>
      <c r="S458" t="str">
        <f t="shared" si="99"/>
        <v>Elizabeth Rostova</v>
      </c>
      <c r="T458" t="str">
        <f t="shared" si="100"/>
        <v>CAD</v>
      </c>
      <c r="U458" s="7" t="str">
        <f t="shared" si="101"/>
        <v>CAD</v>
      </c>
      <c r="V458" s="7" t="str">
        <f t="shared" si="102"/>
        <v>South Africa</v>
      </c>
      <c r="W458" s="7" t="str">
        <f t="shared" si="103"/>
        <v>Germany</v>
      </c>
      <c r="X458" s="7" t="str">
        <f t="shared" si="104"/>
        <v>Outer-Transaction</v>
      </c>
      <c r="Y458" s="7">
        <f t="shared" si="105"/>
        <v>13661.01</v>
      </c>
      <c r="Z458" s="7">
        <f t="shared" si="106"/>
        <v>24</v>
      </c>
      <c r="AA458" s="7">
        <f t="shared" si="107"/>
        <v>2025</v>
      </c>
      <c r="AB458" s="7">
        <f t="shared" si="108"/>
        <v>9</v>
      </c>
      <c r="AC458" s="7">
        <f t="shared" si="109"/>
        <v>1</v>
      </c>
      <c r="AD458" s="7" t="str">
        <f t="shared" si="110"/>
        <v>No</v>
      </c>
      <c r="AE458" s="7" t="str">
        <f t="shared" si="111"/>
        <v>Normal</v>
      </c>
    </row>
    <row r="459" spans="1:31">
      <c r="A459" t="s">
        <v>1586</v>
      </c>
      <c r="B459">
        <v>11044716</v>
      </c>
      <c r="C459" t="s">
        <v>1587</v>
      </c>
      <c r="D459" t="s">
        <v>1505</v>
      </c>
      <c r="E459" t="s">
        <v>20</v>
      </c>
      <c r="F459" t="s">
        <v>92</v>
      </c>
      <c r="G459" t="s">
        <v>34</v>
      </c>
      <c r="H459" t="s">
        <v>103</v>
      </c>
      <c r="I459" t="s">
        <v>3372</v>
      </c>
      <c r="J459">
        <v>5123.3500000000004</v>
      </c>
      <c r="K459" t="s">
        <v>27</v>
      </c>
      <c r="L459" t="s">
        <v>81</v>
      </c>
      <c r="M459" s="1">
        <v>45352.656944444447</v>
      </c>
      <c r="N459">
        <v>63</v>
      </c>
      <c r="O459" t="s">
        <v>68</v>
      </c>
      <c r="P459" t="s">
        <v>93</v>
      </c>
      <c r="Q459" t="s">
        <v>1588</v>
      </c>
      <c r="R459" t="str">
        <f t="shared" si="98"/>
        <v>Christopher Jackson</v>
      </c>
      <c r="S459" t="str">
        <f t="shared" si="99"/>
        <v>Susan Velez</v>
      </c>
      <c r="T459" t="str">
        <f t="shared" si="100"/>
        <v>AUD</v>
      </c>
      <c r="U459" s="7" t="str">
        <f t="shared" si="101"/>
        <v>CAD</v>
      </c>
      <c r="V459" s="7" t="str">
        <f t="shared" si="102"/>
        <v>UAE</v>
      </c>
      <c r="W459" s="7" t="str">
        <f t="shared" si="103"/>
        <v>USA</v>
      </c>
      <c r="X459" s="7" t="str">
        <f t="shared" si="104"/>
        <v>Outer-Transaction</v>
      </c>
      <c r="Y459" s="7">
        <f t="shared" si="105"/>
        <v>5123.3500000000004</v>
      </c>
      <c r="Z459" s="7">
        <f t="shared" si="106"/>
        <v>63</v>
      </c>
      <c r="AA459" s="7">
        <f t="shared" si="107"/>
        <v>2024</v>
      </c>
      <c r="AB459" s="7">
        <f t="shared" si="108"/>
        <v>3</v>
      </c>
      <c r="AC459" s="7">
        <f t="shared" si="109"/>
        <v>1</v>
      </c>
      <c r="AD459" s="7" t="str">
        <f t="shared" si="110"/>
        <v>No</v>
      </c>
      <c r="AE459" s="7" t="str">
        <f t="shared" si="111"/>
        <v>Normal</v>
      </c>
    </row>
    <row r="460" spans="1:31">
      <c r="A460" t="s">
        <v>1589</v>
      </c>
      <c r="B460">
        <v>38277083</v>
      </c>
      <c r="C460" t="s">
        <v>1268</v>
      </c>
      <c r="D460" t="s">
        <v>1590</v>
      </c>
      <c r="E460" t="s">
        <v>3373</v>
      </c>
      <c r="F460" t="s">
        <v>34</v>
      </c>
      <c r="G460" t="s">
        <v>35</v>
      </c>
      <c r="H460" t="s">
        <v>74</v>
      </c>
      <c r="I460" t="s">
        <v>3378</v>
      </c>
      <c r="J460">
        <v>14088.68</v>
      </c>
      <c r="K460" t="s">
        <v>57</v>
      </c>
      <c r="L460" t="s">
        <v>28</v>
      </c>
      <c r="M460" s="1">
        <v>45103.260416666664</v>
      </c>
      <c r="N460">
        <v>30</v>
      </c>
      <c r="O460" t="s">
        <v>24</v>
      </c>
      <c r="P460" t="s">
        <v>68</v>
      </c>
      <c r="Q460" t="s">
        <v>1591</v>
      </c>
      <c r="R460" t="str">
        <f t="shared" si="98"/>
        <v>Jessica Taylor</v>
      </c>
      <c r="S460" t="str">
        <f t="shared" si="99"/>
        <v>David Jackson</v>
      </c>
      <c r="T460" t="str">
        <f t="shared" si="100"/>
        <v>CAD</v>
      </c>
      <c r="U460" s="7" t="str">
        <f t="shared" si="101"/>
        <v>EUR</v>
      </c>
      <c r="V460" s="7" t="str">
        <f t="shared" si="102"/>
        <v>Brazil</v>
      </c>
      <c r="W460" s="7" t="str">
        <f t="shared" si="103"/>
        <v>UAE</v>
      </c>
      <c r="X460" s="7" t="str">
        <f t="shared" si="104"/>
        <v>Inter-Transaction</v>
      </c>
      <c r="Y460" s="7">
        <f t="shared" si="105"/>
        <v>14088.68</v>
      </c>
      <c r="Z460" s="7">
        <f t="shared" si="106"/>
        <v>30</v>
      </c>
      <c r="AA460" s="7">
        <f t="shared" si="107"/>
        <v>2023</v>
      </c>
      <c r="AB460" s="7">
        <f t="shared" si="108"/>
        <v>6</v>
      </c>
      <c r="AC460" s="7">
        <f t="shared" si="109"/>
        <v>1</v>
      </c>
      <c r="AD460" s="7" t="str">
        <f t="shared" si="110"/>
        <v>No</v>
      </c>
      <c r="AE460" s="7" t="str">
        <f t="shared" si="111"/>
        <v>Normal</v>
      </c>
    </row>
    <row r="461" spans="1:31">
      <c r="A461" t="s">
        <v>1592</v>
      </c>
      <c r="B461">
        <v>82454722</v>
      </c>
      <c r="C461" t="s">
        <v>1593</v>
      </c>
      <c r="D461" t="s">
        <v>728</v>
      </c>
      <c r="E461" t="s">
        <v>20</v>
      </c>
      <c r="F461" t="s">
        <v>80</v>
      </c>
      <c r="G461" t="s">
        <v>34</v>
      </c>
      <c r="H461" t="s">
        <v>56</v>
      </c>
      <c r="I461" t="s">
        <v>3378</v>
      </c>
      <c r="J461">
        <v>13770.75</v>
      </c>
      <c r="K461" t="s">
        <v>86</v>
      </c>
      <c r="L461" t="s">
        <v>81</v>
      </c>
      <c r="M461" s="1">
        <v>44435.177083333336</v>
      </c>
      <c r="N461">
        <v>57</v>
      </c>
      <c r="O461" t="s">
        <v>93</v>
      </c>
      <c r="P461" t="s">
        <v>62</v>
      </c>
      <c r="Q461" t="s">
        <v>1594</v>
      </c>
      <c r="R461" t="str">
        <f t="shared" si="98"/>
        <v>Karen Silva</v>
      </c>
      <c r="S461" t="str">
        <f t="shared" si="99"/>
        <v>William Smith</v>
      </c>
      <c r="T461" t="str">
        <f t="shared" si="100"/>
        <v>USD</v>
      </c>
      <c r="U461" s="7" t="str">
        <f t="shared" si="101"/>
        <v>CAD</v>
      </c>
      <c r="V461" s="7" t="str">
        <f t="shared" si="102"/>
        <v>USA</v>
      </c>
      <c r="W461" s="7" t="str">
        <f t="shared" si="103"/>
        <v>Australia</v>
      </c>
      <c r="X461" s="7" t="str">
        <f t="shared" si="104"/>
        <v>Inter-Transaction</v>
      </c>
      <c r="Y461" s="7">
        <f t="shared" si="105"/>
        <v>13770.75</v>
      </c>
      <c r="Z461" s="7">
        <f t="shared" si="106"/>
        <v>57</v>
      </c>
      <c r="AA461" s="7">
        <f t="shared" si="107"/>
        <v>2021</v>
      </c>
      <c r="AB461" s="7">
        <f t="shared" si="108"/>
        <v>8</v>
      </c>
      <c r="AC461" s="7">
        <f t="shared" si="109"/>
        <v>1</v>
      </c>
      <c r="AD461" s="7" t="str">
        <f t="shared" si="110"/>
        <v>No</v>
      </c>
      <c r="AE461" s="7" t="str">
        <f t="shared" si="111"/>
        <v>Normal</v>
      </c>
    </row>
    <row r="462" spans="1:31">
      <c r="A462" t="s">
        <v>1595</v>
      </c>
      <c r="B462">
        <v>39855629</v>
      </c>
      <c r="C462" t="s">
        <v>442</v>
      </c>
      <c r="D462" t="s">
        <v>570</v>
      </c>
      <c r="E462" t="s">
        <v>20</v>
      </c>
      <c r="F462" t="s">
        <v>53</v>
      </c>
      <c r="G462" t="s">
        <v>44</v>
      </c>
      <c r="H462" t="s">
        <v>25</v>
      </c>
      <c r="I462" t="s">
        <v>3372</v>
      </c>
      <c r="J462">
        <v>1515.58</v>
      </c>
      <c r="K462" t="s">
        <v>27</v>
      </c>
      <c r="L462" t="s">
        <v>75</v>
      </c>
      <c r="M462" s="1">
        <v>45520.034722222219</v>
      </c>
      <c r="N462">
        <v>59</v>
      </c>
      <c r="O462" t="s">
        <v>93</v>
      </c>
      <c r="P462" t="s">
        <v>37</v>
      </c>
      <c r="Q462" t="s">
        <v>1596</v>
      </c>
      <c r="R462" t="str">
        <f t="shared" si="98"/>
        <v>Fatima Williams</v>
      </c>
      <c r="S462" t="str">
        <f t="shared" si="99"/>
        <v>Richard Garcia</v>
      </c>
      <c r="T462" t="str">
        <f t="shared" si="100"/>
        <v>AED</v>
      </c>
      <c r="U462" s="7" t="str">
        <f t="shared" si="101"/>
        <v>SGD</v>
      </c>
      <c r="V462" s="7" t="str">
        <f t="shared" si="102"/>
        <v>USA</v>
      </c>
      <c r="W462" s="7" t="str">
        <f t="shared" si="103"/>
        <v>South Africa</v>
      </c>
      <c r="X462" s="7" t="str">
        <f t="shared" si="104"/>
        <v>Outer-Transaction</v>
      </c>
      <c r="Y462" s="7">
        <f t="shared" si="105"/>
        <v>1515.58</v>
      </c>
      <c r="Z462" s="7">
        <f t="shared" si="106"/>
        <v>59</v>
      </c>
      <c r="AA462" s="7">
        <f t="shared" si="107"/>
        <v>2024</v>
      </c>
      <c r="AB462" s="7">
        <f t="shared" si="108"/>
        <v>8</v>
      </c>
      <c r="AC462" s="7">
        <f t="shared" si="109"/>
        <v>1</v>
      </c>
      <c r="AD462" s="7" t="str">
        <f t="shared" si="110"/>
        <v>No</v>
      </c>
      <c r="AE462" s="7" t="str">
        <f t="shared" si="111"/>
        <v>High Risk</v>
      </c>
    </row>
    <row r="463" spans="1:31">
      <c r="A463" t="s">
        <v>1597</v>
      </c>
      <c r="B463">
        <v>39556025</v>
      </c>
      <c r="C463" t="s">
        <v>1598</v>
      </c>
      <c r="D463" t="s">
        <v>754</v>
      </c>
      <c r="E463" t="s">
        <v>20</v>
      </c>
      <c r="F463" t="s">
        <v>21</v>
      </c>
      <c r="G463" t="s">
        <v>22</v>
      </c>
      <c r="I463" t="s">
        <v>3374</v>
      </c>
      <c r="J463">
        <v>3220.69</v>
      </c>
      <c r="K463" t="s">
        <v>39</v>
      </c>
      <c r="L463" t="s">
        <v>28</v>
      </c>
      <c r="M463" s="1">
        <v>45248.193055555559</v>
      </c>
      <c r="N463">
        <v>26</v>
      </c>
      <c r="O463" t="s">
        <v>127</v>
      </c>
      <c r="P463" t="s">
        <v>68</v>
      </c>
      <c r="Q463" t="s">
        <v>1599</v>
      </c>
      <c r="R463" t="str">
        <f t="shared" si="98"/>
        <v>Marta Miller</v>
      </c>
      <c r="S463" t="str">
        <f t="shared" si="99"/>
        <v>David Thomas</v>
      </c>
      <c r="T463" t="str">
        <f t="shared" si="100"/>
        <v>GBP</v>
      </c>
      <c r="U463" s="7" t="str">
        <f t="shared" si="101"/>
        <v>BRL</v>
      </c>
      <c r="V463" s="7" t="str">
        <f t="shared" si="102"/>
        <v>Canada</v>
      </c>
      <c r="W463" s="7" t="str">
        <f t="shared" si="103"/>
        <v>UAE</v>
      </c>
      <c r="X463" s="7" t="str">
        <f t="shared" si="104"/>
        <v>External</v>
      </c>
      <c r="Y463" s="7">
        <f t="shared" si="105"/>
        <v>3220.69</v>
      </c>
      <c r="Z463" s="7">
        <f t="shared" si="106"/>
        <v>26</v>
      </c>
      <c r="AA463" s="7">
        <f t="shared" si="107"/>
        <v>2023</v>
      </c>
      <c r="AB463" s="7">
        <f t="shared" si="108"/>
        <v>11</v>
      </c>
      <c r="AC463" s="7">
        <f t="shared" si="109"/>
        <v>1</v>
      </c>
      <c r="AD463" s="7" t="str">
        <f t="shared" si="110"/>
        <v>No</v>
      </c>
      <c r="AE463" s="7" t="str">
        <f t="shared" si="111"/>
        <v>Normal</v>
      </c>
    </row>
    <row r="464" spans="1:31">
      <c r="A464" t="s">
        <v>1600</v>
      </c>
      <c r="B464">
        <v>95592608</v>
      </c>
      <c r="C464" t="s">
        <v>715</v>
      </c>
      <c r="D464" t="s">
        <v>1601</v>
      </c>
      <c r="E464">
        <v>1</v>
      </c>
      <c r="F464" t="s">
        <v>53</v>
      </c>
      <c r="G464" t="s">
        <v>121</v>
      </c>
      <c r="H464" t="s">
        <v>38</v>
      </c>
      <c r="I464" t="s">
        <v>3372</v>
      </c>
      <c r="J464">
        <v>4438.3</v>
      </c>
      <c r="K464" t="s">
        <v>47</v>
      </c>
      <c r="L464" t="s">
        <v>28</v>
      </c>
      <c r="M464" s="1">
        <v>45651.786805555559</v>
      </c>
      <c r="N464">
        <v>67</v>
      </c>
      <c r="O464" t="s">
        <v>36</v>
      </c>
      <c r="P464" t="s">
        <v>54</v>
      </c>
      <c r="Q464" t="s">
        <v>1602</v>
      </c>
      <c r="R464" t="str">
        <f t="shared" si="98"/>
        <v>Susan Thomas</v>
      </c>
      <c r="S464" t="str">
        <f t="shared" si="99"/>
        <v>Charles Velez</v>
      </c>
      <c r="T464" t="str">
        <f t="shared" si="100"/>
        <v>AED</v>
      </c>
      <c r="U464" s="7" t="str">
        <f t="shared" si="101"/>
        <v>INR</v>
      </c>
      <c r="V464" s="7" t="str">
        <f t="shared" si="102"/>
        <v>Germany</v>
      </c>
      <c r="W464" s="7" t="str">
        <f t="shared" si="103"/>
        <v>India</v>
      </c>
      <c r="X464" s="7" t="str">
        <f t="shared" si="104"/>
        <v>Outer-Transaction</v>
      </c>
      <c r="Y464" s="7">
        <f t="shared" si="105"/>
        <v>4438.3</v>
      </c>
      <c r="Z464" s="7">
        <f t="shared" si="106"/>
        <v>67</v>
      </c>
      <c r="AA464" s="7">
        <f t="shared" si="107"/>
        <v>2024</v>
      </c>
      <c r="AB464" s="7">
        <f t="shared" si="108"/>
        <v>12</v>
      </c>
      <c r="AC464" s="7">
        <f t="shared" si="109"/>
        <v>1</v>
      </c>
      <c r="AD464" s="7" t="str">
        <f t="shared" si="110"/>
        <v>No</v>
      </c>
      <c r="AE464" s="7" t="str">
        <f t="shared" si="111"/>
        <v>Normal</v>
      </c>
    </row>
    <row r="465" spans="1:31">
      <c r="A465" t="s">
        <v>1603</v>
      </c>
      <c r="B465">
        <v>63430642</v>
      </c>
      <c r="C465" t="s">
        <v>1604</v>
      </c>
      <c r="D465" t="s">
        <v>1605</v>
      </c>
      <c r="E465" t="s">
        <v>20</v>
      </c>
      <c r="F465" t="s">
        <v>44</v>
      </c>
      <c r="G465" t="s">
        <v>116</v>
      </c>
      <c r="H465" t="s">
        <v>56</v>
      </c>
      <c r="I465" t="s">
        <v>3377</v>
      </c>
      <c r="J465">
        <v>8438.24</v>
      </c>
      <c r="K465" t="s">
        <v>57</v>
      </c>
      <c r="L465" t="s">
        <v>75</v>
      </c>
      <c r="M465" s="1">
        <v>44332.177777777775</v>
      </c>
      <c r="N465">
        <v>44</v>
      </c>
      <c r="O465" t="s">
        <v>36</v>
      </c>
      <c r="P465" t="s">
        <v>36</v>
      </c>
      <c r="Q465" t="s">
        <v>1606</v>
      </c>
      <c r="R465" t="str">
        <f t="shared" si="98"/>
        <v>Elena Jones</v>
      </c>
      <c r="S465" t="str">
        <f t="shared" si="99"/>
        <v>Jean-Pierre Volkov</v>
      </c>
      <c r="T465" t="str">
        <f t="shared" si="100"/>
        <v>SGD</v>
      </c>
      <c r="U465" s="7" t="str">
        <f t="shared" si="101"/>
        <v>CHF</v>
      </c>
      <c r="V465" s="7" t="str">
        <f t="shared" si="102"/>
        <v>Germany</v>
      </c>
      <c r="W465" s="7" t="str">
        <f t="shared" si="103"/>
        <v>Germany</v>
      </c>
      <c r="X465" s="7" t="str">
        <f t="shared" si="104"/>
        <v>Inter-Transaction</v>
      </c>
      <c r="Y465" s="7">
        <f t="shared" si="105"/>
        <v>8438.24</v>
      </c>
      <c r="Z465" s="7">
        <f t="shared" si="106"/>
        <v>44</v>
      </c>
      <c r="AA465" s="7">
        <f t="shared" si="107"/>
        <v>2021</v>
      </c>
      <c r="AB465" s="7">
        <f t="shared" si="108"/>
        <v>5</v>
      </c>
      <c r="AC465" s="7">
        <f t="shared" si="109"/>
        <v>1</v>
      </c>
      <c r="AD465" s="7" t="str">
        <f t="shared" si="110"/>
        <v>No</v>
      </c>
      <c r="AE465" s="7" t="str">
        <f t="shared" si="111"/>
        <v>High Risk</v>
      </c>
    </row>
    <row r="466" spans="1:31">
      <c r="A466" t="s">
        <v>1607</v>
      </c>
      <c r="B466">
        <v>95398202</v>
      </c>
      <c r="C466" t="s">
        <v>1608</v>
      </c>
      <c r="D466" t="s">
        <v>102</v>
      </c>
      <c r="E466" t="s">
        <v>20</v>
      </c>
      <c r="F466" t="s">
        <v>116</v>
      </c>
      <c r="G466" t="s">
        <v>21</v>
      </c>
      <c r="H466" t="s">
        <v>74</v>
      </c>
      <c r="I466" t="s">
        <v>3376</v>
      </c>
      <c r="J466">
        <v>8101.11</v>
      </c>
      <c r="K466" t="s">
        <v>86</v>
      </c>
      <c r="L466" t="s">
        <v>81</v>
      </c>
      <c r="M466" s="1">
        <v>44379.879861111112</v>
      </c>
      <c r="N466">
        <v>83</v>
      </c>
      <c r="O466" t="s">
        <v>68</v>
      </c>
      <c r="P466" t="s">
        <v>54</v>
      </c>
      <c r="Q466" t="s">
        <v>1609</v>
      </c>
      <c r="R466" t="str">
        <f t="shared" si="98"/>
        <v>Amir Johnson</v>
      </c>
      <c r="S466" t="str">
        <f t="shared" si="99"/>
        <v>Barbara Anderson</v>
      </c>
      <c r="T466" t="str">
        <f t="shared" si="100"/>
        <v>CHF</v>
      </c>
      <c r="U466" s="7" t="str">
        <f t="shared" si="101"/>
        <v>GBP</v>
      </c>
      <c r="V466" s="7" t="str">
        <f t="shared" si="102"/>
        <v>UAE</v>
      </c>
      <c r="W466" s="7" t="str">
        <f t="shared" si="103"/>
        <v>India</v>
      </c>
      <c r="X466" s="7" t="str">
        <f t="shared" si="104"/>
        <v>Internal</v>
      </c>
      <c r="Y466" s="7">
        <f t="shared" si="105"/>
        <v>8101.11</v>
      </c>
      <c r="Z466" s="7">
        <f t="shared" si="106"/>
        <v>83</v>
      </c>
      <c r="AA466" s="7">
        <f t="shared" si="107"/>
        <v>2021</v>
      </c>
      <c r="AB466" s="7">
        <f t="shared" si="108"/>
        <v>7</v>
      </c>
      <c r="AC466" s="7">
        <f t="shared" si="109"/>
        <v>1</v>
      </c>
      <c r="AD466" s="7" t="str">
        <f t="shared" si="110"/>
        <v>No</v>
      </c>
      <c r="AE466" s="7" t="str">
        <f t="shared" si="111"/>
        <v>Normal</v>
      </c>
    </row>
    <row r="467" spans="1:31">
      <c r="A467" t="s">
        <v>1610</v>
      </c>
      <c r="B467">
        <v>36634140</v>
      </c>
      <c r="C467" t="s">
        <v>1247</v>
      </c>
      <c r="D467" t="s">
        <v>678</v>
      </c>
      <c r="E467" t="s">
        <v>3373</v>
      </c>
      <c r="F467" t="s">
        <v>121</v>
      </c>
      <c r="G467" t="s">
        <v>53</v>
      </c>
      <c r="H467" t="s">
        <v>25</v>
      </c>
      <c r="I467" t="s">
        <v>3377</v>
      </c>
      <c r="J467">
        <v>12683.77</v>
      </c>
      <c r="K467" t="s">
        <v>27</v>
      </c>
      <c r="L467" t="s">
        <v>28</v>
      </c>
      <c r="M467" s="1">
        <v>45196.000694444447</v>
      </c>
      <c r="N467">
        <v>22</v>
      </c>
      <c r="O467" t="s">
        <v>23</v>
      </c>
      <c r="P467" t="s">
        <v>55</v>
      </c>
      <c r="Q467" t="s">
        <v>1611</v>
      </c>
      <c r="R467" t="str">
        <f t="shared" si="98"/>
        <v>Linda Khan</v>
      </c>
      <c r="S467" t="str">
        <f t="shared" si="99"/>
        <v>Karen Gonzalez</v>
      </c>
      <c r="T467" t="str">
        <f t="shared" si="100"/>
        <v>INR</v>
      </c>
      <c r="U467" s="7" t="str">
        <f t="shared" si="101"/>
        <v>AED</v>
      </c>
      <c r="V467" s="7" t="str">
        <f t="shared" si="102"/>
        <v>France</v>
      </c>
      <c r="W467" s="7" t="str">
        <f t="shared" si="103"/>
        <v>UK</v>
      </c>
      <c r="X467" s="7" t="str">
        <f t="shared" si="104"/>
        <v>Inter-Transaction</v>
      </c>
      <c r="Y467" s="7">
        <f t="shared" si="105"/>
        <v>12683.77</v>
      </c>
      <c r="Z467" s="7">
        <f t="shared" si="106"/>
        <v>22</v>
      </c>
      <c r="AA467" s="7">
        <f t="shared" si="107"/>
        <v>2023</v>
      </c>
      <c r="AB467" s="7">
        <f t="shared" si="108"/>
        <v>9</v>
      </c>
      <c r="AC467" s="7">
        <f t="shared" si="109"/>
        <v>1</v>
      </c>
      <c r="AD467" s="7" t="str">
        <f t="shared" si="110"/>
        <v>No</v>
      </c>
      <c r="AE467" s="7" t="str">
        <f t="shared" si="111"/>
        <v>Normal</v>
      </c>
    </row>
    <row r="468" spans="1:31">
      <c r="A468" t="s">
        <v>1612</v>
      </c>
      <c r="B468">
        <v>46568726</v>
      </c>
      <c r="C468" t="s">
        <v>146</v>
      </c>
      <c r="D468" t="s">
        <v>120</v>
      </c>
      <c r="E468" t="s">
        <v>20</v>
      </c>
      <c r="F468" t="s">
        <v>92</v>
      </c>
      <c r="G468" t="s">
        <v>21</v>
      </c>
      <c r="I468" t="s">
        <v>3374</v>
      </c>
      <c r="J468">
        <v>6236.55</v>
      </c>
      <c r="K468" t="s">
        <v>86</v>
      </c>
      <c r="L468" t="s">
        <v>48</v>
      </c>
      <c r="M468" s="1">
        <v>44669.59652777778</v>
      </c>
      <c r="N468">
        <v>46</v>
      </c>
      <c r="O468" t="s">
        <v>55</v>
      </c>
      <c r="P468" t="s">
        <v>24</v>
      </c>
      <c r="Q468" t="s">
        <v>1613</v>
      </c>
      <c r="R468" t="str">
        <f t="shared" si="98"/>
        <v>Fatima Brown</v>
      </c>
      <c r="S468" t="str">
        <f t="shared" si="99"/>
        <v>Amir Silva</v>
      </c>
      <c r="T468" t="str">
        <f t="shared" si="100"/>
        <v>AUD</v>
      </c>
      <c r="U468" s="7" t="str">
        <f t="shared" si="101"/>
        <v>GBP</v>
      </c>
      <c r="V468" s="7" t="str">
        <f t="shared" si="102"/>
        <v>UK</v>
      </c>
      <c r="W468" s="7" t="str">
        <f t="shared" si="103"/>
        <v>Brazil</v>
      </c>
      <c r="X468" s="7" t="str">
        <f t="shared" si="104"/>
        <v>External</v>
      </c>
      <c r="Y468" s="7">
        <f t="shared" si="105"/>
        <v>6236.55</v>
      </c>
      <c r="Z468" s="7">
        <f t="shared" si="106"/>
        <v>46</v>
      </c>
      <c r="AA468" s="7">
        <f t="shared" si="107"/>
        <v>2022</v>
      </c>
      <c r="AB468" s="7">
        <f t="shared" si="108"/>
        <v>4</v>
      </c>
      <c r="AC468" s="7">
        <f t="shared" si="109"/>
        <v>1</v>
      </c>
      <c r="AD468" s="7" t="str">
        <f t="shared" si="110"/>
        <v>No</v>
      </c>
      <c r="AE468" s="7" t="str">
        <f t="shared" si="111"/>
        <v>Normal</v>
      </c>
    </row>
    <row r="469" spans="1:31">
      <c r="A469" t="s">
        <v>1614</v>
      </c>
      <c r="B469">
        <v>13144983</v>
      </c>
      <c r="C469" t="s">
        <v>592</v>
      </c>
      <c r="D469" t="s">
        <v>1615</v>
      </c>
      <c r="E469" t="s">
        <v>20</v>
      </c>
      <c r="F469" t="s">
        <v>45</v>
      </c>
      <c r="G469" t="s">
        <v>116</v>
      </c>
      <c r="H469" t="s">
        <v>56</v>
      </c>
      <c r="I469" t="s">
        <v>3378</v>
      </c>
      <c r="J469">
        <v>13615.91</v>
      </c>
      <c r="K469" t="s">
        <v>27</v>
      </c>
      <c r="L469" t="s">
        <v>48</v>
      </c>
      <c r="M469" s="1">
        <v>45261.737500000003</v>
      </c>
      <c r="N469">
        <v>54</v>
      </c>
      <c r="O469" t="s">
        <v>55</v>
      </c>
      <c r="P469" t="s">
        <v>127</v>
      </c>
      <c r="Q469" t="s">
        <v>1616</v>
      </c>
      <c r="R469" t="str">
        <f t="shared" si="98"/>
        <v>Barbara Rodriguez</v>
      </c>
      <c r="S469" t="str">
        <f t="shared" si="99"/>
        <v>Thomas Miller</v>
      </c>
      <c r="T469" t="str">
        <f t="shared" si="100"/>
        <v>ZAR</v>
      </c>
      <c r="U469" s="7" t="str">
        <f t="shared" si="101"/>
        <v>CHF</v>
      </c>
      <c r="V469" s="7" t="str">
        <f t="shared" si="102"/>
        <v>UK</v>
      </c>
      <c r="W469" s="7" t="str">
        <f t="shared" si="103"/>
        <v>Canada</v>
      </c>
      <c r="X469" s="7" t="str">
        <f t="shared" si="104"/>
        <v>Inter-Transaction</v>
      </c>
      <c r="Y469" s="7">
        <f t="shared" si="105"/>
        <v>13615.91</v>
      </c>
      <c r="Z469" s="7">
        <f t="shared" si="106"/>
        <v>54</v>
      </c>
      <c r="AA469" s="7">
        <f t="shared" si="107"/>
        <v>2023</v>
      </c>
      <c r="AB469" s="7">
        <f t="shared" si="108"/>
        <v>12</v>
      </c>
      <c r="AC469" s="7">
        <f t="shared" si="109"/>
        <v>1</v>
      </c>
      <c r="AD469" s="7" t="str">
        <f t="shared" si="110"/>
        <v>No</v>
      </c>
      <c r="AE469" s="7" t="str">
        <f t="shared" si="111"/>
        <v>Normal</v>
      </c>
    </row>
    <row r="470" spans="1:31">
      <c r="A470" t="s">
        <v>1617</v>
      </c>
      <c r="B470">
        <v>13340930</v>
      </c>
      <c r="C470" t="s">
        <v>1618</v>
      </c>
      <c r="D470" t="s">
        <v>1619</v>
      </c>
      <c r="E470" t="s">
        <v>20</v>
      </c>
      <c r="F470" t="s">
        <v>116</v>
      </c>
      <c r="G470" t="s">
        <v>35</v>
      </c>
      <c r="H470" t="s">
        <v>74</v>
      </c>
      <c r="I470" t="s">
        <v>3371</v>
      </c>
      <c r="J470">
        <v>12973.77</v>
      </c>
      <c r="K470" t="s">
        <v>39</v>
      </c>
      <c r="L470" t="s">
        <v>48</v>
      </c>
      <c r="M470" s="1">
        <v>45279.390972222223</v>
      </c>
      <c r="N470">
        <v>55</v>
      </c>
      <c r="O470" t="s">
        <v>54</v>
      </c>
      <c r="P470" t="s">
        <v>62</v>
      </c>
      <c r="Q470" t="s">
        <v>1620</v>
      </c>
      <c r="R470" t="str">
        <f t="shared" si="98"/>
        <v>Joseph Dubois</v>
      </c>
      <c r="S470" t="str">
        <f t="shared" si="99"/>
        <v>Elizabeth Anderson</v>
      </c>
      <c r="T470" t="str">
        <f t="shared" si="100"/>
        <v>CHF</v>
      </c>
      <c r="U470" s="7" t="str">
        <f t="shared" si="101"/>
        <v>EUR</v>
      </c>
      <c r="V470" s="7" t="str">
        <f t="shared" si="102"/>
        <v>India</v>
      </c>
      <c r="W470" s="7" t="str">
        <f t="shared" si="103"/>
        <v>Australia</v>
      </c>
      <c r="X470" s="7" t="str">
        <f t="shared" si="104"/>
        <v>Outer-Transaction</v>
      </c>
      <c r="Y470" s="7">
        <f t="shared" si="105"/>
        <v>12973.77</v>
      </c>
      <c r="Z470" s="7">
        <f t="shared" si="106"/>
        <v>55</v>
      </c>
      <c r="AA470" s="7">
        <f t="shared" si="107"/>
        <v>2023</v>
      </c>
      <c r="AB470" s="7">
        <f t="shared" si="108"/>
        <v>12</v>
      </c>
      <c r="AC470" s="7">
        <f t="shared" si="109"/>
        <v>1</v>
      </c>
      <c r="AD470" s="7" t="str">
        <f t="shared" si="110"/>
        <v>No</v>
      </c>
      <c r="AE470" s="7" t="str">
        <f t="shared" si="111"/>
        <v>Normal</v>
      </c>
    </row>
    <row r="471" spans="1:31">
      <c r="A471" t="s">
        <v>1621</v>
      </c>
      <c r="B471">
        <v>43826068</v>
      </c>
      <c r="C471" t="s">
        <v>1622</v>
      </c>
      <c r="D471" t="s">
        <v>1623</v>
      </c>
      <c r="E471" t="s">
        <v>3375</v>
      </c>
      <c r="F471" t="s">
        <v>80</v>
      </c>
      <c r="G471" t="s">
        <v>34</v>
      </c>
      <c r="H471" t="s">
        <v>38</v>
      </c>
      <c r="I471" t="s">
        <v>3372</v>
      </c>
      <c r="J471">
        <v>8188.38</v>
      </c>
      <c r="K471" t="s">
        <v>57</v>
      </c>
      <c r="L471" t="s">
        <v>48</v>
      </c>
      <c r="M471" s="1">
        <v>44678.960416666669</v>
      </c>
      <c r="N471">
        <v>25</v>
      </c>
      <c r="O471" t="s">
        <v>68</v>
      </c>
      <c r="P471" t="s">
        <v>68</v>
      </c>
      <c r="Q471" t="s">
        <v>1624</v>
      </c>
      <c r="R471" t="str">
        <f t="shared" si="98"/>
        <v>Jessica Martinez</v>
      </c>
      <c r="S471" t="str">
        <f t="shared" si="99"/>
        <v>Fatima Hernandez</v>
      </c>
      <c r="T471" t="str">
        <f t="shared" si="100"/>
        <v>USD</v>
      </c>
      <c r="U471" s="7" t="str">
        <f t="shared" si="101"/>
        <v>CAD</v>
      </c>
      <c r="V471" s="7" t="str">
        <f t="shared" si="102"/>
        <v>UAE</v>
      </c>
      <c r="W471" s="7" t="str">
        <f t="shared" si="103"/>
        <v>UAE</v>
      </c>
      <c r="X471" s="7" t="str">
        <f t="shared" si="104"/>
        <v>Outer-Transaction</v>
      </c>
      <c r="Y471" s="7">
        <f t="shared" si="105"/>
        <v>8188.38</v>
      </c>
      <c r="Z471" s="7">
        <f t="shared" si="106"/>
        <v>25</v>
      </c>
      <c r="AA471" s="7">
        <f t="shared" si="107"/>
        <v>2022</v>
      </c>
      <c r="AB471" s="7">
        <f t="shared" si="108"/>
        <v>4</v>
      </c>
      <c r="AC471" s="7">
        <f t="shared" si="109"/>
        <v>1</v>
      </c>
      <c r="AD471" s="7" t="str">
        <f t="shared" si="110"/>
        <v>No</v>
      </c>
      <c r="AE471" s="7" t="str">
        <f t="shared" si="111"/>
        <v>Normal</v>
      </c>
    </row>
    <row r="472" spans="1:31">
      <c r="A472" t="s">
        <v>1625</v>
      </c>
      <c r="B472">
        <v>20402470</v>
      </c>
      <c r="C472" t="s">
        <v>1626</v>
      </c>
      <c r="D472" t="s">
        <v>1627</v>
      </c>
      <c r="E472" t="s">
        <v>20</v>
      </c>
      <c r="F472" t="s">
        <v>22</v>
      </c>
      <c r="G472" t="s">
        <v>35</v>
      </c>
      <c r="H472" t="s">
        <v>74</v>
      </c>
      <c r="I472" t="s">
        <v>3374</v>
      </c>
      <c r="J472">
        <v>12049.27</v>
      </c>
      <c r="K472" t="s">
        <v>39</v>
      </c>
      <c r="L472" t="s">
        <v>48</v>
      </c>
      <c r="M472" s="1">
        <v>44444.168749999997</v>
      </c>
      <c r="N472">
        <v>82</v>
      </c>
      <c r="O472" t="s">
        <v>93</v>
      </c>
      <c r="P472" t="s">
        <v>36</v>
      </c>
      <c r="Q472" t="s">
        <v>1628</v>
      </c>
      <c r="R472" t="str">
        <f t="shared" si="98"/>
        <v>JOSEPH JONES</v>
      </c>
      <c r="S472" t="str">
        <f t="shared" si="99"/>
        <v>Jean-Pierre Smith</v>
      </c>
      <c r="T472" t="str">
        <f t="shared" si="100"/>
        <v>BRL</v>
      </c>
      <c r="U472" s="7" t="str">
        <f t="shared" si="101"/>
        <v>EUR</v>
      </c>
      <c r="V472" s="7" t="str">
        <f t="shared" si="102"/>
        <v>USA</v>
      </c>
      <c r="W472" s="7" t="str">
        <f t="shared" si="103"/>
        <v>Germany</v>
      </c>
      <c r="X472" s="7" t="str">
        <f t="shared" si="104"/>
        <v>External</v>
      </c>
      <c r="Y472" s="7">
        <f t="shared" si="105"/>
        <v>12049.27</v>
      </c>
      <c r="Z472" s="7">
        <f t="shared" si="106"/>
        <v>82</v>
      </c>
      <c r="AA472" s="7">
        <f t="shared" si="107"/>
        <v>2021</v>
      </c>
      <c r="AB472" s="7">
        <f t="shared" si="108"/>
        <v>9</v>
      </c>
      <c r="AC472" s="7">
        <f t="shared" si="109"/>
        <v>1</v>
      </c>
      <c r="AD472" s="7" t="str">
        <f t="shared" si="110"/>
        <v>No</v>
      </c>
      <c r="AE472" s="7" t="str">
        <f t="shared" si="111"/>
        <v>Normal</v>
      </c>
    </row>
    <row r="473" spans="1:31">
      <c r="A473" t="s">
        <v>1629</v>
      </c>
      <c r="B473">
        <v>92557389</v>
      </c>
      <c r="D473" t="s">
        <v>1575</v>
      </c>
      <c r="E473" t="s">
        <v>20</v>
      </c>
      <c r="F473" t="s">
        <v>53</v>
      </c>
      <c r="G473" t="s">
        <v>98</v>
      </c>
      <c r="H473" t="s">
        <v>56</v>
      </c>
      <c r="I473" t="s">
        <v>3372</v>
      </c>
      <c r="J473">
        <v>3167.15</v>
      </c>
      <c r="K473" t="s">
        <v>57</v>
      </c>
      <c r="L473" t="s">
        <v>48</v>
      </c>
      <c r="M473" s="1">
        <v>44242.51666666667</v>
      </c>
      <c r="N473">
        <v>34</v>
      </c>
      <c r="O473" t="s">
        <v>68</v>
      </c>
      <c r="P473" t="s">
        <v>54</v>
      </c>
      <c r="Q473" t="s">
        <v>1630</v>
      </c>
      <c r="R473" t="str">
        <f t="shared" si="98"/>
        <v/>
      </c>
      <c r="S473" t="str">
        <f t="shared" si="99"/>
        <v>Christopher Nair</v>
      </c>
      <c r="T473" t="str">
        <f t="shared" si="100"/>
        <v>AED</v>
      </c>
      <c r="U473" s="7" t="str">
        <f t="shared" si="101"/>
        <v>JPY</v>
      </c>
      <c r="V473" s="7" t="str">
        <f t="shared" si="102"/>
        <v>UAE</v>
      </c>
      <c r="W473" s="7" t="str">
        <f t="shared" si="103"/>
        <v>India</v>
      </c>
      <c r="X473" s="7" t="str">
        <f t="shared" si="104"/>
        <v>Outer-Transaction</v>
      </c>
      <c r="Y473" s="7">
        <f t="shared" si="105"/>
        <v>3167.15</v>
      </c>
      <c r="Z473" s="7">
        <f t="shared" si="106"/>
        <v>34</v>
      </c>
      <c r="AA473" s="7">
        <f t="shared" si="107"/>
        <v>2021</v>
      </c>
      <c r="AB473" s="7">
        <f t="shared" si="108"/>
        <v>2</v>
      </c>
      <c r="AC473" s="7">
        <f t="shared" si="109"/>
        <v>1</v>
      </c>
      <c r="AD473" s="7" t="str">
        <f t="shared" si="110"/>
        <v>No</v>
      </c>
      <c r="AE473" s="7" t="str">
        <f t="shared" si="111"/>
        <v>Normal</v>
      </c>
    </row>
    <row r="474" spans="1:31">
      <c r="A474" t="s">
        <v>1631</v>
      </c>
      <c r="B474">
        <v>51854524</v>
      </c>
      <c r="C474" t="s">
        <v>1632</v>
      </c>
      <c r="D474" t="s">
        <v>1633</v>
      </c>
      <c r="E474" t="s">
        <v>20</v>
      </c>
      <c r="F474" t="s">
        <v>44</v>
      </c>
      <c r="G474" t="s">
        <v>34</v>
      </c>
      <c r="H474" t="s">
        <v>74</v>
      </c>
      <c r="I474" t="s">
        <v>3378</v>
      </c>
      <c r="J474">
        <v>9436.0400000000009</v>
      </c>
      <c r="K474" t="s">
        <v>47</v>
      </c>
      <c r="L474" t="s">
        <v>75</v>
      </c>
      <c r="M474" s="1">
        <v>46310.511805555558</v>
      </c>
      <c r="N474">
        <v>62</v>
      </c>
      <c r="O474" t="s">
        <v>68</v>
      </c>
      <c r="P474" t="s">
        <v>23</v>
      </c>
      <c r="Q474" t="s">
        <v>1634</v>
      </c>
      <c r="R474" t="str">
        <f t="shared" si="98"/>
        <v>ELENA MILLER</v>
      </c>
      <c r="S474" t="str">
        <f t="shared" si="99"/>
        <v>William Rostova</v>
      </c>
      <c r="T474" t="str">
        <f t="shared" si="100"/>
        <v>SGD</v>
      </c>
      <c r="U474" s="7" t="str">
        <f t="shared" si="101"/>
        <v>CAD</v>
      </c>
      <c r="V474" s="7" t="str">
        <f t="shared" si="102"/>
        <v>UAE</v>
      </c>
      <c r="W474" s="7" t="str">
        <f t="shared" si="103"/>
        <v>France</v>
      </c>
      <c r="X474" s="7" t="str">
        <f t="shared" si="104"/>
        <v>Inter-Transaction</v>
      </c>
      <c r="Y474" s="7">
        <f t="shared" si="105"/>
        <v>9436.0400000000009</v>
      </c>
      <c r="Z474" s="7">
        <f t="shared" si="106"/>
        <v>62</v>
      </c>
      <c r="AA474" s="7">
        <f t="shared" si="107"/>
        <v>2026</v>
      </c>
      <c r="AB474" s="7">
        <f t="shared" si="108"/>
        <v>10</v>
      </c>
      <c r="AC474" s="7">
        <f t="shared" si="109"/>
        <v>1</v>
      </c>
      <c r="AD474" s="7" t="str">
        <f t="shared" si="110"/>
        <v>No</v>
      </c>
      <c r="AE474" s="7" t="str">
        <f t="shared" si="111"/>
        <v>High Risk</v>
      </c>
    </row>
    <row r="475" spans="1:31">
      <c r="A475" t="s">
        <v>1635</v>
      </c>
      <c r="C475" t="s">
        <v>289</v>
      </c>
      <c r="D475" t="s">
        <v>970</v>
      </c>
      <c r="E475" t="s">
        <v>33</v>
      </c>
      <c r="F475" t="s">
        <v>53</v>
      </c>
      <c r="G475" t="s">
        <v>21</v>
      </c>
      <c r="H475" t="s">
        <v>103</v>
      </c>
      <c r="I475" t="s">
        <v>3376</v>
      </c>
      <c r="J475">
        <v>11581.96</v>
      </c>
      <c r="K475" t="s">
        <v>27</v>
      </c>
      <c r="L475" t="s">
        <v>75</v>
      </c>
      <c r="M475" s="1">
        <v>44508.959027777775</v>
      </c>
      <c r="N475">
        <v>21</v>
      </c>
      <c r="O475" t="s">
        <v>68</v>
      </c>
      <c r="P475" t="s">
        <v>55</v>
      </c>
      <c r="Q475" t="s">
        <v>1636</v>
      </c>
      <c r="R475" t="str">
        <f t="shared" si="98"/>
        <v>Robert Jackson</v>
      </c>
      <c r="S475" t="str">
        <f t="shared" si="99"/>
        <v>Michael Brown</v>
      </c>
      <c r="T475" t="str">
        <f t="shared" si="100"/>
        <v>AED</v>
      </c>
      <c r="U475" s="7" t="str">
        <f t="shared" si="101"/>
        <v>GBP</v>
      </c>
      <c r="V475" s="7" t="str">
        <f t="shared" si="102"/>
        <v>UAE</v>
      </c>
      <c r="W475" s="7" t="str">
        <f t="shared" si="103"/>
        <v>UK</v>
      </c>
      <c r="X475" s="7" t="str">
        <f t="shared" si="104"/>
        <v>Internal</v>
      </c>
      <c r="Y475" s="7">
        <f t="shared" si="105"/>
        <v>11581.96</v>
      </c>
      <c r="Z475" s="7">
        <f t="shared" si="106"/>
        <v>21</v>
      </c>
      <c r="AA475" s="7">
        <f t="shared" si="107"/>
        <v>2021</v>
      </c>
      <c r="AB475" s="7">
        <f t="shared" si="108"/>
        <v>11</v>
      </c>
      <c r="AC475" s="7">
        <f t="shared" si="109"/>
        <v>1</v>
      </c>
      <c r="AD475" s="7" t="str">
        <f t="shared" si="110"/>
        <v>No</v>
      </c>
      <c r="AE475" s="7" t="str">
        <f t="shared" si="111"/>
        <v>High Risk</v>
      </c>
    </row>
    <row r="476" spans="1:31">
      <c r="A476" t="s">
        <v>1637</v>
      </c>
      <c r="B476">
        <v>73815697</v>
      </c>
      <c r="C476" t="s">
        <v>1638</v>
      </c>
      <c r="D476" t="s">
        <v>1319</v>
      </c>
      <c r="E476" t="s">
        <v>3373</v>
      </c>
      <c r="F476" t="s">
        <v>80</v>
      </c>
      <c r="G476" t="s">
        <v>21</v>
      </c>
      <c r="H476" t="s">
        <v>25</v>
      </c>
      <c r="I476" t="s">
        <v>3371</v>
      </c>
      <c r="J476">
        <v>8406.58</v>
      </c>
      <c r="K476" t="s">
        <v>39</v>
      </c>
      <c r="L476" t="s">
        <v>81</v>
      </c>
      <c r="M476" s="1">
        <v>43989.647222222222</v>
      </c>
      <c r="N476">
        <v>53</v>
      </c>
      <c r="O476" t="s">
        <v>36</v>
      </c>
      <c r="P476" t="s">
        <v>127</v>
      </c>
      <c r="Q476" t="s">
        <v>1639</v>
      </c>
      <c r="R476" t="str">
        <f t="shared" si="98"/>
        <v>Zayn Smith</v>
      </c>
      <c r="S476" t="str">
        <f t="shared" si="99"/>
        <v>Richard Williams</v>
      </c>
      <c r="T476" t="str">
        <f t="shared" si="100"/>
        <v>USD</v>
      </c>
      <c r="U476" s="7" t="str">
        <f t="shared" si="101"/>
        <v>GBP</v>
      </c>
      <c r="V476" s="7" t="str">
        <f t="shared" si="102"/>
        <v>Germany</v>
      </c>
      <c r="W476" s="7" t="str">
        <f t="shared" si="103"/>
        <v>Canada</v>
      </c>
      <c r="X476" s="7" t="str">
        <f t="shared" si="104"/>
        <v>Outer-Transaction</v>
      </c>
      <c r="Y476" s="7">
        <f t="shared" si="105"/>
        <v>8406.58</v>
      </c>
      <c r="Z476" s="7">
        <f t="shared" si="106"/>
        <v>53</v>
      </c>
      <c r="AA476" s="7">
        <f t="shared" si="107"/>
        <v>2020</v>
      </c>
      <c r="AB476" s="7">
        <f t="shared" si="108"/>
        <v>6</v>
      </c>
      <c r="AC476" s="7">
        <f t="shared" si="109"/>
        <v>1</v>
      </c>
      <c r="AD476" s="7" t="str">
        <f t="shared" si="110"/>
        <v>No</v>
      </c>
      <c r="AE476" s="7" t="str">
        <f t="shared" si="111"/>
        <v>Normal</v>
      </c>
    </row>
    <row r="477" spans="1:31">
      <c r="A477" t="s">
        <v>1640</v>
      </c>
      <c r="B477">
        <v>95063153</v>
      </c>
      <c r="C477" t="s">
        <v>1641</v>
      </c>
      <c r="D477" t="s">
        <v>1604</v>
      </c>
      <c r="E477" t="s">
        <v>3375</v>
      </c>
      <c r="F477" t="s">
        <v>98</v>
      </c>
      <c r="G477" t="s">
        <v>44</v>
      </c>
      <c r="H477" t="s">
        <v>103</v>
      </c>
      <c r="I477" t="s">
        <v>3371</v>
      </c>
      <c r="J477">
        <v>389.18</v>
      </c>
      <c r="K477" t="s">
        <v>57</v>
      </c>
      <c r="L477" t="s">
        <v>81</v>
      </c>
      <c r="M477" s="1">
        <v>45892.755555555559</v>
      </c>
      <c r="N477">
        <v>48</v>
      </c>
      <c r="O477" t="s">
        <v>68</v>
      </c>
      <c r="P477" t="s">
        <v>127</v>
      </c>
      <c r="Q477" t="s">
        <v>1642</v>
      </c>
      <c r="R477" t="str">
        <f t="shared" si="98"/>
        <v>Amir Rodriguez</v>
      </c>
      <c r="S477" t="str">
        <f t="shared" si="99"/>
        <v>Elena Jones</v>
      </c>
      <c r="T477" t="str">
        <f t="shared" si="100"/>
        <v>JPY</v>
      </c>
      <c r="U477" s="7" t="str">
        <f t="shared" si="101"/>
        <v>SGD</v>
      </c>
      <c r="V477" s="7" t="str">
        <f t="shared" si="102"/>
        <v>UAE</v>
      </c>
      <c r="W477" s="7" t="str">
        <f t="shared" si="103"/>
        <v>Canada</v>
      </c>
      <c r="X477" s="7" t="str">
        <f t="shared" si="104"/>
        <v>Outer-Transaction</v>
      </c>
      <c r="Y477" s="7">
        <f t="shared" si="105"/>
        <v>389.18</v>
      </c>
      <c r="Z477" s="7">
        <f t="shared" si="106"/>
        <v>48</v>
      </c>
      <c r="AA477" s="7">
        <f t="shared" si="107"/>
        <v>2025</v>
      </c>
      <c r="AB477" s="7">
        <f t="shared" si="108"/>
        <v>8</v>
      </c>
      <c r="AC477" s="7">
        <f t="shared" si="109"/>
        <v>1</v>
      </c>
      <c r="AD477" s="7" t="str">
        <f t="shared" si="110"/>
        <v>No</v>
      </c>
      <c r="AE477" s="7" t="str">
        <f t="shared" si="111"/>
        <v>Normal</v>
      </c>
    </row>
    <row r="478" spans="1:31">
      <c r="A478" t="s">
        <v>1643</v>
      </c>
      <c r="B478">
        <v>11432428</v>
      </c>
      <c r="C478" t="s">
        <v>742</v>
      </c>
      <c r="D478" t="s">
        <v>1644</v>
      </c>
      <c r="E478" t="s">
        <v>20</v>
      </c>
      <c r="F478" t="s">
        <v>116</v>
      </c>
      <c r="G478" t="s">
        <v>53</v>
      </c>
      <c r="H478" t="s">
        <v>103</v>
      </c>
      <c r="I478" t="s">
        <v>3377</v>
      </c>
      <c r="J478">
        <v>9711.7999999999993</v>
      </c>
      <c r="K478" t="s">
        <v>39</v>
      </c>
      <c r="L478" t="s">
        <v>81</v>
      </c>
      <c r="M478" s="1">
        <v>44203.12222222222</v>
      </c>
      <c r="N478">
        <v>36</v>
      </c>
      <c r="O478" t="s">
        <v>24</v>
      </c>
      <c r="P478" t="s">
        <v>68</v>
      </c>
      <c r="Q478" t="s">
        <v>1645</v>
      </c>
      <c r="R478" t="str">
        <f t="shared" si="98"/>
        <v>William Anderson</v>
      </c>
      <c r="S478" t="str">
        <f t="shared" si="99"/>
        <v xml:space="preserve"> Susan Taylor   </v>
      </c>
      <c r="T478" t="str">
        <f t="shared" si="100"/>
        <v>CHF</v>
      </c>
      <c r="U478" s="7" t="str">
        <f t="shared" si="101"/>
        <v>AED</v>
      </c>
      <c r="V478" s="7" t="str">
        <f t="shared" si="102"/>
        <v>Brazil</v>
      </c>
      <c r="W478" s="7" t="str">
        <f t="shared" si="103"/>
        <v>UAE</v>
      </c>
      <c r="X478" s="7" t="str">
        <f t="shared" si="104"/>
        <v>Inter-Transaction</v>
      </c>
      <c r="Y478" s="7">
        <f t="shared" si="105"/>
        <v>9711.7999999999993</v>
      </c>
      <c r="Z478" s="7">
        <f t="shared" si="106"/>
        <v>36</v>
      </c>
      <c r="AA478" s="7">
        <f t="shared" si="107"/>
        <v>2021</v>
      </c>
      <c r="AB478" s="7">
        <f t="shared" si="108"/>
        <v>1</v>
      </c>
      <c r="AC478" s="7">
        <f t="shared" si="109"/>
        <v>1</v>
      </c>
      <c r="AD478" s="7" t="str">
        <f t="shared" si="110"/>
        <v>No</v>
      </c>
      <c r="AE478" s="7" t="str">
        <f t="shared" si="111"/>
        <v>Normal</v>
      </c>
    </row>
    <row r="479" spans="1:31">
      <c r="A479" t="s">
        <v>1646</v>
      </c>
      <c r="B479">
        <v>91543479</v>
      </c>
      <c r="C479" t="s">
        <v>1079</v>
      </c>
      <c r="D479" t="s">
        <v>731</v>
      </c>
      <c r="E479" t="s">
        <v>20</v>
      </c>
      <c r="F479" t="s">
        <v>45</v>
      </c>
      <c r="G479" t="s">
        <v>294</v>
      </c>
      <c r="I479" t="s">
        <v>3371</v>
      </c>
      <c r="J479">
        <v>13064.99</v>
      </c>
      <c r="K479" t="s">
        <v>47</v>
      </c>
      <c r="L479" t="s">
        <v>28</v>
      </c>
      <c r="M479" s="1">
        <v>46103.256249999999</v>
      </c>
      <c r="N479">
        <v>78</v>
      </c>
      <c r="O479" t="s">
        <v>55</v>
      </c>
      <c r="P479" t="s">
        <v>62</v>
      </c>
      <c r="Q479" t="s">
        <v>1647</v>
      </c>
      <c r="R479" t="str">
        <f t="shared" si="98"/>
        <v>Sanjay Anderson</v>
      </c>
      <c r="S479" t="str">
        <f t="shared" si="99"/>
        <v>Sarah Garcia</v>
      </c>
      <c r="T479" t="str">
        <f t="shared" si="100"/>
        <v>ZAR</v>
      </c>
      <c r="U479" s="7" t="str">
        <f t="shared" si="101"/>
        <v>jpy</v>
      </c>
      <c r="V479" s="7" t="str">
        <f t="shared" si="102"/>
        <v>UK</v>
      </c>
      <c r="W479" s="7" t="str">
        <f t="shared" si="103"/>
        <v>Australia</v>
      </c>
      <c r="X479" s="7" t="str">
        <f t="shared" si="104"/>
        <v>Outer-Transaction</v>
      </c>
      <c r="Y479" s="7">
        <f t="shared" si="105"/>
        <v>13064.99</v>
      </c>
      <c r="Z479" s="7">
        <f t="shared" si="106"/>
        <v>78</v>
      </c>
      <c r="AA479" s="7">
        <f t="shared" si="107"/>
        <v>2026</v>
      </c>
      <c r="AB479" s="7">
        <f t="shared" si="108"/>
        <v>3</v>
      </c>
      <c r="AC479" s="7">
        <f t="shared" si="109"/>
        <v>1</v>
      </c>
      <c r="AD479" s="7" t="str">
        <f t="shared" si="110"/>
        <v>No</v>
      </c>
      <c r="AE479" s="7" t="str">
        <f t="shared" si="111"/>
        <v>Normal</v>
      </c>
    </row>
    <row r="480" spans="1:31">
      <c r="A480" t="s">
        <v>1648</v>
      </c>
      <c r="B480">
        <v>97926734</v>
      </c>
      <c r="C480" t="s">
        <v>1269</v>
      </c>
      <c r="D480" t="s">
        <v>1649</v>
      </c>
      <c r="E480" t="s">
        <v>3375</v>
      </c>
      <c r="F480" t="s">
        <v>34</v>
      </c>
      <c r="G480" t="s">
        <v>22</v>
      </c>
      <c r="I480" t="s">
        <v>3372</v>
      </c>
      <c r="J480">
        <v>6251.52</v>
      </c>
      <c r="K480" t="s">
        <v>86</v>
      </c>
      <c r="L480" t="s">
        <v>28</v>
      </c>
      <c r="M480" s="1">
        <v>44927.02847222222</v>
      </c>
      <c r="N480">
        <v>71</v>
      </c>
      <c r="O480" t="s">
        <v>54</v>
      </c>
      <c r="P480" t="s">
        <v>37</v>
      </c>
      <c r="Q480" t="s">
        <v>1650</v>
      </c>
      <c r="R480" t="str">
        <f t="shared" si="98"/>
        <v>Nancy Al-Sayed</v>
      </c>
      <c r="S480" t="str">
        <f t="shared" si="99"/>
        <v xml:space="preserve"> John Hernandez   </v>
      </c>
      <c r="T480" t="str">
        <f t="shared" si="100"/>
        <v>CAD</v>
      </c>
      <c r="U480" s="7" t="str">
        <f t="shared" si="101"/>
        <v>BRL</v>
      </c>
      <c r="V480" s="7" t="str">
        <f t="shared" si="102"/>
        <v>India</v>
      </c>
      <c r="W480" s="7" t="str">
        <f t="shared" si="103"/>
        <v>South Africa</v>
      </c>
      <c r="X480" s="7" t="str">
        <f t="shared" si="104"/>
        <v>Outer-Transaction</v>
      </c>
      <c r="Y480" s="7">
        <f t="shared" si="105"/>
        <v>6251.52</v>
      </c>
      <c r="Z480" s="7">
        <f t="shared" si="106"/>
        <v>71</v>
      </c>
      <c r="AA480" s="7">
        <f t="shared" si="107"/>
        <v>2023</v>
      </c>
      <c r="AB480" s="7">
        <f t="shared" si="108"/>
        <v>1</v>
      </c>
      <c r="AC480" s="7">
        <f t="shared" si="109"/>
        <v>1</v>
      </c>
      <c r="AD480" s="7" t="str">
        <f t="shared" si="110"/>
        <v>No</v>
      </c>
      <c r="AE480" s="7" t="str">
        <f t="shared" si="111"/>
        <v>Normal</v>
      </c>
    </row>
    <row r="481" spans="1:31">
      <c r="A481" t="s">
        <v>1651</v>
      </c>
      <c r="B481">
        <v>33215400</v>
      </c>
      <c r="C481" t="s">
        <v>1652</v>
      </c>
      <c r="D481" t="s">
        <v>1653</v>
      </c>
      <c r="E481">
        <v>1</v>
      </c>
      <c r="F481" t="s">
        <v>53</v>
      </c>
      <c r="G481" t="s">
        <v>53</v>
      </c>
      <c r="H481" t="s">
        <v>56</v>
      </c>
      <c r="I481" t="s">
        <v>3377</v>
      </c>
      <c r="J481">
        <v>1752.76</v>
      </c>
      <c r="K481" t="s">
        <v>86</v>
      </c>
      <c r="L481" t="s">
        <v>48</v>
      </c>
      <c r="M481" s="1">
        <v>44433.838888888888</v>
      </c>
      <c r="N481">
        <v>56</v>
      </c>
      <c r="O481" t="s">
        <v>24</v>
      </c>
      <c r="P481" t="s">
        <v>23</v>
      </c>
      <c r="Q481" t="s">
        <v>1654</v>
      </c>
      <c r="R481" t="str">
        <f t="shared" si="98"/>
        <v>Sanjay Al-Sayed</v>
      </c>
      <c r="S481" t="str">
        <f t="shared" si="99"/>
        <v>Amir Khan</v>
      </c>
      <c r="T481" t="str">
        <f t="shared" si="100"/>
        <v>AED</v>
      </c>
      <c r="U481" s="7" t="str">
        <f t="shared" si="101"/>
        <v>AED</v>
      </c>
      <c r="V481" s="7" t="str">
        <f t="shared" si="102"/>
        <v>Brazil</v>
      </c>
      <c r="W481" s="7" t="str">
        <f t="shared" si="103"/>
        <v>France</v>
      </c>
      <c r="X481" s="7" t="str">
        <f t="shared" si="104"/>
        <v>Inter-Transaction</v>
      </c>
      <c r="Y481" s="7">
        <f t="shared" si="105"/>
        <v>1752.76</v>
      </c>
      <c r="Z481" s="7">
        <f t="shared" si="106"/>
        <v>56</v>
      </c>
      <c r="AA481" s="7">
        <f t="shared" si="107"/>
        <v>2021</v>
      </c>
      <c r="AB481" s="7">
        <f t="shared" si="108"/>
        <v>8</v>
      </c>
      <c r="AC481" s="7">
        <f t="shared" si="109"/>
        <v>1</v>
      </c>
      <c r="AD481" s="7" t="str">
        <f t="shared" si="110"/>
        <v>No</v>
      </c>
      <c r="AE481" s="7" t="str">
        <f t="shared" si="111"/>
        <v>Normal</v>
      </c>
    </row>
    <row r="482" spans="1:31">
      <c r="A482" t="s">
        <v>1655</v>
      </c>
      <c r="B482">
        <v>20908536</v>
      </c>
      <c r="C482" t="s">
        <v>1656</v>
      </c>
      <c r="D482" t="s">
        <v>171</v>
      </c>
      <c r="E482" t="s">
        <v>3375</v>
      </c>
      <c r="F482" t="s">
        <v>45</v>
      </c>
      <c r="G482" t="s">
        <v>121</v>
      </c>
      <c r="H482" t="s">
        <v>103</v>
      </c>
      <c r="I482" t="s">
        <v>3371</v>
      </c>
      <c r="J482">
        <v>8479.9500000000007</v>
      </c>
      <c r="K482" t="s">
        <v>39</v>
      </c>
      <c r="L482" t="s">
        <v>48</v>
      </c>
      <c r="M482" s="1">
        <v>44046.593055555553</v>
      </c>
      <c r="N482">
        <v>36</v>
      </c>
      <c r="O482" t="s">
        <v>54</v>
      </c>
      <c r="P482" t="s">
        <v>68</v>
      </c>
      <c r="Q482" t="s">
        <v>1657</v>
      </c>
      <c r="R482" t="str">
        <f t="shared" si="98"/>
        <v>Carlos Al-Sayed</v>
      </c>
      <c r="S482" t="str">
        <f t="shared" si="99"/>
        <v>Elizabeth Martinez</v>
      </c>
      <c r="T482" t="str">
        <f t="shared" si="100"/>
        <v>ZAR</v>
      </c>
      <c r="U482" s="7" t="str">
        <f t="shared" si="101"/>
        <v>INR</v>
      </c>
      <c r="V482" s="7" t="str">
        <f t="shared" si="102"/>
        <v>India</v>
      </c>
      <c r="W482" s="7" t="str">
        <f t="shared" si="103"/>
        <v>UAE</v>
      </c>
      <c r="X482" s="7" t="str">
        <f t="shared" si="104"/>
        <v>Outer-Transaction</v>
      </c>
      <c r="Y482" s="7">
        <f t="shared" si="105"/>
        <v>8479.9500000000007</v>
      </c>
      <c r="Z482" s="7">
        <f t="shared" si="106"/>
        <v>36</v>
      </c>
      <c r="AA482" s="7">
        <f t="shared" si="107"/>
        <v>2020</v>
      </c>
      <c r="AB482" s="7">
        <f t="shared" si="108"/>
        <v>8</v>
      </c>
      <c r="AC482" s="7">
        <f t="shared" si="109"/>
        <v>1</v>
      </c>
      <c r="AD482" s="7" t="str">
        <f t="shared" si="110"/>
        <v>No</v>
      </c>
      <c r="AE482" s="7" t="str">
        <f t="shared" si="111"/>
        <v>Normal</v>
      </c>
    </row>
    <row r="483" spans="1:31">
      <c r="A483" t="s">
        <v>1658</v>
      </c>
      <c r="B483">
        <v>58803337</v>
      </c>
      <c r="C483" t="s">
        <v>1659</v>
      </c>
      <c r="D483" t="s">
        <v>869</v>
      </c>
      <c r="E483" t="s">
        <v>20</v>
      </c>
      <c r="F483" t="s">
        <v>45</v>
      </c>
      <c r="G483" t="s">
        <v>45</v>
      </c>
      <c r="H483" t="s">
        <v>74</v>
      </c>
      <c r="I483" t="s">
        <v>3374</v>
      </c>
      <c r="J483">
        <v>6513.46</v>
      </c>
      <c r="K483" t="s">
        <v>57</v>
      </c>
      <c r="L483" t="s">
        <v>48</v>
      </c>
      <c r="M483" s="1">
        <v>45827.12222222222</v>
      </c>
      <c r="N483">
        <v>56</v>
      </c>
      <c r="O483" t="s">
        <v>127</v>
      </c>
      <c r="P483" t="s">
        <v>54</v>
      </c>
      <c r="Q483" t="s">
        <v>1660</v>
      </c>
      <c r="R483" t="str">
        <f t="shared" si="98"/>
        <v>Susan Dubois</v>
      </c>
      <c r="S483" t="str">
        <f t="shared" si="99"/>
        <v>Sanjay Taylor</v>
      </c>
      <c r="T483" t="str">
        <f t="shared" si="100"/>
        <v>ZAR</v>
      </c>
      <c r="U483" s="7" t="str">
        <f t="shared" si="101"/>
        <v>ZAR</v>
      </c>
      <c r="V483" s="7" t="str">
        <f t="shared" si="102"/>
        <v>Canada</v>
      </c>
      <c r="W483" s="7" t="str">
        <f t="shared" si="103"/>
        <v>India</v>
      </c>
      <c r="X483" s="7" t="str">
        <f t="shared" si="104"/>
        <v>External</v>
      </c>
      <c r="Y483" s="7">
        <f t="shared" si="105"/>
        <v>6513.46</v>
      </c>
      <c r="Z483" s="7">
        <f t="shared" si="106"/>
        <v>56</v>
      </c>
      <c r="AA483" s="7">
        <f t="shared" si="107"/>
        <v>2025</v>
      </c>
      <c r="AB483" s="7">
        <f t="shared" si="108"/>
        <v>6</v>
      </c>
      <c r="AC483" s="7">
        <f t="shared" si="109"/>
        <v>1</v>
      </c>
      <c r="AD483" s="7" t="str">
        <f t="shared" si="110"/>
        <v>No</v>
      </c>
      <c r="AE483" s="7" t="str">
        <f t="shared" si="111"/>
        <v>Normal</v>
      </c>
    </row>
    <row r="484" spans="1:31">
      <c r="A484" t="s">
        <v>1661</v>
      </c>
      <c r="B484">
        <v>45010146</v>
      </c>
      <c r="C484" t="s">
        <v>1309</v>
      </c>
      <c r="D484" t="s">
        <v>1662</v>
      </c>
      <c r="E484" t="s">
        <v>20</v>
      </c>
      <c r="F484" t="s">
        <v>21</v>
      </c>
      <c r="G484" t="s">
        <v>44</v>
      </c>
      <c r="H484" t="s">
        <v>25</v>
      </c>
      <c r="I484" t="s">
        <v>3378</v>
      </c>
      <c r="J484">
        <v>10522.31</v>
      </c>
      <c r="K484" t="s">
        <v>57</v>
      </c>
      <c r="L484" t="s">
        <v>28</v>
      </c>
      <c r="M484" s="1">
        <v>45395.194444444445</v>
      </c>
      <c r="N484">
        <v>84</v>
      </c>
      <c r="O484" t="s">
        <v>54</v>
      </c>
      <c r="P484" t="s">
        <v>24</v>
      </c>
      <c r="Q484" t="s">
        <v>1663</v>
      </c>
      <c r="R484" t="str">
        <f t="shared" si="98"/>
        <v>Mary Souza</v>
      </c>
      <c r="S484" t="str">
        <f t="shared" si="99"/>
        <v>Patricia Taylor</v>
      </c>
      <c r="T484" t="str">
        <f t="shared" si="100"/>
        <v>GBP</v>
      </c>
      <c r="U484" s="7" t="str">
        <f t="shared" si="101"/>
        <v>SGD</v>
      </c>
      <c r="V484" s="7" t="str">
        <f t="shared" si="102"/>
        <v>India</v>
      </c>
      <c r="W484" s="7" t="str">
        <f t="shared" si="103"/>
        <v>Brazil</v>
      </c>
      <c r="X484" s="7" t="str">
        <f t="shared" si="104"/>
        <v>Inter-Transaction</v>
      </c>
      <c r="Y484" s="7">
        <f t="shared" si="105"/>
        <v>10522.31</v>
      </c>
      <c r="Z484" s="7">
        <f t="shared" si="106"/>
        <v>84</v>
      </c>
      <c r="AA484" s="7">
        <f t="shared" si="107"/>
        <v>2024</v>
      </c>
      <c r="AB484" s="7">
        <f t="shared" si="108"/>
        <v>4</v>
      </c>
      <c r="AC484" s="7">
        <f t="shared" si="109"/>
        <v>1</v>
      </c>
      <c r="AD484" s="7" t="str">
        <f t="shared" si="110"/>
        <v>No</v>
      </c>
      <c r="AE484" s="7" t="str">
        <f t="shared" si="111"/>
        <v>Normal</v>
      </c>
    </row>
    <row r="485" spans="1:31">
      <c r="A485" t="s">
        <v>1664</v>
      </c>
      <c r="B485">
        <v>34986069</v>
      </c>
      <c r="C485" t="s">
        <v>1627</v>
      </c>
      <c r="D485" t="s">
        <v>1665</v>
      </c>
      <c r="E485" t="s">
        <v>20</v>
      </c>
      <c r="F485" t="s">
        <v>116</v>
      </c>
      <c r="G485" t="s">
        <v>116</v>
      </c>
      <c r="H485" t="s">
        <v>38</v>
      </c>
      <c r="I485" t="s">
        <v>3378</v>
      </c>
      <c r="J485">
        <v>7243.54</v>
      </c>
      <c r="K485" t="s">
        <v>39</v>
      </c>
      <c r="L485" t="s">
        <v>75</v>
      </c>
      <c r="M485" s="1">
        <v>45671.902777777781</v>
      </c>
      <c r="N485">
        <v>62</v>
      </c>
      <c r="O485" t="s">
        <v>55</v>
      </c>
      <c r="P485" t="s">
        <v>93</v>
      </c>
      <c r="Q485" t="s">
        <v>1666</v>
      </c>
      <c r="R485" t="str">
        <f t="shared" si="98"/>
        <v>Jean-Pierre Smith</v>
      </c>
      <c r="S485" t="str">
        <f t="shared" si="99"/>
        <v>Thomas Silva</v>
      </c>
      <c r="T485" t="str">
        <f t="shared" si="100"/>
        <v>CHF</v>
      </c>
      <c r="U485" s="7" t="str">
        <f t="shared" si="101"/>
        <v>CHF</v>
      </c>
      <c r="V485" s="7" t="str">
        <f t="shared" si="102"/>
        <v>UK</v>
      </c>
      <c r="W485" s="7" t="str">
        <f t="shared" si="103"/>
        <v>USA</v>
      </c>
      <c r="X485" s="7" t="str">
        <f t="shared" si="104"/>
        <v>Inter-Transaction</v>
      </c>
      <c r="Y485" s="7">
        <f t="shared" si="105"/>
        <v>7243.54</v>
      </c>
      <c r="Z485" s="7">
        <f t="shared" si="106"/>
        <v>62</v>
      </c>
      <c r="AA485" s="7">
        <f t="shared" si="107"/>
        <v>2025</v>
      </c>
      <c r="AB485" s="7">
        <f t="shared" si="108"/>
        <v>1</v>
      </c>
      <c r="AC485" s="7">
        <f t="shared" si="109"/>
        <v>1</v>
      </c>
      <c r="AD485" s="7" t="str">
        <f t="shared" si="110"/>
        <v>No</v>
      </c>
      <c r="AE485" s="7" t="str">
        <f t="shared" si="111"/>
        <v>High Risk</v>
      </c>
    </row>
    <row r="486" spans="1:31">
      <c r="A486" t="s">
        <v>1667</v>
      </c>
      <c r="B486">
        <v>89601320</v>
      </c>
      <c r="D486" t="s">
        <v>1140</v>
      </c>
      <c r="E486">
        <v>0</v>
      </c>
      <c r="F486" t="s">
        <v>116</v>
      </c>
      <c r="G486" t="s">
        <v>22</v>
      </c>
      <c r="H486" t="s">
        <v>103</v>
      </c>
      <c r="I486" t="s">
        <v>3377</v>
      </c>
      <c r="J486">
        <v>14555.17</v>
      </c>
      <c r="K486" t="s">
        <v>57</v>
      </c>
      <c r="L486" t="s">
        <v>48</v>
      </c>
      <c r="M486" s="1">
        <v>45793.92083333333</v>
      </c>
      <c r="N486">
        <v>30</v>
      </c>
      <c r="O486" t="s">
        <v>55</v>
      </c>
      <c r="P486" t="s">
        <v>37</v>
      </c>
      <c r="Q486" t="s">
        <v>1668</v>
      </c>
      <c r="R486" t="str">
        <f t="shared" si="98"/>
        <v/>
      </c>
      <c r="S486" t="str">
        <f t="shared" si="99"/>
        <v>Charles Garcia</v>
      </c>
      <c r="T486" t="str">
        <f t="shared" si="100"/>
        <v>CHF</v>
      </c>
      <c r="U486" s="7" t="str">
        <f t="shared" si="101"/>
        <v>BRL</v>
      </c>
      <c r="V486" s="7" t="str">
        <f t="shared" si="102"/>
        <v>UK</v>
      </c>
      <c r="W486" s="7" t="str">
        <f t="shared" si="103"/>
        <v>South Africa</v>
      </c>
      <c r="X486" s="7" t="str">
        <f t="shared" si="104"/>
        <v>Inter-Transaction</v>
      </c>
      <c r="Y486" s="7">
        <f t="shared" si="105"/>
        <v>14555.17</v>
      </c>
      <c r="Z486" s="7">
        <f t="shared" si="106"/>
        <v>30</v>
      </c>
      <c r="AA486" s="7">
        <f t="shared" si="107"/>
        <v>2025</v>
      </c>
      <c r="AB486" s="7">
        <f t="shared" si="108"/>
        <v>5</v>
      </c>
      <c r="AC486" s="7">
        <f t="shared" si="109"/>
        <v>1</v>
      </c>
      <c r="AD486" s="7" t="str">
        <f t="shared" si="110"/>
        <v>No</v>
      </c>
      <c r="AE486" s="7" t="str">
        <f t="shared" si="111"/>
        <v>Normal</v>
      </c>
    </row>
    <row r="487" spans="1:31">
      <c r="A487" t="s">
        <v>1669</v>
      </c>
      <c r="B487">
        <v>41700023</v>
      </c>
      <c r="C487" t="s">
        <v>1670</v>
      </c>
      <c r="D487" t="s">
        <v>1200</v>
      </c>
      <c r="E487" t="s">
        <v>33</v>
      </c>
      <c r="F487" t="s">
        <v>21</v>
      </c>
      <c r="G487" t="s">
        <v>180</v>
      </c>
      <c r="H487" t="s">
        <v>38</v>
      </c>
      <c r="I487" t="s">
        <v>3374</v>
      </c>
      <c r="J487">
        <v>5916.77</v>
      </c>
      <c r="K487" t="s">
        <v>47</v>
      </c>
      <c r="L487" t="s">
        <v>81</v>
      </c>
      <c r="M487" s="1">
        <v>44557.973611111112</v>
      </c>
      <c r="N487">
        <v>75</v>
      </c>
      <c r="O487" t="s">
        <v>68</v>
      </c>
      <c r="P487" t="s">
        <v>62</v>
      </c>
      <c r="Q487" t="s">
        <v>1671</v>
      </c>
      <c r="R487" t="str">
        <f t="shared" si="98"/>
        <v>Zayn Miller</v>
      </c>
      <c r="S487" t="str">
        <f t="shared" si="99"/>
        <v>Jessica Williams</v>
      </c>
      <c r="T487" t="str">
        <f t="shared" si="100"/>
        <v>GBP</v>
      </c>
      <c r="U487" s="7" t="str">
        <f t="shared" si="101"/>
        <v>zar</v>
      </c>
      <c r="V487" s="7" t="str">
        <f t="shared" si="102"/>
        <v>UAE</v>
      </c>
      <c r="W487" s="7" t="str">
        <f t="shared" si="103"/>
        <v>Australia</v>
      </c>
      <c r="X487" s="7" t="str">
        <f t="shared" si="104"/>
        <v>External</v>
      </c>
      <c r="Y487" s="7">
        <f t="shared" si="105"/>
        <v>5916.77</v>
      </c>
      <c r="Z487" s="7">
        <f t="shared" si="106"/>
        <v>75</v>
      </c>
      <c r="AA487" s="7">
        <f t="shared" si="107"/>
        <v>2021</v>
      </c>
      <c r="AB487" s="7">
        <f t="shared" si="108"/>
        <v>12</v>
      </c>
      <c r="AC487" s="7">
        <f t="shared" si="109"/>
        <v>1</v>
      </c>
      <c r="AD487" s="7" t="str">
        <f t="shared" si="110"/>
        <v>No</v>
      </c>
      <c r="AE487" s="7" t="str">
        <f t="shared" si="111"/>
        <v>Normal</v>
      </c>
    </row>
    <row r="488" spans="1:31">
      <c r="A488" t="s">
        <v>1672</v>
      </c>
      <c r="B488">
        <v>53904207</v>
      </c>
      <c r="C488" t="s">
        <v>339</v>
      </c>
      <c r="D488" t="s">
        <v>271</v>
      </c>
      <c r="E488" t="s">
        <v>33</v>
      </c>
      <c r="F488" t="s">
        <v>92</v>
      </c>
      <c r="G488" t="s">
        <v>116</v>
      </c>
      <c r="H488" t="s">
        <v>74</v>
      </c>
      <c r="I488" t="s">
        <v>3376</v>
      </c>
      <c r="J488">
        <v>2680.62</v>
      </c>
      <c r="K488" t="s">
        <v>47</v>
      </c>
      <c r="L488" t="s">
        <v>75</v>
      </c>
      <c r="M488" s="1">
        <v>45075.474999999999</v>
      </c>
      <c r="N488">
        <v>37</v>
      </c>
      <c r="O488" t="s">
        <v>62</v>
      </c>
      <c r="P488" t="s">
        <v>55</v>
      </c>
      <c r="Q488" t="s">
        <v>1673</v>
      </c>
      <c r="R488" t="str">
        <f t="shared" si="98"/>
        <v>Carlos Martinez</v>
      </c>
      <c r="S488" t="str">
        <f t="shared" si="99"/>
        <v>Amir Velez</v>
      </c>
      <c r="T488" t="str">
        <f t="shared" si="100"/>
        <v>AUD</v>
      </c>
      <c r="U488" s="7" t="str">
        <f t="shared" si="101"/>
        <v>CHF</v>
      </c>
      <c r="V488" s="7" t="str">
        <f t="shared" si="102"/>
        <v>Australia</v>
      </c>
      <c r="W488" s="7" t="str">
        <f t="shared" si="103"/>
        <v>UK</v>
      </c>
      <c r="X488" s="7" t="str">
        <f t="shared" si="104"/>
        <v>Internal</v>
      </c>
      <c r="Y488" s="7">
        <f t="shared" si="105"/>
        <v>2680.62</v>
      </c>
      <c r="Z488" s="7">
        <f t="shared" si="106"/>
        <v>37</v>
      </c>
      <c r="AA488" s="7">
        <f t="shared" si="107"/>
        <v>2023</v>
      </c>
      <c r="AB488" s="7">
        <f t="shared" si="108"/>
        <v>5</v>
      </c>
      <c r="AC488" s="7">
        <f t="shared" si="109"/>
        <v>1</v>
      </c>
      <c r="AD488" s="7" t="str">
        <f t="shared" si="110"/>
        <v>No</v>
      </c>
      <c r="AE488" s="7" t="str">
        <f t="shared" si="111"/>
        <v>High Risk</v>
      </c>
    </row>
    <row r="489" spans="1:31">
      <c r="A489" t="s">
        <v>1674</v>
      </c>
      <c r="B489">
        <v>35228980</v>
      </c>
      <c r="C489" t="s">
        <v>1675</v>
      </c>
      <c r="D489" t="s">
        <v>1676</v>
      </c>
      <c r="E489" t="s">
        <v>20</v>
      </c>
      <c r="G489" t="s">
        <v>45</v>
      </c>
      <c r="H489" t="s">
        <v>103</v>
      </c>
      <c r="I489" t="s">
        <v>3372</v>
      </c>
      <c r="J489">
        <v>2700.97</v>
      </c>
      <c r="K489" t="s">
        <v>39</v>
      </c>
      <c r="L489" t="s">
        <v>28</v>
      </c>
      <c r="M489" s="1">
        <v>44896.336805555555</v>
      </c>
      <c r="N489">
        <v>78</v>
      </c>
      <c r="O489" t="s">
        <v>127</v>
      </c>
      <c r="P489" t="s">
        <v>37</v>
      </c>
      <c r="Q489" t="s">
        <v>1677</v>
      </c>
      <c r="R489" t="str">
        <f t="shared" si="98"/>
        <v>Mary Miller</v>
      </c>
      <c r="S489" t="str">
        <f t="shared" si="99"/>
        <v>Barbara Wilson</v>
      </c>
      <c r="T489" t="str">
        <f t="shared" si="100"/>
        <v/>
      </c>
      <c r="U489" s="7" t="str">
        <f t="shared" si="101"/>
        <v>ZAR</v>
      </c>
      <c r="V489" s="7" t="str">
        <f t="shared" si="102"/>
        <v>Canada</v>
      </c>
      <c r="W489" s="7" t="str">
        <f t="shared" si="103"/>
        <v>South Africa</v>
      </c>
      <c r="X489" s="7" t="str">
        <f t="shared" si="104"/>
        <v>Outer-Transaction</v>
      </c>
      <c r="Y489" s="7">
        <f t="shared" si="105"/>
        <v>2700.97</v>
      </c>
      <c r="Z489" s="7">
        <f t="shared" si="106"/>
        <v>78</v>
      </c>
      <c r="AA489" s="7">
        <f t="shared" si="107"/>
        <v>2022</v>
      </c>
      <c r="AB489" s="7">
        <f t="shared" si="108"/>
        <v>12</v>
      </c>
      <c r="AC489" s="7">
        <f t="shared" si="109"/>
        <v>1</v>
      </c>
      <c r="AD489" s="7" t="str">
        <f t="shared" si="110"/>
        <v>No</v>
      </c>
      <c r="AE489" s="7" t="str">
        <f t="shared" si="111"/>
        <v>Normal</v>
      </c>
    </row>
    <row r="490" spans="1:31">
      <c r="A490" t="s">
        <v>1678</v>
      </c>
      <c r="B490">
        <v>87132540</v>
      </c>
      <c r="C490" t="s">
        <v>315</v>
      </c>
      <c r="D490" t="s">
        <v>1293</v>
      </c>
      <c r="E490" t="s">
        <v>20</v>
      </c>
      <c r="F490" t="s">
        <v>45</v>
      </c>
      <c r="H490" t="s">
        <v>38</v>
      </c>
      <c r="I490" t="s">
        <v>3372</v>
      </c>
      <c r="J490">
        <v>7535.9</v>
      </c>
      <c r="K490" t="s">
        <v>39</v>
      </c>
      <c r="L490" t="s">
        <v>75</v>
      </c>
      <c r="M490" s="1">
        <v>44506.939583333333</v>
      </c>
      <c r="N490">
        <v>56</v>
      </c>
      <c r="O490" t="s">
        <v>93</v>
      </c>
      <c r="P490" t="s">
        <v>36</v>
      </c>
      <c r="Q490" t="s">
        <v>1679</v>
      </c>
      <c r="R490" t="str">
        <f t="shared" si="98"/>
        <v>Charles Gonzalez</v>
      </c>
      <c r="S490" t="str">
        <f t="shared" si="99"/>
        <v>Marta Anderson</v>
      </c>
      <c r="T490" t="str">
        <f t="shared" si="100"/>
        <v>ZAR</v>
      </c>
      <c r="U490" s="7" t="str">
        <f t="shared" si="101"/>
        <v/>
      </c>
      <c r="V490" s="7" t="str">
        <f t="shared" si="102"/>
        <v>USA</v>
      </c>
      <c r="W490" s="7" t="str">
        <f t="shared" si="103"/>
        <v>Germany</v>
      </c>
      <c r="X490" s="7" t="str">
        <f t="shared" si="104"/>
        <v>Outer-Transaction</v>
      </c>
      <c r="Y490" s="7">
        <f t="shared" si="105"/>
        <v>7535.9</v>
      </c>
      <c r="Z490" s="7">
        <f t="shared" si="106"/>
        <v>56</v>
      </c>
      <c r="AA490" s="7">
        <f t="shared" si="107"/>
        <v>2021</v>
      </c>
      <c r="AB490" s="7">
        <f t="shared" si="108"/>
        <v>11</v>
      </c>
      <c r="AC490" s="7">
        <f t="shared" si="109"/>
        <v>1</v>
      </c>
      <c r="AD490" s="7" t="str">
        <f t="shared" si="110"/>
        <v>No</v>
      </c>
      <c r="AE490" s="7" t="str">
        <f t="shared" si="111"/>
        <v>High Risk</v>
      </c>
    </row>
    <row r="491" spans="1:31">
      <c r="A491" t="s">
        <v>1680</v>
      </c>
      <c r="B491">
        <v>89208997</v>
      </c>
      <c r="C491" t="s">
        <v>267</v>
      </c>
      <c r="D491" t="s">
        <v>774</v>
      </c>
      <c r="E491" t="s">
        <v>20</v>
      </c>
      <c r="F491" t="s">
        <v>686</v>
      </c>
      <c r="G491" t="s">
        <v>92</v>
      </c>
      <c r="H491" t="s">
        <v>38</v>
      </c>
      <c r="I491" t="s">
        <v>3374</v>
      </c>
      <c r="J491">
        <v>5545.75</v>
      </c>
      <c r="K491" t="s">
        <v>39</v>
      </c>
      <c r="L491" t="s">
        <v>75</v>
      </c>
      <c r="M491" s="1">
        <v>44113.374305555553</v>
      </c>
      <c r="N491">
        <v>18</v>
      </c>
      <c r="O491" t="s">
        <v>37</v>
      </c>
      <c r="P491" t="s">
        <v>62</v>
      </c>
      <c r="Q491" t="s">
        <v>1681</v>
      </c>
      <c r="R491" t="str">
        <f t="shared" si="98"/>
        <v>David Miller</v>
      </c>
      <c r="S491" t="str">
        <f t="shared" si="99"/>
        <v>Charles Khan</v>
      </c>
      <c r="T491" t="str">
        <f t="shared" si="100"/>
        <v>sgd</v>
      </c>
      <c r="U491" s="7" t="str">
        <f t="shared" si="101"/>
        <v>AUD</v>
      </c>
      <c r="V491" s="7" t="str">
        <f t="shared" si="102"/>
        <v>South Africa</v>
      </c>
      <c r="W491" s="7" t="str">
        <f t="shared" si="103"/>
        <v>Australia</v>
      </c>
      <c r="X491" s="7" t="str">
        <f t="shared" si="104"/>
        <v>External</v>
      </c>
      <c r="Y491" s="7">
        <f t="shared" si="105"/>
        <v>5545.75</v>
      </c>
      <c r="Z491" s="7">
        <f t="shared" si="106"/>
        <v>18</v>
      </c>
      <c r="AA491" s="7">
        <f t="shared" si="107"/>
        <v>2020</v>
      </c>
      <c r="AB491" s="7">
        <f t="shared" si="108"/>
        <v>10</v>
      </c>
      <c r="AC491" s="7">
        <f t="shared" si="109"/>
        <v>1</v>
      </c>
      <c r="AD491" s="7" t="str">
        <f t="shared" si="110"/>
        <v>No</v>
      </c>
      <c r="AE491" s="7" t="str">
        <f t="shared" si="111"/>
        <v>High Risk</v>
      </c>
    </row>
    <row r="492" spans="1:31">
      <c r="A492" t="s">
        <v>1682</v>
      </c>
      <c r="B492">
        <v>24989876</v>
      </c>
      <c r="C492" t="s">
        <v>1683</v>
      </c>
      <c r="D492" t="s">
        <v>397</v>
      </c>
      <c r="E492" t="s">
        <v>33</v>
      </c>
      <c r="F492" t="s">
        <v>121</v>
      </c>
      <c r="G492" t="s">
        <v>21</v>
      </c>
      <c r="H492" t="s">
        <v>103</v>
      </c>
      <c r="I492" t="s">
        <v>3378</v>
      </c>
      <c r="J492">
        <v>14578.07</v>
      </c>
      <c r="K492" t="s">
        <v>27</v>
      </c>
      <c r="L492" t="s">
        <v>48</v>
      </c>
      <c r="M492" s="1">
        <v>44912.688888888886</v>
      </c>
      <c r="N492">
        <v>20</v>
      </c>
      <c r="O492" t="s">
        <v>54</v>
      </c>
      <c r="P492" t="s">
        <v>24</v>
      </c>
      <c r="Q492" t="s">
        <v>1684</v>
      </c>
      <c r="R492" t="str">
        <f t="shared" si="98"/>
        <v>Susan Al-Sayed</v>
      </c>
      <c r="S492" t="str">
        <f t="shared" si="99"/>
        <v>Mary Moore</v>
      </c>
      <c r="T492" t="str">
        <f t="shared" si="100"/>
        <v>INR</v>
      </c>
      <c r="U492" s="7" t="str">
        <f t="shared" si="101"/>
        <v>GBP</v>
      </c>
      <c r="V492" s="7" t="str">
        <f t="shared" si="102"/>
        <v>India</v>
      </c>
      <c r="W492" s="7" t="str">
        <f t="shared" si="103"/>
        <v>Brazil</v>
      </c>
      <c r="X492" s="7" t="str">
        <f t="shared" si="104"/>
        <v>Inter-Transaction</v>
      </c>
      <c r="Y492" s="7">
        <f t="shared" si="105"/>
        <v>14578.07</v>
      </c>
      <c r="Z492" s="7">
        <f t="shared" si="106"/>
        <v>20</v>
      </c>
      <c r="AA492" s="7">
        <f t="shared" si="107"/>
        <v>2022</v>
      </c>
      <c r="AB492" s="7">
        <f t="shared" si="108"/>
        <v>12</v>
      </c>
      <c r="AC492" s="7">
        <f t="shared" si="109"/>
        <v>1</v>
      </c>
      <c r="AD492" s="7" t="str">
        <f t="shared" si="110"/>
        <v>No</v>
      </c>
      <c r="AE492" s="7" t="str">
        <f t="shared" si="111"/>
        <v>Normal</v>
      </c>
    </row>
    <row r="493" spans="1:31">
      <c r="A493" t="s">
        <v>1685</v>
      </c>
      <c r="B493">
        <v>78804339</v>
      </c>
      <c r="C493" t="s">
        <v>442</v>
      </c>
      <c r="D493" t="s">
        <v>1686</v>
      </c>
      <c r="E493" t="s">
        <v>20</v>
      </c>
      <c r="F493" t="s">
        <v>53</v>
      </c>
      <c r="G493" t="s">
        <v>92</v>
      </c>
      <c r="H493" t="s">
        <v>25</v>
      </c>
      <c r="I493" t="s">
        <v>3372</v>
      </c>
      <c r="J493">
        <v>14477.75</v>
      </c>
      <c r="K493" t="s">
        <v>47</v>
      </c>
      <c r="L493" t="s">
        <v>75</v>
      </c>
      <c r="M493" s="1">
        <v>45739.790972222225</v>
      </c>
      <c r="N493">
        <v>79</v>
      </c>
      <c r="O493" t="s">
        <v>62</v>
      </c>
      <c r="P493" t="s">
        <v>36</v>
      </c>
      <c r="Q493" t="s">
        <v>1687</v>
      </c>
      <c r="R493" t="str">
        <f t="shared" si="98"/>
        <v>Fatima Williams</v>
      </c>
      <c r="S493" t="str">
        <f t="shared" si="99"/>
        <v>Richard Souza</v>
      </c>
      <c r="T493" t="str">
        <f t="shared" si="100"/>
        <v>AED</v>
      </c>
      <c r="U493" s="7" t="str">
        <f t="shared" si="101"/>
        <v>AUD</v>
      </c>
      <c r="V493" s="7" t="str">
        <f t="shared" si="102"/>
        <v>Australia</v>
      </c>
      <c r="W493" s="7" t="str">
        <f t="shared" si="103"/>
        <v>Germany</v>
      </c>
      <c r="X493" s="7" t="str">
        <f t="shared" si="104"/>
        <v>Outer-Transaction</v>
      </c>
      <c r="Y493" s="7">
        <f t="shared" si="105"/>
        <v>14477.75</v>
      </c>
      <c r="Z493" s="7">
        <f t="shared" si="106"/>
        <v>79</v>
      </c>
      <c r="AA493" s="7">
        <f t="shared" si="107"/>
        <v>2025</v>
      </c>
      <c r="AB493" s="7">
        <f t="shared" si="108"/>
        <v>3</v>
      </c>
      <c r="AC493" s="7">
        <f t="shared" si="109"/>
        <v>1</v>
      </c>
      <c r="AD493" s="7" t="str">
        <f t="shared" si="110"/>
        <v>No</v>
      </c>
      <c r="AE493" s="7" t="str">
        <f t="shared" si="111"/>
        <v>High Risk</v>
      </c>
    </row>
    <row r="494" spans="1:31">
      <c r="A494" t="s">
        <v>1688</v>
      </c>
      <c r="B494">
        <v>68645850</v>
      </c>
      <c r="C494" t="s">
        <v>1096</v>
      </c>
      <c r="D494" t="s">
        <v>1689</v>
      </c>
      <c r="E494" t="s">
        <v>20</v>
      </c>
      <c r="F494" t="s">
        <v>294</v>
      </c>
      <c r="G494" t="s">
        <v>45</v>
      </c>
      <c r="H494" t="s">
        <v>74</v>
      </c>
      <c r="I494" t="s">
        <v>3377</v>
      </c>
      <c r="J494">
        <v>11732.94</v>
      </c>
      <c r="K494" t="s">
        <v>47</v>
      </c>
      <c r="L494" t="s">
        <v>75</v>
      </c>
      <c r="M494" s="1">
        <v>44983.23333333333</v>
      </c>
      <c r="N494">
        <v>80</v>
      </c>
      <c r="O494" t="s">
        <v>68</v>
      </c>
      <c r="P494" t="s">
        <v>37</v>
      </c>
      <c r="Q494" t="s">
        <v>1690</v>
      </c>
      <c r="R494" t="str">
        <f t="shared" si="98"/>
        <v>David Al-Sayed</v>
      </c>
      <c r="S494" t="str">
        <f t="shared" si="99"/>
        <v xml:space="preserve"> Elena Dubois   </v>
      </c>
      <c r="T494" t="str">
        <f t="shared" si="100"/>
        <v>jpy</v>
      </c>
      <c r="U494" s="7" t="str">
        <f t="shared" si="101"/>
        <v>ZAR</v>
      </c>
      <c r="V494" s="7" t="str">
        <f t="shared" si="102"/>
        <v>UAE</v>
      </c>
      <c r="W494" s="7" t="str">
        <f t="shared" si="103"/>
        <v>South Africa</v>
      </c>
      <c r="X494" s="7" t="str">
        <f t="shared" si="104"/>
        <v>Inter-Transaction</v>
      </c>
      <c r="Y494" s="7">
        <f t="shared" si="105"/>
        <v>11732.94</v>
      </c>
      <c r="Z494" s="7">
        <f t="shared" si="106"/>
        <v>80</v>
      </c>
      <c r="AA494" s="7">
        <f t="shared" si="107"/>
        <v>2023</v>
      </c>
      <c r="AB494" s="7">
        <f t="shared" si="108"/>
        <v>2</v>
      </c>
      <c r="AC494" s="7">
        <f t="shared" si="109"/>
        <v>1</v>
      </c>
      <c r="AD494" s="7" t="str">
        <f t="shared" si="110"/>
        <v>No</v>
      </c>
      <c r="AE494" s="7" t="str">
        <f t="shared" si="111"/>
        <v>High Risk</v>
      </c>
    </row>
    <row r="495" spans="1:31">
      <c r="A495" t="s">
        <v>1691</v>
      </c>
      <c r="B495">
        <v>92058877</v>
      </c>
      <c r="C495" t="s">
        <v>1692</v>
      </c>
      <c r="D495" t="s">
        <v>1693</v>
      </c>
      <c r="E495" t="s">
        <v>3375</v>
      </c>
      <c r="F495" t="s">
        <v>116</v>
      </c>
      <c r="G495" t="s">
        <v>92</v>
      </c>
      <c r="H495" t="s">
        <v>103</v>
      </c>
      <c r="I495" t="s">
        <v>3378</v>
      </c>
      <c r="J495">
        <v>5202.03</v>
      </c>
      <c r="K495" t="s">
        <v>39</v>
      </c>
      <c r="L495" t="s">
        <v>48</v>
      </c>
      <c r="M495" s="1">
        <v>44778.069444444445</v>
      </c>
      <c r="N495">
        <v>42</v>
      </c>
      <c r="O495" t="s">
        <v>36</v>
      </c>
      <c r="P495" t="s">
        <v>93</v>
      </c>
      <c r="Q495" t="s">
        <v>1694</v>
      </c>
      <c r="R495" t="str">
        <f t="shared" si="98"/>
        <v>Barbara Al-Sayed</v>
      </c>
      <c r="S495" t="str">
        <f t="shared" si="99"/>
        <v xml:space="preserve"> Elena Martin   </v>
      </c>
      <c r="T495" t="str">
        <f t="shared" si="100"/>
        <v>CHF</v>
      </c>
      <c r="U495" s="7" t="str">
        <f t="shared" si="101"/>
        <v>AUD</v>
      </c>
      <c r="V495" s="7" t="str">
        <f t="shared" si="102"/>
        <v>Germany</v>
      </c>
      <c r="W495" s="7" t="str">
        <f t="shared" si="103"/>
        <v>USA</v>
      </c>
      <c r="X495" s="7" t="str">
        <f t="shared" si="104"/>
        <v>Inter-Transaction</v>
      </c>
      <c r="Y495" s="7">
        <f t="shared" si="105"/>
        <v>5202.03</v>
      </c>
      <c r="Z495" s="7">
        <f t="shared" si="106"/>
        <v>42</v>
      </c>
      <c r="AA495" s="7">
        <f t="shared" si="107"/>
        <v>2022</v>
      </c>
      <c r="AB495" s="7">
        <f t="shared" si="108"/>
        <v>8</v>
      </c>
      <c r="AC495" s="7">
        <f t="shared" si="109"/>
        <v>1</v>
      </c>
      <c r="AD495" s="7" t="str">
        <f t="shared" si="110"/>
        <v>No</v>
      </c>
      <c r="AE495" s="7" t="str">
        <f t="shared" si="111"/>
        <v>Normal</v>
      </c>
    </row>
    <row r="496" spans="1:31">
      <c r="A496" t="s">
        <v>1695</v>
      </c>
      <c r="B496">
        <v>20550656</v>
      </c>
      <c r="C496" t="s">
        <v>1696</v>
      </c>
      <c r="D496" t="s">
        <v>1697</v>
      </c>
      <c r="E496" t="s">
        <v>20</v>
      </c>
      <c r="F496" t="s">
        <v>22</v>
      </c>
      <c r="G496" t="s">
        <v>98</v>
      </c>
      <c r="H496" t="s">
        <v>38</v>
      </c>
      <c r="I496" t="s">
        <v>3376</v>
      </c>
      <c r="J496">
        <v>2509.35</v>
      </c>
      <c r="K496" t="s">
        <v>57</v>
      </c>
      <c r="L496" t="s">
        <v>81</v>
      </c>
      <c r="M496" s="1">
        <v>44495.565972222219</v>
      </c>
      <c r="N496">
        <v>73</v>
      </c>
      <c r="O496" t="s">
        <v>93</v>
      </c>
      <c r="P496" t="s">
        <v>93</v>
      </c>
      <c r="Q496" t="s">
        <v>1698</v>
      </c>
      <c r="R496" t="str">
        <f t="shared" si="98"/>
        <v>Sanjay Thomas</v>
      </c>
      <c r="S496" t="str">
        <f t="shared" si="99"/>
        <v xml:space="preserve"> Karen Lopez   </v>
      </c>
      <c r="T496" t="str">
        <f t="shared" si="100"/>
        <v>BRL</v>
      </c>
      <c r="U496" s="7" t="str">
        <f t="shared" si="101"/>
        <v>JPY</v>
      </c>
      <c r="V496" s="7" t="str">
        <f t="shared" si="102"/>
        <v>USA</v>
      </c>
      <c r="W496" s="7" t="str">
        <f t="shared" si="103"/>
        <v>USA</v>
      </c>
      <c r="X496" s="7" t="str">
        <f t="shared" si="104"/>
        <v>Internal</v>
      </c>
      <c r="Y496" s="7">
        <f t="shared" si="105"/>
        <v>2509.35</v>
      </c>
      <c r="Z496" s="7">
        <f t="shared" si="106"/>
        <v>73</v>
      </c>
      <c r="AA496" s="7">
        <f t="shared" si="107"/>
        <v>2021</v>
      </c>
      <c r="AB496" s="7">
        <f t="shared" si="108"/>
        <v>10</v>
      </c>
      <c r="AC496" s="7">
        <f t="shared" si="109"/>
        <v>1</v>
      </c>
      <c r="AD496" s="7" t="str">
        <f t="shared" si="110"/>
        <v>No</v>
      </c>
      <c r="AE496" s="7" t="str">
        <f t="shared" si="111"/>
        <v>Normal</v>
      </c>
    </row>
    <row r="497" spans="1:31">
      <c r="A497" t="s">
        <v>1699</v>
      </c>
      <c r="B497">
        <v>91486500</v>
      </c>
      <c r="C497" t="s">
        <v>43</v>
      </c>
      <c r="D497" t="s">
        <v>1700</v>
      </c>
      <c r="E497" t="s">
        <v>20</v>
      </c>
      <c r="F497" t="s">
        <v>35</v>
      </c>
      <c r="G497" t="s">
        <v>116</v>
      </c>
      <c r="H497" t="s">
        <v>38</v>
      </c>
      <c r="I497" t="s">
        <v>3372</v>
      </c>
      <c r="J497">
        <v>5286.85</v>
      </c>
      <c r="K497" t="s">
        <v>47</v>
      </c>
      <c r="L497" t="s">
        <v>81</v>
      </c>
      <c r="M497" s="1">
        <v>45548.161111111112</v>
      </c>
      <c r="N497">
        <v>50</v>
      </c>
      <c r="O497" t="s">
        <v>23</v>
      </c>
      <c r="P497" t="s">
        <v>24</v>
      </c>
      <c r="Q497" t="s">
        <v>1701</v>
      </c>
      <c r="R497" t="str">
        <f t="shared" si="98"/>
        <v>Zayn Brown</v>
      </c>
      <c r="S497" t="str">
        <f t="shared" si="99"/>
        <v>Patricia Gonzalez</v>
      </c>
      <c r="T497" t="str">
        <f t="shared" si="100"/>
        <v>EUR</v>
      </c>
      <c r="U497" s="7" t="str">
        <f t="shared" si="101"/>
        <v>CHF</v>
      </c>
      <c r="V497" s="7" t="str">
        <f t="shared" si="102"/>
        <v>France</v>
      </c>
      <c r="W497" s="7" t="str">
        <f t="shared" si="103"/>
        <v>Brazil</v>
      </c>
      <c r="X497" s="7" t="str">
        <f t="shared" si="104"/>
        <v>Outer-Transaction</v>
      </c>
      <c r="Y497" s="7">
        <f t="shared" si="105"/>
        <v>5286.85</v>
      </c>
      <c r="Z497" s="7">
        <f t="shared" si="106"/>
        <v>50</v>
      </c>
      <c r="AA497" s="7">
        <f t="shared" si="107"/>
        <v>2024</v>
      </c>
      <c r="AB497" s="7">
        <f t="shared" si="108"/>
        <v>9</v>
      </c>
      <c r="AC497" s="7">
        <f t="shared" si="109"/>
        <v>1</v>
      </c>
      <c r="AD497" s="7" t="str">
        <f t="shared" si="110"/>
        <v>No</v>
      </c>
      <c r="AE497" s="7" t="str">
        <f t="shared" si="111"/>
        <v>Normal</v>
      </c>
    </row>
    <row r="498" spans="1:31">
      <c r="A498" t="s">
        <v>1702</v>
      </c>
      <c r="B498">
        <v>81890645</v>
      </c>
      <c r="C498" t="s">
        <v>678</v>
      </c>
      <c r="D498" t="s">
        <v>208</v>
      </c>
      <c r="E498" t="s">
        <v>20</v>
      </c>
      <c r="F498" t="s">
        <v>44</v>
      </c>
      <c r="G498" t="s">
        <v>53</v>
      </c>
      <c r="I498" t="s">
        <v>3378</v>
      </c>
      <c r="J498">
        <v>11446.39</v>
      </c>
      <c r="K498" t="s">
        <v>47</v>
      </c>
      <c r="L498" t="s">
        <v>28</v>
      </c>
      <c r="M498" s="1">
        <v>44979.588194444441</v>
      </c>
      <c r="N498">
        <v>55</v>
      </c>
      <c r="O498" t="s">
        <v>62</v>
      </c>
      <c r="P498" t="s">
        <v>127</v>
      </c>
      <c r="Q498" t="s">
        <v>1703</v>
      </c>
      <c r="R498" t="str">
        <f t="shared" si="98"/>
        <v>Karen Gonzalez</v>
      </c>
      <c r="S498" t="str">
        <f t="shared" si="99"/>
        <v>Elizabeth Malik</v>
      </c>
      <c r="T498" t="str">
        <f t="shared" si="100"/>
        <v>SGD</v>
      </c>
      <c r="U498" s="7" t="str">
        <f t="shared" si="101"/>
        <v>AED</v>
      </c>
      <c r="V498" s="7" t="str">
        <f t="shared" si="102"/>
        <v>Australia</v>
      </c>
      <c r="W498" s="7" t="str">
        <f t="shared" si="103"/>
        <v>Canada</v>
      </c>
      <c r="X498" s="7" t="str">
        <f t="shared" si="104"/>
        <v>Inter-Transaction</v>
      </c>
      <c r="Y498" s="7">
        <f t="shared" si="105"/>
        <v>11446.39</v>
      </c>
      <c r="Z498" s="7">
        <f t="shared" si="106"/>
        <v>55</v>
      </c>
      <c r="AA498" s="7">
        <f t="shared" si="107"/>
        <v>2023</v>
      </c>
      <c r="AB498" s="7">
        <f t="shared" si="108"/>
        <v>2</v>
      </c>
      <c r="AC498" s="7">
        <f t="shared" si="109"/>
        <v>1</v>
      </c>
      <c r="AD498" s="7" t="str">
        <f t="shared" si="110"/>
        <v>No</v>
      </c>
      <c r="AE498" s="7" t="str">
        <f t="shared" si="111"/>
        <v>Normal</v>
      </c>
    </row>
    <row r="499" spans="1:31">
      <c r="A499" t="s">
        <v>1704</v>
      </c>
      <c r="B499">
        <v>77560003</v>
      </c>
      <c r="C499" t="s">
        <v>448</v>
      </c>
      <c r="D499" t="s">
        <v>868</v>
      </c>
      <c r="E499" t="s">
        <v>20</v>
      </c>
      <c r="F499" t="s">
        <v>80</v>
      </c>
      <c r="G499" t="s">
        <v>34</v>
      </c>
      <c r="H499" t="s">
        <v>25</v>
      </c>
      <c r="I499" t="s">
        <v>3374</v>
      </c>
      <c r="J499">
        <v>9024.1299999999992</v>
      </c>
      <c r="K499" t="s">
        <v>39</v>
      </c>
      <c r="L499" t="s">
        <v>48</v>
      </c>
      <c r="M499" s="1">
        <v>43897.157638888886</v>
      </c>
      <c r="N499">
        <v>23</v>
      </c>
      <c r="O499" t="s">
        <v>36</v>
      </c>
      <c r="P499" t="s">
        <v>23</v>
      </c>
      <c r="Q499" t="s">
        <v>1705</v>
      </c>
      <c r="R499" t="str">
        <f t="shared" si="98"/>
        <v>Robert Martin</v>
      </c>
      <c r="S499" t="str">
        <f t="shared" si="99"/>
        <v>Christopher Al-Sayed</v>
      </c>
      <c r="T499" t="str">
        <f t="shared" si="100"/>
        <v>USD</v>
      </c>
      <c r="U499" s="7" t="str">
        <f t="shared" si="101"/>
        <v>CAD</v>
      </c>
      <c r="V499" s="7" t="str">
        <f t="shared" si="102"/>
        <v>Germany</v>
      </c>
      <c r="W499" s="7" t="str">
        <f t="shared" si="103"/>
        <v>France</v>
      </c>
      <c r="X499" s="7" t="str">
        <f t="shared" si="104"/>
        <v>External</v>
      </c>
      <c r="Y499" s="7">
        <f t="shared" si="105"/>
        <v>9024.1299999999992</v>
      </c>
      <c r="Z499" s="7">
        <f t="shared" si="106"/>
        <v>23</v>
      </c>
      <c r="AA499" s="7">
        <f t="shared" si="107"/>
        <v>2020</v>
      </c>
      <c r="AB499" s="7">
        <f t="shared" si="108"/>
        <v>3</v>
      </c>
      <c r="AC499" s="7">
        <f t="shared" si="109"/>
        <v>1</v>
      </c>
      <c r="AD499" s="7" t="str">
        <f t="shared" si="110"/>
        <v>No</v>
      </c>
      <c r="AE499" s="7" t="str">
        <f t="shared" si="111"/>
        <v>Normal</v>
      </c>
    </row>
    <row r="500" spans="1:31">
      <c r="A500" t="s">
        <v>1706</v>
      </c>
      <c r="C500" t="s">
        <v>507</v>
      </c>
      <c r="D500" t="s">
        <v>1179</v>
      </c>
      <c r="E500" t="s">
        <v>20</v>
      </c>
      <c r="F500" t="s">
        <v>121</v>
      </c>
      <c r="G500" t="s">
        <v>45</v>
      </c>
      <c r="H500" t="s">
        <v>25</v>
      </c>
      <c r="I500" t="s">
        <v>3376</v>
      </c>
      <c r="J500">
        <v>12569.75</v>
      </c>
      <c r="K500" t="s">
        <v>47</v>
      </c>
      <c r="L500" t="s">
        <v>48</v>
      </c>
      <c r="M500" s="1">
        <v>45884.852083333331</v>
      </c>
      <c r="N500">
        <v>75</v>
      </c>
      <c r="O500" t="s">
        <v>127</v>
      </c>
      <c r="P500" t="s">
        <v>55</v>
      </c>
      <c r="Q500" t="s">
        <v>1707</v>
      </c>
      <c r="R500" t="str">
        <f t="shared" si="98"/>
        <v>Carlos Smith</v>
      </c>
      <c r="S500" t="str">
        <f t="shared" si="99"/>
        <v>William Jackson</v>
      </c>
      <c r="T500" t="str">
        <f t="shared" si="100"/>
        <v>INR</v>
      </c>
      <c r="U500" s="7" t="str">
        <f t="shared" si="101"/>
        <v>ZAR</v>
      </c>
      <c r="V500" s="7" t="str">
        <f t="shared" si="102"/>
        <v>Canada</v>
      </c>
      <c r="W500" s="7" t="str">
        <f t="shared" si="103"/>
        <v>UK</v>
      </c>
      <c r="X500" s="7" t="str">
        <f t="shared" si="104"/>
        <v>Internal</v>
      </c>
      <c r="Y500" s="7">
        <f t="shared" si="105"/>
        <v>12569.75</v>
      </c>
      <c r="Z500" s="7">
        <f t="shared" si="106"/>
        <v>75</v>
      </c>
      <c r="AA500" s="7">
        <f t="shared" si="107"/>
        <v>2025</v>
      </c>
      <c r="AB500" s="7">
        <f t="shared" si="108"/>
        <v>8</v>
      </c>
      <c r="AC500" s="7">
        <f t="shared" si="109"/>
        <v>1</v>
      </c>
      <c r="AD500" s="7" t="str">
        <f t="shared" si="110"/>
        <v>No</v>
      </c>
      <c r="AE500" s="7" t="str">
        <f t="shared" si="111"/>
        <v>Normal</v>
      </c>
    </row>
    <row r="501" spans="1:31">
      <c r="A501" t="s">
        <v>1708</v>
      </c>
      <c r="B501">
        <v>19444312</v>
      </c>
      <c r="C501" t="s">
        <v>1709</v>
      </c>
      <c r="D501" t="s">
        <v>1710</v>
      </c>
      <c r="E501" t="s">
        <v>33</v>
      </c>
      <c r="F501" t="s">
        <v>35</v>
      </c>
      <c r="G501" t="s">
        <v>22</v>
      </c>
      <c r="I501" t="s">
        <v>3377</v>
      </c>
      <c r="J501">
        <v>4401.5200000000004</v>
      </c>
      <c r="K501" t="s">
        <v>39</v>
      </c>
      <c r="L501" t="s">
        <v>28</v>
      </c>
      <c r="M501" s="1">
        <v>44467.135416666664</v>
      </c>
      <c r="N501">
        <v>61</v>
      </c>
      <c r="O501" t="s">
        <v>68</v>
      </c>
      <c r="P501" t="s">
        <v>127</v>
      </c>
      <c r="Q501" t="s">
        <v>1711</v>
      </c>
      <c r="R501" t="str">
        <f t="shared" si="98"/>
        <v>LUCAS WILSON</v>
      </c>
      <c r="S501" t="str">
        <f t="shared" si="99"/>
        <v>David Volkov</v>
      </c>
      <c r="T501" t="str">
        <f t="shared" si="100"/>
        <v>EUR</v>
      </c>
      <c r="U501" s="7" t="str">
        <f t="shared" si="101"/>
        <v>BRL</v>
      </c>
      <c r="V501" s="7" t="str">
        <f t="shared" si="102"/>
        <v>UAE</v>
      </c>
      <c r="W501" s="7" t="str">
        <f t="shared" si="103"/>
        <v>Canada</v>
      </c>
      <c r="X501" s="7" t="str">
        <f t="shared" si="104"/>
        <v>Inter-Transaction</v>
      </c>
      <c r="Y501" s="7">
        <f t="shared" si="105"/>
        <v>4401.5200000000004</v>
      </c>
      <c r="Z501" s="7">
        <f t="shared" si="106"/>
        <v>61</v>
      </c>
      <c r="AA501" s="7">
        <f t="shared" si="107"/>
        <v>2021</v>
      </c>
      <c r="AB501" s="7">
        <f t="shared" si="108"/>
        <v>9</v>
      </c>
      <c r="AC501" s="7">
        <f t="shared" si="109"/>
        <v>1</v>
      </c>
      <c r="AD501" s="7" t="str">
        <f t="shared" si="110"/>
        <v>No</v>
      </c>
      <c r="AE501" s="7" t="str">
        <f t="shared" si="111"/>
        <v>Normal</v>
      </c>
    </row>
    <row r="502" spans="1:31">
      <c r="A502" t="s">
        <v>1712</v>
      </c>
      <c r="B502">
        <v>87821046</v>
      </c>
      <c r="C502" t="s">
        <v>1039</v>
      </c>
      <c r="D502" t="s">
        <v>998</v>
      </c>
      <c r="E502" t="s">
        <v>20</v>
      </c>
      <c r="F502" t="s">
        <v>92</v>
      </c>
      <c r="G502" t="s">
        <v>45</v>
      </c>
      <c r="I502" t="s">
        <v>3374</v>
      </c>
      <c r="J502">
        <v>1120.3</v>
      </c>
      <c r="K502" t="s">
        <v>39</v>
      </c>
      <c r="L502" t="s">
        <v>48</v>
      </c>
      <c r="M502" s="1">
        <v>44144.882638888892</v>
      </c>
      <c r="N502">
        <v>62</v>
      </c>
      <c r="O502" t="s">
        <v>93</v>
      </c>
      <c r="P502" t="s">
        <v>93</v>
      </c>
      <c r="Q502" t="s">
        <v>1713</v>
      </c>
      <c r="R502" t="str">
        <f t="shared" si="98"/>
        <v>Jean-Pierre Silva</v>
      </c>
      <c r="S502" t="str">
        <f t="shared" si="99"/>
        <v>Patricia Al-Sayed</v>
      </c>
      <c r="T502" t="str">
        <f t="shared" si="100"/>
        <v>AUD</v>
      </c>
      <c r="U502" s="7" t="str">
        <f t="shared" si="101"/>
        <v>ZAR</v>
      </c>
      <c r="V502" s="7" t="str">
        <f t="shared" si="102"/>
        <v>USA</v>
      </c>
      <c r="W502" s="7" t="str">
        <f t="shared" si="103"/>
        <v>USA</v>
      </c>
      <c r="X502" s="7" t="str">
        <f t="shared" si="104"/>
        <v>External</v>
      </c>
      <c r="Y502" s="7">
        <f t="shared" si="105"/>
        <v>1120.3</v>
      </c>
      <c r="Z502" s="7">
        <f t="shared" si="106"/>
        <v>62</v>
      </c>
      <c r="AA502" s="7">
        <f t="shared" si="107"/>
        <v>2020</v>
      </c>
      <c r="AB502" s="7">
        <f t="shared" si="108"/>
        <v>11</v>
      </c>
      <c r="AC502" s="7">
        <f t="shared" si="109"/>
        <v>1</v>
      </c>
      <c r="AD502" s="7" t="str">
        <f t="shared" si="110"/>
        <v>No</v>
      </c>
      <c r="AE502" s="7" t="str">
        <f t="shared" si="111"/>
        <v>Normal</v>
      </c>
    </row>
    <row r="503" spans="1:31">
      <c r="A503" t="s">
        <v>1714</v>
      </c>
      <c r="B503">
        <v>28793298</v>
      </c>
      <c r="C503" t="s">
        <v>408</v>
      </c>
      <c r="D503" t="s">
        <v>1022</v>
      </c>
      <c r="E503" t="s">
        <v>20</v>
      </c>
      <c r="F503" t="s">
        <v>34</v>
      </c>
      <c r="G503" t="s">
        <v>116</v>
      </c>
      <c r="I503" t="s">
        <v>3374</v>
      </c>
      <c r="J503">
        <v>6603.54</v>
      </c>
      <c r="K503" t="s">
        <v>57</v>
      </c>
      <c r="L503" t="s">
        <v>48</v>
      </c>
      <c r="M503" s="1">
        <v>44395.659722222219</v>
      </c>
      <c r="N503">
        <v>49</v>
      </c>
      <c r="O503" t="s">
        <v>93</v>
      </c>
      <c r="P503" t="s">
        <v>93</v>
      </c>
      <c r="Q503" t="s">
        <v>1715</v>
      </c>
      <c r="R503" t="str">
        <f t="shared" si="98"/>
        <v>Michael Taylor</v>
      </c>
      <c r="S503" t="str">
        <f t="shared" si="99"/>
        <v>Barbara Smith</v>
      </c>
      <c r="T503" t="str">
        <f t="shared" si="100"/>
        <v>CAD</v>
      </c>
      <c r="U503" s="7" t="str">
        <f t="shared" si="101"/>
        <v>CHF</v>
      </c>
      <c r="V503" s="7" t="str">
        <f t="shared" si="102"/>
        <v>USA</v>
      </c>
      <c r="W503" s="7" t="str">
        <f t="shared" si="103"/>
        <v>USA</v>
      </c>
      <c r="X503" s="7" t="str">
        <f t="shared" si="104"/>
        <v>External</v>
      </c>
      <c r="Y503" s="7">
        <f t="shared" si="105"/>
        <v>6603.54</v>
      </c>
      <c r="Z503" s="7">
        <f t="shared" si="106"/>
        <v>49</v>
      </c>
      <c r="AA503" s="7">
        <f t="shared" si="107"/>
        <v>2021</v>
      </c>
      <c r="AB503" s="7">
        <f t="shared" si="108"/>
        <v>7</v>
      </c>
      <c r="AC503" s="7">
        <f t="shared" si="109"/>
        <v>1</v>
      </c>
      <c r="AD503" s="7" t="str">
        <f t="shared" si="110"/>
        <v>No</v>
      </c>
      <c r="AE503" s="7" t="str">
        <f t="shared" si="111"/>
        <v>Normal</v>
      </c>
    </row>
    <row r="504" spans="1:31">
      <c r="A504" t="s">
        <v>1716</v>
      </c>
      <c r="B504">
        <v>88414664</v>
      </c>
      <c r="C504" t="s">
        <v>423</v>
      </c>
      <c r="E504" t="s">
        <v>20</v>
      </c>
      <c r="F504" t="s">
        <v>98</v>
      </c>
      <c r="G504" t="s">
        <v>92</v>
      </c>
      <c r="H504" t="s">
        <v>38</v>
      </c>
      <c r="I504" t="s">
        <v>3378</v>
      </c>
      <c r="J504">
        <v>7854.83</v>
      </c>
      <c r="K504" t="s">
        <v>39</v>
      </c>
      <c r="L504" t="s">
        <v>81</v>
      </c>
      <c r="M504" s="1">
        <v>45432.317361111112</v>
      </c>
      <c r="N504">
        <v>62</v>
      </c>
      <c r="O504" t="s">
        <v>93</v>
      </c>
      <c r="P504" t="s">
        <v>54</v>
      </c>
      <c r="Q504" t="s">
        <v>1717</v>
      </c>
      <c r="R504" t="str">
        <f t="shared" si="98"/>
        <v>John Rodriguez</v>
      </c>
      <c r="S504" t="str">
        <f t="shared" si="99"/>
        <v/>
      </c>
      <c r="T504" t="str">
        <f t="shared" si="100"/>
        <v>JPY</v>
      </c>
      <c r="U504" s="7" t="str">
        <f t="shared" si="101"/>
        <v>AUD</v>
      </c>
      <c r="V504" s="7" t="str">
        <f t="shared" si="102"/>
        <v>USA</v>
      </c>
      <c r="W504" s="7" t="str">
        <f t="shared" si="103"/>
        <v>India</v>
      </c>
      <c r="X504" s="7" t="str">
        <f t="shared" si="104"/>
        <v>Inter-Transaction</v>
      </c>
      <c r="Y504" s="7">
        <f t="shared" si="105"/>
        <v>7854.83</v>
      </c>
      <c r="Z504" s="7">
        <f t="shared" si="106"/>
        <v>62</v>
      </c>
      <c r="AA504" s="7">
        <f t="shared" si="107"/>
        <v>2024</v>
      </c>
      <c r="AB504" s="7">
        <f t="shared" si="108"/>
        <v>5</v>
      </c>
      <c r="AC504" s="7">
        <f t="shared" si="109"/>
        <v>1</v>
      </c>
      <c r="AD504" s="7" t="str">
        <f t="shared" si="110"/>
        <v>No</v>
      </c>
      <c r="AE504" s="7" t="str">
        <f t="shared" si="111"/>
        <v>Normal</v>
      </c>
    </row>
    <row r="505" spans="1:31">
      <c r="A505" t="s">
        <v>1718</v>
      </c>
      <c r="B505">
        <v>40106377</v>
      </c>
      <c r="C505" t="s">
        <v>405</v>
      </c>
      <c r="D505" t="s">
        <v>1719</v>
      </c>
      <c r="E505" t="s">
        <v>33</v>
      </c>
      <c r="F505" t="s">
        <v>35</v>
      </c>
      <c r="G505" t="s">
        <v>45</v>
      </c>
      <c r="I505" t="s">
        <v>3376</v>
      </c>
      <c r="J505">
        <v>13473.04</v>
      </c>
      <c r="K505" t="s">
        <v>47</v>
      </c>
      <c r="L505" t="s">
        <v>75</v>
      </c>
      <c r="M505" s="1">
        <v>44656.4</v>
      </c>
      <c r="N505">
        <v>78</v>
      </c>
      <c r="O505" t="s">
        <v>127</v>
      </c>
      <c r="P505" t="s">
        <v>36</v>
      </c>
      <c r="Q505" t="s">
        <v>1720</v>
      </c>
      <c r="R505" t="str">
        <f t="shared" si="98"/>
        <v>Michael Rodriguez</v>
      </c>
      <c r="S505" t="str">
        <f t="shared" si="99"/>
        <v xml:space="preserve"> Nancy Dubois   </v>
      </c>
      <c r="T505" t="str">
        <f t="shared" si="100"/>
        <v>EUR</v>
      </c>
      <c r="U505" s="7" t="str">
        <f t="shared" si="101"/>
        <v>ZAR</v>
      </c>
      <c r="V505" s="7" t="str">
        <f t="shared" si="102"/>
        <v>Canada</v>
      </c>
      <c r="W505" s="7" t="str">
        <f t="shared" si="103"/>
        <v>Germany</v>
      </c>
      <c r="X505" s="7" t="str">
        <f t="shared" si="104"/>
        <v>Internal</v>
      </c>
      <c r="Y505" s="7">
        <f t="shared" si="105"/>
        <v>13473.04</v>
      </c>
      <c r="Z505" s="7">
        <f t="shared" si="106"/>
        <v>78</v>
      </c>
      <c r="AA505" s="7">
        <f t="shared" si="107"/>
        <v>2022</v>
      </c>
      <c r="AB505" s="7">
        <f t="shared" si="108"/>
        <v>4</v>
      </c>
      <c r="AC505" s="7">
        <f t="shared" si="109"/>
        <v>1</v>
      </c>
      <c r="AD505" s="7" t="str">
        <f t="shared" si="110"/>
        <v>No</v>
      </c>
      <c r="AE505" s="7" t="str">
        <f t="shared" si="111"/>
        <v>High Risk</v>
      </c>
    </row>
    <row r="506" spans="1:31">
      <c r="A506" t="s">
        <v>1721</v>
      </c>
      <c r="B506">
        <v>20663234</v>
      </c>
      <c r="C506" t="s">
        <v>882</v>
      </c>
      <c r="D506" t="s">
        <v>396</v>
      </c>
      <c r="E506" t="s">
        <v>20</v>
      </c>
      <c r="F506" t="s">
        <v>121</v>
      </c>
      <c r="G506" t="s">
        <v>53</v>
      </c>
      <c r="I506" t="s">
        <v>3372</v>
      </c>
      <c r="J506">
        <v>2669.69</v>
      </c>
      <c r="K506" t="s">
        <v>27</v>
      </c>
      <c r="L506" t="s">
        <v>75</v>
      </c>
      <c r="M506" s="1">
        <v>46384.714583333334</v>
      </c>
      <c r="N506">
        <v>64</v>
      </c>
      <c r="O506" t="s">
        <v>54</v>
      </c>
      <c r="P506" t="s">
        <v>37</v>
      </c>
      <c r="Q506" t="s">
        <v>1722</v>
      </c>
      <c r="R506" t="str">
        <f t="shared" si="98"/>
        <v>Lucas Johnson</v>
      </c>
      <c r="S506" t="str">
        <f t="shared" si="99"/>
        <v>Thomas Jackson</v>
      </c>
      <c r="T506" t="str">
        <f t="shared" si="100"/>
        <v>INR</v>
      </c>
      <c r="U506" s="7" t="str">
        <f t="shared" si="101"/>
        <v>AED</v>
      </c>
      <c r="V506" s="7" t="str">
        <f t="shared" si="102"/>
        <v>India</v>
      </c>
      <c r="W506" s="7" t="str">
        <f t="shared" si="103"/>
        <v>South Africa</v>
      </c>
      <c r="X506" s="7" t="str">
        <f t="shared" si="104"/>
        <v>Outer-Transaction</v>
      </c>
      <c r="Y506" s="7">
        <f t="shared" si="105"/>
        <v>2669.69</v>
      </c>
      <c r="Z506" s="7">
        <f t="shared" si="106"/>
        <v>64</v>
      </c>
      <c r="AA506" s="7">
        <f t="shared" si="107"/>
        <v>2026</v>
      </c>
      <c r="AB506" s="7">
        <f t="shared" si="108"/>
        <v>12</v>
      </c>
      <c r="AC506" s="7">
        <f t="shared" si="109"/>
        <v>1</v>
      </c>
      <c r="AD506" s="7" t="str">
        <f t="shared" si="110"/>
        <v>No</v>
      </c>
      <c r="AE506" s="7" t="str">
        <f t="shared" si="111"/>
        <v>High Risk</v>
      </c>
    </row>
    <row r="507" spans="1:31">
      <c r="A507" t="s">
        <v>1723</v>
      </c>
      <c r="C507" t="s">
        <v>78</v>
      </c>
      <c r="D507" t="s">
        <v>563</v>
      </c>
      <c r="E507" t="s">
        <v>20</v>
      </c>
      <c r="F507" t="s">
        <v>35</v>
      </c>
      <c r="G507" t="s">
        <v>98</v>
      </c>
      <c r="H507" t="s">
        <v>56</v>
      </c>
      <c r="I507" t="s">
        <v>3377</v>
      </c>
      <c r="J507">
        <v>7145.78</v>
      </c>
      <c r="K507" t="s">
        <v>86</v>
      </c>
      <c r="L507" t="s">
        <v>48</v>
      </c>
      <c r="M507" s="1">
        <v>44936.401388888888</v>
      </c>
      <c r="N507">
        <v>38</v>
      </c>
      <c r="O507" t="s">
        <v>23</v>
      </c>
      <c r="P507" t="s">
        <v>55</v>
      </c>
      <c r="Q507" t="s">
        <v>1724</v>
      </c>
      <c r="R507" t="str">
        <f t="shared" si="98"/>
        <v>Elizabeth Jackson</v>
      </c>
      <c r="S507" t="str">
        <f t="shared" si="99"/>
        <v>Jean-Pierre Jackson</v>
      </c>
      <c r="T507" t="str">
        <f t="shared" si="100"/>
        <v>EUR</v>
      </c>
      <c r="U507" s="7" t="str">
        <f t="shared" si="101"/>
        <v>JPY</v>
      </c>
      <c r="V507" s="7" t="str">
        <f t="shared" si="102"/>
        <v>France</v>
      </c>
      <c r="W507" s="7" t="str">
        <f t="shared" si="103"/>
        <v>UK</v>
      </c>
      <c r="X507" s="7" t="str">
        <f t="shared" si="104"/>
        <v>Inter-Transaction</v>
      </c>
      <c r="Y507" s="7">
        <f t="shared" si="105"/>
        <v>7145.78</v>
      </c>
      <c r="Z507" s="7">
        <f t="shared" si="106"/>
        <v>38</v>
      </c>
      <c r="AA507" s="7">
        <f t="shared" si="107"/>
        <v>2023</v>
      </c>
      <c r="AB507" s="7">
        <f t="shared" si="108"/>
        <v>1</v>
      </c>
      <c r="AC507" s="7">
        <f t="shared" si="109"/>
        <v>1</v>
      </c>
      <c r="AD507" s="7" t="str">
        <f t="shared" si="110"/>
        <v>No</v>
      </c>
      <c r="AE507" s="7" t="str">
        <f t="shared" si="111"/>
        <v>Normal</v>
      </c>
    </row>
    <row r="508" spans="1:31">
      <c r="A508" t="s">
        <v>1725</v>
      </c>
      <c r="B508">
        <v>89045858</v>
      </c>
      <c r="C508" t="s">
        <v>1080</v>
      </c>
      <c r="D508" t="s">
        <v>1258</v>
      </c>
      <c r="E508" t="s">
        <v>20</v>
      </c>
      <c r="F508" t="s">
        <v>80</v>
      </c>
      <c r="G508" t="s">
        <v>53</v>
      </c>
      <c r="H508" t="s">
        <v>38</v>
      </c>
      <c r="I508" t="s">
        <v>3378</v>
      </c>
      <c r="J508">
        <v>14272.02</v>
      </c>
      <c r="K508" t="s">
        <v>57</v>
      </c>
      <c r="L508" t="s">
        <v>75</v>
      </c>
      <c r="M508" s="1">
        <v>44856.708333333336</v>
      </c>
      <c r="N508">
        <v>53</v>
      </c>
      <c r="O508" t="s">
        <v>127</v>
      </c>
      <c r="P508" t="s">
        <v>24</v>
      </c>
      <c r="Q508" t="s">
        <v>1726</v>
      </c>
      <c r="R508" t="str">
        <f t="shared" si="98"/>
        <v>Lucas Nair</v>
      </c>
      <c r="S508" t="str">
        <f t="shared" si="99"/>
        <v>Nancy Dubois</v>
      </c>
      <c r="T508" t="str">
        <f t="shared" si="100"/>
        <v>USD</v>
      </c>
      <c r="U508" s="7" t="str">
        <f t="shared" si="101"/>
        <v>AED</v>
      </c>
      <c r="V508" s="7" t="str">
        <f t="shared" si="102"/>
        <v>Canada</v>
      </c>
      <c r="W508" s="7" t="str">
        <f t="shared" si="103"/>
        <v>Brazil</v>
      </c>
      <c r="X508" s="7" t="str">
        <f t="shared" si="104"/>
        <v>Inter-Transaction</v>
      </c>
      <c r="Y508" s="7">
        <f t="shared" si="105"/>
        <v>14272.02</v>
      </c>
      <c r="Z508" s="7">
        <f t="shared" si="106"/>
        <v>53</v>
      </c>
      <c r="AA508" s="7">
        <f t="shared" si="107"/>
        <v>2022</v>
      </c>
      <c r="AB508" s="7">
        <f t="shared" si="108"/>
        <v>10</v>
      </c>
      <c r="AC508" s="7">
        <f t="shared" si="109"/>
        <v>1</v>
      </c>
      <c r="AD508" s="7" t="str">
        <f t="shared" si="110"/>
        <v>No</v>
      </c>
      <c r="AE508" s="7" t="str">
        <f t="shared" si="111"/>
        <v>High Risk</v>
      </c>
    </row>
    <row r="509" spans="1:31">
      <c r="A509" t="s">
        <v>1727</v>
      </c>
      <c r="B509">
        <v>10874735</v>
      </c>
      <c r="C509" t="s">
        <v>1728</v>
      </c>
      <c r="D509" t="s">
        <v>1729</v>
      </c>
      <c r="E509" t="s">
        <v>20</v>
      </c>
      <c r="F509" t="s">
        <v>21</v>
      </c>
      <c r="G509" t="s">
        <v>35</v>
      </c>
      <c r="I509" t="s">
        <v>3376</v>
      </c>
      <c r="J509">
        <v>12340.14</v>
      </c>
      <c r="K509" t="s">
        <v>47</v>
      </c>
      <c r="L509" t="s">
        <v>28</v>
      </c>
      <c r="M509" s="1">
        <v>46082.263888888891</v>
      </c>
      <c r="N509">
        <v>36</v>
      </c>
      <c r="O509" t="s">
        <v>37</v>
      </c>
      <c r="P509" t="s">
        <v>37</v>
      </c>
      <c r="Q509" t="s">
        <v>1730</v>
      </c>
      <c r="R509" t="str">
        <f t="shared" si="98"/>
        <v>Richard Volkov</v>
      </c>
      <c r="S509" t="str">
        <f t="shared" si="99"/>
        <v>Charles Thomas</v>
      </c>
      <c r="T509" t="str">
        <f t="shared" si="100"/>
        <v>GBP</v>
      </c>
      <c r="U509" s="7" t="str">
        <f t="shared" si="101"/>
        <v>EUR</v>
      </c>
      <c r="V509" s="7" t="str">
        <f t="shared" si="102"/>
        <v>South Africa</v>
      </c>
      <c r="W509" s="7" t="str">
        <f t="shared" si="103"/>
        <v>South Africa</v>
      </c>
      <c r="X509" s="7" t="str">
        <f t="shared" si="104"/>
        <v>Internal</v>
      </c>
      <c r="Y509" s="7">
        <f t="shared" si="105"/>
        <v>12340.14</v>
      </c>
      <c r="Z509" s="7">
        <f t="shared" si="106"/>
        <v>36</v>
      </c>
      <c r="AA509" s="7">
        <f t="shared" si="107"/>
        <v>2026</v>
      </c>
      <c r="AB509" s="7">
        <f t="shared" si="108"/>
        <v>3</v>
      </c>
      <c r="AC509" s="7">
        <f t="shared" si="109"/>
        <v>1</v>
      </c>
      <c r="AD509" s="7" t="str">
        <f t="shared" si="110"/>
        <v>No</v>
      </c>
      <c r="AE509" s="7" t="str">
        <f t="shared" si="111"/>
        <v>Normal</v>
      </c>
    </row>
    <row r="510" spans="1:31">
      <c r="A510" t="s">
        <v>1731</v>
      </c>
      <c r="B510">
        <v>86639453</v>
      </c>
      <c r="C510" t="s">
        <v>290</v>
      </c>
      <c r="D510" t="s">
        <v>570</v>
      </c>
      <c r="E510" t="s">
        <v>20</v>
      </c>
      <c r="F510" t="s">
        <v>92</v>
      </c>
      <c r="G510" t="s">
        <v>21</v>
      </c>
      <c r="I510" t="s">
        <v>3376</v>
      </c>
      <c r="J510">
        <v>11833.34</v>
      </c>
      <c r="K510" t="s">
        <v>57</v>
      </c>
      <c r="L510" t="s">
        <v>48</v>
      </c>
      <c r="M510" s="1">
        <v>44492.009722222225</v>
      </c>
      <c r="N510">
        <v>37</v>
      </c>
      <c r="O510" t="s">
        <v>23</v>
      </c>
      <c r="P510" t="s">
        <v>54</v>
      </c>
      <c r="Q510" t="s">
        <v>1732</v>
      </c>
      <c r="R510" t="str">
        <f t="shared" si="98"/>
        <v>Marta Jones</v>
      </c>
      <c r="S510" t="str">
        <f t="shared" si="99"/>
        <v>Richard Garcia</v>
      </c>
      <c r="T510" t="str">
        <f t="shared" si="100"/>
        <v>AUD</v>
      </c>
      <c r="U510" s="7" t="str">
        <f t="shared" si="101"/>
        <v>GBP</v>
      </c>
      <c r="V510" s="7" t="str">
        <f t="shared" si="102"/>
        <v>France</v>
      </c>
      <c r="W510" s="7" t="str">
        <f t="shared" si="103"/>
        <v>India</v>
      </c>
      <c r="X510" s="7" t="str">
        <f t="shared" si="104"/>
        <v>Internal</v>
      </c>
      <c r="Y510" s="7">
        <f t="shared" si="105"/>
        <v>11833.34</v>
      </c>
      <c r="Z510" s="7">
        <f t="shared" si="106"/>
        <v>37</v>
      </c>
      <c r="AA510" s="7">
        <f t="shared" si="107"/>
        <v>2021</v>
      </c>
      <c r="AB510" s="7">
        <f t="shared" si="108"/>
        <v>10</v>
      </c>
      <c r="AC510" s="7">
        <f t="shared" si="109"/>
        <v>1</v>
      </c>
      <c r="AD510" s="7" t="str">
        <f t="shared" si="110"/>
        <v>No</v>
      </c>
      <c r="AE510" s="7" t="str">
        <f t="shared" si="111"/>
        <v>Normal</v>
      </c>
    </row>
    <row r="511" spans="1:31">
      <c r="A511" t="s">
        <v>1733</v>
      </c>
      <c r="B511">
        <v>70358769</v>
      </c>
      <c r="C511" t="s">
        <v>1676</v>
      </c>
      <c r="D511" t="s">
        <v>207</v>
      </c>
      <c r="E511" t="s">
        <v>3375</v>
      </c>
      <c r="F511" t="s">
        <v>112</v>
      </c>
      <c r="G511" t="s">
        <v>92</v>
      </c>
      <c r="H511" t="s">
        <v>103</v>
      </c>
      <c r="I511" t="s">
        <v>3377</v>
      </c>
      <c r="J511">
        <v>12279.81</v>
      </c>
      <c r="K511" t="s">
        <v>47</v>
      </c>
      <c r="L511" t="s">
        <v>48</v>
      </c>
      <c r="M511" s="1">
        <v>44635.165972222225</v>
      </c>
      <c r="N511">
        <v>74</v>
      </c>
      <c r="O511" t="s">
        <v>55</v>
      </c>
      <c r="P511" t="s">
        <v>93</v>
      </c>
      <c r="Q511" t="s">
        <v>1734</v>
      </c>
      <c r="R511" t="str">
        <f t="shared" si="98"/>
        <v>Barbara Wilson</v>
      </c>
      <c r="S511" t="str">
        <f t="shared" si="99"/>
        <v>Christopher Gonzalez</v>
      </c>
      <c r="T511" t="str">
        <f t="shared" si="100"/>
        <v>usd</v>
      </c>
      <c r="U511" s="7" t="str">
        <f t="shared" si="101"/>
        <v>AUD</v>
      </c>
      <c r="V511" s="7" t="str">
        <f t="shared" si="102"/>
        <v>UK</v>
      </c>
      <c r="W511" s="7" t="str">
        <f t="shared" si="103"/>
        <v>USA</v>
      </c>
      <c r="X511" s="7" t="str">
        <f t="shared" si="104"/>
        <v>Inter-Transaction</v>
      </c>
      <c r="Y511" s="7">
        <f t="shared" si="105"/>
        <v>12279.81</v>
      </c>
      <c r="Z511" s="7">
        <f t="shared" si="106"/>
        <v>74</v>
      </c>
      <c r="AA511" s="7">
        <f t="shared" si="107"/>
        <v>2022</v>
      </c>
      <c r="AB511" s="7">
        <f t="shared" si="108"/>
        <v>3</v>
      </c>
      <c r="AC511" s="7">
        <f t="shared" si="109"/>
        <v>1</v>
      </c>
      <c r="AD511" s="7" t="str">
        <f t="shared" si="110"/>
        <v>No</v>
      </c>
      <c r="AE511" s="7" t="str">
        <f t="shared" si="111"/>
        <v>Normal</v>
      </c>
    </row>
    <row r="512" spans="1:31">
      <c r="A512" t="s">
        <v>1735</v>
      </c>
      <c r="B512">
        <v>38854107</v>
      </c>
      <c r="C512" t="s">
        <v>204</v>
      </c>
      <c r="D512" t="s">
        <v>401</v>
      </c>
      <c r="E512" t="s">
        <v>20</v>
      </c>
      <c r="F512" t="s">
        <v>35</v>
      </c>
      <c r="G512" t="s">
        <v>121</v>
      </c>
      <c r="H512" t="s">
        <v>25</v>
      </c>
      <c r="I512" t="s">
        <v>3374</v>
      </c>
      <c r="J512">
        <v>5857.04</v>
      </c>
      <c r="K512" t="s">
        <v>39</v>
      </c>
      <c r="L512" t="s">
        <v>48</v>
      </c>
      <c r="M512" s="1">
        <v>46282.79791666667</v>
      </c>
      <c r="N512">
        <v>35</v>
      </c>
      <c r="O512" t="s">
        <v>68</v>
      </c>
      <c r="P512" t="s">
        <v>24</v>
      </c>
      <c r="Q512" t="s">
        <v>1736</v>
      </c>
      <c r="R512" t="str">
        <f t="shared" si="98"/>
        <v>Nancy Taylor</v>
      </c>
      <c r="S512" t="str">
        <f t="shared" si="99"/>
        <v>Thomas Malik</v>
      </c>
      <c r="T512" t="str">
        <f t="shared" si="100"/>
        <v>EUR</v>
      </c>
      <c r="U512" s="7" t="str">
        <f t="shared" si="101"/>
        <v>INR</v>
      </c>
      <c r="V512" s="7" t="str">
        <f t="shared" si="102"/>
        <v>UAE</v>
      </c>
      <c r="W512" s="7" t="str">
        <f t="shared" si="103"/>
        <v>Brazil</v>
      </c>
      <c r="X512" s="7" t="str">
        <f t="shared" si="104"/>
        <v>External</v>
      </c>
      <c r="Y512" s="7">
        <f t="shared" si="105"/>
        <v>5857.04</v>
      </c>
      <c r="Z512" s="7">
        <f t="shared" si="106"/>
        <v>35</v>
      </c>
      <c r="AA512" s="7">
        <f t="shared" si="107"/>
        <v>2026</v>
      </c>
      <c r="AB512" s="7">
        <f t="shared" si="108"/>
        <v>9</v>
      </c>
      <c r="AC512" s="7">
        <f t="shared" si="109"/>
        <v>1</v>
      </c>
      <c r="AD512" s="7" t="str">
        <f t="shared" si="110"/>
        <v>No</v>
      </c>
      <c r="AE512" s="7" t="str">
        <f t="shared" si="111"/>
        <v>Normal</v>
      </c>
    </row>
    <row r="513" spans="1:31">
      <c r="A513" t="s">
        <v>1737</v>
      </c>
      <c r="B513">
        <v>24902300</v>
      </c>
      <c r="C513" t="s">
        <v>1738</v>
      </c>
      <c r="D513" t="s">
        <v>1656</v>
      </c>
      <c r="E513" t="s">
        <v>20</v>
      </c>
      <c r="F513" t="s">
        <v>22</v>
      </c>
      <c r="G513" t="s">
        <v>92</v>
      </c>
      <c r="H513" t="s">
        <v>56</v>
      </c>
      <c r="I513" t="s">
        <v>3371</v>
      </c>
      <c r="J513">
        <v>4924.3500000000004</v>
      </c>
      <c r="K513" t="s">
        <v>27</v>
      </c>
      <c r="L513" t="s">
        <v>75</v>
      </c>
      <c r="M513" s="1">
        <v>44366.944444444445</v>
      </c>
      <c r="N513">
        <v>64</v>
      </c>
      <c r="O513" t="s">
        <v>127</v>
      </c>
      <c r="P513" t="s">
        <v>93</v>
      </c>
      <c r="Q513" t="s">
        <v>1739</v>
      </c>
      <c r="R513" t="str">
        <f t="shared" si="98"/>
        <v>Sarah Jones</v>
      </c>
      <c r="S513" t="str">
        <f t="shared" si="99"/>
        <v>Carlos Al-Sayed</v>
      </c>
      <c r="T513" t="str">
        <f t="shared" si="100"/>
        <v>BRL</v>
      </c>
      <c r="U513" s="7" t="str">
        <f t="shared" si="101"/>
        <v>AUD</v>
      </c>
      <c r="V513" s="7" t="str">
        <f t="shared" si="102"/>
        <v>Canada</v>
      </c>
      <c r="W513" s="7" t="str">
        <f t="shared" si="103"/>
        <v>USA</v>
      </c>
      <c r="X513" s="7" t="str">
        <f t="shared" si="104"/>
        <v>Outer-Transaction</v>
      </c>
      <c r="Y513" s="7">
        <f t="shared" si="105"/>
        <v>4924.3500000000004</v>
      </c>
      <c r="Z513" s="7">
        <f t="shared" si="106"/>
        <v>64</v>
      </c>
      <c r="AA513" s="7">
        <f t="shared" si="107"/>
        <v>2021</v>
      </c>
      <c r="AB513" s="7">
        <f t="shared" si="108"/>
        <v>6</v>
      </c>
      <c r="AC513" s="7">
        <f t="shared" si="109"/>
        <v>1</v>
      </c>
      <c r="AD513" s="7" t="str">
        <f t="shared" si="110"/>
        <v>No</v>
      </c>
      <c r="AE513" s="7" t="str">
        <f t="shared" si="111"/>
        <v>High Risk</v>
      </c>
    </row>
    <row r="514" spans="1:31">
      <c r="A514" t="s">
        <v>1740</v>
      </c>
      <c r="B514">
        <v>58483417</v>
      </c>
      <c r="C514" t="s">
        <v>1741</v>
      </c>
      <c r="D514" t="s">
        <v>1578</v>
      </c>
      <c r="E514" t="s">
        <v>3373</v>
      </c>
      <c r="F514" t="s">
        <v>21</v>
      </c>
      <c r="G514" t="s">
        <v>34</v>
      </c>
      <c r="H514" t="s">
        <v>103</v>
      </c>
      <c r="I514" t="s">
        <v>3376</v>
      </c>
      <c r="J514">
        <v>11217.28</v>
      </c>
      <c r="K514" t="s">
        <v>86</v>
      </c>
      <c r="L514" t="s">
        <v>48</v>
      </c>
      <c r="M514" s="1">
        <v>45222.082638888889</v>
      </c>
      <c r="N514">
        <v>66</v>
      </c>
      <c r="O514" t="s">
        <v>36</v>
      </c>
      <c r="P514" t="s">
        <v>55</v>
      </c>
      <c r="Q514" t="s">
        <v>1742</v>
      </c>
      <c r="R514" t="str">
        <f t="shared" ref="R514:R577" si="112">TRIM(C514)</f>
        <v>Carlos Dubois</v>
      </c>
      <c r="S514" t="str">
        <f t="shared" ref="S514:S577" si="113">PROPER(D514)</f>
        <v>Thomas Al-Sayed</v>
      </c>
      <c r="T514" t="str">
        <f t="shared" ref="T514:T577" si="114">TRIM(F514)</f>
        <v>GBP</v>
      </c>
      <c r="U514" s="7" t="str">
        <f t="shared" ref="U514:U577" si="115">TRIM(G514)</f>
        <v>CAD</v>
      </c>
      <c r="V514" s="7" t="str">
        <f t="shared" ref="V514:V577" si="116">TRIM(O514)</f>
        <v>Germany</v>
      </c>
      <c r="W514" s="7" t="str">
        <f t="shared" ref="W514:W577" si="117">TRIM(P514)</f>
        <v>UK</v>
      </c>
      <c r="X514" s="7" t="str">
        <f t="shared" ref="X514:X577" si="118">PROPER(I514)</f>
        <v>Internal</v>
      </c>
      <c r="Y514" s="7">
        <f t="shared" ref="Y514:Y577" si="119">IF(J514="",AVERAGE($J:$J),J514)</f>
        <v>11217.28</v>
      </c>
      <c r="Z514" s="7">
        <f t="shared" ref="Z514:Z577" si="120">IF(N514="",AVERAGE($N:$N),N514)</f>
        <v>66</v>
      </c>
      <c r="AA514" s="7">
        <f t="shared" ref="AA514:AA577" si="121">YEAR(M514)</f>
        <v>2023</v>
      </c>
      <c r="AB514" s="7">
        <f t="shared" ref="AB514:AB577" si="122">MONTH(M514)</f>
        <v>10</v>
      </c>
      <c r="AC514" s="7">
        <f t="shared" ref="AC514:AC577" si="123">COUNTIF(A:A,A514)</f>
        <v>1</v>
      </c>
      <c r="AD514" s="7" t="str">
        <f t="shared" ref="AD514:AD577" si="124">IF(C514="YES","Yes","No")</f>
        <v>No</v>
      </c>
      <c r="AE514" s="7" t="str">
        <f t="shared" ref="AE514:AE577" si="125">IF(L514="HIGH","High Risk","Normal")</f>
        <v>Normal</v>
      </c>
    </row>
    <row r="515" spans="1:31">
      <c r="A515" t="s">
        <v>1743</v>
      </c>
      <c r="B515">
        <v>60126880</v>
      </c>
      <c r="C515" t="s">
        <v>224</v>
      </c>
      <c r="D515" t="s">
        <v>1744</v>
      </c>
      <c r="E515">
        <v>1</v>
      </c>
      <c r="F515" t="s">
        <v>34</v>
      </c>
      <c r="G515" t="s">
        <v>98</v>
      </c>
      <c r="H515" t="s">
        <v>38</v>
      </c>
      <c r="I515" t="s">
        <v>3377</v>
      </c>
      <c r="J515">
        <v>7981.12</v>
      </c>
      <c r="K515" t="s">
        <v>27</v>
      </c>
      <c r="L515" t="s">
        <v>28</v>
      </c>
      <c r="M515" s="1">
        <v>45066.574305555558</v>
      </c>
      <c r="N515">
        <v>31</v>
      </c>
      <c r="O515" t="s">
        <v>23</v>
      </c>
      <c r="P515" t="s">
        <v>36</v>
      </c>
      <c r="Q515" t="s">
        <v>1745</v>
      </c>
      <c r="R515" t="str">
        <f t="shared" si="112"/>
        <v>John Jackson</v>
      </c>
      <c r="S515" t="str">
        <f t="shared" si="113"/>
        <v>Jessica Johnson</v>
      </c>
      <c r="T515" t="str">
        <f t="shared" si="114"/>
        <v>CAD</v>
      </c>
      <c r="U515" s="7" t="str">
        <f t="shared" si="115"/>
        <v>JPY</v>
      </c>
      <c r="V515" s="7" t="str">
        <f t="shared" si="116"/>
        <v>France</v>
      </c>
      <c r="W515" s="7" t="str">
        <f t="shared" si="117"/>
        <v>Germany</v>
      </c>
      <c r="X515" s="7" t="str">
        <f t="shared" si="118"/>
        <v>Inter-Transaction</v>
      </c>
      <c r="Y515" s="7">
        <f t="shared" si="119"/>
        <v>7981.12</v>
      </c>
      <c r="Z515" s="7">
        <f t="shared" si="120"/>
        <v>31</v>
      </c>
      <c r="AA515" s="7">
        <f t="shared" si="121"/>
        <v>2023</v>
      </c>
      <c r="AB515" s="7">
        <f t="shared" si="122"/>
        <v>5</v>
      </c>
      <c r="AC515" s="7">
        <f t="shared" si="123"/>
        <v>1</v>
      </c>
      <c r="AD515" s="7" t="str">
        <f t="shared" si="124"/>
        <v>No</v>
      </c>
      <c r="AE515" s="7" t="str">
        <f t="shared" si="125"/>
        <v>Normal</v>
      </c>
    </row>
    <row r="516" spans="1:31">
      <c r="A516" t="s">
        <v>1746</v>
      </c>
      <c r="B516">
        <v>30428651</v>
      </c>
      <c r="C516" t="s">
        <v>1747</v>
      </c>
      <c r="D516" t="s">
        <v>1748</v>
      </c>
      <c r="E516" t="s">
        <v>20</v>
      </c>
      <c r="F516" t="s">
        <v>34</v>
      </c>
      <c r="G516" t="s">
        <v>44</v>
      </c>
      <c r="H516" t="s">
        <v>38</v>
      </c>
      <c r="I516" t="s">
        <v>3378</v>
      </c>
      <c r="J516">
        <v>105.25</v>
      </c>
      <c r="K516" t="s">
        <v>39</v>
      </c>
      <c r="L516" t="s">
        <v>28</v>
      </c>
      <c r="M516" s="1">
        <v>45751.022916666669</v>
      </c>
      <c r="N516">
        <v>32</v>
      </c>
      <c r="O516" t="s">
        <v>37</v>
      </c>
      <c r="P516" t="s">
        <v>37</v>
      </c>
      <c r="Q516" t="s">
        <v>1749</v>
      </c>
      <c r="R516" t="str">
        <f t="shared" si="112"/>
        <v>Sanjay Hernandez</v>
      </c>
      <c r="S516" t="str">
        <f t="shared" si="113"/>
        <v xml:space="preserve"> Robert Garcia   </v>
      </c>
      <c r="T516" t="str">
        <f t="shared" si="114"/>
        <v>CAD</v>
      </c>
      <c r="U516" s="7" t="str">
        <f t="shared" si="115"/>
        <v>SGD</v>
      </c>
      <c r="V516" s="7" t="str">
        <f t="shared" si="116"/>
        <v>South Africa</v>
      </c>
      <c r="W516" s="7" t="str">
        <f t="shared" si="117"/>
        <v>South Africa</v>
      </c>
      <c r="X516" s="7" t="str">
        <f t="shared" si="118"/>
        <v>Inter-Transaction</v>
      </c>
      <c r="Y516" s="7">
        <f t="shared" si="119"/>
        <v>105.25</v>
      </c>
      <c r="Z516" s="7">
        <f t="shared" si="120"/>
        <v>32</v>
      </c>
      <c r="AA516" s="7">
        <f t="shared" si="121"/>
        <v>2025</v>
      </c>
      <c r="AB516" s="7">
        <f t="shared" si="122"/>
        <v>4</v>
      </c>
      <c r="AC516" s="7">
        <f t="shared" si="123"/>
        <v>1</v>
      </c>
      <c r="AD516" s="7" t="str">
        <f t="shared" si="124"/>
        <v>No</v>
      </c>
      <c r="AE516" s="7" t="str">
        <f t="shared" si="125"/>
        <v>Normal</v>
      </c>
    </row>
    <row r="517" spans="1:31">
      <c r="A517" t="s">
        <v>1750</v>
      </c>
      <c r="B517">
        <v>99308727</v>
      </c>
      <c r="C517" t="s">
        <v>377</v>
      </c>
      <c r="D517" t="s">
        <v>1751</v>
      </c>
      <c r="E517">
        <v>0</v>
      </c>
      <c r="F517" t="s">
        <v>22</v>
      </c>
      <c r="G517" t="s">
        <v>116</v>
      </c>
      <c r="H517" t="s">
        <v>38</v>
      </c>
      <c r="I517" t="s">
        <v>3377</v>
      </c>
      <c r="J517">
        <v>11694.15</v>
      </c>
      <c r="K517" t="s">
        <v>27</v>
      </c>
      <c r="L517" t="s">
        <v>75</v>
      </c>
      <c r="M517" s="1">
        <v>45995.256249999999</v>
      </c>
      <c r="N517">
        <v>48</v>
      </c>
      <c r="O517" t="s">
        <v>55</v>
      </c>
      <c r="P517" t="s">
        <v>37</v>
      </c>
      <c r="Q517" t="s">
        <v>1752</v>
      </c>
      <c r="R517" t="str">
        <f t="shared" si="112"/>
        <v>William Dubois</v>
      </c>
      <c r="S517" t="str">
        <f t="shared" si="113"/>
        <v xml:space="preserve"> Amir Jackson   </v>
      </c>
      <c r="T517" t="str">
        <f t="shared" si="114"/>
        <v>BRL</v>
      </c>
      <c r="U517" s="7" t="str">
        <f t="shared" si="115"/>
        <v>CHF</v>
      </c>
      <c r="V517" s="7" t="str">
        <f t="shared" si="116"/>
        <v>UK</v>
      </c>
      <c r="W517" s="7" t="str">
        <f t="shared" si="117"/>
        <v>South Africa</v>
      </c>
      <c r="X517" s="7" t="str">
        <f t="shared" si="118"/>
        <v>Inter-Transaction</v>
      </c>
      <c r="Y517" s="7">
        <f t="shared" si="119"/>
        <v>11694.15</v>
      </c>
      <c r="Z517" s="7">
        <f t="shared" si="120"/>
        <v>48</v>
      </c>
      <c r="AA517" s="7">
        <f t="shared" si="121"/>
        <v>2025</v>
      </c>
      <c r="AB517" s="7">
        <f t="shared" si="122"/>
        <v>12</v>
      </c>
      <c r="AC517" s="7">
        <f t="shared" si="123"/>
        <v>1</v>
      </c>
      <c r="AD517" s="7" t="str">
        <f t="shared" si="124"/>
        <v>No</v>
      </c>
      <c r="AE517" s="7" t="str">
        <f t="shared" si="125"/>
        <v>High Risk</v>
      </c>
    </row>
    <row r="518" spans="1:31">
      <c r="A518" t="s">
        <v>1753</v>
      </c>
      <c r="B518">
        <v>39156896</v>
      </c>
      <c r="C518" t="s">
        <v>1754</v>
      </c>
      <c r="D518" t="s">
        <v>1421</v>
      </c>
      <c r="E518" t="s">
        <v>3373</v>
      </c>
      <c r="F518" t="s">
        <v>44</v>
      </c>
      <c r="G518" t="s">
        <v>35</v>
      </c>
      <c r="H518" t="s">
        <v>56</v>
      </c>
      <c r="I518" t="s">
        <v>3377</v>
      </c>
      <c r="J518">
        <v>6707.72</v>
      </c>
      <c r="K518" t="s">
        <v>39</v>
      </c>
      <c r="L518" t="s">
        <v>48</v>
      </c>
      <c r="M518" s="1">
        <v>44458.888194444444</v>
      </c>
      <c r="N518">
        <v>18</v>
      </c>
      <c r="O518" t="s">
        <v>54</v>
      </c>
      <c r="P518" t="s">
        <v>127</v>
      </c>
      <c r="Q518" t="s">
        <v>1755</v>
      </c>
      <c r="R518" t="str">
        <f t="shared" si="112"/>
        <v>Jean-Pierre Lopez</v>
      </c>
      <c r="S518" t="str">
        <f t="shared" si="113"/>
        <v>John Jones</v>
      </c>
      <c r="T518" t="str">
        <f t="shared" si="114"/>
        <v>SGD</v>
      </c>
      <c r="U518" s="7" t="str">
        <f t="shared" si="115"/>
        <v>EUR</v>
      </c>
      <c r="V518" s="7" t="str">
        <f t="shared" si="116"/>
        <v>India</v>
      </c>
      <c r="W518" s="7" t="str">
        <f t="shared" si="117"/>
        <v>Canada</v>
      </c>
      <c r="X518" s="7" t="str">
        <f t="shared" si="118"/>
        <v>Inter-Transaction</v>
      </c>
      <c r="Y518" s="7">
        <f t="shared" si="119"/>
        <v>6707.72</v>
      </c>
      <c r="Z518" s="7">
        <f t="shared" si="120"/>
        <v>18</v>
      </c>
      <c r="AA518" s="7">
        <f t="shared" si="121"/>
        <v>2021</v>
      </c>
      <c r="AB518" s="7">
        <f t="shared" si="122"/>
        <v>9</v>
      </c>
      <c r="AC518" s="7">
        <f t="shared" si="123"/>
        <v>1</v>
      </c>
      <c r="AD518" s="7" t="str">
        <f t="shared" si="124"/>
        <v>No</v>
      </c>
      <c r="AE518" s="7" t="str">
        <f t="shared" si="125"/>
        <v>Normal</v>
      </c>
    </row>
    <row r="519" spans="1:31">
      <c r="A519" t="s">
        <v>1756</v>
      </c>
      <c r="B519">
        <v>38137132</v>
      </c>
      <c r="C519" t="s">
        <v>1757</v>
      </c>
      <c r="D519" t="s">
        <v>1758</v>
      </c>
      <c r="E519" t="s">
        <v>20</v>
      </c>
      <c r="F519" t="s">
        <v>34</v>
      </c>
      <c r="G519" t="s">
        <v>92</v>
      </c>
      <c r="H519" t="s">
        <v>25</v>
      </c>
      <c r="I519" t="s">
        <v>3372</v>
      </c>
      <c r="J519">
        <v>252.02</v>
      </c>
      <c r="K519" t="s">
        <v>39</v>
      </c>
      <c r="L519" t="s">
        <v>81</v>
      </c>
      <c r="M519" s="1">
        <v>44579.008333333331</v>
      </c>
      <c r="N519">
        <v>71</v>
      </c>
      <c r="O519" t="s">
        <v>36</v>
      </c>
      <c r="P519" t="s">
        <v>24</v>
      </c>
      <c r="Q519" t="s">
        <v>1759</v>
      </c>
      <c r="R519" t="str">
        <f t="shared" si="112"/>
        <v>Patricia Thomas</v>
      </c>
      <c r="S519" t="str">
        <f t="shared" si="113"/>
        <v>Fatima Martin</v>
      </c>
      <c r="T519" t="str">
        <f t="shared" si="114"/>
        <v>CAD</v>
      </c>
      <c r="U519" s="7" t="str">
        <f t="shared" si="115"/>
        <v>AUD</v>
      </c>
      <c r="V519" s="7" t="str">
        <f t="shared" si="116"/>
        <v>Germany</v>
      </c>
      <c r="W519" s="7" t="str">
        <f t="shared" si="117"/>
        <v>Brazil</v>
      </c>
      <c r="X519" s="7" t="str">
        <f t="shared" si="118"/>
        <v>Outer-Transaction</v>
      </c>
      <c r="Y519" s="7">
        <f t="shared" si="119"/>
        <v>252.02</v>
      </c>
      <c r="Z519" s="7">
        <f t="shared" si="120"/>
        <v>71</v>
      </c>
      <c r="AA519" s="7">
        <f t="shared" si="121"/>
        <v>2022</v>
      </c>
      <c r="AB519" s="7">
        <f t="shared" si="122"/>
        <v>1</v>
      </c>
      <c r="AC519" s="7">
        <f t="shared" si="123"/>
        <v>1</v>
      </c>
      <c r="AD519" s="7" t="str">
        <f t="shared" si="124"/>
        <v>No</v>
      </c>
      <c r="AE519" s="7" t="str">
        <f t="shared" si="125"/>
        <v>Normal</v>
      </c>
    </row>
    <row r="520" spans="1:31">
      <c r="A520" t="s">
        <v>1760</v>
      </c>
      <c r="B520">
        <v>21334884</v>
      </c>
      <c r="C520" t="s">
        <v>1761</v>
      </c>
      <c r="D520" t="s">
        <v>1762</v>
      </c>
      <c r="E520" t="s">
        <v>3373</v>
      </c>
      <c r="F520" t="s">
        <v>80</v>
      </c>
      <c r="G520" t="s">
        <v>176</v>
      </c>
      <c r="H520" t="s">
        <v>25</v>
      </c>
      <c r="I520" t="s">
        <v>3371</v>
      </c>
      <c r="J520">
        <v>7784.14</v>
      </c>
      <c r="K520" t="s">
        <v>47</v>
      </c>
      <c r="L520" t="s">
        <v>81</v>
      </c>
      <c r="M520" s="1">
        <v>43935.00277777778</v>
      </c>
      <c r="N520">
        <v>20</v>
      </c>
      <c r="O520" t="s">
        <v>23</v>
      </c>
      <c r="P520" t="s">
        <v>23</v>
      </c>
      <c r="Q520" t="s">
        <v>1763</v>
      </c>
      <c r="R520" t="str">
        <f t="shared" si="112"/>
        <v>Sanjay Nair</v>
      </c>
      <c r="S520" t="str">
        <f t="shared" si="113"/>
        <v>Lucas Gonzalez</v>
      </c>
      <c r="T520" t="str">
        <f t="shared" si="114"/>
        <v>USD</v>
      </c>
      <c r="U520" s="7" t="str">
        <f t="shared" si="115"/>
        <v>aed</v>
      </c>
      <c r="V520" s="7" t="str">
        <f t="shared" si="116"/>
        <v>France</v>
      </c>
      <c r="W520" s="7" t="str">
        <f t="shared" si="117"/>
        <v>France</v>
      </c>
      <c r="X520" s="7" t="str">
        <f t="shared" si="118"/>
        <v>Outer-Transaction</v>
      </c>
      <c r="Y520" s="7">
        <f t="shared" si="119"/>
        <v>7784.14</v>
      </c>
      <c r="Z520" s="7">
        <f t="shared" si="120"/>
        <v>20</v>
      </c>
      <c r="AA520" s="7">
        <f t="shared" si="121"/>
        <v>2020</v>
      </c>
      <c r="AB520" s="7">
        <f t="shared" si="122"/>
        <v>4</v>
      </c>
      <c r="AC520" s="7">
        <f t="shared" si="123"/>
        <v>1</v>
      </c>
      <c r="AD520" s="7" t="str">
        <f t="shared" si="124"/>
        <v>No</v>
      </c>
      <c r="AE520" s="7" t="str">
        <f t="shared" si="125"/>
        <v>Normal</v>
      </c>
    </row>
    <row r="521" spans="1:31">
      <c r="A521" t="s">
        <v>1764</v>
      </c>
      <c r="C521" t="s">
        <v>1765</v>
      </c>
      <c r="D521" t="s">
        <v>1033</v>
      </c>
      <c r="E521" t="s">
        <v>33</v>
      </c>
      <c r="F521" t="s">
        <v>45</v>
      </c>
      <c r="G521" t="s">
        <v>21</v>
      </c>
      <c r="H521" t="s">
        <v>56</v>
      </c>
      <c r="I521" t="s">
        <v>3374</v>
      </c>
      <c r="J521">
        <v>5604.03</v>
      </c>
      <c r="K521" t="s">
        <v>57</v>
      </c>
      <c r="L521" t="s">
        <v>75</v>
      </c>
      <c r="M521" s="1">
        <v>46373.634722222225</v>
      </c>
      <c r="N521">
        <v>33</v>
      </c>
      <c r="O521" t="s">
        <v>68</v>
      </c>
      <c r="P521" t="s">
        <v>54</v>
      </c>
      <c r="Q521" t="s">
        <v>1766</v>
      </c>
      <c r="R521" t="str">
        <f t="shared" si="112"/>
        <v>LINDA SOUZA</v>
      </c>
      <c r="S521" t="str">
        <f t="shared" si="113"/>
        <v>Charles Jones</v>
      </c>
      <c r="T521" t="str">
        <f t="shared" si="114"/>
        <v>ZAR</v>
      </c>
      <c r="U521" s="7" t="str">
        <f t="shared" si="115"/>
        <v>GBP</v>
      </c>
      <c r="V521" s="7" t="str">
        <f t="shared" si="116"/>
        <v>UAE</v>
      </c>
      <c r="W521" s="7" t="str">
        <f t="shared" si="117"/>
        <v>India</v>
      </c>
      <c r="X521" s="7" t="str">
        <f t="shared" si="118"/>
        <v>External</v>
      </c>
      <c r="Y521" s="7">
        <f t="shared" si="119"/>
        <v>5604.03</v>
      </c>
      <c r="Z521" s="7">
        <f t="shared" si="120"/>
        <v>33</v>
      </c>
      <c r="AA521" s="7">
        <f t="shared" si="121"/>
        <v>2026</v>
      </c>
      <c r="AB521" s="7">
        <f t="shared" si="122"/>
        <v>12</v>
      </c>
      <c r="AC521" s="7">
        <f t="shared" si="123"/>
        <v>1</v>
      </c>
      <c r="AD521" s="7" t="str">
        <f t="shared" si="124"/>
        <v>No</v>
      </c>
      <c r="AE521" s="7" t="str">
        <f t="shared" si="125"/>
        <v>High Risk</v>
      </c>
    </row>
    <row r="522" spans="1:31">
      <c r="A522" t="s">
        <v>1767</v>
      </c>
      <c r="B522">
        <v>90330313</v>
      </c>
      <c r="C522" t="s">
        <v>1768</v>
      </c>
      <c r="D522" t="s">
        <v>470</v>
      </c>
      <c r="E522" t="s">
        <v>20</v>
      </c>
      <c r="F522" t="s">
        <v>34</v>
      </c>
      <c r="G522" t="s">
        <v>121</v>
      </c>
      <c r="H522" t="s">
        <v>38</v>
      </c>
      <c r="I522" t="s">
        <v>3372</v>
      </c>
      <c r="J522">
        <v>2024.74</v>
      </c>
      <c r="K522" t="s">
        <v>27</v>
      </c>
      <c r="L522" t="s">
        <v>28</v>
      </c>
      <c r="M522" s="1">
        <v>43876.685416666667</v>
      </c>
      <c r="N522">
        <v>74</v>
      </c>
      <c r="O522" t="s">
        <v>36</v>
      </c>
      <c r="P522" t="s">
        <v>23</v>
      </c>
      <c r="Q522" t="s">
        <v>1769</v>
      </c>
      <c r="R522" t="str">
        <f t="shared" si="112"/>
        <v>Fatima Taylor</v>
      </c>
      <c r="S522" t="str">
        <f t="shared" si="113"/>
        <v>Linda Garcia</v>
      </c>
      <c r="T522" t="str">
        <f t="shared" si="114"/>
        <v>CAD</v>
      </c>
      <c r="U522" s="7" t="str">
        <f t="shared" si="115"/>
        <v>INR</v>
      </c>
      <c r="V522" s="7" t="str">
        <f t="shared" si="116"/>
        <v>Germany</v>
      </c>
      <c r="W522" s="7" t="str">
        <f t="shared" si="117"/>
        <v>France</v>
      </c>
      <c r="X522" s="7" t="str">
        <f t="shared" si="118"/>
        <v>Outer-Transaction</v>
      </c>
      <c r="Y522" s="7">
        <f t="shared" si="119"/>
        <v>2024.74</v>
      </c>
      <c r="Z522" s="7">
        <f t="shared" si="120"/>
        <v>74</v>
      </c>
      <c r="AA522" s="7">
        <f t="shared" si="121"/>
        <v>2020</v>
      </c>
      <c r="AB522" s="7">
        <f t="shared" si="122"/>
        <v>2</v>
      </c>
      <c r="AC522" s="7">
        <f t="shared" si="123"/>
        <v>1</v>
      </c>
      <c r="AD522" s="7" t="str">
        <f t="shared" si="124"/>
        <v>No</v>
      </c>
      <c r="AE522" s="7" t="str">
        <f t="shared" si="125"/>
        <v>Normal</v>
      </c>
    </row>
    <row r="523" spans="1:31">
      <c r="A523" t="s">
        <v>1770</v>
      </c>
      <c r="B523">
        <v>22938359</v>
      </c>
      <c r="C523" t="s">
        <v>1771</v>
      </c>
      <c r="D523" t="s">
        <v>1772</v>
      </c>
      <c r="E523" t="s">
        <v>3373</v>
      </c>
      <c r="F523" t="s">
        <v>121</v>
      </c>
      <c r="G523" t="s">
        <v>21</v>
      </c>
      <c r="H523" t="s">
        <v>25</v>
      </c>
      <c r="I523" t="s">
        <v>3374</v>
      </c>
      <c r="J523">
        <v>6063.54</v>
      </c>
      <c r="K523" t="s">
        <v>27</v>
      </c>
      <c r="L523" t="s">
        <v>28</v>
      </c>
      <c r="M523" s="1">
        <v>45185.949305555558</v>
      </c>
      <c r="N523">
        <v>29</v>
      </c>
      <c r="O523" t="s">
        <v>55</v>
      </c>
      <c r="P523" t="s">
        <v>127</v>
      </c>
      <c r="Q523" t="s">
        <v>1773</v>
      </c>
      <c r="R523" t="str">
        <f t="shared" si="112"/>
        <v>Sarah Thomas</v>
      </c>
      <c r="S523" t="str">
        <f t="shared" si="113"/>
        <v>Fatima Khan</v>
      </c>
      <c r="T523" t="str">
        <f t="shared" si="114"/>
        <v>INR</v>
      </c>
      <c r="U523" s="7" t="str">
        <f t="shared" si="115"/>
        <v>GBP</v>
      </c>
      <c r="V523" s="7" t="str">
        <f t="shared" si="116"/>
        <v>UK</v>
      </c>
      <c r="W523" s="7" t="str">
        <f t="shared" si="117"/>
        <v>Canada</v>
      </c>
      <c r="X523" s="7" t="str">
        <f t="shared" si="118"/>
        <v>External</v>
      </c>
      <c r="Y523" s="7">
        <f t="shared" si="119"/>
        <v>6063.54</v>
      </c>
      <c r="Z523" s="7">
        <f t="shared" si="120"/>
        <v>29</v>
      </c>
      <c r="AA523" s="7">
        <f t="shared" si="121"/>
        <v>2023</v>
      </c>
      <c r="AB523" s="7">
        <f t="shared" si="122"/>
        <v>9</v>
      </c>
      <c r="AC523" s="7">
        <f t="shared" si="123"/>
        <v>1</v>
      </c>
      <c r="AD523" s="7" t="str">
        <f t="shared" si="124"/>
        <v>No</v>
      </c>
      <c r="AE523" s="7" t="str">
        <f t="shared" si="125"/>
        <v>Normal</v>
      </c>
    </row>
    <row r="524" spans="1:31">
      <c r="A524" t="s">
        <v>1774</v>
      </c>
      <c r="C524" t="s">
        <v>1775</v>
      </c>
      <c r="D524" t="s">
        <v>1605</v>
      </c>
      <c r="E524" t="s">
        <v>20</v>
      </c>
      <c r="F524" t="s">
        <v>92</v>
      </c>
      <c r="G524" t="s">
        <v>34</v>
      </c>
      <c r="H524" t="s">
        <v>56</v>
      </c>
      <c r="I524" t="s">
        <v>3374</v>
      </c>
      <c r="J524">
        <v>729.8</v>
      </c>
      <c r="K524" t="s">
        <v>47</v>
      </c>
      <c r="L524" t="s">
        <v>48</v>
      </c>
      <c r="M524" s="1">
        <v>45070.529166666667</v>
      </c>
      <c r="N524">
        <v>33</v>
      </c>
      <c r="O524" t="s">
        <v>36</v>
      </c>
      <c r="P524" t="s">
        <v>55</v>
      </c>
      <c r="Q524" t="s">
        <v>1776</v>
      </c>
      <c r="R524" t="str">
        <f t="shared" si="112"/>
        <v>CARLOS RODRIGUEZ</v>
      </c>
      <c r="S524" t="str">
        <f t="shared" si="113"/>
        <v>Jean-Pierre Volkov</v>
      </c>
      <c r="T524" t="str">
        <f t="shared" si="114"/>
        <v>AUD</v>
      </c>
      <c r="U524" s="7" t="str">
        <f t="shared" si="115"/>
        <v>CAD</v>
      </c>
      <c r="V524" s="7" t="str">
        <f t="shared" si="116"/>
        <v>Germany</v>
      </c>
      <c r="W524" s="7" t="str">
        <f t="shared" si="117"/>
        <v>UK</v>
      </c>
      <c r="X524" s="7" t="str">
        <f t="shared" si="118"/>
        <v>External</v>
      </c>
      <c r="Y524" s="7">
        <f t="shared" si="119"/>
        <v>729.8</v>
      </c>
      <c r="Z524" s="7">
        <f t="shared" si="120"/>
        <v>33</v>
      </c>
      <c r="AA524" s="7">
        <f t="shared" si="121"/>
        <v>2023</v>
      </c>
      <c r="AB524" s="7">
        <f t="shared" si="122"/>
        <v>5</v>
      </c>
      <c r="AC524" s="7">
        <f t="shared" si="123"/>
        <v>1</v>
      </c>
      <c r="AD524" s="7" t="str">
        <f t="shared" si="124"/>
        <v>No</v>
      </c>
      <c r="AE524" s="7" t="str">
        <f t="shared" si="125"/>
        <v>Normal</v>
      </c>
    </row>
    <row r="525" spans="1:31">
      <c r="A525" t="s">
        <v>1777</v>
      </c>
      <c r="B525">
        <v>56157714</v>
      </c>
      <c r="C525" t="s">
        <v>1322</v>
      </c>
      <c r="D525" t="s">
        <v>483</v>
      </c>
      <c r="E525" t="b">
        <v>1</v>
      </c>
      <c r="F525" t="s">
        <v>92</v>
      </c>
      <c r="G525" t="s">
        <v>44</v>
      </c>
      <c r="I525" t="s">
        <v>3376</v>
      </c>
      <c r="J525">
        <v>13859.05</v>
      </c>
      <c r="K525" t="s">
        <v>57</v>
      </c>
      <c r="L525" t="s">
        <v>48</v>
      </c>
      <c r="M525" s="1">
        <v>44812.7</v>
      </c>
      <c r="N525">
        <v>41</v>
      </c>
      <c r="O525" t="s">
        <v>24</v>
      </c>
      <c r="P525" t="s">
        <v>54</v>
      </c>
      <c r="Q525" t="s">
        <v>1778</v>
      </c>
      <c r="R525" t="str">
        <f t="shared" si="112"/>
        <v>William Nair</v>
      </c>
      <c r="S525" t="str">
        <f t="shared" si="113"/>
        <v>Zayn Khan</v>
      </c>
      <c r="T525" t="str">
        <f t="shared" si="114"/>
        <v>AUD</v>
      </c>
      <c r="U525" s="7" t="str">
        <f t="shared" si="115"/>
        <v>SGD</v>
      </c>
      <c r="V525" s="7" t="str">
        <f t="shared" si="116"/>
        <v>Brazil</v>
      </c>
      <c r="W525" s="7" t="str">
        <f t="shared" si="117"/>
        <v>India</v>
      </c>
      <c r="X525" s="7" t="str">
        <f t="shared" si="118"/>
        <v>Internal</v>
      </c>
      <c r="Y525" s="7">
        <f t="shared" si="119"/>
        <v>13859.05</v>
      </c>
      <c r="Z525" s="7">
        <f t="shared" si="120"/>
        <v>41</v>
      </c>
      <c r="AA525" s="7">
        <f t="shared" si="121"/>
        <v>2022</v>
      </c>
      <c r="AB525" s="7">
        <f t="shared" si="122"/>
        <v>9</v>
      </c>
      <c r="AC525" s="7">
        <f t="shared" si="123"/>
        <v>1</v>
      </c>
      <c r="AD525" s="7" t="str">
        <f t="shared" si="124"/>
        <v>No</v>
      </c>
      <c r="AE525" s="7" t="str">
        <f t="shared" si="125"/>
        <v>Normal</v>
      </c>
    </row>
    <row r="526" spans="1:31">
      <c r="A526" t="s">
        <v>1779</v>
      </c>
      <c r="B526">
        <v>45280921</v>
      </c>
      <c r="C526" t="s">
        <v>1163</v>
      </c>
      <c r="D526" t="s">
        <v>1780</v>
      </c>
      <c r="E526" t="s">
        <v>20</v>
      </c>
      <c r="F526" t="s">
        <v>98</v>
      </c>
      <c r="G526" t="s">
        <v>21</v>
      </c>
      <c r="H526" t="s">
        <v>74</v>
      </c>
      <c r="I526" t="s">
        <v>3378</v>
      </c>
      <c r="J526">
        <v>4612.3900000000003</v>
      </c>
      <c r="K526" t="s">
        <v>39</v>
      </c>
      <c r="L526" t="s">
        <v>28</v>
      </c>
      <c r="M526" s="1">
        <v>44790.05</v>
      </c>
      <c r="N526">
        <v>45</v>
      </c>
      <c r="O526" t="s">
        <v>62</v>
      </c>
      <c r="P526" t="s">
        <v>36</v>
      </c>
      <c r="Q526" t="s">
        <v>1781</v>
      </c>
      <c r="R526" t="str">
        <f t="shared" si="112"/>
        <v>Robert Silva</v>
      </c>
      <c r="S526" t="str">
        <f t="shared" si="113"/>
        <v>Susan Wilson</v>
      </c>
      <c r="T526" t="str">
        <f t="shared" si="114"/>
        <v>JPY</v>
      </c>
      <c r="U526" s="7" t="str">
        <f t="shared" si="115"/>
        <v>GBP</v>
      </c>
      <c r="V526" s="7" t="str">
        <f t="shared" si="116"/>
        <v>Australia</v>
      </c>
      <c r="W526" s="7" t="str">
        <f t="shared" si="117"/>
        <v>Germany</v>
      </c>
      <c r="X526" s="7" t="str">
        <f t="shared" si="118"/>
        <v>Inter-Transaction</v>
      </c>
      <c r="Y526" s="7">
        <f t="shared" si="119"/>
        <v>4612.3900000000003</v>
      </c>
      <c r="Z526" s="7">
        <f t="shared" si="120"/>
        <v>45</v>
      </c>
      <c r="AA526" s="7">
        <f t="shared" si="121"/>
        <v>2022</v>
      </c>
      <c r="AB526" s="7">
        <f t="shared" si="122"/>
        <v>8</v>
      </c>
      <c r="AC526" s="7">
        <f t="shared" si="123"/>
        <v>1</v>
      </c>
      <c r="AD526" s="7" t="str">
        <f t="shared" si="124"/>
        <v>No</v>
      </c>
      <c r="AE526" s="7" t="str">
        <f t="shared" si="125"/>
        <v>Normal</v>
      </c>
    </row>
    <row r="527" spans="1:31">
      <c r="A527" t="s">
        <v>1782</v>
      </c>
      <c r="B527">
        <v>36665991</v>
      </c>
      <c r="C527" t="s">
        <v>366</v>
      </c>
      <c r="D527" t="s">
        <v>338</v>
      </c>
      <c r="E527" t="s">
        <v>20</v>
      </c>
      <c r="F527" t="s">
        <v>21</v>
      </c>
      <c r="G527" t="s">
        <v>116</v>
      </c>
      <c r="H527" t="s">
        <v>38</v>
      </c>
      <c r="I527" t="s">
        <v>3371</v>
      </c>
      <c r="J527">
        <v>5623.34</v>
      </c>
      <c r="K527" t="s">
        <v>86</v>
      </c>
      <c r="L527" t="s">
        <v>48</v>
      </c>
      <c r="M527" s="1">
        <v>45346.548611111109</v>
      </c>
      <c r="N527">
        <v>25</v>
      </c>
      <c r="O527" t="s">
        <v>54</v>
      </c>
      <c r="P527" t="s">
        <v>23</v>
      </c>
      <c r="Q527" t="s">
        <v>1783</v>
      </c>
      <c r="R527" t="str">
        <f t="shared" si="112"/>
        <v>Fatima Al-Sayed</v>
      </c>
      <c r="S527" t="str">
        <f t="shared" si="113"/>
        <v>Susan Taylor</v>
      </c>
      <c r="T527" t="str">
        <f t="shared" si="114"/>
        <v>GBP</v>
      </c>
      <c r="U527" s="7" t="str">
        <f t="shared" si="115"/>
        <v>CHF</v>
      </c>
      <c r="V527" s="7" t="str">
        <f t="shared" si="116"/>
        <v>India</v>
      </c>
      <c r="W527" s="7" t="str">
        <f t="shared" si="117"/>
        <v>France</v>
      </c>
      <c r="X527" s="7" t="str">
        <f t="shared" si="118"/>
        <v>Outer-Transaction</v>
      </c>
      <c r="Y527" s="7">
        <f t="shared" si="119"/>
        <v>5623.34</v>
      </c>
      <c r="Z527" s="7">
        <f t="shared" si="120"/>
        <v>25</v>
      </c>
      <c r="AA527" s="7">
        <f t="shared" si="121"/>
        <v>2024</v>
      </c>
      <c r="AB527" s="7">
        <f t="shared" si="122"/>
        <v>2</v>
      </c>
      <c r="AC527" s="7">
        <f t="shared" si="123"/>
        <v>1</v>
      </c>
      <c r="AD527" s="7" t="str">
        <f t="shared" si="124"/>
        <v>No</v>
      </c>
      <c r="AE527" s="7" t="str">
        <f t="shared" si="125"/>
        <v>Normal</v>
      </c>
    </row>
    <row r="528" spans="1:31">
      <c r="A528" t="s">
        <v>1784</v>
      </c>
      <c r="B528">
        <v>63804242</v>
      </c>
      <c r="C528" t="s">
        <v>334</v>
      </c>
      <c r="D528" t="s">
        <v>358</v>
      </c>
      <c r="E528" t="b">
        <v>1</v>
      </c>
      <c r="F528" t="s">
        <v>44</v>
      </c>
      <c r="G528" t="s">
        <v>44</v>
      </c>
      <c r="I528" t="s">
        <v>3378</v>
      </c>
      <c r="J528">
        <v>3139.23</v>
      </c>
      <c r="K528" t="s">
        <v>27</v>
      </c>
      <c r="L528" t="s">
        <v>28</v>
      </c>
      <c r="M528" s="1">
        <v>45667.396527777775</v>
      </c>
      <c r="N528">
        <v>53</v>
      </c>
      <c r="O528" t="s">
        <v>55</v>
      </c>
      <c r="P528" t="s">
        <v>36</v>
      </c>
      <c r="Q528" t="s">
        <v>1785</v>
      </c>
      <c r="R528" t="str">
        <f t="shared" si="112"/>
        <v>Barbara Gonzalez</v>
      </c>
      <c r="S528" t="str">
        <f t="shared" si="113"/>
        <v>Carlos Taylor</v>
      </c>
      <c r="T528" t="str">
        <f t="shared" si="114"/>
        <v>SGD</v>
      </c>
      <c r="U528" s="7" t="str">
        <f t="shared" si="115"/>
        <v>SGD</v>
      </c>
      <c r="V528" s="7" t="str">
        <f t="shared" si="116"/>
        <v>UK</v>
      </c>
      <c r="W528" s="7" t="str">
        <f t="shared" si="117"/>
        <v>Germany</v>
      </c>
      <c r="X528" s="7" t="str">
        <f t="shared" si="118"/>
        <v>Inter-Transaction</v>
      </c>
      <c r="Y528" s="7">
        <f t="shared" si="119"/>
        <v>3139.23</v>
      </c>
      <c r="Z528" s="7">
        <f t="shared" si="120"/>
        <v>53</v>
      </c>
      <c r="AA528" s="7">
        <f t="shared" si="121"/>
        <v>2025</v>
      </c>
      <c r="AB528" s="7">
        <f t="shared" si="122"/>
        <v>1</v>
      </c>
      <c r="AC528" s="7">
        <f t="shared" si="123"/>
        <v>1</v>
      </c>
      <c r="AD528" s="7" t="str">
        <f t="shared" si="124"/>
        <v>No</v>
      </c>
      <c r="AE528" s="7" t="str">
        <f t="shared" si="125"/>
        <v>Normal</v>
      </c>
    </row>
    <row r="529" spans="1:31">
      <c r="A529" t="s">
        <v>1786</v>
      </c>
      <c r="B529">
        <v>31400078</v>
      </c>
      <c r="C529" t="s">
        <v>1787</v>
      </c>
      <c r="D529" t="s">
        <v>559</v>
      </c>
      <c r="E529" t="s">
        <v>20</v>
      </c>
      <c r="F529" t="s">
        <v>34</v>
      </c>
      <c r="G529" t="s">
        <v>35</v>
      </c>
      <c r="H529" t="s">
        <v>38</v>
      </c>
      <c r="I529" t="s">
        <v>3374</v>
      </c>
      <c r="J529">
        <v>2286.17</v>
      </c>
      <c r="K529" t="s">
        <v>39</v>
      </c>
      <c r="L529" t="s">
        <v>48</v>
      </c>
      <c r="M529" s="1">
        <v>46327.123611111114</v>
      </c>
      <c r="N529">
        <v>25</v>
      </c>
      <c r="O529" t="s">
        <v>36</v>
      </c>
      <c r="P529" t="s">
        <v>23</v>
      </c>
      <c r="Q529" t="s">
        <v>1788</v>
      </c>
      <c r="R529" t="str">
        <f t="shared" si="112"/>
        <v>Sanjay Wilson</v>
      </c>
      <c r="S529" t="str">
        <f t="shared" si="113"/>
        <v>Joseph Jackson</v>
      </c>
      <c r="T529" t="str">
        <f t="shared" si="114"/>
        <v>CAD</v>
      </c>
      <c r="U529" s="7" t="str">
        <f t="shared" si="115"/>
        <v>EUR</v>
      </c>
      <c r="V529" s="7" t="str">
        <f t="shared" si="116"/>
        <v>Germany</v>
      </c>
      <c r="W529" s="7" t="str">
        <f t="shared" si="117"/>
        <v>France</v>
      </c>
      <c r="X529" s="7" t="str">
        <f t="shared" si="118"/>
        <v>External</v>
      </c>
      <c r="Y529" s="7">
        <f t="shared" si="119"/>
        <v>2286.17</v>
      </c>
      <c r="Z529" s="7">
        <f t="shared" si="120"/>
        <v>25</v>
      </c>
      <c r="AA529" s="7">
        <f t="shared" si="121"/>
        <v>2026</v>
      </c>
      <c r="AB529" s="7">
        <f t="shared" si="122"/>
        <v>11</v>
      </c>
      <c r="AC529" s="7">
        <f t="shared" si="123"/>
        <v>1</v>
      </c>
      <c r="AD529" s="7" t="str">
        <f t="shared" si="124"/>
        <v>No</v>
      </c>
      <c r="AE529" s="7" t="str">
        <f t="shared" si="125"/>
        <v>Normal</v>
      </c>
    </row>
    <row r="530" spans="1:31">
      <c r="A530" t="s">
        <v>1789</v>
      </c>
      <c r="B530">
        <v>68823870</v>
      </c>
      <c r="C530" t="s">
        <v>1296</v>
      </c>
      <c r="D530" t="s">
        <v>1790</v>
      </c>
      <c r="E530" t="s">
        <v>33</v>
      </c>
      <c r="F530" t="s">
        <v>686</v>
      </c>
      <c r="G530" t="s">
        <v>21</v>
      </c>
      <c r="H530" t="s">
        <v>25</v>
      </c>
      <c r="I530" t="s">
        <v>3372</v>
      </c>
      <c r="J530">
        <v>12571.28</v>
      </c>
      <c r="K530" t="s">
        <v>57</v>
      </c>
      <c r="L530" t="s">
        <v>28</v>
      </c>
      <c r="M530" s="1">
        <v>45312.698611111111</v>
      </c>
      <c r="N530">
        <v>75</v>
      </c>
      <c r="O530" t="s">
        <v>62</v>
      </c>
      <c r="P530" t="s">
        <v>36</v>
      </c>
      <c r="Q530" t="s">
        <v>1791</v>
      </c>
      <c r="R530" t="str">
        <f t="shared" si="112"/>
        <v>Barbara Khan</v>
      </c>
      <c r="S530" t="str">
        <f t="shared" si="113"/>
        <v>Patricia Moore</v>
      </c>
      <c r="T530" t="str">
        <f t="shared" si="114"/>
        <v>sgd</v>
      </c>
      <c r="U530" s="7" t="str">
        <f t="shared" si="115"/>
        <v>GBP</v>
      </c>
      <c r="V530" s="7" t="str">
        <f t="shared" si="116"/>
        <v>Australia</v>
      </c>
      <c r="W530" s="7" t="str">
        <f t="shared" si="117"/>
        <v>Germany</v>
      </c>
      <c r="X530" s="7" t="str">
        <f t="shared" si="118"/>
        <v>Outer-Transaction</v>
      </c>
      <c r="Y530" s="7">
        <f t="shared" si="119"/>
        <v>12571.28</v>
      </c>
      <c r="Z530" s="7">
        <f t="shared" si="120"/>
        <v>75</v>
      </c>
      <c r="AA530" s="7">
        <f t="shared" si="121"/>
        <v>2024</v>
      </c>
      <c r="AB530" s="7">
        <f t="shared" si="122"/>
        <v>1</v>
      </c>
      <c r="AC530" s="7">
        <f t="shared" si="123"/>
        <v>1</v>
      </c>
      <c r="AD530" s="7" t="str">
        <f t="shared" si="124"/>
        <v>No</v>
      </c>
      <c r="AE530" s="7" t="str">
        <f t="shared" si="125"/>
        <v>Normal</v>
      </c>
    </row>
    <row r="531" spans="1:31">
      <c r="A531" t="s">
        <v>1792</v>
      </c>
      <c r="B531">
        <v>21888060</v>
      </c>
      <c r="C531" t="s">
        <v>1758</v>
      </c>
      <c r="E531" t="s">
        <v>20</v>
      </c>
      <c r="F531" t="s">
        <v>45</v>
      </c>
      <c r="G531" t="s">
        <v>44</v>
      </c>
      <c r="H531" t="s">
        <v>103</v>
      </c>
      <c r="I531" t="s">
        <v>3374</v>
      </c>
      <c r="J531">
        <v>10989.32</v>
      </c>
      <c r="K531" t="s">
        <v>57</v>
      </c>
      <c r="L531" t="s">
        <v>75</v>
      </c>
      <c r="M531" s="1">
        <v>45390.339583333334</v>
      </c>
      <c r="N531">
        <v>77</v>
      </c>
      <c r="O531" t="s">
        <v>62</v>
      </c>
      <c r="P531" t="s">
        <v>23</v>
      </c>
      <c r="Q531" t="s">
        <v>1793</v>
      </c>
      <c r="R531" t="str">
        <f t="shared" si="112"/>
        <v>Fatima Martin</v>
      </c>
      <c r="S531" t="str">
        <f t="shared" si="113"/>
        <v/>
      </c>
      <c r="T531" t="str">
        <f t="shared" si="114"/>
        <v>ZAR</v>
      </c>
      <c r="U531" s="7" t="str">
        <f t="shared" si="115"/>
        <v>SGD</v>
      </c>
      <c r="V531" s="7" t="str">
        <f t="shared" si="116"/>
        <v>Australia</v>
      </c>
      <c r="W531" s="7" t="str">
        <f t="shared" si="117"/>
        <v>France</v>
      </c>
      <c r="X531" s="7" t="str">
        <f t="shared" si="118"/>
        <v>External</v>
      </c>
      <c r="Y531" s="7">
        <f t="shared" si="119"/>
        <v>10989.32</v>
      </c>
      <c r="Z531" s="7">
        <f t="shared" si="120"/>
        <v>77</v>
      </c>
      <c r="AA531" s="7">
        <f t="shared" si="121"/>
        <v>2024</v>
      </c>
      <c r="AB531" s="7">
        <f t="shared" si="122"/>
        <v>4</v>
      </c>
      <c r="AC531" s="7">
        <f t="shared" si="123"/>
        <v>1</v>
      </c>
      <c r="AD531" s="7" t="str">
        <f t="shared" si="124"/>
        <v>No</v>
      </c>
      <c r="AE531" s="7" t="str">
        <f t="shared" si="125"/>
        <v>High Risk</v>
      </c>
    </row>
    <row r="532" spans="1:31">
      <c r="A532" t="s">
        <v>1794</v>
      </c>
      <c r="B532">
        <v>39714212</v>
      </c>
      <c r="C532" t="s">
        <v>1014</v>
      </c>
      <c r="D532" t="s">
        <v>1445</v>
      </c>
      <c r="E532" t="s">
        <v>20</v>
      </c>
      <c r="F532" t="s">
        <v>22</v>
      </c>
      <c r="G532" t="s">
        <v>44</v>
      </c>
      <c r="H532" t="s">
        <v>56</v>
      </c>
      <c r="I532" t="s">
        <v>3377</v>
      </c>
      <c r="J532">
        <v>9028.92</v>
      </c>
      <c r="K532" t="s">
        <v>27</v>
      </c>
      <c r="L532" t="s">
        <v>28</v>
      </c>
      <c r="M532" s="1">
        <v>45338.305555555555</v>
      </c>
      <c r="N532">
        <v>67</v>
      </c>
      <c r="O532" t="s">
        <v>36</v>
      </c>
      <c r="P532" t="s">
        <v>36</v>
      </c>
      <c r="Q532" t="s">
        <v>1795</v>
      </c>
      <c r="R532" t="str">
        <f t="shared" si="112"/>
        <v>Christopher Wilson</v>
      </c>
      <c r="S532" t="str">
        <f t="shared" si="113"/>
        <v>Marta Rodriguez</v>
      </c>
      <c r="T532" t="str">
        <f t="shared" si="114"/>
        <v>BRL</v>
      </c>
      <c r="U532" s="7" t="str">
        <f t="shared" si="115"/>
        <v>SGD</v>
      </c>
      <c r="V532" s="7" t="str">
        <f t="shared" si="116"/>
        <v>Germany</v>
      </c>
      <c r="W532" s="7" t="str">
        <f t="shared" si="117"/>
        <v>Germany</v>
      </c>
      <c r="X532" s="7" t="str">
        <f t="shared" si="118"/>
        <v>Inter-Transaction</v>
      </c>
      <c r="Y532" s="7">
        <f t="shared" si="119"/>
        <v>9028.92</v>
      </c>
      <c r="Z532" s="7">
        <f t="shared" si="120"/>
        <v>67</v>
      </c>
      <c r="AA532" s="7">
        <f t="shared" si="121"/>
        <v>2024</v>
      </c>
      <c r="AB532" s="7">
        <f t="shared" si="122"/>
        <v>2</v>
      </c>
      <c r="AC532" s="7">
        <f t="shared" si="123"/>
        <v>1</v>
      </c>
      <c r="AD532" s="7" t="str">
        <f t="shared" si="124"/>
        <v>No</v>
      </c>
      <c r="AE532" s="7" t="str">
        <f t="shared" si="125"/>
        <v>Normal</v>
      </c>
    </row>
    <row r="533" spans="1:31">
      <c r="A533" t="s">
        <v>1796</v>
      </c>
      <c r="B533">
        <v>15350579</v>
      </c>
      <c r="D533" t="s">
        <v>227</v>
      </c>
      <c r="E533" t="s">
        <v>3373</v>
      </c>
      <c r="F533" t="s">
        <v>1084</v>
      </c>
      <c r="G533" t="s">
        <v>98</v>
      </c>
      <c r="H533" t="s">
        <v>25</v>
      </c>
      <c r="I533" t="s">
        <v>3371</v>
      </c>
      <c r="J533">
        <v>8508.2800000000007</v>
      </c>
      <c r="K533" t="s">
        <v>86</v>
      </c>
      <c r="L533" t="s">
        <v>75</v>
      </c>
      <c r="M533" s="1">
        <v>45894.540277777778</v>
      </c>
      <c r="N533">
        <v>45</v>
      </c>
      <c r="O533" t="s">
        <v>68</v>
      </c>
      <c r="P533" t="s">
        <v>127</v>
      </c>
      <c r="Q533" t="s">
        <v>1797</v>
      </c>
      <c r="R533" t="str">
        <f t="shared" si="112"/>
        <v/>
      </c>
      <c r="S533" t="str">
        <f t="shared" si="113"/>
        <v>Lucas Anderson</v>
      </c>
      <c r="T533" t="str">
        <f t="shared" si="114"/>
        <v>chf</v>
      </c>
      <c r="U533" s="7" t="str">
        <f t="shared" si="115"/>
        <v>JPY</v>
      </c>
      <c r="V533" s="7" t="str">
        <f t="shared" si="116"/>
        <v>UAE</v>
      </c>
      <c r="W533" s="7" t="str">
        <f t="shared" si="117"/>
        <v>Canada</v>
      </c>
      <c r="X533" s="7" t="str">
        <f t="shared" si="118"/>
        <v>Outer-Transaction</v>
      </c>
      <c r="Y533" s="7">
        <f t="shared" si="119"/>
        <v>8508.2800000000007</v>
      </c>
      <c r="Z533" s="7">
        <f t="shared" si="120"/>
        <v>45</v>
      </c>
      <c r="AA533" s="7">
        <f t="shared" si="121"/>
        <v>2025</v>
      </c>
      <c r="AB533" s="7">
        <f t="shared" si="122"/>
        <v>8</v>
      </c>
      <c r="AC533" s="7">
        <f t="shared" si="123"/>
        <v>1</v>
      </c>
      <c r="AD533" s="7" t="str">
        <f t="shared" si="124"/>
        <v>No</v>
      </c>
      <c r="AE533" s="7" t="str">
        <f t="shared" si="125"/>
        <v>High Risk</v>
      </c>
    </row>
    <row r="534" spans="1:31">
      <c r="A534" t="s">
        <v>1798</v>
      </c>
      <c r="B534">
        <v>57295434</v>
      </c>
      <c r="C534" t="s">
        <v>604</v>
      </c>
      <c r="D534" t="s">
        <v>1665</v>
      </c>
      <c r="E534" t="s">
        <v>20</v>
      </c>
      <c r="F534" t="s">
        <v>44</v>
      </c>
      <c r="G534" t="s">
        <v>22</v>
      </c>
      <c r="H534" t="s">
        <v>38</v>
      </c>
      <c r="I534" t="s">
        <v>3374</v>
      </c>
      <c r="J534">
        <v>4835</v>
      </c>
      <c r="K534" t="s">
        <v>39</v>
      </c>
      <c r="L534" t="s">
        <v>75</v>
      </c>
      <c r="M534" s="1">
        <v>45831.711111111108</v>
      </c>
      <c r="N534">
        <v>58</v>
      </c>
      <c r="O534" t="s">
        <v>24</v>
      </c>
      <c r="P534" t="s">
        <v>62</v>
      </c>
      <c r="Q534" t="s">
        <v>1799</v>
      </c>
      <c r="R534" t="str">
        <f t="shared" si="112"/>
        <v>Elizabeth Rodriguez</v>
      </c>
      <c r="S534" t="str">
        <f t="shared" si="113"/>
        <v>Thomas Silva</v>
      </c>
      <c r="T534" t="str">
        <f t="shared" si="114"/>
        <v>SGD</v>
      </c>
      <c r="U534" s="7" t="str">
        <f t="shared" si="115"/>
        <v>BRL</v>
      </c>
      <c r="V534" s="7" t="str">
        <f t="shared" si="116"/>
        <v>Brazil</v>
      </c>
      <c r="W534" s="7" t="str">
        <f t="shared" si="117"/>
        <v>Australia</v>
      </c>
      <c r="X534" s="7" t="str">
        <f t="shared" si="118"/>
        <v>External</v>
      </c>
      <c r="Y534" s="7">
        <f t="shared" si="119"/>
        <v>4835</v>
      </c>
      <c r="Z534" s="7">
        <f t="shared" si="120"/>
        <v>58</v>
      </c>
      <c r="AA534" s="7">
        <f t="shared" si="121"/>
        <v>2025</v>
      </c>
      <c r="AB534" s="7">
        <f t="shared" si="122"/>
        <v>6</v>
      </c>
      <c r="AC534" s="7">
        <f t="shared" si="123"/>
        <v>1</v>
      </c>
      <c r="AD534" s="7" t="str">
        <f t="shared" si="124"/>
        <v>No</v>
      </c>
      <c r="AE534" s="7" t="str">
        <f t="shared" si="125"/>
        <v>High Risk</v>
      </c>
    </row>
    <row r="535" spans="1:31">
      <c r="A535" t="s">
        <v>1800</v>
      </c>
      <c r="B535">
        <v>51048501</v>
      </c>
      <c r="C535" t="s">
        <v>1801</v>
      </c>
      <c r="D535" t="s">
        <v>442</v>
      </c>
      <c r="E535" t="s">
        <v>20</v>
      </c>
      <c r="F535" t="s">
        <v>34</v>
      </c>
      <c r="G535" t="s">
        <v>116</v>
      </c>
      <c r="H535" t="s">
        <v>103</v>
      </c>
      <c r="I535" t="s">
        <v>3378</v>
      </c>
      <c r="J535">
        <v>12090.4</v>
      </c>
      <c r="K535" t="s">
        <v>57</v>
      </c>
      <c r="L535" t="s">
        <v>48</v>
      </c>
      <c r="M535" s="1">
        <v>46121.228472222225</v>
      </c>
      <c r="N535">
        <v>81</v>
      </c>
      <c r="O535" t="s">
        <v>127</v>
      </c>
      <c r="P535" t="s">
        <v>54</v>
      </c>
      <c r="Q535" t="s">
        <v>1802</v>
      </c>
      <c r="R535" t="str">
        <f t="shared" si="112"/>
        <v>Patricia Souza</v>
      </c>
      <c r="S535" t="str">
        <f t="shared" si="113"/>
        <v>Fatima Williams</v>
      </c>
      <c r="T535" t="str">
        <f t="shared" si="114"/>
        <v>CAD</v>
      </c>
      <c r="U535" s="7" t="str">
        <f t="shared" si="115"/>
        <v>CHF</v>
      </c>
      <c r="V535" s="7" t="str">
        <f t="shared" si="116"/>
        <v>Canada</v>
      </c>
      <c r="W535" s="7" t="str">
        <f t="shared" si="117"/>
        <v>India</v>
      </c>
      <c r="X535" s="7" t="str">
        <f t="shared" si="118"/>
        <v>Inter-Transaction</v>
      </c>
      <c r="Y535" s="7">
        <f t="shared" si="119"/>
        <v>12090.4</v>
      </c>
      <c r="Z535" s="7">
        <f t="shared" si="120"/>
        <v>81</v>
      </c>
      <c r="AA535" s="7">
        <f t="shared" si="121"/>
        <v>2026</v>
      </c>
      <c r="AB535" s="7">
        <f t="shared" si="122"/>
        <v>4</v>
      </c>
      <c r="AC535" s="7">
        <f t="shared" si="123"/>
        <v>1</v>
      </c>
      <c r="AD535" s="7" t="str">
        <f t="shared" si="124"/>
        <v>No</v>
      </c>
      <c r="AE535" s="7" t="str">
        <f t="shared" si="125"/>
        <v>Normal</v>
      </c>
    </row>
    <row r="536" spans="1:31">
      <c r="A536" t="s">
        <v>1803</v>
      </c>
      <c r="B536">
        <v>82243277</v>
      </c>
      <c r="C536" t="s">
        <v>767</v>
      </c>
      <c r="D536" t="s">
        <v>629</v>
      </c>
      <c r="E536" t="s">
        <v>20</v>
      </c>
      <c r="F536" t="s">
        <v>35</v>
      </c>
      <c r="G536" t="s">
        <v>35</v>
      </c>
      <c r="H536" t="s">
        <v>103</v>
      </c>
      <c r="I536" t="s">
        <v>3376</v>
      </c>
      <c r="J536">
        <v>5313.46</v>
      </c>
      <c r="K536" t="s">
        <v>47</v>
      </c>
      <c r="L536" t="s">
        <v>81</v>
      </c>
      <c r="M536" s="1">
        <v>45804.673611111109</v>
      </c>
      <c r="N536">
        <v>44</v>
      </c>
      <c r="O536" t="s">
        <v>24</v>
      </c>
      <c r="P536" t="s">
        <v>24</v>
      </c>
      <c r="Q536" t="s">
        <v>1804</v>
      </c>
      <c r="R536" t="str">
        <f t="shared" si="112"/>
        <v>Linda Gonzalez</v>
      </c>
      <c r="S536" t="str">
        <f t="shared" si="113"/>
        <v>Nancy Rostova</v>
      </c>
      <c r="T536" t="str">
        <f t="shared" si="114"/>
        <v>EUR</v>
      </c>
      <c r="U536" s="7" t="str">
        <f t="shared" si="115"/>
        <v>EUR</v>
      </c>
      <c r="V536" s="7" t="str">
        <f t="shared" si="116"/>
        <v>Brazil</v>
      </c>
      <c r="W536" s="7" t="str">
        <f t="shared" si="117"/>
        <v>Brazil</v>
      </c>
      <c r="X536" s="7" t="str">
        <f t="shared" si="118"/>
        <v>Internal</v>
      </c>
      <c r="Y536" s="7">
        <f t="shared" si="119"/>
        <v>5313.46</v>
      </c>
      <c r="Z536" s="7">
        <f t="shared" si="120"/>
        <v>44</v>
      </c>
      <c r="AA536" s="7">
        <f t="shared" si="121"/>
        <v>2025</v>
      </c>
      <c r="AB536" s="7">
        <f t="shared" si="122"/>
        <v>5</v>
      </c>
      <c r="AC536" s="7">
        <f t="shared" si="123"/>
        <v>1</v>
      </c>
      <c r="AD536" s="7" t="str">
        <f t="shared" si="124"/>
        <v>No</v>
      </c>
      <c r="AE536" s="7" t="str">
        <f t="shared" si="125"/>
        <v>Normal</v>
      </c>
    </row>
    <row r="537" spans="1:31">
      <c r="A537" t="s">
        <v>1805</v>
      </c>
      <c r="B537">
        <v>15472438</v>
      </c>
      <c r="C537" t="s">
        <v>297</v>
      </c>
      <c r="D537" t="s">
        <v>256</v>
      </c>
      <c r="E537" t="b">
        <v>0</v>
      </c>
      <c r="F537" t="s">
        <v>80</v>
      </c>
      <c r="G537" t="s">
        <v>44</v>
      </c>
      <c r="H537" t="s">
        <v>74</v>
      </c>
      <c r="I537" t="s">
        <v>3371</v>
      </c>
      <c r="J537">
        <v>196.15</v>
      </c>
      <c r="K537" t="s">
        <v>47</v>
      </c>
      <c r="L537" t="s">
        <v>28</v>
      </c>
      <c r="M537" s="1">
        <v>44742.824305555558</v>
      </c>
      <c r="N537">
        <v>80</v>
      </c>
      <c r="O537" t="s">
        <v>36</v>
      </c>
      <c r="P537" t="s">
        <v>55</v>
      </c>
      <c r="Q537" t="s">
        <v>1806</v>
      </c>
      <c r="R537" t="str">
        <f t="shared" si="112"/>
        <v>Elizabeth Moore</v>
      </c>
      <c r="S537" t="str">
        <f t="shared" si="113"/>
        <v>Michael Velez</v>
      </c>
      <c r="T537" t="str">
        <f t="shared" si="114"/>
        <v>USD</v>
      </c>
      <c r="U537" s="7" t="str">
        <f t="shared" si="115"/>
        <v>SGD</v>
      </c>
      <c r="V537" s="7" t="str">
        <f t="shared" si="116"/>
        <v>Germany</v>
      </c>
      <c r="W537" s="7" t="str">
        <f t="shared" si="117"/>
        <v>UK</v>
      </c>
      <c r="X537" s="7" t="str">
        <f t="shared" si="118"/>
        <v>Outer-Transaction</v>
      </c>
      <c r="Y537" s="7">
        <f t="shared" si="119"/>
        <v>196.15</v>
      </c>
      <c r="Z537" s="7">
        <f t="shared" si="120"/>
        <v>80</v>
      </c>
      <c r="AA537" s="7">
        <f t="shared" si="121"/>
        <v>2022</v>
      </c>
      <c r="AB537" s="7">
        <f t="shared" si="122"/>
        <v>6</v>
      </c>
      <c r="AC537" s="7">
        <f t="shared" si="123"/>
        <v>1</v>
      </c>
      <c r="AD537" s="7" t="str">
        <f t="shared" si="124"/>
        <v>No</v>
      </c>
      <c r="AE537" s="7" t="str">
        <f t="shared" si="125"/>
        <v>Normal</v>
      </c>
    </row>
    <row r="538" spans="1:31">
      <c r="A538" t="s">
        <v>1807</v>
      </c>
      <c r="B538">
        <v>87236512</v>
      </c>
      <c r="C538" t="s">
        <v>1808</v>
      </c>
      <c r="D538" t="s">
        <v>1809</v>
      </c>
      <c r="E538" t="s">
        <v>20</v>
      </c>
      <c r="F538" t="s">
        <v>34</v>
      </c>
      <c r="G538" t="s">
        <v>53</v>
      </c>
      <c r="H538" t="s">
        <v>25</v>
      </c>
      <c r="I538" t="s">
        <v>3374</v>
      </c>
      <c r="J538">
        <v>2026.05</v>
      </c>
      <c r="K538" t="s">
        <v>47</v>
      </c>
      <c r="L538" t="s">
        <v>48</v>
      </c>
      <c r="M538" s="1">
        <v>45125.334027777775</v>
      </c>
      <c r="N538">
        <v>34</v>
      </c>
      <c r="O538" t="s">
        <v>54</v>
      </c>
      <c r="P538" t="s">
        <v>68</v>
      </c>
      <c r="Q538" t="s">
        <v>1810</v>
      </c>
      <c r="R538" t="str">
        <f t="shared" si="112"/>
        <v>Carlos Volkov</v>
      </c>
      <c r="S538" t="str">
        <f t="shared" si="113"/>
        <v>Joseph Al-Sayed</v>
      </c>
      <c r="T538" t="str">
        <f t="shared" si="114"/>
        <v>CAD</v>
      </c>
      <c r="U538" s="7" t="str">
        <f t="shared" si="115"/>
        <v>AED</v>
      </c>
      <c r="V538" s="7" t="str">
        <f t="shared" si="116"/>
        <v>India</v>
      </c>
      <c r="W538" s="7" t="str">
        <f t="shared" si="117"/>
        <v>UAE</v>
      </c>
      <c r="X538" s="7" t="str">
        <f t="shared" si="118"/>
        <v>External</v>
      </c>
      <c r="Y538" s="7">
        <f t="shared" si="119"/>
        <v>2026.05</v>
      </c>
      <c r="Z538" s="7">
        <f t="shared" si="120"/>
        <v>34</v>
      </c>
      <c r="AA538" s="7">
        <f t="shared" si="121"/>
        <v>2023</v>
      </c>
      <c r="AB538" s="7">
        <f t="shared" si="122"/>
        <v>7</v>
      </c>
      <c r="AC538" s="7">
        <f t="shared" si="123"/>
        <v>1</v>
      </c>
      <c r="AD538" s="7" t="str">
        <f t="shared" si="124"/>
        <v>No</v>
      </c>
      <c r="AE538" s="7" t="str">
        <f t="shared" si="125"/>
        <v>Normal</v>
      </c>
    </row>
    <row r="539" spans="1:31">
      <c r="A539" t="s">
        <v>1811</v>
      </c>
      <c r="B539">
        <v>96565865</v>
      </c>
      <c r="C539" t="s">
        <v>1812</v>
      </c>
      <c r="D539" t="s">
        <v>1619</v>
      </c>
      <c r="E539" t="s">
        <v>20</v>
      </c>
      <c r="F539" t="s">
        <v>80</v>
      </c>
      <c r="G539" t="s">
        <v>44</v>
      </c>
      <c r="H539" t="s">
        <v>38</v>
      </c>
      <c r="I539" t="s">
        <v>3372</v>
      </c>
      <c r="J539">
        <v>8389.35</v>
      </c>
      <c r="K539" t="s">
        <v>86</v>
      </c>
      <c r="L539" t="s">
        <v>75</v>
      </c>
      <c r="M539" s="1">
        <v>45633.166666666664</v>
      </c>
      <c r="N539">
        <v>50</v>
      </c>
      <c r="O539" t="s">
        <v>127</v>
      </c>
      <c r="P539" t="s">
        <v>93</v>
      </c>
      <c r="Q539" t="s">
        <v>1813</v>
      </c>
      <c r="R539" t="str">
        <f t="shared" si="112"/>
        <v>Karen Khan</v>
      </c>
      <c r="S539" t="str">
        <f t="shared" si="113"/>
        <v>Elizabeth Anderson</v>
      </c>
      <c r="T539" t="str">
        <f t="shared" si="114"/>
        <v>USD</v>
      </c>
      <c r="U539" s="7" t="str">
        <f t="shared" si="115"/>
        <v>SGD</v>
      </c>
      <c r="V539" s="7" t="str">
        <f t="shared" si="116"/>
        <v>Canada</v>
      </c>
      <c r="W539" s="7" t="str">
        <f t="shared" si="117"/>
        <v>USA</v>
      </c>
      <c r="X539" s="7" t="str">
        <f t="shared" si="118"/>
        <v>Outer-Transaction</v>
      </c>
      <c r="Y539" s="7">
        <f t="shared" si="119"/>
        <v>8389.35</v>
      </c>
      <c r="Z539" s="7">
        <f t="shared" si="120"/>
        <v>50</v>
      </c>
      <c r="AA539" s="7">
        <f t="shared" si="121"/>
        <v>2024</v>
      </c>
      <c r="AB539" s="7">
        <f t="shared" si="122"/>
        <v>12</v>
      </c>
      <c r="AC539" s="7">
        <f t="shared" si="123"/>
        <v>1</v>
      </c>
      <c r="AD539" s="7" t="str">
        <f t="shared" si="124"/>
        <v>No</v>
      </c>
      <c r="AE539" s="7" t="str">
        <f t="shared" si="125"/>
        <v>High Risk</v>
      </c>
    </row>
    <row r="540" spans="1:31">
      <c r="A540" t="s">
        <v>1814</v>
      </c>
      <c r="B540">
        <v>13701318</v>
      </c>
      <c r="C540" t="s">
        <v>420</v>
      </c>
      <c r="D540" t="s">
        <v>1815</v>
      </c>
      <c r="E540" t="s">
        <v>33</v>
      </c>
      <c r="F540" t="s">
        <v>21</v>
      </c>
      <c r="G540" t="s">
        <v>92</v>
      </c>
      <c r="H540" t="s">
        <v>38</v>
      </c>
      <c r="I540" t="s">
        <v>3376</v>
      </c>
      <c r="J540">
        <v>14194.55</v>
      </c>
      <c r="K540" t="s">
        <v>47</v>
      </c>
      <c r="L540" t="s">
        <v>75</v>
      </c>
      <c r="M540" s="1">
        <v>45584.149305555555</v>
      </c>
      <c r="N540">
        <v>46</v>
      </c>
      <c r="O540" t="s">
        <v>55</v>
      </c>
      <c r="P540" t="s">
        <v>24</v>
      </c>
      <c r="Q540" t="s">
        <v>1816</v>
      </c>
      <c r="R540" t="str">
        <f t="shared" si="112"/>
        <v>Elena Martin</v>
      </c>
      <c r="S540" t="str">
        <f t="shared" si="113"/>
        <v>Sarah Wilson</v>
      </c>
      <c r="T540" t="str">
        <f t="shared" si="114"/>
        <v>GBP</v>
      </c>
      <c r="U540" s="7" t="str">
        <f t="shared" si="115"/>
        <v>AUD</v>
      </c>
      <c r="V540" s="7" t="str">
        <f t="shared" si="116"/>
        <v>UK</v>
      </c>
      <c r="W540" s="7" t="str">
        <f t="shared" si="117"/>
        <v>Brazil</v>
      </c>
      <c r="X540" s="7" t="str">
        <f t="shared" si="118"/>
        <v>Internal</v>
      </c>
      <c r="Y540" s="7">
        <f t="shared" si="119"/>
        <v>14194.55</v>
      </c>
      <c r="Z540" s="7">
        <f t="shared" si="120"/>
        <v>46</v>
      </c>
      <c r="AA540" s="7">
        <f t="shared" si="121"/>
        <v>2024</v>
      </c>
      <c r="AB540" s="7">
        <f t="shared" si="122"/>
        <v>10</v>
      </c>
      <c r="AC540" s="7">
        <f t="shared" si="123"/>
        <v>1</v>
      </c>
      <c r="AD540" s="7" t="str">
        <f t="shared" si="124"/>
        <v>No</v>
      </c>
      <c r="AE540" s="7" t="str">
        <f t="shared" si="125"/>
        <v>High Risk</v>
      </c>
    </row>
    <row r="541" spans="1:31">
      <c r="A541" t="s">
        <v>1817</v>
      </c>
      <c r="B541">
        <v>31636866</v>
      </c>
      <c r="C541" t="s">
        <v>1818</v>
      </c>
      <c r="D541" t="s">
        <v>741</v>
      </c>
      <c r="E541" t="s">
        <v>3375</v>
      </c>
      <c r="F541" t="s">
        <v>91</v>
      </c>
      <c r="G541" t="s">
        <v>21</v>
      </c>
      <c r="H541" t="s">
        <v>56</v>
      </c>
      <c r="I541" t="s">
        <v>3376</v>
      </c>
      <c r="J541">
        <v>10516.92</v>
      </c>
      <c r="K541" t="s">
        <v>39</v>
      </c>
      <c r="L541" t="s">
        <v>81</v>
      </c>
      <c r="M541" s="1">
        <v>43945.914583333331</v>
      </c>
      <c r="N541">
        <v>30</v>
      </c>
      <c r="O541" t="s">
        <v>24</v>
      </c>
      <c r="P541" t="s">
        <v>93</v>
      </c>
      <c r="Q541" t="s">
        <v>1819</v>
      </c>
      <c r="R541" t="str">
        <f t="shared" si="112"/>
        <v>Fatima Miller</v>
      </c>
      <c r="S541" t="str">
        <f t="shared" si="113"/>
        <v>Elizabeth Martin</v>
      </c>
      <c r="T541" t="str">
        <f t="shared" si="114"/>
        <v>gbp</v>
      </c>
      <c r="U541" s="7" t="str">
        <f t="shared" si="115"/>
        <v>GBP</v>
      </c>
      <c r="V541" s="7" t="str">
        <f t="shared" si="116"/>
        <v>Brazil</v>
      </c>
      <c r="W541" s="7" t="str">
        <f t="shared" si="117"/>
        <v>USA</v>
      </c>
      <c r="X541" s="7" t="str">
        <f t="shared" si="118"/>
        <v>Internal</v>
      </c>
      <c r="Y541" s="7">
        <f t="shared" si="119"/>
        <v>10516.92</v>
      </c>
      <c r="Z541" s="7">
        <f t="shared" si="120"/>
        <v>30</v>
      </c>
      <c r="AA541" s="7">
        <f t="shared" si="121"/>
        <v>2020</v>
      </c>
      <c r="AB541" s="7">
        <f t="shared" si="122"/>
        <v>4</v>
      </c>
      <c r="AC541" s="7">
        <f t="shared" si="123"/>
        <v>1</v>
      </c>
      <c r="AD541" s="7" t="str">
        <f t="shared" si="124"/>
        <v>No</v>
      </c>
      <c r="AE541" s="7" t="str">
        <f t="shared" si="125"/>
        <v>Normal</v>
      </c>
    </row>
    <row r="542" spans="1:31">
      <c r="A542" t="s">
        <v>1820</v>
      </c>
      <c r="B542">
        <v>77066159</v>
      </c>
      <c r="C542" t="s">
        <v>1821</v>
      </c>
      <c r="E542" t="s">
        <v>20</v>
      </c>
      <c r="F542" t="s">
        <v>34</v>
      </c>
      <c r="G542" t="s">
        <v>45</v>
      </c>
      <c r="H542" t="s">
        <v>38</v>
      </c>
      <c r="I542" t="s">
        <v>3377</v>
      </c>
      <c r="J542">
        <v>14730.33</v>
      </c>
      <c r="K542" t="s">
        <v>86</v>
      </c>
      <c r="L542" t="s">
        <v>75</v>
      </c>
      <c r="M542" s="1">
        <v>45434.088888888888</v>
      </c>
      <c r="N542">
        <v>63</v>
      </c>
      <c r="O542" t="s">
        <v>36</v>
      </c>
      <c r="P542" t="s">
        <v>54</v>
      </c>
      <c r="Q542" t="s">
        <v>1822</v>
      </c>
      <c r="R542" t="str">
        <f t="shared" si="112"/>
        <v>Robert Garcia</v>
      </c>
      <c r="S542" t="str">
        <f t="shared" si="113"/>
        <v/>
      </c>
      <c r="T542" t="str">
        <f t="shared" si="114"/>
        <v>CAD</v>
      </c>
      <c r="U542" s="7" t="str">
        <f t="shared" si="115"/>
        <v>ZAR</v>
      </c>
      <c r="V542" s="7" t="str">
        <f t="shared" si="116"/>
        <v>Germany</v>
      </c>
      <c r="W542" s="7" t="str">
        <f t="shared" si="117"/>
        <v>India</v>
      </c>
      <c r="X542" s="7" t="str">
        <f t="shared" si="118"/>
        <v>Inter-Transaction</v>
      </c>
      <c r="Y542" s="7">
        <f t="shared" si="119"/>
        <v>14730.33</v>
      </c>
      <c r="Z542" s="7">
        <f t="shared" si="120"/>
        <v>63</v>
      </c>
      <c r="AA542" s="7">
        <f t="shared" si="121"/>
        <v>2024</v>
      </c>
      <c r="AB542" s="7">
        <f t="shared" si="122"/>
        <v>5</v>
      </c>
      <c r="AC542" s="7">
        <f t="shared" si="123"/>
        <v>1</v>
      </c>
      <c r="AD542" s="7" t="str">
        <f t="shared" si="124"/>
        <v>No</v>
      </c>
      <c r="AE542" s="7" t="str">
        <f t="shared" si="125"/>
        <v>High Risk</v>
      </c>
    </row>
    <row r="543" spans="1:31">
      <c r="A543" t="s">
        <v>1823</v>
      </c>
      <c r="B543">
        <v>85613530</v>
      </c>
      <c r="C543" t="s">
        <v>829</v>
      </c>
      <c r="D543" t="s">
        <v>1821</v>
      </c>
      <c r="E543" t="s">
        <v>20</v>
      </c>
      <c r="F543" t="s">
        <v>116</v>
      </c>
      <c r="G543" t="s">
        <v>44</v>
      </c>
      <c r="H543" t="s">
        <v>38</v>
      </c>
      <c r="I543" t="s">
        <v>3378</v>
      </c>
      <c r="J543">
        <v>8614.0400000000009</v>
      </c>
      <c r="K543" t="s">
        <v>39</v>
      </c>
      <c r="L543" t="s">
        <v>48</v>
      </c>
      <c r="M543" s="1">
        <v>45153.890277777777</v>
      </c>
      <c r="N543">
        <v>52</v>
      </c>
      <c r="O543" t="s">
        <v>24</v>
      </c>
      <c r="P543" t="s">
        <v>24</v>
      </c>
      <c r="Q543" t="s">
        <v>1824</v>
      </c>
      <c r="R543" t="str">
        <f t="shared" si="112"/>
        <v>Susan Malik</v>
      </c>
      <c r="S543" t="str">
        <f t="shared" si="113"/>
        <v>Robert Garcia</v>
      </c>
      <c r="T543" t="str">
        <f t="shared" si="114"/>
        <v>CHF</v>
      </c>
      <c r="U543" s="7" t="str">
        <f t="shared" si="115"/>
        <v>SGD</v>
      </c>
      <c r="V543" s="7" t="str">
        <f t="shared" si="116"/>
        <v>Brazil</v>
      </c>
      <c r="W543" s="7" t="str">
        <f t="shared" si="117"/>
        <v>Brazil</v>
      </c>
      <c r="X543" s="7" t="str">
        <f t="shared" si="118"/>
        <v>Inter-Transaction</v>
      </c>
      <c r="Y543" s="7">
        <f t="shared" si="119"/>
        <v>8614.0400000000009</v>
      </c>
      <c r="Z543" s="7">
        <f t="shared" si="120"/>
        <v>52</v>
      </c>
      <c r="AA543" s="7">
        <f t="shared" si="121"/>
        <v>2023</v>
      </c>
      <c r="AB543" s="7">
        <f t="shared" si="122"/>
        <v>8</v>
      </c>
      <c r="AC543" s="7">
        <f t="shared" si="123"/>
        <v>1</v>
      </c>
      <c r="AD543" s="7" t="str">
        <f t="shared" si="124"/>
        <v>No</v>
      </c>
      <c r="AE543" s="7" t="str">
        <f t="shared" si="125"/>
        <v>Normal</v>
      </c>
    </row>
    <row r="544" spans="1:31">
      <c r="A544" t="s">
        <v>1825</v>
      </c>
      <c r="B544">
        <v>51831014</v>
      </c>
      <c r="C544" t="s">
        <v>314</v>
      </c>
      <c r="D544" t="s">
        <v>1314</v>
      </c>
      <c r="E544" t="s">
        <v>20</v>
      </c>
      <c r="F544" t="s">
        <v>116</v>
      </c>
      <c r="G544" t="s">
        <v>98</v>
      </c>
      <c r="H544" t="s">
        <v>103</v>
      </c>
      <c r="I544" t="s">
        <v>3372</v>
      </c>
      <c r="J544">
        <v>13929.81</v>
      </c>
      <c r="K544" t="s">
        <v>27</v>
      </c>
      <c r="L544" t="s">
        <v>81</v>
      </c>
      <c r="M544" s="1">
        <v>45691.464583333334</v>
      </c>
      <c r="N544">
        <v>23</v>
      </c>
      <c r="O544" t="s">
        <v>127</v>
      </c>
      <c r="P544" t="s">
        <v>36</v>
      </c>
      <c r="Q544" t="s">
        <v>1826</v>
      </c>
      <c r="R544" t="str">
        <f t="shared" si="112"/>
        <v>Priya Martinez</v>
      </c>
      <c r="S544" t="str">
        <f t="shared" si="113"/>
        <v>Patricia Lopez</v>
      </c>
      <c r="T544" t="str">
        <f t="shared" si="114"/>
        <v>CHF</v>
      </c>
      <c r="U544" s="7" t="str">
        <f t="shared" si="115"/>
        <v>JPY</v>
      </c>
      <c r="V544" s="7" t="str">
        <f t="shared" si="116"/>
        <v>Canada</v>
      </c>
      <c r="W544" s="7" t="str">
        <f t="shared" si="117"/>
        <v>Germany</v>
      </c>
      <c r="X544" s="7" t="str">
        <f t="shared" si="118"/>
        <v>Outer-Transaction</v>
      </c>
      <c r="Y544" s="7">
        <f t="shared" si="119"/>
        <v>13929.81</v>
      </c>
      <c r="Z544" s="7">
        <f t="shared" si="120"/>
        <v>23</v>
      </c>
      <c r="AA544" s="7">
        <f t="shared" si="121"/>
        <v>2025</v>
      </c>
      <c r="AB544" s="7">
        <f t="shared" si="122"/>
        <v>2</v>
      </c>
      <c r="AC544" s="7">
        <f t="shared" si="123"/>
        <v>1</v>
      </c>
      <c r="AD544" s="7" t="str">
        <f t="shared" si="124"/>
        <v>No</v>
      </c>
      <c r="AE544" s="7" t="str">
        <f t="shared" si="125"/>
        <v>Normal</v>
      </c>
    </row>
    <row r="545" spans="1:31">
      <c r="A545" t="s">
        <v>1827</v>
      </c>
      <c r="B545">
        <v>64262173</v>
      </c>
      <c r="C545" t="s">
        <v>282</v>
      </c>
      <c r="D545" t="s">
        <v>1309</v>
      </c>
      <c r="E545" t="b">
        <v>1</v>
      </c>
      <c r="F545" t="s">
        <v>44</v>
      </c>
      <c r="G545" t="s">
        <v>45</v>
      </c>
      <c r="H545" t="s">
        <v>103</v>
      </c>
      <c r="I545" t="s">
        <v>3376</v>
      </c>
      <c r="J545">
        <v>8449.32</v>
      </c>
      <c r="K545" t="s">
        <v>27</v>
      </c>
      <c r="L545" t="s">
        <v>81</v>
      </c>
      <c r="M545" s="1">
        <v>46275.070833333331</v>
      </c>
      <c r="N545">
        <v>64</v>
      </c>
      <c r="O545" t="s">
        <v>37</v>
      </c>
      <c r="P545" t="s">
        <v>36</v>
      </c>
      <c r="Q545" t="s">
        <v>1828</v>
      </c>
      <c r="R545" t="str">
        <f t="shared" si="112"/>
        <v>Mary Lopez</v>
      </c>
      <c r="S545" t="str">
        <f t="shared" si="113"/>
        <v>Mary Souza</v>
      </c>
      <c r="T545" t="str">
        <f t="shared" si="114"/>
        <v>SGD</v>
      </c>
      <c r="U545" s="7" t="str">
        <f t="shared" si="115"/>
        <v>ZAR</v>
      </c>
      <c r="V545" s="7" t="str">
        <f t="shared" si="116"/>
        <v>South Africa</v>
      </c>
      <c r="W545" s="7" t="str">
        <f t="shared" si="117"/>
        <v>Germany</v>
      </c>
      <c r="X545" s="7" t="str">
        <f t="shared" si="118"/>
        <v>Internal</v>
      </c>
      <c r="Y545" s="7">
        <f t="shared" si="119"/>
        <v>8449.32</v>
      </c>
      <c r="Z545" s="7">
        <f t="shared" si="120"/>
        <v>64</v>
      </c>
      <c r="AA545" s="7">
        <f t="shared" si="121"/>
        <v>2026</v>
      </c>
      <c r="AB545" s="7">
        <f t="shared" si="122"/>
        <v>9</v>
      </c>
      <c r="AC545" s="7">
        <f t="shared" si="123"/>
        <v>1</v>
      </c>
      <c r="AD545" s="7" t="str">
        <f t="shared" si="124"/>
        <v>No</v>
      </c>
      <c r="AE545" s="7" t="str">
        <f t="shared" si="125"/>
        <v>Normal</v>
      </c>
    </row>
    <row r="546" spans="1:31">
      <c r="A546" t="s">
        <v>1829</v>
      </c>
      <c r="B546">
        <v>75829144</v>
      </c>
      <c r="C546" t="s">
        <v>167</v>
      </c>
      <c r="D546" t="s">
        <v>500</v>
      </c>
      <c r="E546" t="s">
        <v>20</v>
      </c>
      <c r="F546" t="s">
        <v>116</v>
      </c>
      <c r="G546" t="s">
        <v>92</v>
      </c>
      <c r="H546" t="s">
        <v>38</v>
      </c>
      <c r="I546" t="s">
        <v>3377</v>
      </c>
      <c r="J546">
        <v>2829.3</v>
      </c>
      <c r="K546" t="s">
        <v>86</v>
      </c>
      <c r="L546" t="s">
        <v>75</v>
      </c>
      <c r="M546" s="1">
        <v>46272.395138888889</v>
      </c>
      <c r="N546">
        <v>42</v>
      </c>
      <c r="O546" t="s">
        <v>23</v>
      </c>
      <c r="P546" t="s">
        <v>68</v>
      </c>
      <c r="Q546" t="s">
        <v>1830</v>
      </c>
      <c r="R546" t="str">
        <f t="shared" si="112"/>
        <v>John Thomas</v>
      </c>
      <c r="S546" t="str">
        <f t="shared" si="113"/>
        <v>Patricia Hernandez</v>
      </c>
      <c r="T546" t="str">
        <f t="shared" si="114"/>
        <v>CHF</v>
      </c>
      <c r="U546" s="7" t="str">
        <f t="shared" si="115"/>
        <v>AUD</v>
      </c>
      <c r="V546" s="7" t="str">
        <f t="shared" si="116"/>
        <v>France</v>
      </c>
      <c r="W546" s="7" t="str">
        <f t="shared" si="117"/>
        <v>UAE</v>
      </c>
      <c r="X546" s="7" t="str">
        <f t="shared" si="118"/>
        <v>Inter-Transaction</v>
      </c>
      <c r="Y546" s="7">
        <f t="shared" si="119"/>
        <v>2829.3</v>
      </c>
      <c r="Z546" s="7">
        <f t="shared" si="120"/>
        <v>42</v>
      </c>
      <c r="AA546" s="7">
        <f t="shared" si="121"/>
        <v>2026</v>
      </c>
      <c r="AB546" s="7">
        <f t="shared" si="122"/>
        <v>9</v>
      </c>
      <c r="AC546" s="7">
        <f t="shared" si="123"/>
        <v>1</v>
      </c>
      <c r="AD546" s="7" t="str">
        <f t="shared" si="124"/>
        <v>No</v>
      </c>
      <c r="AE546" s="7" t="str">
        <f t="shared" si="125"/>
        <v>High Risk</v>
      </c>
    </row>
    <row r="547" spans="1:31">
      <c r="A547" t="s">
        <v>1831</v>
      </c>
      <c r="B547">
        <v>17037740</v>
      </c>
      <c r="C547" t="s">
        <v>1832</v>
      </c>
      <c r="D547" t="s">
        <v>886</v>
      </c>
      <c r="E547" t="s">
        <v>20</v>
      </c>
      <c r="F547" t="s">
        <v>98</v>
      </c>
      <c r="G547" t="s">
        <v>98</v>
      </c>
      <c r="H547" t="s">
        <v>56</v>
      </c>
      <c r="I547" t="s">
        <v>3371</v>
      </c>
      <c r="J547">
        <v>13386.42</v>
      </c>
      <c r="K547" t="s">
        <v>57</v>
      </c>
      <c r="L547" t="s">
        <v>28</v>
      </c>
      <c r="M547" s="1">
        <v>44929.878472222219</v>
      </c>
      <c r="N547">
        <v>83</v>
      </c>
      <c r="O547" t="s">
        <v>24</v>
      </c>
      <c r="P547" t="s">
        <v>93</v>
      </c>
      <c r="Q547" t="s">
        <v>1833</v>
      </c>
      <c r="R547" t="str">
        <f t="shared" si="112"/>
        <v>AMIR KHAN</v>
      </c>
      <c r="S547" t="str">
        <f t="shared" si="113"/>
        <v>Marta Malik</v>
      </c>
      <c r="T547" t="str">
        <f t="shared" si="114"/>
        <v>JPY</v>
      </c>
      <c r="U547" s="7" t="str">
        <f t="shared" si="115"/>
        <v>JPY</v>
      </c>
      <c r="V547" s="7" t="str">
        <f t="shared" si="116"/>
        <v>Brazil</v>
      </c>
      <c r="W547" s="7" t="str">
        <f t="shared" si="117"/>
        <v>USA</v>
      </c>
      <c r="X547" s="7" t="str">
        <f t="shared" si="118"/>
        <v>Outer-Transaction</v>
      </c>
      <c r="Y547" s="7">
        <f t="shared" si="119"/>
        <v>13386.42</v>
      </c>
      <c r="Z547" s="7">
        <f t="shared" si="120"/>
        <v>83</v>
      </c>
      <c r="AA547" s="7">
        <f t="shared" si="121"/>
        <v>2023</v>
      </c>
      <c r="AB547" s="7">
        <f t="shared" si="122"/>
        <v>1</v>
      </c>
      <c r="AC547" s="7">
        <f t="shared" si="123"/>
        <v>1</v>
      </c>
      <c r="AD547" s="7" t="str">
        <f t="shared" si="124"/>
        <v>No</v>
      </c>
      <c r="AE547" s="7" t="str">
        <f t="shared" si="125"/>
        <v>Normal</v>
      </c>
    </row>
    <row r="548" spans="1:31">
      <c r="A548" t="s">
        <v>1834</v>
      </c>
      <c r="B548">
        <v>48982422</v>
      </c>
      <c r="C548" t="s">
        <v>220</v>
      </c>
      <c r="D548" t="s">
        <v>1835</v>
      </c>
      <c r="E548" t="s">
        <v>3375</v>
      </c>
      <c r="F548" t="s">
        <v>34</v>
      </c>
      <c r="G548" t="s">
        <v>21</v>
      </c>
      <c r="I548" t="s">
        <v>3376</v>
      </c>
      <c r="J548">
        <v>3700.14</v>
      </c>
      <c r="K548" t="s">
        <v>57</v>
      </c>
      <c r="L548" t="s">
        <v>81</v>
      </c>
      <c r="M548" s="1">
        <v>44808.709027777775</v>
      </c>
      <c r="N548">
        <v>27</v>
      </c>
      <c r="O548" t="s">
        <v>55</v>
      </c>
      <c r="P548" t="s">
        <v>55</v>
      </c>
      <c r="Q548" t="s">
        <v>1836</v>
      </c>
      <c r="R548" t="str">
        <f t="shared" si="112"/>
        <v>John Volkov</v>
      </c>
      <c r="S548" t="str">
        <f t="shared" si="113"/>
        <v xml:space="preserve"> Elizabeth Velez   </v>
      </c>
      <c r="T548" t="str">
        <f t="shared" si="114"/>
        <v>CAD</v>
      </c>
      <c r="U548" s="7" t="str">
        <f t="shared" si="115"/>
        <v>GBP</v>
      </c>
      <c r="V548" s="7" t="str">
        <f t="shared" si="116"/>
        <v>UK</v>
      </c>
      <c r="W548" s="7" t="str">
        <f t="shared" si="117"/>
        <v>UK</v>
      </c>
      <c r="X548" s="7" t="str">
        <f t="shared" si="118"/>
        <v>Internal</v>
      </c>
      <c r="Y548" s="7">
        <f t="shared" si="119"/>
        <v>3700.14</v>
      </c>
      <c r="Z548" s="7">
        <f t="shared" si="120"/>
        <v>27</v>
      </c>
      <c r="AA548" s="7">
        <f t="shared" si="121"/>
        <v>2022</v>
      </c>
      <c r="AB548" s="7">
        <f t="shared" si="122"/>
        <v>9</v>
      </c>
      <c r="AC548" s="7">
        <f t="shared" si="123"/>
        <v>1</v>
      </c>
      <c r="AD548" s="7" t="str">
        <f t="shared" si="124"/>
        <v>No</v>
      </c>
      <c r="AE548" s="7" t="str">
        <f t="shared" si="125"/>
        <v>Normal</v>
      </c>
    </row>
    <row r="549" spans="1:31">
      <c r="A549" t="s">
        <v>1837</v>
      </c>
      <c r="B549">
        <v>35433791</v>
      </c>
      <c r="C549" t="s">
        <v>196</v>
      </c>
      <c r="D549" t="s">
        <v>362</v>
      </c>
      <c r="E549" t="s">
        <v>20</v>
      </c>
      <c r="F549" t="s">
        <v>45</v>
      </c>
      <c r="G549" t="s">
        <v>22</v>
      </c>
      <c r="I549" t="s">
        <v>3377</v>
      </c>
      <c r="J549">
        <v>1738.02</v>
      </c>
      <c r="K549" t="s">
        <v>39</v>
      </c>
      <c r="L549" t="s">
        <v>28</v>
      </c>
      <c r="M549" s="1">
        <v>45336.063194444447</v>
      </c>
      <c r="N549">
        <v>73</v>
      </c>
      <c r="O549" t="s">
        <v>55</v>
      </c>
      <c r="P549" t="s">
        <v>54</v>
      </c>
      <c r="Q549" t="s">
        <v>1838</v>
      </c>
      <c r="R549" t="str">
        <f t="shared" si="112"/>
        <v>Amir Dubois</v>
      </c>
      <c r="S549" t="str">
        <f t="shared" si="113"/>
        <v>Sarah Rodriguez</v>
      </c>
      <c r="T549" t="str">
        <f t="shared" si="114"/>
        <v>ZAR</v>
      </c>
      <c r="U549" s="7" t="str">
        <f t="shared" si="115"/>
        <v>BRL</v>
      </c>
      <c r="V549" s="7" t="str">
        <f t="shared" si="116"/>
        <v>UK</v>
      </c>
      <c r="W549" s="7" t="str">
        <f t="shared" si="117"/>
        <v>India</v>
      </c>
      <c r="X549" s="7" t="str">
        <f t="shared" si="118"/>
        <v>Inter-Transaction</v>
      </c>
      <c r="Y549" s="7">
        <f t="shared" si="119"/>
        <v>1738.02</v>
      </c>
      <c r="Z549" s="7">
        <f t="shared" si="120"/>
        <v>73</v>
      </c>
      <c r="AA549" s="7">
        <f t="shared" si="121"/>
        <v>2024</v>
      </c>
      <c r="AB549" s="7">
        <f t="shared" si="122"/>
        <v>2</v>
      </c>
      <c r="AC549" s="7">
        <f t="shared" si="123"/>
        <v>1</v>
      </c>
      <c r="AD549" s="7" t="str">
        <f t="shared" si="124"/>
        <v>No</v>
      </c>
      <c r="AE549" s="7" t="str">
        <f t="shared" si="125"/>
        <v>Normal</v>
      </c>
    </row>
    <row r="550" spans="1:31">
      <c r="A550" t="s">
        <v>1839</v>
      </c>
      <c r="C550" t="s">
        <v>293</v>
      </c>
      <c r="D550" t="s">
        <v>343</v>
      </c>
      <c r="E550" t="s">
        <v>20</v>
      </c>
      <c r="F550" t="s">
        <v>35</v>
      </c>
      <c r="G550" t="s">
        <v>92</v>
      </c>
      <c r="H550" t="s">
        <v>74</v>
      </c>
      <c r="I550" t="s">
        <v>3376</v>
      </c>
      <c r="J550">
        <v>14933.42</v>
      </c>
      <c r="K550" t="s">
        <v>39</v>
      </c>
      <c r="L550" t="s">
        <v>81</v>
      </c>
      <c r="M550" s="1">
        <v>44957.385416666664</v>
      </c>
      <c r="N550">
        <v>47</v>
      </c>
      <c r="O550" t="s">
        <v>93</v>
      </c>
      <c r="P550" t="s">
        <v>36</v>
      </c>
      <c r="Q550" t="s">
        <v>1840</v>
      </c>
      <c r="R550" t="str">
        <f t="shared" si="112"/>
        <v>Barbara Malik</v>
      </c>
      <c r="S550" t="str">
        <f t="shared" si="113"/>
        <v>Christopher Rodriguez</v>
      </c>
      <c r="T550" t="str">
        <f t="shared" si="114"/>
        <v>EUR</v>
      </c>
      <c r="U550" s="7" t="str">
        <f t="shared" si="115"/>
        <v>AUD</v>
      </c>
      <c r="V550" s="7" t="str">
        <f t="shared" si="116"/>
        <v>USA</v>
      </c>
      <c r="W550" s="7" t="str">
        <f t="shared" si="117"/>
        <v>Germany</v>
      </c>
      <c r="X550" s="7" t="str">
        <f t="shared" si="118"/>
        <v>Internal</v>
      </c>
      <c r="Y550" s="7">
        <f t="shared" si="119"/>
        <v>14933.42</v>
      </c>
      <c r="Z550" s="7">
        <f t="shared" si="120"/>
        <v>47</v>
      </c>
      <c r="AA550" s="7">
        <f t="shared" si="121"/>
        <v>2023</v>
      </c>
      <c r="AB550" s="7">
        <f t="shared" si="122"/>
        <v>1</v>
      </c>
      <c r="AC550" s="7">
        <f t="shared" si="123"/>
        <v>1</v>
      </c>
      <c r="AD550" s="7" t="str">
        <f t="shared" si="124"/>
        <v>No</v>
      </c>
      <c r="AE550" s="7" t="str">
        <f t="shared" si="125"/>
        <v>Normal</v>
      </c>
    </row>
    <row r="551" spans="1:31">
      <c r="A551" t="s">
        <v>1841</v>
      </c>
      <c r="B551">
        <v>59781610</v>
      </c>
      <c r="C551" t="s">
        <v>1578</v>
      </c>
      <c r="D551" t="s">
        <v>708</v>
      </c>
      <c r="E551" t="s">
        <v>20</v>
      </c>
      <c r="F551" t="s">
        <v>80</v>
      </c>
      <c r="G551" t="s">
        <v>45</v>
      </c>
      <c r="H551" t="s">
        <v>38</v>
      </c>
      <c r="I551" t="s">
        <v>3377</v>
      </c>
      <c r="J551">
        <v>14229.36</v>
      </c>
      <c r="K551" t="s">
        <v>57</v>
      </c>
      <c r="L551" t="s">
        <v>75</v>
      </c>
      <c r="M551" s="1">
        <v>44127.458333333336</v>
      </c>
      <c r="N551">
        <v>22</v>
      </c>
      <c r="O551" t="s">
        <v>24</v>
      </c>
      <c r="P551" t="s">
        <v>62</v>
      </c>
      <c r="Q551" t="s">
        <v>1842</v>
      </c>
      <c r="R551" t="str">
        <f t="shared" si="112"/>
        <v>Thomas Al-Sayed</v>
      </c>
      <c r="S551" t="str">
        <f t="shared" si="113"/>
        <v>Michael Anderson</v>
      </c>
      <c r="T551" t="str">
        <f t="shared" si="114"/>
        <v>USD</v>
      </c>
      <c r="U551" s="7" t="str">
        <f t="shared" si="115"/>
        <v>ZAR</v>
      </c>
      <c r="V551" s="7" t="str">
        <f t="shared" si="116"/>
        <v>Brazil</v>
      </c>
      <c r="W551" s="7" t="str">
        <f t="shared" si="117"/>
        <v>Australia</v>
      </c>
      <c r="X551" s="7" t="str">
        <f t="shared" si="118"/>
        <v>Inter-Transaction</v>
      </c>
      <c r="Y551" s="7">
        <f t="shared" si="119"/>
        <v>14229.36</v>
      </c>
      <c r="Z551" s="7">
        <f t="shared" si="120"/>
        <v>22</v>
      </c>
      <c r="AA551" s="7">
        <f t="shared" si="121"/>
        <v>2020</v>
      </c>
      <c r="AB551" s="7">
        <f t="shared" si="122"/>
        <v>10</v>
      </c>
      <c r="AC551" s="7">
        <f t="shared" si="123"/>
        <v>1</v>
      </c>
      <c r="AD551" s="7" t="str">
        <f t="shared" si="124"/>
        <v>No</v>
      </c>
      <c r="AE551" s="7" t="str">
        <f t="shared" si="125"/>
        <v>High Risk</v>
      </c>
    </row>
    <row r="552" spans="1:31">
      <c r="A552" t="s">
        <v>1843</v>
      </c>
      <c r="B552">
        <v>34691117</v>
      </c>
      <c r="C552" t="s">
        <v>184</v>
      </c>
      <c r="D552" t="s">
        <v>1844</v>
      </c>
      <c r="E552" t="s">
        <v>33</v>
      </c>
      <c r="F552" t="s">
        <v>112</v>
      </c>
      <c r="G552" t="s">
        <v>44</v>
      </c>
      <c r="H552" t="s">
        <v>103</v>
      </c>
      <c r="I552" t="s">
        <v>3377</v>
      </c>
      <c r="J552">
        <v>1679.37</v>
      </c>
      <c r="K552" t="s">
        <v>86</v>
      </c>
      <c r="L552" t="s">
        <v>81</v>
      </c>
      <c r="M552" s="1">
        <v>46056.838194444441</v>
      </c>
      <c r="N552">
        <v>50</v>
      </c>
      <c r="O552" t="s">
        <v>23</v>
      </c>
      <c r="P552" t="s">
        <v>127</v>
      </c>
      <c r="Q552" t="s">
        <v>1845</v>
      </c>
      <c r="R552" t="str">
        <f t="shared" si="112"/>
        <v>Sanjay Miller</v>
      </c>
      <c r="S552" t="str">
        <f t="shared" si="113"/>
        <v>Richard Velez</v>
      </c>
      <c r="T552" t="str">
        <f t="shared" si="114"/>
        <v>usd</v>
      </c>
      <c r="U552" s="7" t="str">
        <f t="shared" si="115"/>
        <v>SGD</v>
      </c>
      <c r="V552" s="7" t="str">
        <f t="shared" si="116"/>
        <v>France</v>
      </c>
      <c r="W552" s="7" t="str">
        <f t="shared" si="117"/>
        <v>Canada</v>
      </c>
      <c r="X552" s="7" t="str">
        <f t="shared" si="118"/>
        <v>Inter-Transaction</v>
      </c>
      <c r="Y552" s="7">
        <f t="shared" si="119"/>
        <v>1679.37</v>
      </c>
      <c r="Z552" s="7">
        <f t="shared" si="120"/>
        <v>50</v>
      </c>
      <c r="AA552" s="7">
        <f t="shared" si="121"/>
        <v>2026</v>
      </c>
      <c r="AB552" s="7">
        <f t="shared" si="122"/>
        <v>2</v>
      </c>
      <c r="AC552" s="7">
        <f t="shared" si="123"/>
        <v>1</v>
      </c>
      <c r="AD552" s="7" t="str">
        <f t="shared" si="124"/>
        <v>No</v>
      </c>
      <c r="AE552" s="7" t="str">
        <f t="shared" si="125"/>
        <v>Normal</v>
      </c>
    </row>
    <row r="553" spans="1:31">
      <c r="A553" t="s">
        <v>1846</v>
      </c>
      <c r="B553">
        <v>61165595</v>
      </c>
      <c r="C553" t="s">
        <v>224</v>
      </c>
      <c r="D553" t="s">
        <v>1847</v>
      </c>
      <c r="E553" t="s">
        <v>20</v>
      </c>
      <c r="F553" t="s">
        <v>116</v>
      </c>
      <c r="G553" t="s">
        <v>99</v>
      </c>
      <c r="H553" t="s">
        <v>56</v>
      </c>
      <c r="I553" t="s">
        <v>3376</v>
      </c>
      <c r="J553">
        <v>9675.4</v>
      </c>
      <c r="K553" t="s">
        <v>57</v>
      </c>
      <c r="L553" t="s">
        <v>81</v>
      </c>
      <c r="M553" s="1">
        <v>46193.65902777778</v>
      </c>
      <c r="N553">
        <v>82</v>
      </c>
      <c r="O553" t="s">
        <v>68</v>
      </c>
      <c r="P553" t="s">
        <v>127</v>
      </c>
      <c r="Q553" t="s">
        <v>1848</v>
      </c>
      <c r="R553" t="str">
        <f t="shared" si="112"/>
        <v>John Jackson</v>
      </c>
      <c r="S553" t="str">
        <f t="shared" si="113"/>
        <v xml:space="preserve"> Mary Khan   </v>
      </c>
      <c r="T553" t="str">
        <f t="shared" si="114"/>
        <v>CHF</v>
      </c>
      <c r="U553" s="7" t="str">
        <f t="shared" si="115"/>
        <v>eur</v>
      </c>
      <c r="V553" s="7" t="str">
        <f t="shared" si="116"/>
        <v>UAE</v>
      </c>
      <c r="W553" s="7" t="str">
        <f t="shared" si="117"/>
        <v>Canada</v>
      </c>
      <c r="X553" s="7" t="str">
        <f t="shared" si="118"/>
        <v>Internal</v>
      </c>
      <c r="Y553" s="7">
        <f t="shared" si="119"/>
        <v>9675.4</v>
      </c>
      <c r="Z553" s="7">
        <f t="shared" si="120"/>
        <v>82</v>
      </c>
      <c r="AA553" s="7">
        <f t="shared" si="121"/>
        <v>2026</v>
      </c>
      <c r="AB553" s="7">
        <f t="shared" si="122"/>
        <v>6</v>
      </c>
      <c r="AC553" s="7">
        <f t="shared" si="123"/>
        <v>1</v>
      </c>
      <c r="AD553" s="7" t="str">
        <f t="shared" si="124"/>
        <v>No</v>
      </c>
      <c r="AE553" s="7" t="str">
        <f t="shared" si="125"/>
        <v>Normal</v>
      </c>
    </row>
    <row r="554" spans="1:31">
      <c r="A554" t="s">
        <v>1849</v>
      </c>
      <c r="B554">
        <v>30553823</v>
      </c>
      <c r="C554" t="s">
        <v>1850</v>
      </c>
      <c r="D554" t="s">
        <v>1851</v>
      </c>
      <c r="E554" t="s">
        <v>20</v>
      </c>
      <c r="F554" t="s">
        <v>53</v>
      </c>
      <c r="G554" t="s">
        <v>45</v>
      </c>
      <c r="I554" t="s">
        <v>3377</v>
      </c>
      <c r="J554">
        <v>6481.73</v>
      </c>
      <c r="K554" t="s">
        <v>57</v>
      </c>
      <c r="L554" t="s">
        <v>48</v>
      </c>
      <c r="M554" s="1">
        <v>44893.509722222225</v>
      </c>
      <c r="N554">
        <v>35</v>
      </c>
      <c r="O554" t="s">
        <v>62</v>
      </c>
      <c r="P554" t="s">
        <v>23</v>
      </c>
      <c r="Q554" t="s">
        <v>1852</v>
      </c>
      <c r="R554" t="str">
        <f t="shared" si="112"/>
        <v>Thomas Moore</v>
      </c>
      <c r="S554" t="str">
        <f t="shared" si="113"/>
        <v>Carlos Lopez</v>
      </c>
      <c r="T554" t="str">
        <f t="shared" si="114"/>
        <v>AED</v>
      </c>
      <c r="U554" s="7" t="str">
        <f t="shared" si="115"/>
        <v>ZAR</v>
      </c>
      <c r="V554" s="7" t="str">
        <f t="shared" si="116"/>
        <v>Australia</v>
      </c>
      <c r="W554" s="7" t="str">
        <f t="shared" si="117"/>
        <v>France</v>
      </c>
      <c r="X554" s="7" t="str">
        <f t="shared" si="118"/>
        <v>Inter-Transaction</v>
      </c>
      <c r="Y554" s="7">
        <f t="shared" si="119"/>
        <v>6481.73</v>
      </c>
      <c r="Z554" s="7">
        <f t="shared" si="120"/>
        <v>35</v>
      </c>
      <c r="AA554" s="7">
        <f t="shared" si="121"/>
        <v>2022</v>
      </c>
      <c r="AB554" s="7">
        <f t="shared" si="122"/>
        <v>11</v>
      </c>
      <c r="AC554" s="7">
        <f t="shared" si="123"/>
        <v>1</v>
      </c>
      <c r="AD554" s="7" t="str">
        <f t="shared" si="124"/>
        <v>No</v>
      </c>
      <c r="AE554" s="7" t="str">
        <f t="shared" si="125"/>
        <v>Normal</v>
      </c>
    </row>
    <row r="555" spans="1:31">
      <c r="A555" t="s">
        <v>1853</v>
      </c>
      <c r="B555">
        <v>64464528</v>
      </c>
      <c r="C555" t="s">
        <v>1462</v>
      </c>
      <c r="D555" t="s">
        <v>861</v>
      </c>
      <c r="E555" t="s">
        <v>33</v>
      </c>
      <c r="F555" t="s">
        <v>44</v>
      </c>
      <c r="G555" t="s">
        <v>92</v>
      </c>
      <c r="H555" t="s">
        <v>74</v>
      </c>
      <c r="I555" t="s">
        <v>3371</v>
      </c>
      <c r="J555">
        <v>10691.72</v>
      </c>
      <c r="K555" t="s">
        <v>27</v>
      </c>
      <c r="L555" t="s">
        <v>48</v>
      </c>
      <c r="M555" s="1">
        <v>44089.863194444442</v>
      </c>
      <c r="N555">
        <v>66</v>
      </c>
      <c r="O555" t="s">
        <v>23</v>
      </c>
      <c r="P555" t="s">
        <v>55</v>
      </c>
      <c r="Q555" t="s">
        <v>1854</v>
      </c>
      <c r="R555" t="str">
        <f t="shared" si="112"/>
        <v>Jessica Volkov</v>
      </c>
      <c r="S555" t="str">
        <f t="shared" si="113"/>
        <v>Jessica Anderson</v>
      </c>
      <c r="T555" t="str">
        <f t="shared" si="114"/>
        <v>SGD</v>
      </c>
      <c r="U555" s="7" t="str">
        <f t="shared" si="115"/>
        <v>AUD</v>
      </c>
      <c r="V555" s="7" t="str">
        <f t="shared" si="116"/>
        <v>France</v>
      </c>
      <c r="W555" s="7" t="str">
        <f t="shared" si="117"/>
        <v>UK</v>
      </c>
      <c r="X555" s="7" t="str">
        <f t="shared" si="118"/>
        <v>Outer-Transaction</v>
      </c>
      <c r="Y555" s="7">
        <f t="shared" si="119"/>
        <v>10691.72</v>
      </c>
      <c r="Z555" s="7">
        <f t="shared" si="120"/>
        <v>66</v>
      </c>
      <c r="AA555" s="7">
        <f t="shared" si="121"/>
        <v>2020</v>
      </c>
      <c r="AB555" s="7">
        <f t="shared" si="122"/>
        <v>9</v>
      </c>
      <c r="AC555" s="7">
        <f t="shared" si="123"/>
        <v>1</v>
      </c>
      <c r="AD555" s="7" t="str">
        <f t="shared" si="124"/>
        <v>No</v>
      </c>
      <c r="AE555" s="7" t="str">
        <f t="shared" si="125"/>
        <v>Normal</v>
      </c>
    </row>
    <row r="556" spans="1:31">
      <c r="A556" t="s">
        <v>1855</v>
      </c>
      <c r="B556">
        <v>82857235</v>
      </c>
      <c r="C556" t="s">
        <v>1079</v>
      </c>
      <c r="D556" t="s">
        <v>1160</v>
      </c>
      <c r="E556" t="s">
        <v>3375</v>
      </c>
      <c r="F556" t="s">
        <v>1084</v>
      </c>
      <c r="G556" t="s">
        <v>92</v>
      </c>
      <c r="H556" t="s">
        <v>38</v>
      </c>
      <c r="I556" t="s">
        <v>3372</v>
      </c>
      <c r="J556">
        <v>2712.93</v>
      </c>
      <c r="K556" t="s">
        <v>39</v>
      </c>
      <c r="L556" t="s">
        <v>28</v>
      </c>
      <c r="M556" s="1">
        <v>45885.29791666667</v>
      </c>
      <c r="N556">
        <v>28</v>
      </c>
      <c r="O556" t="s">
        <v>62</v>
      </c>
      <c r="P556" t="s">
        <v>127</v>
      </c>
      <c r="Q556" t="s">
        <v>1856</v>
      </c>
      <c r="R556" t="str">
        <f t="shared" si="112"/>
        <v>Sanjay Anderson</v>
      </c>
      <c r="S556" t="str">
        <f t="shared" si="113"/>
        <v>Barbara Volkov</v>
      </c>
      <c r="T556" t="str">
        <f t="shared" si="114"/>
        <v>chf</v>
      </c>
      <c r="U556" s="7" t="str">
        <f t="shared" si="115"/>
        <v>AUD</v>
      </c>
      <c r="V556" s="7" t="str">
        <f t="shared" si="116"/>
        <v>Australia</v>
      </c>
      <c r="W556" s="7" t="str">
        <f t="shared" si="117"/>
        <v>Canada</v>
      </c>
      <c r="X556" s="7" t="str">
        <f t="shared" si="118"/>
        <v>Outer-Transaction</v>
      </c>
      <c r="Y556" s="7">
        <f t="shared" si="119"/>
        <v>2712.93</v>
      </c>
      <c r="Z556" s="7">
        <f t="shared" si="120"/>
        <v>28</v>
      </c>
      <c r="AA556" s="7">
        <f t="shared" si="121"/>
        <v>2025</v>
      </c>
      <c r="AB556" s="7">
        <f t="shared" si="122"/>
        <v>8</v>
      </c>
      <c r="AC556" s="7">
        <f t="shared" si="123"/>
        <v>1</v>
      </c>
      <c r="AD556" s="7" t="str">
        <f t="shared" si="124"/>
        <v>No</v>
      </c>
      <c r="AE556" s="7" t="str">
        <f t="shared" si="125"/>
        <v>Normal</v>
      </c>
    </row>
    <row r="557" spans="1:31">
      <c r="A557" t="s">
        <v>1857</v>
      </c>
      <c r="B557">
        <v>36549575</v>
      </c>
      <c r="C557" t="s">
        <v>630</v>
      </c>
      <c r="D557" t="s">
        <v>1858</v>
      </c>
      <c r="E557" t="s">
        <v>20</v>
      </c>
      <c r="F557" t="s">
        <v>22</v>
      </c>
      <c r="G557" t="s">
        <v>21</v>
      </c>
      <c r="I557" t="s">
        <v>3377</v>
      </c>
      <c r="J557">
        <v>10146.08</v>
      </c>
      <c r="K557" t="s">
        <v>86</v>
      </c>
      <c r="L557" t="s">
        <v>28</v>
      </c>
      <c r="M557" s="1">
        <v>45927.544444444444</v>
      </c>
      <c r="N557">
        <v>43</v>
      </c>
      <c r="O557" t="s">
        <v>62</v>
      </c>
      <c r="P557" t="s">
        <v>23</v>
      </c>
      <c r="Q557" t="s">
        <v>1859</v>
      </c>
      <c r="R557" t="str">
        <f t="shared" si="112"/>
        <v>Michael Wilson</v>
      </c>
      <c r="S557" t="str">
        <f t="shared" si="113"/>
        <v>Richard Anderson</v>
      </c>
      <c r="T557" t="str">
        <f t="shared" si="114"/>
        <v>BRL</v>
      </c>
      <c r="U557" s="7" t="str">
        <f t="shared" si="115"/>
        <v>GBP</v>
      </c>
      <c r="V557" s="7" t="str">
        <f t="shared" si="116"/>
        <v>Australia</v>
      </c>
      <c r="W557" s="7" t="str">
        <f t="shared" si="117"/>
        <v>France</v>
      </c>
      <c r="X557" s="7" t="str">
        <f t="shared" si="118"/>
        <v>Inter-Transaction</v>
      </c>
      <c r="Y557" s="7">
        <f t="shared" si="119"/>
        <v>10146.08</v>
      </c>
      <c r="Z557" s="7">
        <f t="shared" si="120"/>
        <v>43</v>
      </c>
      <c r="AA557" s="7">
        <f t="shared" si="121"/>
        <v>2025</v>
      </c>
      <c r="AB557" s="7">
        <f t="shared" si="122"/>
        <v>9</v>
      </c>
      <c r="AC557" s="7">
        <f t="shared" si="123"/>
        <v>1</v>
      </c>
      <c r="AD557" s="7" t="str">
        <f t="shared" si="124"/>
        <v>No</v>
      </c>
      <c r="AE557" s="7" t="str">
        <f t="shared" si="125"/>
        <v>Normal</v>
      </c>
    </row>
    <row r="558" spans="1:31">
      <c r="A558" t="s">
        <v>1860</v>
      </c>
      <c r="B558">
        <v>30213583</v>
      </c>
      <c r="C558" t="s">
        <v>1861</v>
      </c>
      <c r="D558" t="s">
        <v>72</v>
      </c>
      <c r="E558" t="s">
        <v>20</v>
      </c>
      <c r="F558" t="s">
        <v>34</v>
      </c>
      <c r="G558" t="s">
        <v>116</v>
      </c>
      <c r="H558" t="s">
        <v>38</v>
      </c>
      <c r="I558" t="s">
        <v>3371</v>
      </c>
      <c r="J558">
        <v>13513.25</v>
      </c>
      <c r="K558" t="s">
        <v>47</v>
      </c>
      <c r="L558" t="s">
        <v>48</v>
      </c>
      <c r="M558" s="1">
        <v>46039.720833333333</v>
      </c>
      <c r="N558">
        <v>80</v>
      </c>
      <c r="O558" t="s">
        <v>37</v>
      </c>
      <c r="P558" t="s">
        <v>93</v>
      </c>
      <c r="Q558" t="s">
        <v>1862</v>
      </c>
      <c r="R558" t="str">
        <f t="shared" si="112"/>
        <v>William Martinez</v>
      </c>
      <c r="S558" t="str">
        <f t="shared" si="113"/>
        <v>Amir Williams</v>
      </c>
      <c r="T558" t="str">
        <f t="shared" si="114"/>
        <v>CAD</v>
      </c>
      <c r="U558" s="7" t="str">
        <f t="shared" si="115"/>
        <v>CHF</v>
      </c>
      <c r="V558" s="7" t="str">
        <f t="shared" si="116"/>
        <v>South Africa</v>
      </c>
      <c r="W558" s="7" t="str">
        <f t="shared" si="117"/>
        <v>USA</v>
      </c>
      <c r="X558" s="7" t="str">
        <f t="shared" si="118"/>
        <v>Outer-Transaction</v>
      </c>
      <c r="Y558" s="7">
        <f t="shared" si="119"/>
        <v>13513.25</v>
      </c>
      <c r="Z558" s="7">
        <f t="shared" si="120"/>
        <v>80</v>
      </c>
      <c r="AA558" s="7">
        <f t="shared" si="121"/>
        <v>2026</v>
      </c>
      <c r="AB558" s="7">
        <f t="shared" si="122"/>
        <v>1</v>
      </c>
      <c r="AC558" s="7">
        <f t="shared" si="123"/>
        <v>1</v>
      </c>
      <c r="AD558" s="7" t="str">
        <f t="shared" si="124"/>
        <v>No</v>
      </c>
      <c r="AE558" s="7" t="str">
        <f t="shared" si="125"/>
        <v>Normal</v>
      </c>
    </row>
    <row r="559" spans="1:31">
      <c r="A559" t="s">
        <v>1863</v>
      </c>
      <c r="B559">
        <v>43472531</v>
      </c>
      <c r="C559" t="s">
        <v>1864</v>
      </c>
      <c r="D559" t="s">
        <v>1865</v>
      </c>
      <c r="E559" t="s">
        <v>20</v>
      </c>
      <c r="F559" t="s">
        <v>80</v>
      </c>
      <c r="G559" t="s">
        <v>21</v>
      </c>
      <c r="H559" t="s">
        <v>103</v>
      </c>
      <c r="I559" t="s">
        <v>3372</v>
      </c>
      <c r="J559">
        <v>8777.52</v>
      </c>
      <c r="K559" t="s">
        <v>47</v>
      </c>
      <c r="L559" t="s">
        <v>81</v>
      </c>
      <c r="M559" s="1">
        <v>45723.609027777777</v>
      </c>
      <c r="N559">
        <v>76</v>
      </c>
      <c r="O559" t="s">
        <v>93</v>
      </c>
      <c r="P559" t="s">
        <v>36</v>
      </c>
      <c r="Q559" t="s">
        <v>1866</v>
      </c>
      <c r="R559" t="str">
        <f t="shared" si="112"/>
        <v>Patricia Velez</v>
      </c>
      <c r="S559" t="str">
        <f t="shared" si="113"/>
        <v>Michael Souza</v>
      </c>
      <c r="T559" t="str">
        <f t="shared" si="114"/>
        <v>USD</v>
      </c>
      <c r="U559" s="7" t="str">
        <f t="shared" si="115"/>
        <v>GBP</v>
      </c>
      <c r="V559" s="7" t="str">
        <f t="shared" si="116"/>
        <v>USA</v>
      </c>
      <c r="W559" s="7" t="str">
        <f t="shared" si="117"/>
        <v>Germany</v>
      </c>
      <c r="X559" s="7" t="str">
        <f t="shared" si="118"/>
        <v>Outer-Transaction</v>
      </c>
      <c r="Y559" s="7">
        <f t="shared" si="119"/>
        <v>8777.52</v>
      </c>
      <c r="Z559" s="7">
        <f t="shared" si="120"/>
        <v>76</v>
      </c>
      <c r="AA559" s="7">
        <f t="shared" si="121"/>
        <v>2025</v>
      </c>
      <c r="AB559" s="7">
        <f t="shared" si="122"/>
        <v>3</v>
      </c>
      <c r="AC559" s="7">
        <f t="shared" si="123"/>
        <v>1</v>
      </c>
      <c r="AD559" s="7" t="str">
        <f t="shared" si="124"/>
        <v>No</v>
      </c>
      <c r="AE559" s="7" t="str">
        <f t="shared" si="125"/>
        <v>Normal</v>
      </c>
    </row>
    <row r="560" spans="1:31">
      <c r="A560" t="s">
        <v>1867</v>
      </c>
      <c r="B560">
        <v>50279349</v>
      </c>
      <c r="C560" t="s">
        <v>195</v>
      </c>
      <c r="D560" t="s">
        <v>150</v>
      </c>
      <c r="E560" t="s">
        <v>20</v>
      </c>
      <c r="F560" t="s">
        <v>45</v>
      </c>
      <c r="G560" t="s">
        <v>121</v>
      </c>
      <c r="H560" t="s">
        <v>38</v>
      </c>
      <c r="I560" t="s">
        <v>3372</v>
      </c>
      <c r="J560">
        <v>249.17</v>
      </c>
      <c r="K560" t="s">
        <v>27</v>
      </c>
      <c r="L560" t="s">
        <v>81</v>
      </c>
      <c r="M560" s="1">
        <v>44006.452777777777</v>
      </c>
      <c r="N560">
        <v>44</v>
      </c>
      <c r="O560" t="s">
        <v>23</v>
      </c>
      <c r="P560" t="s">
        <v>36</v>
      </c>
      <c r="Q560" t="s">
        <v>1868</v>
      </c>
      <c r="R560" t="str">
        <f t="shared" si="112"/>
        <v>Marta Gonzalez</v>
      </c>
      <c r="S560" t="str">
        <f t="shared" si="113"/>
        <v>Priya Jones</v>
      </c>
      <c r="T560" t="str">
        <f t="shared" si="114"/>
        <v>ZAR</v>
      </c>
      <c r="U560" s="7" t="str">
        <f t="shared" si="115"/>
        <v>INR</v>
      </c>
      <c r="V560" s="7" t="str">
        <f t="shared" si="116"/>
        <v>France</v>
      </c>
      <c r="W560" s="7" t="str">
        <f t="shared" si="117"/>
        <v>Germany</v>
      </c>
      <c r="X560" s="7" t="str">
        <f t="shared" si="118"/>
        <v>Outer-Transaction</v>
      </c>
      <c r="Y560" s="7">
        <f t="shared" si="119"/>
        <v>249.17</v>
      </c>
      <c r="Z560" s="7">
        <f t="shared" si="120"/>
        <v>44</v>
      </c>
      <c r="AA560" s="7">
        <f t="shared" si="121"/>
        <v>2020</v>
      </c>
      <c r="AB560" s="7">
        <f t="shared" si="122"/>
        <v>6</v>
      </c>
      <c r="AC560" s="7">
        <f t="shared" si="123"/>
        <v>1</v>
      </c>
      <c r="AD560" s="7" t="str">
        <f t="shared" si="124"/>
        <v>No</v>
      </c>
      <c r="AE560" s="7" t="str">
        <f t="shared" si="125"/>
        <v>Normal</v>
      </c>
    </row>
    <row r="561" spans="1:31">
      <c r="A561" t="s">
        <v>1869</v>
      </c>
      <c r="B561">
        <v>32398512</v>
      </c>
      <c r="C561" t="s">
        <v>943</v>
      </c>
      <c r="D561" t="s">
        <v>435</v>
      </c>
      <c r="E561" t="s">
        <v>20</v>
      </c>
      <c r="F561" t="s">
        <v>44</v>
      </c>
      <c r="G561" t="s">
        <v>92</v>
      </c>
      <c r="H561" t="s">
        <v>103</v>
      </c>
      <c r="I561" t="s">
        <v>3376</v>
      </c>
      <c r="J561">
        <v>480.29</v>
      </c>
      <c r="K561" t="s">
        <v>27</v>
      </c>
      <c r="L561" t="s">
        <v>28</v>
      </c>
      <c r="M561" s="1">
        <v>44831.429861111108</v>
      </c>
      <c r="N561">
        <v>66</v>
      </c>
      <c r="O561" t="s">
        <v>23</v>
      </c>
      <c r="P561" t="s">
        <v>62</v>
      </c>
      <c r="Q561" t="s">
        <v>1870</v>
      </c>
      <c r="R561" t="str">
        <f t="shared" si="112"/>
        <v>Mary Nair</v>
      </c>
      <c r="S561" t="str">
        <f t="shared" si="113"/>
        <v>Elizabeth Rostova</v>
      </c>
      <c r="T561" t="str">
        <f t="shared" si="114"/>
        <v>SGD</v>
      </c>
      <c r="U561" s="7" t="str">
        <f t="shared" si="115"/>
        <v>AUD</v>
      </c>
      <c r="V561" s="7" t="str">
        <f t="shared" si="116"/>
        <v>France</v>
      </c>
      <c r="W561" s="7" t="str">
        <f t="shared" si="117"/>
        <v>Australia</v>
      </c>
      <c r="X561" s="7" t="str">
        <f t="shared" si="118"/>
        <v>Internal</v>
      </c>
      <c r="Y561" s="7">
        <f t="shared" si="119"/>
        <v>480.29</v>
      </c>
      <c r="Z561" s="7">
        <f t="shared" si="120"/>
        <v>66</v>
      </c>
      <c r="AA561" s="7">
        <f t="shared" si="121"/>
        <v>2022</v>
      </c>
      <c r="AB561" s="7">
        <f t="shared" si="122"/>
        <v>9</v>
      </c>
      <c r="AC561" s="7">
        <f t="shared" si="123"/>
        <v>1</v>
      </c>
      <c r="AD561" s="7" t="str">
        <f t="shared" si="124"/>
        <v>No</v>
      </c>
      <c r="AE561" s="7" t="str">
        <f t="shared" si="125"/>
        <v>Normal</v>
      </c>
    </row>
    <row r="562" spans="1:31">
      <c r="A562" t="s">
        <v>1871</v>
      </c>
      <c r="B562">
        <v>59230243</v>
      </c>
      <c r="C562" t="s">
        <v>1872</v>
      </c>
      <c r="D562" t="s">
        <v>390</v>
      </c>
      <c r="E562" t="s">
        <v>20</v>
      </c>
      <c r="F562" t="s">
        <v>22</v>
      </c>
      <c r="G562" t="s">
        <v>34</v>
      </c>
      <c r="H562" t="s">
        <v>25</v>
      </c>
      <c r="I562" t="s">
        <v>3372</v>
      </c>
      <c r="J562">
        <v>13782.45</v>
      </c>
      <c r="K562" t="s">
        <v>86</v>
      </c>
      <c r="L562" t="s">
        <v>75</v>
      </c>
      <c r="M562" s="1">
        <v>45749.805555555555</v>
      </c>
      <c r="N562">
        <v>50</v>
      </c>
      <c r="O562" t="s">
        <v>37</v>
      </c>
      <c r="P562" t="s">
        <v>24</v>
      </c>
      <c r="Q562" t="s">
        <v>1873</v>
      </c>
      <c r="R562" t="str">
        <f t="shared" si="112"/>
        <v>Lucas Taylor</v>
      </c>
      <c r="S562" t="str">
        <f t="shared" si="113"/>
        <v>Zayn Silva</v>
      </c>
      <c r="T562" t="str">
        <f t="shared" si="114"/>
        <v>BRL</v>
      </c>
      <c r="U562" s="7" t="str">
        <f t="shared" si="115"/>
        <v>CAD</v>
      </c>
      <c r="V562" s="7" t="str">
        <f t="shared" si="116"/>
        <v>South Africa</v>
      </c>
      <c r="W562" s="7" t="str">
        <f t="shared" si="117"/>
        <v>Brazil</v>
      </c>
      <c r="X562" s="7" t="str">
        <f t="shared" si="118"/>
        <v>Outer-Transaction</v>
      </c>
      <c r="Y562" s="7">
        <f t="shared" si="119"/>
        <v>13782.45</v>
      </c>
      <c r="Z562" s="7">
        <f t="shared" si="120"/>
        <v>50</v>
      </c>
      <c r="AA562" s="7">
        <f t="shared" si="121"/>
        <v>2025</v>
      </c>
      <c r="AB562" s="7">
        <f t="shared" si="122"/>
        <v>4</v>
      </c>
      <c r="AC562" s="7">
        <f t="shared" si="123"/>
        <v>1</v>
      </c>
      <c r="AD562" s="7" t="str">
        <f t="shared" si="124"/>
        <v>No</v>
      </c>
      <c r="AE562" s="7" t="str">
        <f t="shared" si="125"/>
        <v>High Risk</v>
      </c>
    </row>
    <row r="563" spans="1:31">
      <c r="A563" t="s">
        <v>1874</v>
      </c>
      <c r="B563">
        <v>41802263</v>
      </c>
      <c r="C563" t="s">
        <v>1278</v>
      </c>
      <c r="D563" t="s">
        <v>1875</v>
      </c>
      <c r="E563" t="s">
        <v>20</v>
      </c>
      <c r="F563" t="s">
        <v>80</v>
      </c>
      <c r="H563" t="s">
        <v>56</v>
      </c>
      <c r="I563" t="s">
        <v>3374</v>
      </c>
      <c r="J563">
        <v>13102.29</v>
      </c>
      <c r="K563" t="s">
        <v>86</v>
      </c>
      <c r="L563" t="s">
        <v>28</v>
      </c>
      <c r="M563" s="1">
        <v>46333.74722222222</v>
      </c>
      <c r="N563">
        <v>18</v>
      </c>
      <c r="O563" t="s">
        <v>24</v>
      </c>
      <c r="P563" t="s">
        <v>127</v>
      </c>
      <c r="Q563" t="s">
        <v>1876</v>
      </c>
      <c r="R563" t="str">
        <f t="shared" si="112"/>
        <v>Jean-Pierre Williams</v>
      </c>
      <c r="S563" t="str">
        <f t="shared" si="113"/>
        <v>Zayn Williams</v>
      </c>
      <c r="T563" t="str">
        <f t="shared" si="114"/>
        <v>USD</v>
      </c>
      <c r="U563" s="7" t="str">
        <f t="shared" si="115"/>
        <v/>
      </c>
      <c r="V563" s="7" t="str">
        <f t="shared" si="116"/>
        <v>Brazil</v>
      </c>
      <c r="W563" s="7" t="str">
        <f t="shared" si="117"/>
        <v>Canada</v>
      </c>
      <c r="X563" s="7" t="str">
        <f t="shared" si="118"/>
        <v>External</v>
      </c>
      <c r="Y563" s="7">
        <f t="shared" si="119"/>
        <v>13102.29</v>
      </c>
      <c r="Z563" s="7">
        <f t="shared" si="120"/>
        <v>18</v>
      </c>
      <c r="AA563" s="7">
        <f t="shared" si="121"/>
        <v>2026</v>
      </c>
      <c r="AB563" s="7">
        <f t="shared" si="122"/>
        <v>11</v>
      </c>
      <c r="AC563" s="7">
        <f t="shared" si="123"/>
        <v>1</v>
      </c>
      <c r="AD563" s="7" t="str">
        <f t="shared" si="124"/>
        <v>No</v>
      </c>
      <c r="AE563" s="7" t="str">
        <f t="shared" si="125"/>
        <v>Normal</v>
      </c>
    </row>
    <row r="564" spans="1:31">
      <c r="A564" t="s">
        <v>1877</v>
      </c>
      <c r="C564" t="s">
        <v>1878</v>
      </c>
      <c r="D564" t="s">
        <v>331</v>
      </c>
      <c r="E564" t="s">
        <v>20</v>
      </c>
      <c r="F564" t="s">
        <v>45</v>
      </c>
      <c r="G564" t="s">
        <v>98</v>
      </c>
      <c r="H564" t="s">
        <v>56</v>
      </c>
      <c r="I564" t="s">
        <v>3378</v>
      </c>
      <c r="J564">
        <v>10976.16</v>
      </c>
      <c r="K564" t="s">
        <v>27</v>
      </c>
      <c r="L564" t="s">
        <v>28</v>
      </c>
      <c r="M564" s="1">
        <v>45498.714583333334</v>
      </c>
      <c r="N564">
        <v>38</v>
      </c>
      <c r="O564" t="s">
        <v>24</v>
      </c>
      <c r="P564" t="s">
        <v>93</v>
      </c>
      <c r="Q564" t="s">
        <v>1879</v>
      </c>
      <c r="R564" t="str">
        <f t="shared" si="112"/>
        <v>William Johnson</v>
      </c>
      <c r="S564" t="str">
        <f t="shared" si="113"/>
        <v>Elena Williams</v>
      </c>
      <c r="T564" t="str">
        <f t="shared" si="114"/>
        <v>ZAR</v>
      </c>
      <c r="U564" s="7" t="str">
        <f t="shared" si="115"/>
        <v>JPY</v>
      </c>
      <c r="V564" s="7" t="str">
        <f t="shared" si="116"/>
        <v>Brazil</v>
      </c>
      <c r="W564" s="7" t="str">
        <f t="shared" si="117"/>
        <v>USA</v>
      </c>
      <c r="X564" s="7" t="str">
        <f t="shared" si="118"/>
        <v>Inter-Transaction</v>
      </c>
      <c r="Y564" s="7">
        <f t="shared" si="119"/>
        <v>10976.16</v>
      </c>
      <c r="Z564" s="7">
        <f t="shared" si="120"/>
        <v>38</v>
      </c>
      <c r="AA564" s="7">
        <f t="shared" si="121"/>
        <v>2024</v>
      </c>
      <c r="AB564" s="7">
        <f t="shared" si="122"/>
        <v>7</v>
      </c>
      <c r="AC564" s="7">
        <f t="shared" si="123"/>
        <v>1</v>
      </c>
      <c r="AD564" s="7" t="str">
        <f t="shared" si="124"/>
        <v>No</v>
      </c>
      <c r="AE564" s="7" t="str">
        <f t="shared" si="125"/>
        <v>Normal</v>
      </c>
    </row>
    <row r="565" spans="1:31">
      <c r="A565" t="s">
        <v>1880</v>
      </c>
      <c r="B565">
        <v>26644381</v>
      </c>
      <c r="C565" t="s">
        <v>1881</v>
      </c>
      <c r="D565" t="s">
        <v>1882</v>
      </c>
      <c r="E565" t="s">
        <v>20</v>
      </c>
      <c r="F565" t="s">
        <v>34</v>
      </c>
      <c r="G565" t="s">
        <v>121</v>
      </c>
      <c r="H565" t="s">
        <v>103</v>
      </c>
      <c r="I565" t="s">
        <v>3371</v>
      </c>
      <c r="J565">
        <v>6403.58</v>
      </c>
      <c r="K565" t="s">
        <v>57</v>
      </c>
      <c r="L565" t="s">
        <v>48</v>
      </c>
      <c r="M565" s="1">
        <v>44106.059027777781</v>
      </c>
      <c r="N565">
        <v>72</v>
      </c>
      <c r="O565" t="s">
        <v>24</v>
      </c>
      <c r="P565" t="s">
        <v>37</v>
      </c>
      <c r="Q565" t="s">
        <v>1883</v>
      </c>
      <c r="R565" t="str">
        <f t="shared" si="112"/>
        <v>Elena Dubois</v>
      </c>
      <c r="S565" t="str">
        <f t="shared" si="113"/>
        <v>Robert Miller</v>
      </c>
      <c r="T565" t="str">
        <f t="shared" si="114"/>
        <v>CAD</v>
      </c>
      <c r="U565" s="7" t="str">
        <f t="shared" si="115"/>
        <v>INR</v>
      </c>
      <c r="V565" s="7" t="str">
        <f t="shared" si="116"/>
        <v>Brazil</v>
      </c>
      <c r="W565" s="7" t="str">
        <f t="shared" si="117"/>
        <v>South Africa</v>
      </c>
      <c r="X565" s="7" t="str">
        <f t="shared" si="118"/>
        <v>Outer-Transaction</v>
      </c>
      <c r="Y565" s="7">
        <f t="shared" si="119"/>
        <v>6403.58</v>
      </c>
      <c r="Z565" s="7">
        <f t="shared" si="120"/>
        <v>72</v>
      </c>
      <c r="AA565" s="7">
        <f t="shared" si="121"/>
        <v>2020</v>
      </c>
      <c r="AB565" s="7">
        <f t="shared" si="122"/>
        <v>10</v>
      </c>
      <c r="AC565" s="7">
        <f t="shared" si="123"/>
        <v>1</v>
      </c>
      <c r="AD565" s="7" t="str">
        <f t="shared" si="124"/>
        <v>No</v>
      </c>
      <c r="AE565" s="7" t="str">
        <f t="shared" si="125"/>
        <v>Normal</v>
      </c>
    </row>
    <row r="566" spans="1:31">
      <c r="A566" t="s">
        <v>1884</v>
      </c>
      <c r="B566">
        <v>18107284</v>
      </c>
      <c r="C566" t="s">
        <v>1258</v>
      </c>
      <c r="D566" t="s">
        <v>1154</v>
      </c>
      <c r="E566" t="s">
        <v>20</v>
      </c>
      <c r="F566" t="s">
        <v>392</v>
      </c>
      <c r="G566" t="s">
        <v>44</v>
      </c>
      <c r="H566" t="s">
        <v>103</v>
      </c>
      <c r="I566" t="s">
        <v>3374</v>
      </c>
      <c r="J566">
        <v>10219.4</v>
      </c>
      <c r="K566" t="s">
        <v>86</v>
      </c>
      <c r="L566" t="s">
        <v>75</v>
      </c>
      <c r="M566" s="1">
        <v>46376.364583333336</v>
      </c>
      <c r="N566">
        <v>23</v>
      </c>
      <c r="O566" t="s">
        <v>54</v>
      </c>
      <c r="P566" t="s">
        <v>127</v>
      </c>
      <c r="Q566" t="s">
        <v>1885</v>
      </c>
      <c r="R566" t="str">
        <f t="shared" si="112"/>
        <v>Nancy Dubois</v>
      </c>
      <c r="S566" t="str">
        <f t="shared" si="113"/>
        <v>Amir Wilson</v>
      </c>
      <c r="T566" t="str">
        <f t="shared" si="114"/>
        <v>brl</v>
      </c>
      <c r="U566" s="7" t="str">
        <f t="shared" si="115"/>
        <v>SGD</v>
      </c>
      <c r="V566" s="7" t="str">
        <f t="shared" si="116"/>
        <v>India</v>
      </c>
      <c r="W566" s="7" t="str">
        <f t="shared" si="117"/>
        <v>Canada</v>
      </c>
      <c r="X566" s="7" t="str">
        <f t="shared" si="118"/>
        <v>External</v>
      </c>
      <c r="Y566" s="7">
        <f t="shared" si="119"/>
        <v>10219.4</v>
      </c>
      <c r="Z566" s="7">
        <f t="shared" si="120"/>
        <v>23</v>
      </c>
      <c r="AA566" s="7">
        <f t="shared" si="121"/>
        <v>2026</v>
      </c>
      <c r="AB566" s="7">
        <f t="shared" si="122"/>
        <v>12</v>
      </c>
      <c r="AC566" s="7">
        <f t="shared" si="123"/>
        <v>1</v>
      </c>
      <c r="AD566" s="7" t="str">
        <f t="shared" si="124"/>
        <v>No</v>
      </c>
      <c r="AE566" s="7" t="str">
        <f t="shared" si="125"/>
        <v>High Risk</v>
      </c>
    </row>
    <row r="567" spans="1:31">
      <c r="A567" t="s">
        <v>1886</v>
      </c>
      <c r="B567">
        <v>35539627</v>
      </c>
      <c r="C567" t="s">
        <v>78</v>
      </c>
      <c r="D567" t="s">
        <v>286</v>
      </c>
      <c r="E567" t="s">
        <v>20</v>
      </c>
      <c r="G567" t="s">
        <v>44</v>
      </c>
      <c r="H567" t="s">
        <v>56</v>
      </c>
      <c r="I567" t="s">
        <v>3372</v>
      </c>
      <c r="J567">
        <v>2298.75</v>
      </c>
      <c r="K567" t="s">
        <v>39</v>
      </c>
      <c r="L567" t="s">
        <v>81</v>
      </c>
      <c r="M567" s="1">
        <v>44506.770833333336</v>
      </c>
      <c r="N567">
        <v>22</v>
      </c>
      <c r="O567" t="s">
        <v>62</v>
      </c>
      <c r="P567" t="s">
        <v>55</v>
      </c>
      <c r="Q567" t="s">
        <v>1887</v>
      </c>
      <c r="R567" t="str">
        <f t="shared" si="112"/>
        <v>Elizabeth Jackson</v>
      </c>
      <c r="S567" t="str">
        <f t="shared" si="113"/>
        <v>Linda Johnson</v>
      </c>
      <c r="T567" t="str">
        <f t="shared" si="114"/>
        <v/>
      </c>
      <c r="U567" s="7" t="str">
        <f t="shared" si="115"/>
        <v>SGD</v>
      </c>
      <c r="V567" s="7" t="str">
        <f t="shared" si="116"/>
        <v>Australia</v>
      </c>
      <c r="W567" s="7" t="str">
        <f t="shared" si="117"/>
        <v>UK</v>
      </c>
      <c r="X567" s="7" t="str">
        <f t="shared" si="118"/>
        <v>Outer-Transaction</v>
      </c>
      <c r="Y567" s="7">
        <f t="shared" si="119"/>
        <v>2298.75</v>
      </c>
      <c r="Z567" s="7">
        <f t="shared" si="120"/>
        <v>22</v>
      </c>
      <c r="AA567" s="7">
        <f t="shared" si="121"/>
        <v>2021</v>
      </c>
      <c r="AB567" s="7">
        <f t="shared" si="122"/>
        <v>11</v>
      </c>
      <c r="AC567" s="7">
        <f t="shared" si="123"/>
        <v>1</v>
      </c>
      <c r="AD567" s="7" t="str">
        <f t="shared" si="124"/>
        <v>No</v>
      </c>
      <c r="AE567" s="7" t="str">
        <f t="shared" si="125"/>
        <v>Normal</v>
      </c>
    </row>
    <row r="568" spans="1:31">
      <c r="A568" t="s">
        <v>1888</v>
      </c>
      <c r="B568">
        <v>98821543</v>
      </c>
      <c r="C568" t="s">
        <v>1531</v>
      </c>
      <c r="D568" t="s">
        <v>700</v>
      </c>
      <c r="E568">
        <v>1</v>
      </c>
      <c r="F568" t="s">
        <v>126</v>
      </c>
      <c r="G568" t="s">
        <v>35</v>
      </c>
      <c r="H568" t="s">
        <v>74</v>
      </c>
      <c r="I568" t="s">
        <v>3378</v>
      </c>
      <c r="J568">
        <v>12448.37</v>
      </c>
      <c r="K568" t="s">
        <v>27</v>
      </c>
      <c r="L568" t="s">
        <v>75</v>
      </c>
      <c r="M568" s="1">
        <v>45654.412499999999</v>
      </c>
      <c r="N568">
        <v>20</v>
      </c>
      <c r="O568" t="s">
        <v>54</v>
      </c>
      <c r="P568" t="s">
        <v>24</v>
      </c>
      <c r="Q568" t="s">
        <v>1889</v>
      </c>
      <c r="R568" t="str">
        <f t="shared" si="112"/>
        <v>Carlos Garcia</v>
      </c>
      <c r="S568" t="str">
        <f t="shared" si="113"/>
        <v>Michael Jackson</v>
      </c>
      <c r="T568" t="str">
        <f t="shared" si="114"/>
        <v>inr</v>
      </c>
      <c r="U568" s="7" t="str">
        <f t="shared" si="115"/>
        <v>EUR</v>
      </c>
      <c r="V568" s="7" t="str">
        <f t="shared" si="116"/>
        <v>India</v>
      </c>
      <c r="W568" s="7" t="str">
        <f t="shared" si="117"/>
        <v>Brazil</v>
      </c>
      <c r="X568" s="7" t="str">
        <f t="shared" si="118"/>
        <v>Inter-Transaction</v>
      </c>
      <c r="Y568" s="7">
        <f t="shared" si="119"/>
        <v>12448.37</v>
      </c>
      <c r="Z568" s="7">
        <f t="shared" si="120"/>
        <v>20</v>
      </c>
      <c r="AA568" s="7">
        <f t="shared" si="121"/>
        <v>2024</v>
      </c>
      <c r="AB568" s="7">
        <f t="shared" si="122"/>
        <v>12</v>
      </c>
      <c r="AC568" s="7">
        <f t="shared" si="123"/>
        <v>1</v>
      </c>
      <c r="AD568" s="7" t="str">
        <f t="shared" si="124"/>
        <v>No</v>
      </c>
      <c r="AE568" s="7" t="str">
        <f t="shared" si="125"/>
        <v>High Risk</v>
      </c>
    </row>
    <row r="569" spans="1:31">
      <c r="A569" t="s">
        <v>1890</v>
      </c>
      <c r="B569">
        <v>57428438</v>
      </c>
      <c r="C569" t="s">
        <v>569</v>
      </c>
      <c r="D569" t="s">
        <v>1891</v>
      </c>
      <c r="E569" t="s">
        <v>20</v>
      </c>
      <c r="F569" t="s">
        <v>53</v>
      </c>
      <c r="G569" t="s">
        <v>21</v>
      </c>
      <c r="H569" t="s">
        <v>103</v>
      </c>
      <c r="I569" t="s">
        <v>3374</v>
      </c>
      <c r="J569">
        <v>2387.4499999999998</v>
      </c>
      <c r="K569" t="s">
        <v>57</v>
      </c>
      <c r="L569" t="s">
        <v>81</v>
      </c>
      <c r="M569" s="1">
        <v>44882.128472222219</v>
      </c>
      <c r="N569">
        <v>70</v>
      </c>
      <c r="O569" t="s">
        <v>93</v>
      </c>
      <c r="P569" t="s">
        <v>127</v>
      </c>
      <c r="Q569" t="s">
        <v>1892</v>
      </c>
      <c r="R569" t="str">
        <f t="shared" si="112"/>
        <v>Patricia Williams</v>
      </c>
      <c r="S569" t="str">
        <f t="shared" si="113"/>
        <v xml:space="preserve"> Richard Rostova   </v>
      </c>
      <c r="T569" t="str">
        <f t="shared" si="114"/>
        <v>AED</v>
      </c>
      <c r="U569" s="7" t="str">
        <f t="shared" si="115"/>
        <v>GBP</v>
      </c>
      <c r="V569" s="7" t="str">
        <f t="shared" si="116"/>
        <v>USA</v>
      </c>
      <c r="W569" s="7" t="str">
        <f t="shared" si="117"/>
        <v>Canada</v>
      </c>
      <c r="X569" s="7" t="str">
        <f t="shared" si="118"/>
        <v>External</v>
      </c>
      <c r="Y569" s="7">
        <f t="shared" si="119"/>
        <v>2387.4499999999998</v>
      </c>
      <c r="Z569" s="7">
        <f t="shared" si="120"/>
        <v>70</v>
      </c>
      <c r="AA569" s="7">
        <f t="shared" si="121"/>
        <v>2022</v>
      </c>
      <c r="AB569" s="7">
        <f t="shared" si="122"/>
        <v>11</v>
      </c>
      <c r="AC569" s="7">
        <f t="shared" si="123"/>
        <v>1</v>
      </c>
      <c r="AD569" s="7" t="str">
        <f t="shared" si="124"/>
        <v>No</v>
      </c>
      <c r="AE569" s="7" t="str">
        <f t="shared" si="125"/>
        <v>Normal</v>
      </c>
    </row>
    <row r="570" spans="1:31">
      <c r="A570" t="s">
        <v>1893</v>
      </c>
      <c r="B570">
        <v>73555187</v>
      </c>
      <c r="C570" t="s">
        <v>1894</v>
      </c>
      <c r="D570" t="s">
        <v>404</v>
      </c>
      <c r="E570" t="s">
        <v>20</v>
      </c>
      <c r="F570" t="s">
        <v>121</v>
      </c>
      <c r="G570" t="s">
        <v>34</v>
      </c>
      <c r="H570" t="s">
        <v>56</v>
      </c>
      <c r="I570" t="s">
        <v>3378</v>
      </c>
      <c r="J570">
        <v>8329.39</v>
      </c>
      <c r="K570" t="s">
        <v>27</v>
      </c>
      <c r="L570" t="s">
        <v>75</v>
      </c>
      <c r="M570" s="1">
        <v>45187.543749999997</v>
      </c>
      <c r="N570">
        <v>40</v>
      </c>
      <c r="O570" t="s">
        <v>37</v>
      </c>
      <c r="P570" t="s">
        <v>93</v>
      </c>
      <c r="Q570" t="s">
        <v>1895</v>
      </c>
      <c r="R570" t="str">
        <f t="shared" si="112"/>
        <v>Robert Smith</v>
      </c>
      <c r="S570" t="str">
        <f t="shared" si="113"/>
        <v>Thomas Lopez</v>
      </c>
      <c r="T570" t="str">
        <f t="shared" si="114"/>
        <v>INR</v>
      </c>
      <c r="U570" s="7" t="str">
        <f t="shared" si="115"/>
        <v>CAD</v>
      </c>
      <c r="V570" s="7" t="str">
        <f t="shared" si="116"/>
        <v>South Africa</v>
      </c>
      <c r="W570" s="7" t="str">
        <f t="shared" si="117"/>
        <v>USA</v>
      </c>
      <c r="X570" s="7" t="str">
        <f t="shared" si="118"/>
        <v>Inter-Transaction</v>
      </c>
      <c r="Y570" s="7">
        <f t="shared" si="119"/>
        <v>8329.39</v>
      </c>
      <c r="Z570" s="7">
        <f t="shared" si="120"/>
        <v>40</v>
      </c>
      <c r="AA570" s="7">
        <f t="shared" si="121"/>
        <v>2023</v>
      </c>
      <c r="AB570" s="7">
        <f t="shared" si="122"/>
        <v>9</v>
      </c>
      <c r="AC570" s="7">
        <f t="shared" si="123"/>
        <v>1</v>
      </c>
      <c r="AD570" s="7" t="str">
        <f t="shared" si="124"/>
        <v>No</v>
      </c>
      <c r="AE570" s="7" t="str">
        <f t="shared" si="125"/>
        <v>High Risk</v>
      </c>
    </row>
    <row r="571" spans="1:31">
      <c r="A571" t="s">
        <v>1896</v>
      </c>
      <c r="B571">
        <v>43433510</v>
      </c>
      <c r="C571" t="s">
        <v>456</v>
      </c>
      <c r="D571" t="s">
        <v>1897</v>
      </c>
      <c r="E571" t="s">
        <v>20</v>
      </c>
      <c r="G571" t="s">
        <v>35</v>
      </c>
      <c r="I571" t="s">
        <v>3378</v>
      </c>
      <c r="J571">
        <v>1013.21</v>
      </c>
      <c r="K571" t="s">
        <v>39</v>
      </c>
      <c r="L571" t="s">
        <v>48</v>
      </c>
      <c r="M571" s="1">
        <v>45934.615972222222</v>
      </c>
      <c r="N571">
        <v>70</v>
      </c>
      <c r="O571" t="s">
        <v>23</v>
      </c>
      <c r="P571" t="s">
        <v>127</v>
      </c>
      <c r="Q571" t="s">
        <v>1898</v>
      </c>
      <c r="R571" t="str">
        <f t="shared" si="112"/>
        <v>Sarah Jackson</v>
      </c>
      <c r="S571" t="str">
        <f t="shared" si="113"/>
        <v>Sarah Volkov</v>
      </c>
      <c r="T571" t="str">
        <f t="shared" si="114"/>
        <v/>
      </c>
      <c r="U571" s="7" t="str">
        <f t="shared" si="115"/>
        <v>EUR</v>
      </c>
      <c r="V571" s="7" t="str">
        <f t="shared" si="116"/>
        <v>France</v>
      </c>
      <c r="W571" s="7" t="str">
        <f t="shared" si="117"/>
        <v>Canada</v>
      </c>
      <c r="X571" s="7" t="str">
        <f t="shared" si="118"/>
        <v>Inter-Transaction</v>
      </c>
      <c r="Y571" s="7">
        <f t="shared" si="119"/>
        <v>1013.21</v>
      </c>
      <c r="Z571" s="7">
        <f t="shared" si="120"/>
        <v>70</v>
      </c>
      <c r="AA571" s="7">
        <f t="shared" si="121"/>
        <v>2025</v>
      </c>
      <c r="AB571" s="7">
        <f t="shared" si="122"/>
        <v>10</v>
      </c>
      <c r="AC571" s="7">
        <f t="shared" si="123"/>
        <v>1</v>
      </c>
      <c r="AD571" s="7" t="str">
        <f t="shared" si="124"/>
        <v>No</v>
      </c>
      <c r="AE571" s="7" t="str">
        <f t="shared" si="125"/>
        <v>Normal</v>
      </c>
    </row>
    <row r="572" spans="1:31">
      <c r="A572" t="s">
        <v>1899</v>
      </c>
      <c r="B572">
        <v>93302571</v>
      </c>
      <c r="C572" t="s">
        <v>1900</v>
      </c>
      <c r="D572" t="s">
        <v>244</v>
      </c>
      <c r="E572" t="s">
        <v>20</v>
      </c>
      <c r="F572" t="s">
        <v>34</v>
      </c>
      <c r="G572" t="s">
        <v>44</v>
      </c>
      <c r="I572" t="s">
        <v>3376</v>
      </c>
      <c r="J572">
        <v>1814.23</v>
      </c>
      <c r="K572" t="s">
        <v>86</v>
      </c>
      <c r="L572" t="s">
        <v>48</v>
      </c>
      <c r="M572" s="1">
        <v>44377.261111111111</v>
      </c>
      <c r="N572">
        <v>54</v>
      </c>
      <c r="O572" t="s">
        <v>62</v>
      </c>
      <c r="P572" t="s">
        <v>55</v>
      </c>
      <c r="Q572" t="s">
        <v>1901</v>
      </c>
      <c r="R572" t="str">
        <f t="shared" si="112"/>
        <v>Sarah Moore</v>
      </c>
      <c r="S572" t="str">
        <f t="shared" si="113"/>
        <v>Michael Silva</v>
      </c>
      <c r="T572" t="str">
        <f t="shared" si="114"/>
        <v>CAD</v>
      </c>
      <c r="U572" s="7" t="str">
        <f t="shared" si="115"/>
        <v>SGD</v>
      </c>
      <c r="V572" s="7" t="str">
        <f t="shared" si="116"/>
        <v>Australia</v>
      </c>
      <c r="W572" s="7" t="str">
        <f t="shared" si="117"/>
        <v>UK</v>
      </c>
      <c r="X572" s="7" t="str">
        <f t="shared" si="118"/>
        <v>Internal</v>
      </c>
      <c r="Y572" s="7">
        <f t="shared" si="119"/>
        <v>1814.23</v>
      </c>
      <c r="Z572" s="7">
        <f t="shared" si="120"/>
        <v>54</v>
      </c>
      <c r="AA572" s="7">
        <f t="shared" si="121"/>
        <v>2021</v>
      </c>
      <c r="AB572" s="7">
        <f t="shared" si="122"/>
        <v>6</v>
      </c>
      <c r="AC572" s="7">
        <f t="shared" si="123"/>
        <v>1</v>
      </c>
      <c r="AD572" s="7" t="str">
        <f t="shared" si="124"/>
        <v>No</v>
      </c>
      <c r="AE572" s="7" t="str">
        <f t="shared" si="125"/>
        <v>Normal</v>
      </c>
    </row>
    <row r="573" spans="1:31">
      <c r="A573" t="s">
        <v>1902</v>
      </c>
      <c r="B573">
        <v>13393520</v>
      </c>
      <c r="C573" t="s">
        <v>307</v>
      </c>
      <c r="D573" t="s">
        <v>342</v>
      </c>
      <c r="E573" t="s">
        <v>20</v>
      </c>
      <c r="G573" t="s">
        <v>44</v>
      </c>
      <c r="H573" t="s">
        <v>56</v>
      </c>
      <c r="I573" t="s">
        <v>3378</v>
      </c>
      <c r="J573">
        <v>1625.1</v>
      </c>
      <c r="K573" t="s">
        <v>57</v>
      </c>
      <c r="L573" t="s">
        <v>81</v>
      </c>
      <c r="M573" s="1">
        <v>44966.784722222219</v>
      </c>
      <c r="N573">
        <v>34</v>
      </c>
      <c r="O573" t="s">
        <v>54</v>
      </c>
      <c r="P573" t="s">
        <v>37</v>
      </c>
      <c r="Q573" t="s">
        <v>1903</v>
      </c>
      <c r="R573" t="str">
        <f t="shared" si="112"/>
        <v>John Nair</v>
      </c>
      <c r="S573" t="str">
        <f t="shared" si="113"/>
        <v>Sanjay Dubois</v>
      </c>
      <c r="T573" t="str">
        <f t="shared" si="114"/>
        <v/>
      </c>
      <c r="U573" s="7" t="str">
        <f t="shared" si="115"/>
        <v>SGD</v>
      </c>
      <c r="V573" s="7" t="str">
        <f t="shared" si="116"/>
        <v>India</v>
      </c>
      <c r="W573" s="7" t="str">
        <f t="shared" si="117"/>
        <v>South Africa</v>
      </c>
      <c r="X573" s="7" t="str">
        <f t="shared" si="118"/>
        <v>Inter-Transaction</v>
      </c>
      <c r="Y573" s="7">
        <f t="shared" si="119"/>
        <v>1625.1</v>
      </c>
      <c r="Z573" s="7">
        <f t="shared" si="120"/>
        <v>34</v>
      </c>
      <c r="AA573" s="7">
        <f t="shared" si="121"/>
        <v>2023</v>
      </c>
      <c r="AB573" s="7">
        <f t="shared" si="122"/>
        <v>2</v>
      </c>
      <c r="AC573" s="7">
        <f t="shared" si="123"/>
        <v>1</v>
      </c>
      <c r="AD573" s="7" t="str">
        <f t="shared" si="124"/>
        <v>No</v>
      </c>
      <c r="AE573" s="7" t="str">
        <f t="shared" si="125"/>
        <v>Normal</v>
      </c>
    </row>
    <row r="574" spans="1:31">
      <c r="A574" t="s">
        <v>1904</v>
      </c>
      <c r="B574">
        <v>53827193</v>
      </c>
      <c r="C574" t="s">
        <v>1905</v>
      </c>
      <c r="D574" t="s">
        <v>995</v>
      </c>
      <c r="E574" t="s">
        <v>20</v>
      </c>
      <c r="F574" t="s">
        <v>22</v>
      </c>
      <c r="G574" t="s">
        <v>92</v>
      </c>
      <c r="H574" t="s">
        <v>25</v>
      </c>
      <c r="I574" t="s">
        <v>3374</v>
      </c>
      <c r="J574">
        <v>4250.8</v>
      </c>
      <c r="K574" t="s">
        <v>27</v>
      </c>
      <c r="L574" t="s">
        <v>28</v>
      </c>
      <c r="M574" s="1">
        <v>45914.670138888891</v>
      </c>
      <c r="N574">
        <v>18</v>
      </c>
      <c r="O574" t="s">
        <v>54</v>
      </c>
      <c r="P574" t="s">
        <v>54</v>
      </c>
      <c r="Q574" t="s">
        <v>1906</v>
      </c>
      <c r="R574" t="str">
        <f t="shared" si="112"/>
        <v>Karen Thomas</v>
      </c>
      <c r="S574" t="str">
        <f t="shared" si="113"/>
        <v>Susan Jones</v>
      </c>
      <c r="T574" t="str">
        <f t="shared" si="114"/>
        <v>BRL</v>
      </c>
      <c r="U574" s="7" t="str">
        <f t="shared" si="115"/>
        <v>AUD</v>
      </c>
      <c r="V574" s="7" t="str">
        <f t="shared" si="116"/>
        <v>India</v>
      </c>
      <c r="W574" s="7" t="str">
        <f t="shared" si="117"/>
        <v>India</v>
      </c>
      <c r="X574" s="7" t="str">
        <f t="shared" si="118"/>
        <v>External</v>
      </c>
      <c r="Y574" s="7">
        <f t="shared" si="119"/>
        <v>4250.8</v>
      </c>
      <c r="Z574" s="7">
        <f t="shared" si="120"/>
        <v>18</v>
      </c>
      <c r="AA574" s="7">
        <f t="shared" si="121"/>
        <v>2025</v>
      </c>
      <c r="AB574" s="7">
        <f t="shared" si="122"/>
        <v>9</v>
      </c>
      <c r="AC574" s="7">
        <f t="shared" si="123"/>
        <v>1</v>
      </c>
      <c r="AD574" s="7" t="str">
        <f t="shared" si="124"/>
        <v>No</v>
      </c>
      <c r="AE574" s="7" t="str">
        <f t="shared" si="125"/>
        <v>Normal</v>
      </c>
    </row>
    <row r="575" spans="1:31">
      <c r="A575" t="s">
        <v>1907</v>
      </c>
      <c r="B575">
        <v>41542991</v>
      </c>
      <c r="C575" t="s">
        <v>61</v>
      </c>
      <c r="D575" t="s">
        <v>601</v>
      </c>
      <c r="E575" t="s">
        <v>20</v>
      </c>
      <c r="F575" t="s">
        <v>92</v>
      </c>
      <c r="G575" t="s">
        <v>34</v>
      </c>
      <c r="H575" t="s">
        <v>56</v>
      </c>
      <c r="I575" t="s">
        <v>3374</v>
      </c>
      <c r="J575">
        <v>2333.21</v>
      </c>
      <c r="K575" t="s">
        <v>86</v>
      </c>
      <c r="L575" t="s">
        <v>48</v>
      </c>
      <c r="M575" s="1">
        <v>45871.427083333336</v>
      </c>
      <c r="N575">
        <v>68</v>
      </c>
      <c r="O575" t="s">
        <v>36</v>
      </c>
      <c r="P575" t="s">
        <v>68</v>
      </c>
      <c r="Q575" t="s">
        <v>1908</v>
      </c>
      <c r="R575" t="str">
        <f t="shared" si="112"/>
        <v>Robert Dubois</v>
      </c>
      <c r="S575" t="str">
        <f t="shared" si="113"/>
        <v>Susan Lopez</v>
      </c>
      <c r="T575" t="str">
        <f t="shared" si="114"/>
        <v>AUD</v>
      </c>
      <c r="U575" s="7" t="str">
        <f t="shared" si="115"/>
        <v>CAD</v>
      </c>
      <c r="V575" s="7" t="str">
        <f t="shared" si="116"/>
        <v>Germany</v>
      </c>
      <c r="W575" s="7" t="str">
        <f t="shared" si="117"/>
        <v>UAE</v>
      </c>
      <c r="X575" s="7" t="str">
        <f t="shared" si="118"/>
        <v>External</v>
      </c>
      <c r="Y575" s="7">
        <f t="shared" si="119"/>
        <v>2333.21</v>
      </c>
      <c r="Z575" s="7">
        <f t="shared" si="120"/>
        <v>68</v>
      </c>
      <c r="AA575" s="7">
        <f t="shared" si="121"/>
        <v>2025</v>
      </c>
      <c r="AB575" s="7">
        <f t="shared" si="122"/>
        <v>8</v>
      </c>
      <c r="AC575" s="7">
        <f t="shared" si="123"/>
        <v>1</v>
      </c>
      <c r="AD575" s="7" t="str">
        <f t="shared" si="124"/>
        <v>No</v>
      </c>
      <c r="AE575" s="7" t="str">
        <f t="shared" si="125"/>
        <v>Normal</v>
      </c>
    </row>
    <row r="576" spans="1:31">
      <c r="A576" t="s">
        <v>1909</v>
      </c>
      <c r="B576">
        <v>96288920</v>
      </c>
      <c r="C576" t="s">
        <v>1910</v>
      </c>
      <c r="D576" t="s">
        <v>1911</v>
      </c>
      <c r="E576" t="s">
        <v>20</v>
      </c>
      <c r="F576" t="s">
        <v>121</v>
      </c>
      <c r="G576" t="s">
        <v>121</v>
      </c>
      <c r="I576" t="s">
        <v>3374</v>
      </c>
      <c r="J576">
        <v>5943.17</v>
      </c>
      <c r="K576" t="s">
        <v>27</v>
      </c>
      <c r="L576" t="s">
        <v>75</v>
      </c>
      <c r="M576" s="1">
        <v>44269.298611111109</v>
      </c>
      <c r="N576">
        <v>62</v>
      </c>
      <c r="O576" t="s">
        <v>54</v>
      </c>
      <c r="P576" t="s">
        <v>37</v>
      </c>
      <c r="Q576" t="s">
        <v>1912</v>
      </c>
      <c r="R576" t="str">
        <f t="shared" si="112"/>
        <v>Amir Rostova</v>
      </c>
      <c r="S576" t="str">
        <f t="shared" si="113"/>
        <v>Elizabeth Thomas</v>
      </c>
      <c r="T576" t="str">
        <f t="shared" si="114"/>
        <v>INR</v>
      </c>
      <c r="U576" s="7" t="str">
        <f t="shared" si="115"/>
        <v>INR</v>
      </c>
      <c r="V576" s="7" t="str">
        <f t="shared" si="116"/>
        <v>India</v>
      </c>
      <c r="W576" s="7" t="str">
        <f t="shared" si="117"/>
        <v>South Africa</v>
      </c>
      <c r="X576" s="7" t="str">
        <f t="shared" si="118"/>
        <v>External</v>
      </c>
      <c r="Y576" s="7">
        <f t="shared" si="119"/>
        <v>5943.17</v>
      </c>
      <c r="Z576" s="7">
        <f t="shared" si="120"/>
        <v>62</v>
      </c>
      <c r="AA576" s="7">
        <f t="shared" si="121"/>
        <v>2021</v>
      </c>
      <c r="AB576" s="7">
        <f t="shared" si="122"/>
        <v>3</v>
      </c>
      <c r="AC576" s="7">
        <f t="shared" si="123"/>
        <v>1</v>
      </c>
      <c r="AD576" s="7" t="str">
        <f t="shared" si="124"/>
        <v>No</v>
      </c>
      <c r="AE576" s="7" t="str">
        <f t="shared" si="125"/>
        <v>High Risk</v>
      </c>
    </row>
    <row r="577" spans="1:31">
      <c r="A577" t="s">
        <v>1913</v>
      </c>
      <c r="B577">
        <v>75963322</v>
      </c>
      <c r="C577" t="s">
        <v>1350</v>
      </c>
      <c r="D577" t="s">
        <v>331</v>
      </c>
      <c r="E577" t="s">
        <v>20</v>
      </c>
      <c r="F577" t="s">
        <v>34</v>
      </c>
      <c r="G577" t="s">
        <v>98</v>
      </c>
      <c r="I577" t="s">
        <v>3376</v>
      </c>
      <c r="J577">
        <v>4228.4399999999996</v>
      </c>
      <c r="K577" t="s">
        <v>27</v>
      </c>
      <c r="L577" t="s">
        <v>75</v>
      </c>
      <c r="M577" s="1">
        <v>45583.267361111109</v>
      </c>
      <c r="N577">
        <v>21</v>
      </c>
      <c r="O577" t="s">
        <v>68</v>
      </c>
      <c r="P577" t="s">
        <v>23</v>
      </c>
      <c r="Q577" t="s">
        <v>1914</v>
      </c>
      <c r="R577" t="str">
        <f t="shared" si="112"/>
        <v>John Lopez</v>
      </c>
      <c r="S577" t="str">
        <f t="shared" si="113"/>
        <v>Elena Williams</v>
      </c>
      <c r="T577" t="str">
        <f t="shared" si="114"/>
        <v>CAD</v>
      </c>
      <c r="U577" s="7" t="str">
        <f t="shared" si="115"/>
        <v>JPY</v>
      </c>
      <c r="V577" s="7" t="str">
        <f t="shared" si="116"/>
        <v>UAE</v>
      </c>
      <c r="W577" s="7" t="str">
        <f t="shared" si="117"/>
        <v>France</v>
      </c>
      <c r="X577" s="7" t="str">
        <f t="shared" si="118"/>
        <v>Internal</v>
      </c>
      <c r="Y577" s="7">
        <f t="shared" si="119"/>
        <v>4228.4399999999996</v>
      </c>
      <c r="Z577" s="7">
        <f t="shared" si="120"/>
        <v>21</v>
      </c>
      <c r="AA577" s="7">
        <f t="shared" si="121"/>
        <v>2024</v>
      </c>
      <c r="AB577" s="7">
        <f t="shared" si="122"/>
        <v>10</v>
      </c>
      <c r="AC577" s="7">
        <f t="shared" si="123"/>
        <v>1</v>
      </c>
      <c r="AD577" s="7" t="str">
        <f t="shared" si="124"/>
        <v>No</v>
      </c>
      <c r="AE577" s="7" t="str">
        <f t="shared" si="125"/>
        <v>High Risk</v>
      </c>
    </row>
    <row r="578" spans="1:31">
      <c r="A578" t="s">
        <v>1915</v>
      </c>
      <c r="B578">
        <v>97303617</v>
      </c>
      <c r="C578" t="s">
        <v>1916</v>
      </c>
      <c r="D578" t="s">
        <v>1917</v>
      </c>
      <c r="E578" t="s">
        <v>20</v>
      </c>
      <c r="F578" t="s">
        <v>45</v>
      </c>
      <c r="G578" t="s">
        <v>45</v>
      </c>
      <c r="I578" t="s">
        <v>3371</v>
      </c>
      <c r="J578">
        <v>3010.14</v>
      </c>
      <c r="K578" t="s">
        <v>27</v>
      </c>
      <c r="L578" t="s">
        <v>75</v>
      </c>
      <c r="M578" s="1">
        <v>45446.972916666666</v>
      </c>
      <c r="N578">
        <v>79</v>
      </c>
      <c r="O578" t="s">
        <v>23</v>
      </c>
      <c r="P578" t="s">
        <v>127</v>
      </c>
      <c r="Q578" t="s">
        <v>1918</v>
      </c>
      <c r="R578" t="str">
        <f t="shared" ref="R578:R641" si="126">TRIM(C578)</f>
        <v>BARBARA ANDERSON</v>
      </c>
      <c r="S578" t="str">
        <f t="shared" ref="S578:S641" si="127">PROPER(D578)</f>
        <v>John Anderson</v>
      </c>
      <c r="T578" t="str">
        <f t="shared" ref="T578:T641" si="128">TRIM(F578)</f>
        <v>ZAR</v>
      </c>
      <c r="U578" s="7" t="str">
        <f t="shared" ref="U578:U641" si="129">TRIM(G578)</f>
        <v>ZAR</v>
      </c>
      <c r="V578" s="7" t="str">
        <f t="shared" ref="V578:V641" si="130">TRIM(O578)</f>
        <v>France</v>
      </c>
      <c r="W578" s="7" t="str">
        <f t="shared" ref="W578:W641" si="131">TRIM(P578)</f>
        <v>Canada</v>
      </c>
      <c r="X578" s="7" t="str">
        <f t="shared" ref="X578:X641" si="132">PROPER(I578)</f>
        <v>Outer-Transaction</v>
      </c>
      <c r="Y578" s="7">
        <f t="shared" ref="Y578:Y641" si="133">IF(J578="",AVERAGE($J:$J),J578)</f>
        <v>3010.14</v>
      </c>
      <c r="Z578" s="7">
        <f t="shared" ref="Z578:Z641" si="134">IF(N578="",AVERAGE($N:$N),N578)</f>
        <v>79</v>
      </c>
      <c r="AA578" s="7">
        <f t="shared" ref="AA578:AA641" si="135">YEAR(M578)</f>
        <v>2024</v>
      </c>
      <c r="AB578" s="7">
        <f t="shared" ref="AB578:AB641" si="136">MONTH(M578)</f>
        <v>6</v>
      </c>
      <c r="AC578" s="7">
        <f t="shared" ref="AC578:AC641" si="137">COUNTIF(A:A,A578)</f>
        <v>1</v>
      </c>
      <c r="AD578" s="7" t="str">
        <f t="shared" ref="AD578:AD641" si="138">IF(C578="YES","Yes","No")</f>
        <v>No</v>
      </c>
      <c r="AE578" s="7" t="str">
        <f t="shared" ref="AE578:AE641" si="139">IF(L578="HIGH","High Risk","Normal")</f>
        <v>High Risk</v>
      </c>
    </row>
    <row r="579" spans="1:31">
      <c r="A579" t="s">
        <v>1919</v>
      </c>
      <c r="B579">
        <v>39099216</v>
      </c>
      <c r="D579" t="s">
        <v>1022</v>
      </c>
      <c r="E579" t="s">
        <v>20</v>
      </c>
      <c r="G579" t="s">
        <v>34</v>
      </c>
      <c r="H579" t="s">
        <v>38</v>
      </c>
      <c r="I579" t="s">
        <v>3371</v>
      </c>
      <c r="J579">
        <v>13813.08</v>
      </c>
      <c r="K579" t="s">
        <v>39</v>
      </c>
      <c r="L579" t="s">
        <v>75</v>
      </c>
      <c r="M579" s="1">
        <v>45680.770833333336</v>
      </c>
      <c r="N579">
        <v>82</v>
      </c>
      <c r="O579" t="s">
        <v>68</v>
      </c>
      <c r="P579" t="s">
        <v>36</v>
      </c>
      <c r="Q579" t="s">
        <v>1920</v>
      </c>
      <c r="R579" t="str">
        <f t="shared" si="126"/>
        <v/>
      </c>
      <c r="S579" t="str">
        <f t="shared" si="127"/>
        <v>Barbara Smith</v>
      </c>
      <c r="T579" t="str">
        <f t="shared" si="128"/>
        <v/>
      </c>
      <c r="U579" s="7" t="str">
        <f t="shared" si="129"/>
        <v>CAD</v>
      </c>
      <c r="V579" s="7" t="str">
        <f t="shared" si="130"/>
        <v>UAE</v>
      </c>
      <c r="W579" s="7" t="str">
        <f t="shared" si="131"/>
        <v>Germany</v>
      </c>
      <c r="X579" s="7" t="str">
        <f t="shared" si="132"/>
        <v>Outer-Transaction</v>
      </c>
      <c r="Y579" s="7">
        <f t="shared" si="133"/>
        <v>13813.08</v>
      </c>
      <c r="Z579" s="7">
        <f t="shared" si="134"/>
        <v>82</v>
      </c>
      <c r="AA579" s="7">
        <f t="shared" si="135"/>
        <v>2025</v>
      </c>
      <c r="AB579" s="7">
        <f t="shared" si="136"/>
        <v>1</v>
      </c>
      <c r="AC579" s="7">
        <f t="shared" si="137"/>
        <v>1</v>
      </c>
      <c r="AD579" s="7" t="str">
        <f t="shared" si="138"/>
        <v>No</v>
      </c>
      <c r="AE579" s="7" t="str">
        <f t="shared" si="139"/>
        <v>High Risk</v>
      </c>
    </row>
    <row r="580" spans="1:31">
      <c r="A580" t="s">
        <v>1921</v>
      </c>
      <c r="B580">
        <v>10001272</v>
      </c>
      <c r="C580" t="s">
        <v>102</v>
      </c>
      <c r="D580" t="s">
        <v>1809</v>
      </c>
      <c r="E580" t="s">
        <v>20</v>
      </c>
      <c r="F580" t="s">
        <v>91</v>
      </c>
      <c r="G580" t="s">
        <v>35</v>
      </c>
      <c r="H580" t="s">
        <v>25</v>
      </c>
      <c r="I580" t="s">
        <v>3378</v>
      </c>
      <c r="J580">
        <v>6268.13</v>
      </c>
      <c r="K580" t="s">
        <v>86</v>
      </c>
      <c r="L580" t="s">
        <v>75</v>
      </c>
      <c r="M580" s="1">
        <v>45431.402777777781</v>
      </c>
      <c r="N580">
        <v>49</v>
      </c>
      <c r="O580" t="s">
        <v>23</v>
      </c>
      <c r="P580" t="s">
        <v>62</v>
      </c>
      <c r="Q580" t="s">
        <v>1922</v>
      </c>
      <c r="R580" t="str">
        <f t="shared" si="126"/>
        <v>Barbara Anderson</v>
      </c>
      <c r="S580" t="str">
        <f t="shared" si="127"/>
        <v>Joseph Al-Sayed</v>
      </c>
      <c r="T580" t="str">
        <f t="shared" si="128"/>
        <v>gbp</v>
      </c>
      <c r="U580" s="7" t="str">
        <f t="shared" si="129"/>
        <v>EUR</v>
      </c>
      <c r="V580" s="7" t="str">
        <f t="shared" si="130"/>
        <v>France</v>
      </c>
      <c r="W580" s="7" t="str">
        <f t="shared" si="131"/>
        <v>Australia</v>
      </c>
      <c r="X580" s="7" t="str">
        <f t="shared" si="132"/>
        <v>Inter-Transaction</v>
      </c>
      <c r="Y580" s="7">
        <f t="shared" si="133"/>
        <v>6268.13</v>
      </c>
      <c r="Z580" s="7">
        <f t="shared" si="134"/>
        <v>49</v>
      </c>
      <c r="AA580" s="7">
        <f t="shared" si="135"/>
        <v>2024</v>
      </c>
      <c r="AB580" s="7">
        <f t="shared" si="136"/>
        <v>5</v>
      </c>
      <c r="AC580" s="7">
        <f t="shared" si="137"/>
        <v>1</v>
      </c>
      <c r="AD580" s="7" t="str">
        <f t="shared" si="138"/>
        <v>No</v>
      </c>
      <c r="AE580" s="7" t="str">
        <f t="shared" si="139"/>
        <v>High Risk</v>
      </c>
    </row>
    <row r="581" spans="1:31">
      <c r="A581" t="s">
        <v>1923</v>
      </c>
      <c r="B581">
        <v>95457740</v>
      </c>
      <c r="C581" t="s">
        <v>232</v>
      </c>
      <c r="D581" t="s">
        <v>1924</v>
      </c>
      <c r="E581" t="s">
        <v>3373</v>
      </c>
      <c r="F581" t="s">
        <v>686</v>
      </c>
      <c r="G581" t="s">
        <v>21</v>
      </c>
      <c r="I581" t="s">
        <v>3378</v>
      </c>
      <c r="J581">
        <v>4058.3</v>
      </c>
      <c r="K581" t="s">
        <v>27</v>
      </c>
      <c r="L581" t="s">
        <v>81</v>
      </c>
      <c r="M581" s="1">
        <v>45494.140277777777</v>
      </c>
      <c r="N581">
        <v>51</v>
      </c>
      <c r="O581" t="s">
        <v>37</v>
      </c>
      <c r="P581" t="s">
        <v>36</v>
      </c>
      <c r="Q581" t="s">
        <v>1925</v>
      </c>
      <c r="R581" t="str">
        <f t="shared" si="126"/>
        <v>Fatima Velez</v>
      </c>
      <c r="S581" t="str">
        <f t="shared" si="127"/>
        <v>Lucas Smith</v>
      </c>
      <c r="T581" t="str">
        <f t="shared" si="128"/>
        <v>sgd</v>
      </c>
      <c r="U581" s="7" t="str">
        <f t="shared" si="129"/>
        <v>GBP</v>
      </c>
      <c r="V581" s="7" t="str">
        <f t="shared" si="130"/>
        <v>South Africa</v>
      </c>
      <c r="W581" s="7" t="str">
        <f t="shared" si="131"/>
        <v>Germany</v>
      </c>
      <c r="X581" s="7" t="str">
        <f t="shared" si="132"/>
        <v>Inter-Transaction</v>
      </c>
      <c r="Y581" s="7">
        <f t="shared" si="133"/>
        <v>4058.3</v>
      </c>
      <c r="Z581" s="7">
        <f t="shared" si="134"/>
        <v>51</v>
      </c>
      <c r="AA581" s="7">
        <f t="shared" si="135"/>
        <v>2024</v>
      </c>
      <c r="AB581" s="7">
        <f t="shared" si="136"/>
        <v>7</v>
      </c>
      <c r="AC581" s="7">
        <f t="shared" si="137"/>
        <v>1</v>
      </c>
      <c r="AD581" s="7" t="str">
        <f t="shared" si="138"/>
        <v>No</v>
      </c>
      <c r="AE581" s="7" t="str">
        <f t="shared" si="139"/>
        <v>Normal</v>
      </c>
    </row>
    <row r="582" spans="1:31">
      <c r="A582" t="s">
        <v>1926</v>
      </c>
      <c r="B582">
        <v>65354646</v>
      </c>
      <c r="C582" t="s">
        <v>1050</v>
      </c>
      <c r="D582" t="s">
        <v>618</v>
      </c>
      <c r="E582" t="s">
        <v>20</v>
      </c>
      <c r="F582" t="s">
        <v>35</v>
      </c>
      <c r="G582" t="s">
        <v>53</v>
      </c>
      <c r="H582" t="s">
        <v>74</v>
      </c>
      <c r="I582" t="s">
        <v>3371</v>
      </c>
      <c r="J582">
        <v>10348.23</v>
      </c>
      <c r="K582" t="s">
        <v>86</v>
      </c>
      <c r="L582" t="s">
        <v>28</v>
      </c>
      <c r="M582" s="1">
        <v>44137.591666666667</v>
      </c>
      <c r="N582">
        <v>56</v>
      </c>
      <c r="O582" t="s">
        <v>23</v>
      </c>
      <c r="P582" t="s">
        <v>37</v>
      </c>
      <c r="Q582" t="s">
        <v>1927</v>
      </c>
      <c r="R582" t="str">
        <f t="shared" si="126"/>
        <v>Linda Smith</v>
      </c>
      <c r="S582" t="str">
        <f t="shared" si="127"/>
        <v>Christopher Volkov</v>
      </c>
      <c r="T582" t="str">
        <f t="shared" si="128"/>
        <v>EUR</v>
      </c>
      <c r="U582" s="7" t="str">
        <f t="shared" si="129"/>
        <v>AED</v>
      </c>
      <c r="V582" s="7" t="str">
        <f t="shared" si="130"/>
        <v>France</v>
      </c>
      <c r="W582" s="7" t="str">
        <f t="shared" si="131"/>
        <v>South Africa</v>
      </c>
      <c r="X582" s="7" t="str">
        <f t="shared" si="132"/>
        <v>Outer-Transaction</v>
      </c>
      <c r="Y582" s="7">
        <f t="shared" si="133"/>
        <v>10348.23</v>
      </c>
      <c r="Z582" s="7">
        <f t="shared" si="134"/>
        <v>56</v>
      </c>
      <c r="AA582" s="7">
        <f t="shared" si="135"/>
        <v>2020</v>
      </c>
      <c r="AB582" s="7">
        <f t="shared" si="136"/>
        <v>11</v>
      </c>
      <c r="AC582" s="7">
        <f t="shared" si="137"/>
        <v>1</v>
      </c>
      <c r="AD582" s="7" t="str">
        <f t="shared" si="138"/>
        <v>No</v>
      </c>
      <c r="AE582" s="7" t="str">
        <f t="shared" si="139"/>
        <v>Normal</v>
      </c>
    </row>
    <row r="583" spans="1:31">
      <c r="A583" t="s">
        <v>1928</v>
      </c>
      <c r="B583">
        <v>71237842</v>
      </c>
      <c r="C583" t="s">
        <v>593</v>
      </c>
      <c r="D583" t="s">
        <v>865</v>
      </c>
      <c r="E583" t="s">
        <v>20</v>
      </c>
      <c r="F583" t="s">
        <v>34</v>
      </c>
      <c r="G583" t="s">
        <v>22</v>
      </c>
      <c r="H583" t="s">
        <v>56</v>
      </c>
      <c r="I583" t="s">
        <v>3378</v>
      </c>
      <c r="J583">
        <v>7017.59</v>
      </c>
      <c r="K583" t="s">
        <v>57</v>
      </c>
      <c r="L583" t="s">
        <v>75</v>
      </c>
      <c r="M583" s="1">
        <v>44449.042361111111</v>
      </c>
      <c r="N583">
        <v>43</v>
      </c>
      <c r="O583" t="s">
        <v>68</v>
      </c>
      <c r="P583" t="s">
        <v>36</v>
      </c>
      <c r="Q583" t="s">
        <v>1929</v>
      </c>
      <c r="R583" t="str">
        <f t="shared" si="126"/>
        <v>Amir Thomas</v>
      </c>
      <c r="S583" t="str">
        <f t="shared" si="127"/>
        <v>Karen Garcia</v>
      </c>
      <c r="T583" t="str">
        <f t="shared" si="128"/>
        <v>CAD</v>
      </c>
      <c r="U583" s="7" t="str">
        <f t="shared" si="129"/>
        <v>BRL</v>
      </c>
      <c r="V583" s="7" t="str">
        <f t="shared" si="130"/>
        <v>UAE</v>
      </c>
      <c r="W583" s="7" t="str">
        <f t="shared" si="131"/>
        <v>Germany</v>
      </c>
      <c r="X583" s="7" t="str">
        <f t="shared" si="132"/>
        <v>Inter-Transaction</v>
      </c>
      <c r="Y583" s="7">
        <f t="shared" si="133"/>
        <v>7017.59</v>
      </c>
      <c r="Z583" s="7">
        <f t="shared" si="134"/>
        <v>43</v>
      </c>
      <c r="AA583" s="7">
        <f t="shared" si="135"/>
        <v>2021</v>
      </c>
      <c r="AB583" s="7">
        <f t="shared" si="136"/>
        <v>9</v>
      </c>
      <c r="AC583" s="7">
        <f t="shared" si="137"/>
        <v>1</v>
      </c>
      <c r="AD583" s="7" t="str">
        <f t="shared" si="138"/>
        <v>No</v>
      </c>
      <c r="AE583" s="7" t="str">
        <f t="shared" si="139"/>
        <v>High Risk</v>
      </c>
    </row>
    <row r="584" spans="1:31">
      <c r="A584" t="s">
        <v>1930</v>
      </c>
      <c r="B584">
        <v>28473928</v>
      </c>
      <c r="C584" t="s">
        <v>1686</v>
      </c>
      <c r="D584" t="s">
        <v>790</v>
      </c>
      <c r="E584" t="s">
        <v>20</v>
      </c>
      <c r="F584" t="s">
        <v>98</v>
      </c>
      <c r="G584" t="s">
        <v>45</v>
      </c>
      <c r="H584" t="s">
        <v>38</v>
      </c>
      <c r="I584" t="s">
        <v>3378</v>
      </c>
      <c r="J584">
        <v>8107.76</v>
      </c>
      <c r="K584" t="s">
        <v>47</v>
      </c>
      <c r="L584" t="s">
        <v>48</v>
      </c>
      <c r="M584" s="1">
        <v>44963.630555555559</v>
      </c>
      <c r="N584">
        <v>51</v>
      </c>
      <c r="O584" t="s">
        <v>23</v>
      </c>
      <c r="P584" t="s">
        <v>93</v>
      </c>
      <c r="Q584" t="s">
        <v>1931</v>
      </c>
      <c r="R584" t="str">
        <f t="shared" si="126"/>
        <v>Richard Souza</v>
      </c>
      <c r="S584" t="str">
        <f t="shared" si="127"/>
        <v>Susan Nair</v>
      </c>
      <c r="T584" t="str">
        <f t="shared" si="128"/>
        <v>JPY</v>
      </c>
      <c r="U584" s="7" t="str">
        <f t="shared" si="129"/>
        <v>ZAR</v>
      </c>
      <c r="V584" s="7" t="str">
        <f t="shared" si="130"/>
        <v>France</v>
      </c>
      <c r="W584" s="7" t="str">
        <f t="shared" si="131"/>
        <v>USA</v>
      </c>
      <c r="X584" s="7" t="str">
        <f t="shared" si="132"/>
        <v>Inter-Transaction</v>
      </c>
      <c r="Y584" s="7">
        <f t="shared" si="133"/>
        <v>8107.76</v>
      </c>
      <c r="Z584" s="7">
        <f t="shared" si="134"/>
        <v>51</v>
      </c>
      <c r="AA584" s="7">
        <f t="shared" si="135"/>
        <v>2023</v>
      </c>
      <c r="AB584" s="7">
        <f t="shared" si="136"/>
        <v>2</v>
      </c>
      <c r="AC584" s="7">
        <f t="shared" si="137"/>
        <v>1</v>
      </c>
      <c r="AD584" s="7" t="str">
        <f t="shared" si="138"/>
        <v>No</v>
      </c>
      <c r="AE584" s="7" t="str">
        <f t="shared" si="139"/>
        <v>Normal</v>
      </c>
    </row>
    <row r="585" spans="1:31">
      <c r="A585" t="s">
        <v>1932</v>
      </c>
      <c r="B585">
        <v>10542306</v>
      </c>
      <c r="C585" t="s">
        <v>1933</v>
      </c>
      <c r="D585" t="s">
        <v>1045</v>
      </c>
      <c r="E585">
        <v>1</v>
      </c>
      <c r="F585" t="s">
        <v>22</v>
      </c>
      <c r="G585" t="s">
        <v>121</v>
      </c>
      <c r="H585" t="s">
        <v>103</v>
      </c>
      <c r="I585" t="s">
        <v>3376</v>
      </c>
      <c r="J585">
        <v>14054.55</v>
      </c>
      <c r="K585" t="s">
        <v>27</v>
      </c>
      <c r="L585" t="s">
        <v>81</v>
      </c>
      <c r="M585" s="1">
        <v>45226.523611111108</v>
      </c>
      <c r="N585">
        <v>71</v>
      </c>
      <c r="O585" t="s">
        <v>37</v>
      </c>
      <c r="P585" t="s">
        <v>36</v>
      </c>
      <c r="Q585" t="s">
        <v>1934</v>
      </c>
      <c r="R585" t="str">
        <f t="shared" si="126"/>
        <v>David Souza</v>
      </c>
      <c r="S585" t="str">
        <f t="shared" si="127"/>
        <v>Karen Velez</v>
      </c>
      <c r="T585" t="str">
        <f t="shared" si="128"/>
        <v>BRL</v>
      </c>
      <c r="U585" s="7" t="str">
        <f t="shared" si="129"/>
        <v>INR</v>
      </c>
      <c r="V585" s="7" t="str">
        <f t="shared" si="130"/>
        <v>South Africa</v>
      </c>
      <c r="W585" s="7" t="str">
        <f t="shared" si="131"/>
        <v>Germany</v>
      </c>
      <c r="X585" s="7" t="str">
        <f t="shared" si="132"/>
        <v>Internal</v>
      </c>
      <c r="Y585" s="7">
        <f t="shared" si="133"/>
        <v>14054.55</v>
      </c>
      <c r="Z585" s="7">
        <f t="shared" si="134"/>
        <v>71</v>
      </c>
      <c r="AA585" s="7">
        <f t="shared" si="135"/>
        <v>2023</v>
      </c>
      <c r="AB585" s="7">
        <f t="shared" si="136"/>
        <v>10</v>
      </c>
      <c r="AC585" s="7">
        <f t="shared" si="137"/>
        <v>1</v>
      </c>
      <c r="AD585" s="7" t="str">
        <f t="shared" si="138"/>
        <v>No</v>
      </c>
      <c r="AE585" s="7" t="str">
        <f t="shared" si="139"/>
        <v>Normal</v>
      </c>
    </row>
    <row r="586" spans="1:31">
      <c r="A586" t="s">
        <v>1935</v>
      </c>
      <c r="B586">
        <v>35277376</v>
      </c>
      <c r="C586" t="s">
        <v>1404</v>
      </c>
      <c r="D586" t="s">
        <v>1479</v>
      </c>
      <c r="E586">
        <v>1</v>
      </c>
      <c r="F586" t="s">
        <v>35</v>
      </c>
      <c r="G586" t="s">
        <v>44</v>
      </c>
      <c r="H586" t="s">
        <v>74</v>
      </c>
      <c r="I586" t="s">
        <v>3376</v>
      </c>
      <c r="J586">
        <v>9577.35</v>
      </c>
      <c r="K586" t="s">
        <v>47</v>
      </c>
      <c r="L586" t="s">
        <v>28</v>
      </c>
      <c r="M586" s="1">
        <v>46235.341666666667</v>
      </c>
      <c r="N586">
        <v>20</v>
      </c>
      <c r="O586" t="s">
        <v>37</v>
      </c>
      <c r="P586" t="s">
        <v>24</v>
      </c>
      <c r="Q586" t="s">
        <v>1936</v>
      </c>
      <c r="R586" t="str">
        <f t="shared" si="126"/>
        <v>Elena Smith</v>
      </c>
      <c r="S586" t="str">
        <f t="shared" si="127"/>
        <v>Carlos Silva</v>
      </c>
      <c r="T586" t="str">
        <f t="shared" si="128"/>
        <v>EUR</v>
      </c>
      <c r="U586" s="7" t="str">
        <f t="shared" si="129"/>
        <v>SGD</v>
      </c>
      <c r="V586" s="7" t="str">
        <f t="shared" si="130"/>
        <v>South Africa</v>
      </c>
      <c r="W586" s="7" t="str">
        <f t="shared" si="131"/>
        <v>Brazil</v>
      </c>
      <c r="X586" s="7" t="str">
        <f t="shared" si="132"/>
        <v>Internal</v>
      </c>
      <c r="Y586" s="7">
        <f t="shared" si="133"/>
        <v>9577.35</v>
      </c>
      <c r="Z586" s="7">
        <f t="shared" si="134"/>
        <v>20</v>
      </c>
      <c r="AA586" s="7">
        <f t="shared" si="135"/>
        <v>2026</v>
      </c>
      <c r="AB586" s="7">
        <f t="shared" si="136"/>
        <v>8</v>
      </c>
      <c r="AC586" s="7">
        <f t="shared" si="137"/>
        <v>1</v>
      </c>
      <c r="AD586" s="7" t="str">
        <f t="shared" si="138"/>
        <v>No</v>
      </c>
      <c r="AE586" s="7" t="str">
        <f t="shared" si="139"/>
        <v>Normal</v>
      </c>
    </row>
    <row r="587" spans="1:31">
      <c r="A587" t="s">
        <v>1937</v>
      </c>
      <c r="C587" t="s">
        <v>1505</v>
      </c>
      <c r="D587" t="s">
        <v>1938</v>
      </c>
      <c r="E587" t="s">
        <v>20</v>
      </c>
      <c r="F587" t="s">
        <v>53</v>
      </c>
      <c r="G587" t="s">
        <v>34</v>
      </c>
      <c r="H587" t="s">
        <v>38</v>
      </c>
      <c r="I587" t="s">
        <v>3376</v>
      </c>
      <c r="J587">
        <v>637.70000000000005</v>
      </c>
      <c r="K587" t="s">
        <v>39</v>
      </c>
      <c r="L587" t="s">
        <v>28</v>
      </c>
      <c r="M587" s="1">
        <v>46059.854861111111</v>
      </c>
      <c r="N587">
        <v>67</v>
      </c>
      <c r="O587" t="s">
        <v>93</v>
      </c>
      <c r="P587" t="s">
        <v>54</v>
      </c>
      <c r="Q587" t="s">
        <v>1939</v>
      </c>
      <c r="R587" t="str">
        <f t="shared" si="126"/>
        <v>Susan Velez</v>
      </c>
      <c r="S587" t="str">
        <f t="shared" si="127"/>
        <v>Joseph Smith</v>
      </c>
      <c r="T587" t="str">
        <f t="shared" si="128"/>
        <v>AED</v>
      </c>
      <c r="U587" s="7" t="str">
        <f t="shared" si="129"/>
        <v>CAD</v>
      </c>
      <c r="V587" s="7" t="str">
        <f t="shared" si="130"/>
        <v>USA</v>
      </c>
      <c r="W587" s="7" t="str">
        <f t="shared" si="131"/>
        <v>India</v>
      </c>
      <c r="X587" s="7" t="str">
        <f t="shared" si="132"/>
        <v>Internal</v>
      </c>
      <c r="Y587" s="7">
        <f t="shared" si="133"/>
        <v>637.70000000000005</v>
      </c>
      <c r="Z587" s="7">
        <f t="shared" si="134"/>
        <v>67</v>
      </c>
      <c r="AA587" s="7">
        <f t="shared" si="135"/>
        <v>2026</v>
      </c>
      <c r="AB587" s="7">
        <f t="shared" si="136"/>
        <v>2</v>
      </c>
      <c r="AC587" s="7">
        <f t="shared" si="137"/>
        <v>1</v>
      </c>
      <c r="AD587" s="7" t="str">
        <f t="shared" si="138"/>
        <v>No</v>
      </c>
      <c r="AE587" s="7" t="str">
        <f t="shared" si="139"/>
        <v>Normal</v>
      </c>
    </row>
    <row r="588" spans="1:31">
      <c r="A588" t="s">
        <v>1940</v>
      </c>
      <c r="B588">
        <v>88802545</v>
      </c>
      <c r="C588" t="s">
        <v>1469</v>
      </c>
      <c r="D588" t="s">
        <v>1505</v>
      </c>
      <c r="E588" t="s">
        <v>20</v>
      </c>
      <c r="F588" t="s">
        <v>112</v>
      </c>
      <c r="G588" t="s">
        <v>92</v>
      </c>
      <c r="H588" t="s">
        <v>25</v>
      </c>
      <c r="I588" t="s">
        <v>3371</v>
      </c>
      <c r="J588">
        <v>10866.94</v>
      </c>
      <c r="K588" t="s">
        <v>86</v>
      </c>
      <c r="L588" t="s">
        <v>81</v>
      </c>
      <c r="M588" s="1">
        <v>45210.897916666669</v>
      </c>
      <c r="N588">
        <v>29</v>
      </c>
      <c r="O588" t="s">
        <v>23</v>
      </c>
      <c r="P588" t="s">
        <v>127</v>
      </c>
      <c r="Q588" t="s">
        <v>1941</v>
      </c>
      <c r="R588" t="str">
        <f t="shared" si="126"/>
        <v>Nancy Volkov</v>
      </c>
      <c r="S588" t="str">
        <f t="shared" si="127"/>
        <v>Susan Velez</v>
      </c>
      <c r="T588" t="str">
        <f t="shared" si="128"/>
        <v>usd</v>
      </c>
      <c r="U588" s="7" t="str">
        <f t="shared" si="129"/>
        <v>AUD</v>
      </c>
      <c r="V588" s="7" t="str">
        <f t="shared" si="130"/>
        <v>France</v>
      </c>
      <c r="W588" s="7" t="str">
        <f t="shared" si="131"/>
        <v>Canada</v>
      </c>
      <c r="X588" s="7" t="str">
        <f t="shared" si="132"/>
        <v>Outer-Transaction</v>
      </c>
      <c r="Y588" s="7">
        <f t="shared" si="133"/>
        <v>10866.94</v>
      </c>
      <c r="Z588" s="7">
        <f t="shared" si="134"/>
        <v>29</v>
      </c>
      <c r="AA588" s="7">
        <f t="shared" si="135"/>
        <v>2023</v>
      </c>
      <c r="AB588" s="7">
        <f t="shared" si="136"/>
        <v>10</v>
      </c>
      <c r="AC588" s="7">
        <f t="shared" si="137"/>
        <v>1</v>
      </c>
      <c r="AD588" s="7" t="str">
        <f t="shared" si="138"/>
        <v>No</v>
      </c>
      <c r="AE588" s="7" t="str">
        <f t="shared" si="139"/>
        <v>Normal</v>
      </c>
    </row>
    <row r="589" spans="1:31">
      <c r="A589" t="s">
        <v>1942</v>
      </c>
      <c r="B589">
        <v>39065567</v>
      </c>
      <c r="C589" t="s">
        <v>1943</v>
      </c>
      <c r="D589" t="s">
        <v>18</v>
      </c>
      <c r="E589" t="s">
        <v>20</v>
      </c>
      <c r="F589" t="s">
        <v>116</v>
      </c>
      <c r="G589" t="s">
        <v>45</v>
      </c>
      <c r="I589" t="s">
        <v>3376</v>
      </c>
      <c r="J589">
        <v>5828.79</v>
      </c>
      <c r="K589" t="s">
        <v>27</v>
      </c>
      <c r="L589" t="s">
        <v>28</v>
      </c>
      <c r="M589" s="1">
        <v>45530.331944444442</v>
      </c>
      <c r="N589">
        <v>82</v>
      </c>
      <c r="O589" t="s">
        <v>36</v>
      </c>
      <c r="P589" t="s">
        <v>36</v>
      </c>
      <c r="Q589" t="s">
        <v>1944</v>
      </c>
      <c r="R589" t="str">
        <f t="shared" si="126"/>
        <v>Nancy Wilson</v>
      </c>
      <c r="S589" t="str">
        <f t="shared" si="127"/>
        <v>Patricia Smith</v>
      </c>
      <c r="T589" t="str">
        <f t="shared" si="128"/>
        <v>CHF</v>
      </c>
      <c r="U589" s="7" t="str">
        <f t="shared" si="129"/>
        <v>ZAR</v>
      </c>
      <c r="V589" s="7" t="str">
        <f t="shared" si="130"/>
        <v>Germany</v>
      </c>
      <c r="W589" s="7" t="str">
        <f t="shared" si="131"/>
        <v>Germany</v>
      </c>
      <c r="X589" s="7" t="str">
        <f t="shared" si="132"/>
        <v>Internal</v>
      </c>
      <c r="Y589" s="7">
        <f t="shared" si="133"/>
        <v>5828.79</v>
      </c>
      <c r="Z589" s="7">
        <f t="shared" si="134"/>
        <v>82</v>
      </c>
      <c r="AA589" s="7">
        <f t="shared" si="135"/>
        <v>2024</v>
      </c>
      <c r="AB589" s="7">
        <f t="shared" si="136"/>
        <v>8</v>
      </c>
      <c r="AC589" s="7">
        <f t="shared" si="137"/>
        <v>1</v>
      </c>
      <c r="AD589" s="7" t="str">
        <f t="shared" si="138"/>
        <v>No</v>
      </c>
      <c r="AE589" s="7" t="str">
        <f t="shared" si="139"/>
        <v>Normal</v>
      </c>
    </row>
    <row r="590" spans="1:31">
      <c r="A590" t="s">
        <v>1945</v>
      </c>
      <c r="B590">
        <v>54481849</v>
      </c>
      <c r="C590" t="s">
        <v>761</v>
      </c>
      <c r="D590" t="s">
        <v>290</v>
      </c>
      <c r="E590">
        <v>1</v>
      </c>
      <c r="F590" t="s">
        <v>35</v>
      </c>
      <c r="G590" t="s">
        <v>121</v>
      </c>
      <c r="H590" t="s">
        <v>74</v>
      </c>
      <c r="I590" t="s">
        <v>3372</v>
      </c>
      <c r="J590">
        <v>667.68</v>
      </c>
      <c r="K590" t="s">
        <v>47</v>
      </c>
      <c r="L590" t="s">
        <v>48</v>
      </c>
      <c r="M590" s="1">
        <v>45946.365972222222</v>
      </c>
      <c r="N590">
        <v>71</v>
      </c>
      <c r="O590" t="s">
        <v>24</v>
      </c>
      <c r="P590" t="s">
        <v>55</v>
      </c>
      <c r="Q590" t="s">
        <v>1946</v>
      </c>
      <c r="R590" t="str">
        <f t="shared" si="126"/>
        <v>Jessica Brown</v>
      </c>
      <c r="S590" t="str">
        <f t="shared" si="127"/>
        <v>Marta Jones</v>
      </c>
      <c r="T590" t="str">
        <f t="shared" si="128"/>
        <v>EUR</v>
      </c>
      <c r="U590" s="7" t="str">
        <f t="shared" si="129"/>
        <v>INR</v>
      </c>
      <c r="V590" s="7" t="str">
        <f t="shared" si="130"/>
        <v>Brazil</v>
      </c>
      <c r="W590" s="7" t="str">
        <f t="shared" si="131"/>
        <v>UK</v>
      </c>
      <c r="X590" s="7" t="str">
        <f t="shared" si="132"/>
        <v>Outer-Transaction</v>
      </c>
      <c r="Y590" s="7">
        <f t="shared" si="133"/>
        <v>667.68</v>
      </c>
      <c r="Z590" s="7">
        <f t="shared" si="134"/>
        <v>71</v>
      </c>
      <c r="AA590" s="7">
        <f t="shared" si="135"/>
        <v>2025</v>
      </c>
      <c r="AB590" s="7">
        <f t="shared" si="136"/>
        <v>10</v>
      </c>
      <c r="AC590" s="7">
        <f t="shared" si="137"/>
        <v>1</v>
      </c>
      <c r="AD590" s="7" t="str">
        <f t="shared" si="138"/>
        <v>No</v>
      </c>
      <c r="AE590" s="7" t="str">
        <f t="shared" si="139"/>
        <v>Normal</v>
      </c>
    </row>
    <row r="591" spans="1:31">
      <c r="A591" t="s">
        <v>1947</v>
      </c>
      <c r="B591">
        <v>28683820</v>
      </c>
      <c r="C591" t="s">
        <v>264</v>
      </c>
      <c r="D591" t="s">
        <v>764</v>
      </c>
      <c r="E591" t="s">
        <v>20</v>
      </c>
      <c r="F591" t="s">
        <v>44</v>
      </c>
      <c r="G591" t="s">
        <v>34</v>
      </c>
      <c r="H591" t="s">
        <v>38</v>
      </c>
      <c r="I591" t="s">
        <v>3377</v>
      </c>
      <c r="J591">
        <v>6285.18</v>
      </c>
      <c r="K591" t="s">
        <v>86</v>
      </c>
      <c r="L591" t="s">
        <v>75</v>
      </c>
      <c r="M591" s="1">
        <v>46170.067361111112</v>
      </c>
      <c r="N591">
        <v>22</v>
      </c>
      <c r="O591" t="s">
        <v>55</v>
      </c>
      <c r="P591" t="s">
        <v>54</v>
      </c>
      <c r="Q591" t="s">
        <v>1948</v>
      </c>
      <c r="R591" t="str">
        <f t="shared" si="126"/>
        <v>Michael Al-Sayed</v>
      </c>
      <c r="S591" t="str">
        <f t="shared" si="127"/>
        <v>Nancy Jackson</v>
      </c>
      <c r="T591" t="str">
        <f t="shared" si="128"/>
        <v>SGD</v>
      </c>
      <c r="U591" s="7" t="str">
        <f t="shared" si="129"/>
        <v>CAD</v>
      </c>
      <c r="V591" s="7" t="str">
        <f t="shared" si="130"/>
        <v>UK</v>
      </c>
      <c r="W591" s="7" t="str">
        <f t="shared" si="131"/>
        <v>India</v>
      </c>
      <c r="X591" s="7" t="str">
        <f t="shared" si="132"/>
        <v>Inter-Transaction</v>
      </c>
      <c r="Y591" s="7">
        <f t="shared" si="133"/>
        <v>6285.18</v>
      </c>
      <c r="Z591" s="7">
        <f t="shared" si="134"/>
        <v>22</v>
      </c>
      <c r="AA591" s="7">
        <f t="shared" si="135"/>
        <v>2026</v>
      </c>
      <c r="AB591" s="7">
        <f t="shared" si="136"/>
        <v>5</v>
      </c>
      <c r="AC591" s="7">
        <f t="shared" si="137"/>
        <v>1</v>
      </c>
      <c r="AD591" s="7" t="str">
        <f t="shared" si="138"/>
        <v>No</v>
      </c>
      <c r="AE591" s="7" t="str">
        <f t="shared" si="139"/>
        <v>High Risk</v>
      </c>
    </row>
    <row r="592" spans="1:31">
      <c r="A592" t="s">
        <v>1949</v>
      </c>
      <c r="B592">
        <v>42646040</v>
      </c>
      <c r="C592" t="s">
        <v>1088</v>
      </c>
      <c r="D592" t="s">
        <v>1950</v>
      </c>
      <c r="E592" t="s">
        <v>20</v>
      </c>
      <c r="G592" t="s">
        <v>35</v>
      </c>
      <c r="H592" t="s">
        <v>103</v>
      </c>
      <c r="I592" t="s">
        <v>3372</v>
      </c>
      <c r="J592">
        <v>1011.62</v>
      </c>
      <c r="K592" t="s">
        <v>47</v>
      </c>
      <c r="L592" t="s">
        <v>81</v>
      </c>
      <c r="M592" s="1">
        <v>44011.902083333334</v>
      </c>
      <c r="N592">
        <v>74</v>
      </c>
      <c r="O592" t="s">
        <v>37</v>
      </c>
      <c r="P592" t="s">
        <v>54</v>
      </c>
      <c r="Q592" t="s">
        <v>1951</v>
      </c>
      <c r="R592" t="str">
        <f t="shared" si="126"/>
        <v>Priya Souza</v>
      </c>
      <c r="S592" t="str">
        <f t="shared" si="127"/>
        <v>Carlos Jones</v>
      </c>
      <c r="T592" t="str">
        <f t="shared" si="128"/>
        <v/>
      </c>
      <c r="U592" s="7" t="str">
        <f t="shared" si="129"/>
        <v>EUR</v>
      </c>
      <c r="V592" s="7" t="str">
        <f t="shared" si="130"/>
        <v>South Africa</v>
      </c>
      <c r="W592" s="7" t="str">
        <f t="shared" si="131"/>
        <v>India</v>
      </c>
      <c r="X592" s="7" t="str">
        <f t="shared" si="132"/>
        <v>Outer-Transaction</v>
      </c>
      <c r="Y592" s="7">
        <f t="shared" si="133"/>
        <v>1011.62</v>
      </c>
      <c r="Z592" s="7">
        <f t="shared" si="134"/>
        <v>74</v>
      </c>
      <c r="AA592" s="7">
        <f t="shared" si="135"/>
        <v>2020</v>
      </c>
      <c r="AB592" s="7">
        <f t="shared" si="136"/>
        <v>6</v>
      </c>
      <c r="AC592" s="7">
        <f t="shared" si="137"/>
        <v>1</v>
      </c>
      <c r="AD592" s="7" t="str">
        <f t="shared" si="138"/>
        <v>No</v>
      </c>
      <c r="AE592" s="7" t="str">
        <f t="shared" si="139"/>
        <v>Normal</v>
      </c>
    </row>
    <row r="593" spans="1:31">
      <c r="A593" t="s">
        <v>1952</v>
      </c>
      <c r="B593">
        <v>11632815</v>
      </c>
      <c r="C593" t="s">
        <v>1662</v>
      </c>
      <c r="D593" t="s">
        <v>1445</v>
      </c>
      <c r="E593" t="s">
        <v>20</v>
      </c>
      <c r="F593" t="s">
        <v>80</v>
      </c>
      <c r="G593" t="s">
        <v>53</v>
      </c>
      <c r="H593" t="s">
        <v>74</v>
      </c>
      <c r="I593" t="s">
        <v>3374</v>
      </c>
      <c r="J593">
        <v>7126.65</v>
      </c>
      <c r="K593" t="s">
        <v>39</v>
      </c>
      <c r="L593" t="s">
        <v>48</v>
      </c>
      <c r="M593" s="1">
        <v>46312.194444444445</v>
      </c>
      <c r="N593">
        <v>34</v>
      </c>
      <c r="O593" t="s">
        <v>127</v>
      </c>
      <c r="P593" t="s">
        <v>36</v>
      </c>
      <c r="Q593" t="s">
        <v>1953</v>
      </c>
      <c r="R593" t="str">
        <f t="shared" si="126"/>
        <v>Patricia Taylor</v>
      </c>
      <c r="S593" t="str">
        <f t="shared" si="127"/>
        <v>Marta Rodriguez</v>
      </c>
      <c r="T593" t="str">
        <f t="shared" si="128"/>
        <v>USD</v>
      </c>
      <c r="U593" s="7" t="str">
        <f t="shared" si="129"/>
        <v>AED</v>
      </c>
      <c r="V593" s="7" t="str">
        <f t="shared" si="130"/>
        <v>Canada</v>
      </c>
      <c r="W593" s="7" t="str">
        <f t="shared" si="131"/>
        <v>Germany</v>
      </c>
      <c r="X593" s="7" t="str">
        <f t="shared" si="132"/>
        <v>External</v>
      </c>
      <c r="Y593" s="7">
        <f t="shared" si="133"/>
        <v>7126.65</v>
      </c>
      <c r="Z593" s="7">
        <f t="shared" si="134"/>
        <v>34</v>
      </c>
      <c r="AA593" s="7">
        <f t="shared" si="135"/>
        <v>2026</v>
      </c>
      <c r="AB593" s="7">
        <f t="shared" si="136"/>
        <v>10</v>
      </c>
      <c r="AC593" s="7">
        <f t="shared" si="137"/>
        <v>1</v>
      </c>
      <c r="AD593" s="7" t="str">
        <f t="shared" si="138"/>
        <v>No</v>
      </c>
      <c r="AE593" s="7" t="str">
        <f t="shared" si="139"/>
        <v>Normal</v>
      </c>
    </row>
    <row r="594" spans="1:31">
      <c r="A594" t="s">
        <v>1954</v>
      </c>
      <c r="B594">
        <v>29515608</v>
      </c>
      <c r="C594" t="s">
        <v>139</v>
      </c>
      <c r="D594" t="s">
        <v>1955</v>
      </c>
      <c r="E594" t="s">
        <v>20</v>
      </c>
      <c r="F594" t="s">
        <v>35</v>
      </c>
      <c r="G594" t="s">
        <v>116</v>
      </c>
      <c r="H594" t="s">
        <v>103</v>
      </c>
      <c r="I594" t="s">
        <v>3372</v>
      </c>
      <c r="J594">
        <v>904.5</v>
      </c>
      <c r="K594" t="s">
        <v>39</v>
      </c>
      <c r="L594" t="s">
        <v>28</v>
      </c>
      <c r="M594" s="1">
        <v>45318.027777777781</v>
      </c>
      <c r="N594">
        <v>64</v>
      </c>
      <c r="O594" t="s">
        <v>24</v>
      </c>
      <c r="P594" t="s">
        <v>54</v>
      </c>
      <c r="Q594" t="s">
        <v>1956</v>
      </c>
      <c r="R594" t="str">
        <f t="shared" si="126"/>
        <v>Zayn Dubois</v>
      </c>
      <c r="S594" t="str">
        <f t="shared" si="127"/>
        <v>Robert Thomas</v>
      </c>
      <c r="T594" t="str">
        <f t="shared" si="128"/>
        <v>EUR</v>
      </c>
      <c r="U594" s="7" t="str">
        <f t="shared" si="129"/>
        <v>CHF</v>
      </c>
      <c r="V594" s="7" t="str">
        <f t="shared" si="130"/>
        <v>Brazil</v>
      </c>
      <c r="W594" s="7" t="str">
        <f t="shared" si="131"/>
        <v>India</v>
      </c>
      <c r="X594" s="7" t="str">
        <f t="shared" si="132"/>
        <v>Outer-Transaction</v>
      </c>
      <c r="Y594" s="7">
        <f t="shared" si="133"/>
        <v>904.5</v>
      </c>
      <c r="Z594" s="7">
        <f t="shared" si="134"/>
        <v>64</v>
      </c>
      <c r="AA594" s="7">
        <f t="shared" si="135"/>
        <v>2024</v>
      </c>
      <c r="AB594" s="7">
        <f t="shared" si="136"/>
        <v>1</v>
      </c>
      <c r="AC594" s="7">
        <f t="shared" si="137"/>
        <v>1</v>
      </c>
      <c r="AD594" s="7" t="str">
        <f t="shared" si="138"/>
        <v>No</v>
      </c>
      <c r="AE594" s="7" t="str">
        <f t="shared" si="139"/>
        <v>Normal</v>
      </c>
    </row>
    <row r="595" spans="1:31">
      <c r="A595" t="s">
        <v>1957</v>
      </c>
      <c r="B595">
        <v>27089453</v>
      </c>
      <c r="C595" t="s">
        <v>1958</v>
      </c>
      <c r="D595" t="s">
        <v>1872</v>
      </c>
      <c r="E595" t="s">
        <v>3373</v>
      </c>
      <c r="F595" t="s">
        <v>45</v>
      </c>
      <c r="G595" t="s">
        <v>45</v>
      </c>
      <c r="H595" t="s">
        <v>25</v>
      </c>
      <c r="I595" t="s">
        <v>3372</v>
      </c>
      <c r="J595">
        <v>1004.35</v>
      </c>
      <c r="K595" t="s">
        <v>86</v>
      </c>
      <c r="L595" t="s">
        <v>48</v>
      </c>
      <c r="M595" s="1">
        <v>44744.412499999999</v>
      </c>
      <c r="N595">
        <v>40</v>
      </c>
      <c r="O595" t="s">
        <v>62</v>
      </c>
      <c r="P595" t="s">
        <v>62</v>
      </c>
      <c r="Q595" t="s">
        <v>1959</v>
      </c>
      <c r="R595" t="str">
        <f t="shared" si="126"/>
        <v>Sarah Martin</v>
      </c>
      <c r="S595" t="str">
        <f t="shared" si="127"/>
        <v>Lucas Taylor</v>
      </c>
      <c r="T595" t="str">
        <f t="shared" si="128"/>
        <v>ZAR</v>
      </c>
      <c r="U595" s="7" t="str">
        <f t="shared" si="129"/>
        <v>ZAR</v>
      </c>
      <c r="V595" s="7" t="str">
        <f t="shared" si="130"/>
        <v>Australia</v>
      </c>
      <c r="W595" s="7" t="str">
        <f t="shared" si="131"/>
        <v>Australia</v>
      </c>
      <c r="X595" s="7" t="str">
        <f t="shared" si="132"/>
        <v>Outer-Transaction</v>
      </c>
      <c r="Y595" s="7">
        <f t="shared" si="133"/>
        <v>1004.35</v>
      </c>
      <c r="Z595" s="7">
        <f t="shared" si="134"/>
        <v>40</v>
      </c>
      <c r="AA595" s="7">
        <f t="shared" si="135"/>
        <v>2022</v>
      </c>
      <c r="AB595" s="7">
        <f t="shared" si="136"/>
        <v>7</v>
      </c>
      <c r="AC595" s="7">
        <f t="shared" si="137"/>
        <v>1</v>
      </c>
      <c r="AD595" s="7" t="str">
        <f t="shared" si="138"/>
        <v>No</v>
      </c>
      <c r="AE595" s="7" t="str">
        <f t="shared" si="139"/>
        <v>Normal</v>
      </c>
    </row>
    <row r="596" spans="1:31">
      <c r="A596" t="s">
        <v>1960</v>
      </c>
      <c r="B596">
        <v>53900976</v>
      </c>
      <c r="C596" t="s">
        <v>314</v>
      </c>
      <c r="D596" t="s">
        <v>771</v>
      </c>
      <c r="E596" t="s">
        <v>20</v>
      </c>
      <c r="F596" t="s">
        <v>92</v>
      </c>
      <c r="G596" t="s">
        <v>22</v>
      </c>
      <c r="H596" t="s">
        <v>74</v>
      </c>
      <c r="I596" t="s">
        <v>3372</v>
      </c>
      <c r="J596">
        <v>5062.76</v>
      </c>
      <c r="K596" t="s">
        <v>39</v>
      </c>
      <c r="L596" t="s">
        <v>75</v>
      </c>
      <c r="M596" s="1">
        <v>45388.148611111108</v>
      </c>
      <c r="N596">
        <v>31</v>
      </c>
      <c r="O596" t="s">
        <v>23</v>
      </c>
      <c r="P596" t="s">
        <v>36</v>
      </c>
      <c r="Q596" t="s">
        <v>1961</v>
      </c>
      <c r="R596" t="str">
        <f t="shared" si="126"/>
        <v>Priya Martinez</v>
      </c>
      <c r="S596" t="str">
        <f t="shared" si="127"/>
        <v>Zayn Thomas</v>
      </c>
      <c r="T596" t="str">
        <f t="shared" si="128"/>
        <v>AUD</v>
      </c>
      <c r="U596" s="7" t="str">
        <f t="shared" si="129"/>
        <v>BRL</v>
      </c>
      <c r="V596" s="7" t="str">
        <f t="shared" si="130"/>
        <v>France</v>
      </c>
      <c r="W596" s="7" t="str">
        <f t="shared" si="131"/>
        <v>Germany</v>
      </c>
      <c r="X596" s="7" t="str">
        <f t="shared" si="132"/>
        <v>Outer-Transaction</v>
      </c>
      <c r="Y596" s="7">
        <f t="shared" si="133"/>
        <v>5062.76</v>
      </c>
      <c r="Z596" s="7">
        <f t="shared" si="134"/>
        <v>31</v>
      </c>
      <c r="AA596" s="7">
        <f t="shared" si="135"/>
        <v>2024</v>
      </c>
      <c r="AB596" s="7">
        <f t="shared" si="136"/>
        <v>4</v>
      </c>
      <c r="AC596" s="7">
        <f t="shared" si="137"/>
        <v>1</v>
      </c>
      <c r="AD596" s="7" t="str">
        <f t="shared" si="138"/>
        <v>No</v>
      </c>
      <c r="AE596" s="7" t="str">
        <f t="shared" si="139"/>
        <v>High Risk</v>
      </c>
    </row>
    <row r="597" spans="1:31">
      <c r="A597" t="s">
        <v>1962</v>
      </c>
      <c r="B597">
        <v>42133709</v>
      </c>
      <c r="C597" t="s">
        <v>1216</v>
      </c>
      <c r="D597" t="s">
        <v>1963</v>
      </c>
      <c r="E597" t="s">
        <v>20</v>
      </c>
      <c r="F597" t="s">
        <v>34</v>
      </c>
      <c r="G597" t="s">
        <v>98</v>
      </c>
      <c r="H597" t="s">
        <v>38</v>
      </c>
      <c r="I597" t="s">
        <v>3371</v>
      </c>
      <c r="J597">
        <v>12035.64</v>
      </c>
      <c r="K597" t="s">
        <v>57</v>
      </c>
      <c r="L597" t="s">
        <v>48</v>
      </c>
      <c r="M597" s="1">
        <v>45944.406944444447</v>
      </c>
      <c r="N597">
        <v>83</v>
      </c>
      <c r="O597" t="s">
        <v>68</v>
      </c>
      <c r="P597" t="s">
        <v>93</v>
      </c>
      <c r="Q597" t="s">
        <v>1964</v>
      </c>
      <c r="R597" t="str">
        <f t="shared" si="126"/>
        <v>Christopher Miller</v>
      </c>
      <c r="S597" t="str">
        <f t="shared" si="127"/>
        <v>Susan Martinez</v>
      </c>
      <c r="T597" t="str">
        <f t="shared" si="128"/>
        <v>CAD</v>
      </c>
      <c r="U597" s="7" t="str">
        <f t="shared" si="129"/>
        <v>JPY</v>
      </c>
      <c r="V597" s="7" t="str">
        <f t="shared" si="130"/>
        <v>UAE</v>
      </c>
      <c r="W597" s="7" t="str">
        <f t="shared" si="131"/>
        <v>USA</v>
      </c>
      <c r="X597" s="7" t="str">
        <f t="shared" si="132"/>
        <v>Outer-Transaction</v>
      </c>
      <c r="Y597" s="7">
        <f t="shared" si="133"/>
        <v>12035.64</v>
      </c>
      <c r="Z597" s="7">
        <f t="shared" si="134"/>
        <v>83</v>
      </c>
      <c r="AA597" s="7">
        <f t="shared" si="135"/>
        <v>2025</v>
      </c>
      <c r="AB597" s="7">
        <f t="shared" si="136"/>
        <v>10</v>
      </c>
      <c r="AC597" s="7">
        <f t="shared" si="137"/>
        <v>1</v>
      </c>
      <c r="AD597" s="7" t="str">
        <f t="shared" si="138"/>
        <v>No</v>
      </c>
      <c r="AE597" s="7" t="str">
        <f t="shared" si="139"/>
        <v>Normal</v>
      </c>
    </row>
    <row r="598" spans="1:31">
      <c r="A598" t="s">
        <v>1965</v>
      </c>
      <c r="B598">
        <v>49119248</v>
      </c>
      <c r="C598" t="s">
        <v>1966</v>
      </c>
      <c r="D598" t="s">
        <v>1967</v>
      </c>
      <c r="E598" t="s">
        <v>3375</v>
      </c>
      <c r="F598" t="s">
        <v>34</v>
      </c>
      <c r="G598" t="s">
        <v>21</v>
      </c>
      <c r="I598" t="s">
        <v>3372</v>
      </c>
      <c r="J598">
        <v>8065.76</v>
      </c>
      <c r="K598" t="s">
        <v>47</v>
      </c>
      <c r="L598" t="s">
        <v>75</v>
      </c>
      <c r="M598" s="1">
        <v>44875.425694444442</v>
      </c>
      <c r="N598">
        <v>68</v>
      </c>
      <c r="O598" t="s">
        <v>55</v>
      </c>
      <c r="P598" t="s">
        <v>37</v>
      </c>
      <c r="Q598" t="s">
        <v>1968</v>
      </c>
      <c r="R598" t="str">
        <f t="shared" si="126"/>
        <v>Sanjay Davis</v>
      </c>
      <c r="S598" t="str">
        <f t="shared" si="127"/>
        <v>William Martin</v>
      </c>
      <c r="T598" t="str">
        <f t="shared" si="128"/>
        <v>CAD</v>
      </c>
      <c r="U598" s="7" t="str">
        <f t="shared" si="129"/>
        <v>GBP</v>
      </c>
      <c r="V598" s="7" t="str">
        <f t="shared" si="130"/>
        <v>UK</v>
      </c>
      <c r="W598" s="7" t="str">
        <f t="shared" si="131"/>
        <v>South Africa</v>
      </c>
      <c r="X598" s="7" t="str">
        <f t="shared" si="132"/>
        <v>Outer-Transaction</v>
      </c>
      <c r="Y598" s="7">
        <f t="shared" si="133"/>
        <v>8065.76</v>
      </c>
      <c r="Z598" s="7">
        <f t="shared" si="134"/>
        <v>68</v>
      </c>
      <c r="AA598" s="7">
        <f t="shared" si="135"/>
        <v>2022</v>
      </c>
      <c r="AB598" s="7">
        <f t="shared" si="136"/>
        <v>11</v>
      </c>
      <c r="AC598" s="7">
        <f t="shared" si="137"/>
        <v>1</v>
      </c>
      <c r="AD598" s="7" t="str">
        <f t="shared" si="138"/>
        <v>No</v>
      </c>
      <c r="AE598" s="7" t="str">
        <f t="shared" si="139"/>
        <v>High Risk</v>
      </c>
    </row>
    <row r="599" spans="1:31">
      <c r="A599" t="s">
        <v>1969</v>
      </c>
      <c r="B599">
        <v>76445238</v>
      </c>
      <c r="C599" t="s">
        <v>1970</v>
      </c>
      <c r="D599" t="s">
        <v>1971</v>
      </c>
      <c r="E599" t="s">
        <v>3375</v>
      </c>
      <c r="F599" t="s">
        <v>98</v>
      </c>
      <c r="G599" t="s">
        <v>116</v>
      </c>
      <c r="H599" t="s">
        <v>25</v>
      </c>
      <c r="I599" t="s">
        <v>3372</v>
      </c>
      <c r="J599">
        <v>6563.21</v>
      </c>
      <c r="K599" t="s">
        <v>57</v>
      </c>
      <c r="L599" t="s">
        <v>28</v>
      </c>
      <c r="M599" s="1">
        <v>45466.21597222222</v>
      </c>
      <c r="N599">
        <v>55</v>
      </c>
      <c r="O599" t="s">
        <v>127</v>
      </c>
      <c r="P599" t="s">
        <v>24</v>
      </c>
      <c r="Q599" t="s">
        <v>1972</v>
      </c>
      <c r="R599" t="str">
        <f t="shared" si="126"/>
        <v>Thomas Souza</v>
      </c>
      <c r="S599" t="str">
        <f t="shared" si="127"/>
        <v>Karen Jackson</v>
      </c>
      <c r="T599" t="str">
        <f t="shared" si="128"/>
        <v>JPY</v>
      </c>
      <c r="U599" s="7" t="str">
        <f t="shared" si="129"/>
        <v>CHF</v>
      </c>
      <c r="V599" s="7" t="str">
        <f t="shared" si="130"/>
        <v>Canada</v>
      </c>
      <c r="W599" s="7" t="str">
        <f t="shared" si="131"/>
        <v>Brazil</v>
      </c>
      <c r="X599" s="7" t="str">
        <f t="shared" si="132"/>
        <v>Outer-Transaction</v>
      </c>
      <c r="Y599" s="7">
        <f t="shared" si="133"/>
        <v>6563.21</v>
      </c>
      <c r="Z599" s="7">
        <f t="shared" si="134"/>
        <v>55</v>
      </c>
      <c r="AA599" s="7">
        <f t="shared" si="135"/>
        <v>2024</v>
      </c>
      <c r="AB599" s="7">
        <f t="shared" si="136"/>
        <v>6</v>
      </c>
      <c r="AC599" s="7">
        <f t="shared" si="137"/>
        <v>1</v>
      </c>
      <c r="AD599" s="7" t="str">
        <f t="shared" si="138"/>
        <v>No</v>
      </c>
      <c r="AE599" s="7" t="str">
        <f t="shared" si="139"/>
        <v>Normal</v>
      </c>
    </row>
    <row r="600" spans="1:31">
      <c r="A600" t="s">
        <v>1973</v>
      </c>
      <c r="B600">
        <v>46025956</v>
      </c>
      <c r="C600" t="s">
        <v>244</v>
      </c>
      <c r="D600" t="s">
        <v>1801</v>
      </c>
      <c r="E600" t="s">
        <v>33</v>
      </c>
      <c r="F600" t="s">
        <v>160</v>
      </c>
      <c r="G600" t="s">
        <v>126</v>
      </c>
      <c r="I600" t="s">
        <v>3378</v>
      </c>
      <c r="J600">
        <v>4269.9799999999996</v>
      </c>
      <c r="K600" t="s">
        <v>47</v>
      </c>
      <c r="L600" t="s">
        <v>48</v>
      </c>
      <c r="M600" s="1">
        <v>46262.511111111111</v>
      </c>
      <c r="N600">
        <v>81</v>
      </c>
      <c r="O600" t="s">
        <v>24</v>
      </c>
      <c r="P600" t="s">
        <v>68</v>
      </c>
      <c r="Q600" t="s">
        <v>1974</v>
      </c>
      <c r="R600" t="str">
        <f t="shared" si="126"/>
        <v>Michael Silva</v>
      </c>
      <c r="S600" t="str">
        <f t="shared" si="127"/>
        <v>Patricia Souza</v>
      </c>
      <c r="T600" t="str">
        <f t="shared" si="128"/>
        <v>aud</v>
      </c>
      <c r="U600" s="7" t="str">
        <f t="shared" si="129"/>
        <v>inr</v>
      </c>
      <c r="V600" s="7" t="str">
        <f t="shared" si="130"/>
        <v>Brazil</v>
      </c>
      <c r="W600" s="7" t="str">
        <f t="shared" si="131"/>
        <v>UAE</v>
      </c>
      <c r="X600" s="7" t="str">
        <f t="shared" si="132"/>
        <v>Inter-Transaction</v>
      </c>
      <c r="Y600" s="7">
        <f t="shared" si="133"/>
        <v>4269.9799999999996</v>
      </c>
      <c r="Z600" s="7">
        <f t="shared" si="134"/>
        <v>81</v>
      </c>
      <c r="AA600" s="7">
        <f t="shared" si="135"/>
        <v>2026</v>
      </c>
      <c r="AB600" s="7">
        <f t="shared" si="136"/>
        <v>8</v>
      </c>
      <c r="AC600" s="7">
        <f t="shared" si="137"/>
        <v>1</v>
      </c>
      <c r="AD600" s="7" t="str">
        <f t="shared" si="138"/>
        <v>No</v>
      </c>
      <c r="AE600" s="7" t="str">
        <f t="shared" si="139"/>
        <v>Normal</v>
      </c>
    </row>
    <row r="601" spans="1:31">
      <c r="A601" t="s">
        <v>1975</v>
      </c>
      <c r="B601">
        <v>52509142</v>
      </c>
      <c r="C601" t="s">
        <v>143</v>
      </c>
      <c r="D601" t="s">
        <v>536</v>
      </c>
      <c r="E601">
        <v>1</v>
      </c>
      <c r="G601" t="s">
        <v>121</v>
      </c>
      <c r="H601" t="s">
        <v>103</v>
      </c>
      <c r="I601" t="s">
        <v>3372</v>
      </c>
      <c r="J601">
        <v>1877.2</v>
      </c>
      <c r="K601" t="s">
        <v>47</v>
      </c>
      <c r="L601" t="s">
        <v>81</v>
      </c>
      <c r="M601" s="1">
        <v>45469.648611111108</v>
      </c>
      <c r="N601">
        <v>55</v>
      </c>
      <c r="O601" t="s">
        <v>23</v>
      </c>
      <c r="P601" t="s">
        <v>23</v>
      </c>
      <c r="Q601" t="s">
        <v>1976</v>
      </c>
      <c r="R601" t="str">
        <f t="shared" si="126"/>
        <v>Jean-Pierre Davis</v>
      </c>
      <c r="S601" t="str">
        <f t="shared" si="127"/>
        <v>Linda Silva</v>
      </c>
      <c r="T601" t="str">
        <f t="shared" si="128"/>
        <v/>
      </c>
      <c r="U601" s="7" t="str">
        <f t="shared" si="129"/>
        <v>INR</v>
      </c>
      <c r="V601" s="7" t="str">
        <f t="shared" si="130"/>
        <v>France</v>
      </c>
      <c r="W601" s="7" t="str">
        <f t="shared" si="131"/>
        <v>France</v>
      </c>
      <c r="X601" s="7" t="str">
        <f t="shared" si="132"/>
        <v>Outer-Transaction</v>
      </c>
      <c r="Y601" s="7">
        <f t="shared" si="133"/>
        <v>1877.2</v>
      </c>
      <c r="Z601" s="7">
        <f t="shared" si="134"/>
        <v>55</v>
      </c>
      <c r="AA601" s="7">
        <f t="shared" si="135"/>
        <v>2024</v>
      </c>
      <c r="AB601" s="7">
        <f t="shared" si="136"/>
        <v>6</v>
      </c>
      <c r="AC601" s="7">
        <f t="shared" si="137"/>
        <v>1</v>
      </c>
      <c r="AD601" s="7" t="str">
        <f t="shared" si="138"/>
        <v>No</v>
      </c>
      <c r="AE601" s="7" t="str">
        <f t="shared" si="139"/>
        <v>Normal</v>
      </c>
    </row>
    <row r="602" spans="1:31">
      <c r="A602" t="s">
        <v>1977</v>
      </c>
      <c r="B602">
        <v>68410653</v>
      </c>
      <c r="C602" t="s">
        <v>1978</v>
      </c>
      <c r="D602" t="s">
        <v>1979</v>
      </c>
      <c r="E602" t="s">
        <v>20</v>
      </c>
      <c r="F602" t="s">
        <v>121</v>
      </c>
      <c r="G602" t="s">
        <v>121</v>
      </c>
      <c r="I602" t="s">
        <v>3376</v>
      </c>
      <c r="J602">
        <v>11262.91</v>
      </c>
      <c r="K602" t="s">
        <v>86</v>
      </c>
      <c r="L602" t="s">
        <v>75</v>
      </c>
      <c r="M602" s="1">
        <v>45413.048611111109</v>
      </c>
      <c r="N602">
        <v>67</v>
      </c>
      <c r="O602" t="s">
        <v>93</v>
      </c>
      <c r="P602" t="s">
        <v>54</v>
      </c>
      <c r="Q602" t="s">
        <v>1980</v>
      </c>
      <c r="R602" t="str">
        <f t="shared" si="126"/>
        <v>Christopher Malik</v>
      </c>
      <c r="S602" t="str">
        <f t="shared" si="127"/>
        <v>Nancy Malik</v>
      </c>
      <c r="T602" t="str">
        <f t="shared" si="128"/>
        <v>INR</v>
      </c>
      <c r="U602" s="7" t="str">
        <f t="shared" si="129"/>
        <v>INR</v>
      </c>
      <c r="V602" s="7" t="str">
        <f t="shared" si="130"/>
        <v>USA</v>
      </c>
      <c r="W602" s="7" t="str">
        <f t="shared" si="131"/>
        <v>India</v>
      </c>
      <c r="X602" s="7" t="str">
        <f t="shared" si="132"/>
        <v>Internal</v>
      </c>
      <c r="Y602" s="7">
        <f t="shared" si="133"/>
        <v>11262.91</v>
      </c>
      <c r="Z602" s="7">
        <f t="shared" si="134"/>
        <v>67</v>
      </c>
      <c r="AA602" s="7">
        <f t="shared" si="135"/>
        <v>2024</v>
      </c>
      <c r="AB602" s="7">
        <f t="shared" si="136"/>
        <v>5</v>
      </c>
      <c r="AC602" s="7">
        <f t="shared" si="137"/>
        <v>1</v>
      </c>
      <c r="AD602" s="7" t="str">
        <f t="shared" si="138"/>
        <v>No</v>
      </c>
      <c r="AE602" s="7" t="str">
        <f t="shared" si="139"/>
        <v>High Risk</v>
      </c>
    </row>
    <row r="603" spans="1:31">
      <c r="A603" t="s">
        <v>1981</v>
      </c>
      <c r="B603">
        <v>69349666</v>
      </c>
      <c r="C603" t="s">
        <v>1130</v>
      </c>
      <c r="D603" t="s">
        <v>995</v>
      </c>
      <c r="E603" t="s">
        <v>33</v>
      </c>
      <c r="F603" t="s">
        <v>116</v>
      </c>
      <c r="G603" t="s">
        <v>22</v>
      </c>
      <c r="H603" t="s">
        <v>103</v>
      </c>
      <c r="I603" t="s">
        <v>3371</v>
      </c>
      <c r="J603">
        <v>10726.86</v>
      </c>
      <c r="K603" t="s">
        <v>47</v>
      </c>
      <c r="L603" t="s">
        <v>81</v>
      </c>
      <c r="M603" s="1">
        <v>45917.334722222222</v>
      </c>
      <c r="N603">
        <v>47</v>
      </c>
      <c r="O603" t="s">
        <v>62</v>
      </c>
      <c r="P603" t="s">
        <v>93</v>
      </c>
      <c r="Q603" t="s">
        <v>1982</v>
      </c>
      <c r="R603" t="str">
        <f t="shared" si="126"/>
        <v>Nancy Miller</v>
      </c>
      <c r="S603" t="str">
        <f t="shared" si="127"/>
        <v>Susan Jones</v>
      </c>
      <c r="T603" t="str">
        <f t="shared" si="128"/>
        <v>CHF</v>
      </c>
      <c r="U603" s="7" t="str">
        <f t="shared" si="129"/>
        <v>BRL</v>
      </c>
      <c r="V603" s="7" t="str">
        <f t="shared" si="130"/>
        <v>Australia</v>
      </c>
      <c r="W603" s="7" t="str">
        <f t="shared" si="131"/>
        <v>USA</v>
      </c>
      <c r="X603" s="7" t="str">
        <f t="shared" si="132"/>
        <v>Outer-Transaction</v>
      </c>
      <c r="Y603" s="7">
        <f t="shared" si="133"/>
        <v>10726.86</v>
      </c>
      <c r="Z603" s="7">
        <f t="shared" si="134"/>
        <v>47</v>
      </c>
      <c r="AA603" s="7">
        <f t="shared" si="135"/>
        <v>2025</v>
      </c>
      <c r="AB603" s="7">
        <f t="shared" si="136"/>
        <v>9</v>
      </c>
      <c r="AC603" s="7">
        <f t="shared" si="137"/>
        <v>1</v>
      </c>
      <c r="AD603" s="7" t="str">
        <f t="shared" si="138"/>
        <v>No</v>
      </c>
      <c r="AE603" s="7" t="str">
        <f t="shared" si="139"/>
        <v>Normal</v>
      </c>
    </row>
    <row r="604" spans="1:31">
      <c r="A604" t="s">
        <v>1983</v>
      </c>
      <c r="B604">
        <v>56329832</v>
      </c>
      <c r="C604" t="s">
        <v>326</v>
      </c>
      <c r="D604" t="s">
        <v>167</v>
      </c>
      <c r="E604" t="s">
        <v>20</v>
      </c>
      <c r="F604" t="s">
        <v>44</v>
      </c>
      <c r="G604" t="s">
        <v>92</v>
      </c>
      <c r="H604" t="s">
        <v>56</v>
      </c>
      <c r="I604" t="s">
        <v>3371</v>
      </c>
      <c r="J604">
        <v>2536.44</v>
      </c>
      <c r="K604" t="s">
        <v>27</v>
      </c>
      <c r="L604" t="s">
        <v>48</v>
      </c>
      <c r="M604" s="1">
        <v>45139.72152777778</v>
      </c>
      <c r="N604">
        <v>68</v>
      </c>
      <c r="O604" t="s">
        <v>55</v>
      </c>
      <c r="P604" t="s">
        <v>127</v>
      </c>
      <c r="Q604" t="s">
        <v>1984</v>
      </c>
      <c r="R604" t="str">
        <f t="shared" si="126"/>
        <v>Susan Gonzalez</v>
      </c>
      <c r="S604" t="str">
        <f t="shared" si="127"/>
        <v>John Thomas</v>
      </c>
      <c r="T604" t="str">
        <f t="shared" si="128"/>
        <v>SGD</v>
      </c>
      <c r="U604" s="7" t="str">
        <f t="shared" si="129"/>
        <v>AUD</v>
      </c>
      <c r="V604" s="7" t="str">
        <f t="shared" si="130"/>
        <v>UK</v>
      </c>
      <c r="W604" s="7" t="str">
        <f t="shared" si="131"/>
        <v>Canada</v>
      </c>
      <c r="X604" s="7" t="str">
        <f t="shared" si="132"/>
        <v>Outer-Transaction</v>
      </c>
      <c r="Y604" s="7">
        <f t="shared" si="133"/>
        <v>2536.44</v>
      </c>
      <c r="Z604" s="7">
        <f t="shared" si="134"/>
        <v>68</v>
      </c>
      <c r="AA604" s="7">
        <f t="shared" si="135"/>
        <v>2023</v>
      </c>
      <c r="AB604" s="7">
        <f t="shared" si="136"/>
        <v>8</v>
      </c>
      <c r="AC604" s="7">
        <f t="shared" si="137"/>
        <v>1</v>
      </c>
      <c r="AD604" s="7" t="str">
        <f t="shared" si="138"/>
        <v>No</v>
      </c>
      <c r="AE604" s="7" t="str">
        <f t="shared" si="139"/>
        <v>Normal</v>
      </c>
    </row>
    <row r="605" spans="1:31">
      <c r="A605" t="s">
        <v>1985</v>
      </c>
      <c r="B605">
        <v>43606927</v>
      </c>
      <c r="C605" t="s">
        <v>391</v>
      </c>
      <c r="D605" t="s">
        <v>1986</v>
      </c>
      <c r="E605" t="s">
        <v>20</v>
      </c>
      <c r="F605" t="s">
        <v>53</v>
      </c>
      <c r="G605" t="s">
        <v>21</v>
      </c>
      <c r="I605" t="s">
        <v>3377</v>
      </c>
      <c r="J605">
        <v>3484.92</v>
      </c>
      <c r="K605" t="s">
        <v>86</v>
      </c>
      <c r="L605" t="s">
        <v>28</v>
      </c>
      <c r="M605" s="1">
        <v>44652.592361111114</v>
      </c>
      <c r="N605">
        <v>80</v>
      </c>
      <c r="O605" t="s">
        <v>36</v>
      </c>
      <c r="P605" t="s">
        <v>127</v>
      </c>
      <c r="Q605" t="s">
        <v>1987</v>
      </c>
      <c r="R605" t="str">
        <f t="shared" si="126"/>
        <v>Robert Taylor</v>
      </c>
      <c r="S605" t="str">
        <f t="shared" si="127"/>
        <v>Priya Rodriguez</v>
      </c>
      <c r="T605" t="str">
        <f t="shared" si="128"/>
        <v>AED</v>
      </c>
      <c r="U605" s="7" t="str">
        <f t="shared" si="129"/>
        <v>GBP</v>
      </c>
      <c r="V605" s="7" t="str">
        <f t="shared" si="130"/>
        <v>Germany</v>
      </c>
      <c r="W605" s="7" t="str">
        <f t="shared" si="131"/>
        <v>Canada</v>
      </c>
      <c r="X605" s="7" t="str">
        <f t="shared" si="132"/>
        <v>Inter-Transaction</v>
      </c>
      <c r="Y605" s="7">
        <f t="shared" si="133"/>
        <v>3484.92</v>
      </c>
      <c r="Z605" s="7">
        <f t="shared" si="134"/>
        <v>80</v>
      </c>
      <c r="AA605" s="7">
        <f t="shared" si="135"/>
        <v>2022</v>
      </c>
      <c r="AB605" s="7">
        <f t="shared" si="136"/>
        <v>4</v>
      </c>
      <c r="AC605" s="7">
        <f t="shared" si="137"/>
        <v>1</v>
      </c>
      <c r="AD605" s="7" t="str">
        <f t="shared" si="138"/>
        <v>No</v>
      </c>
      <c r="AE605" s="7" t="str">
        <f t="shared" si="139"/>
        <v>Normal</v>
      </c>
    </row>
    <row r="606" spans="1:31">
      <c r="A606" t="s">
        <v>1988</v>
      </c>
      <c r="C606" t="s">
        <v>61</v>
      </c>
      <c r="D606" t="s">
        <v>1989</v>
      </c>
      <c r="E606" t="s">
        <v>3375</v>
      </c>
      <c r="F606" t="s">
        <v>21</v>
      </c>
      <c r="G606" t="s">
        <v>98</v>
      </c>
      <c r="H606" t="s">
        <v>74</v>
      </c>
      <c r="I606" t="s">
        <v>3371</v>
      </c>
      <c r="J606">
        <v>11805.76</v>
      </c>
      <c r="K606" t="s">
        <v>57</v>
      </c>
      <c r="L606" t="s">
        <v>48</v>
      </c>
      <c r="M606" s="1">
        <v>44432.074999999997</v>
      </c>
      <c r="N606">
        <v>69</v>
      </c>
      <c r="O606" t="s">
        <v>93</v>
      </c>
      <c r="P606" t="s">
        <v>23</v>
      </c>
      <c r="Q606" t="s">
        <v>1990</v>
      </c>
      <c r="R606" t="str">
        <f t="shared" si="126"/>
        <v>Robert Dubois</v>
      </c>
      <c r="S606" t="str">
        <f t="shared" si="127"/>
        <v>Patricia Rodriguez</v>
      </c>
      <c r="T606" t="str">
        <f t="shared" si="128"/>
        <v>GBP</v>
      </c>
      <c r="U606" s="7" t="str">
        <f t="shared" si="129"/>
        <v>JPY</v>
      </c>
      <c r="V606" s="7" t="str">
        <f t="shared" si="130"/>
        <v>USA</v>
      </c>
      <c r="W606" s="7" t="str">
        <f t="shared" si="131"/>
        <v>France</v>
      </c>
      <c r="X606" s="7" t="str">
        <f t="shared" si="132"/>
        <v>Outer-Transaction</v>
      </c>
      <c r="Y606" s="7">
        <f t="shared" si="133"/>
        <v>11805.76</v>
      </c>
      <c r="Z606" s="7">
        <f t="shared" si="134"/>
        <v>69</v>
      </c>
      <c r="AA606" s="7">
        <f t="shared" si="135"/>
        <v>2021</v>
      </c>
      <c r="AB606" s="7">
        <f t="shared" si="136"/>
        <v>8</v>
      </c>
      <c r="AC606" s="7">
        <f t="shared" si="137"/>
        <v>1</v>
      </c>
      <c r="AD606" s="7" t="str">
        <f t="shared" si="138"/>
        <v>No</v>
      </c>
      <c r="AE606" s="7" t="str">
        <f t="shared" si="139"/>
        <v>Normal</v>
      </c>
    </row>
    <row r="607" spans="1:31">
      <c r="A607" t="s">
        <v>1991</v>
      </c>
      <c r="B607">
        <v>27755795</v>
      </c>
      <c r="C607" t="s">
        <v>208</v>
      </c>
      <c r="D607" t="s">
        <v>1992</v>
      </c>
      <c r="E607" t="s">
        <v>20</v>
      </c>
      <c r="F607" t="s">
        <v>53</v>
      </c>
      <c r="G607" t="s">
        <v>44</v>
      </c>
      <c r="H607" t="s">
        <v>25</v>
      </c>
      <c r="I607" t="s">
        <v>3377</v>
      </c>
      <c r="J607">
        <v>14743.02</v>
      </c>
      <c r="K607" t="s">
        <v>47</v>
      </c>
      <c r="L607" t="s">
        <v>28</v>
      </c>
      <c r="M607" s="1">
        <v>45451.895833333336</v>
      </c>
      <c r="N607">
        <v>55</v>
      </c>
      <c r="O607" t="s">
        <v>127</v>
      </c>
      <c r="P607" t="s">
        <v>24</v>
      </c>
      <c r="Q607" t="s">
        <v>1993</v>
      </c>
      <c r="R607" t="str">
        <f t="shared" si="126"/>
        <v>Elizabeth Malik</v>
      </c>
      <c r="S607" t="str">
        <f t="shared" si="127"/>
        <v>Nancy Khan</v>
      </c>
      <c r="T607" t="str">
        <f t="shared" si="128"/>
        <v>AED</v>
      </c>
      <c r="U607" s="7" t="str">
        <f t="shared" si="129"/>
        <v>SGD</v>
      </c>
      <c r="V607" s="7" t="str">
        <f t="shared" si="130"/>
        <v>Canada</v>
      </c>
      <c r="W607" s="7" t="str">
        <f t="shared" si="131"/>
        <v>Brazil</v>
      </c>
      <c r="X607" s="7" t="str">
        <f t="shared" si="132"/>
        <v>Inter-Transaction</v>
      </c>
      <c r="Y607" s="7">
        <f t="shared" si="133"/>
        <v>14743.02</v>
      </c>
      <c r="Z607" s="7">
        <f t="shared" si="134"/>
        <v>55</v>
      </c>
      <c r="AA607" s="7">
        <f t="shared" si="135"/>
        <v>2024</v>
      </c>
      <c r="AB607" s="7">
        <f t="shared" si="136"/>
        <v>6</v>
      </c>
      <c r="AC607" s="7">
        <f t="shared" si="137"/>
        <v>1</v>
      </c>
      <c r="AD607" s="7" t="str">
        <f t="shared" si="138"/>
        <v>No</v>
      </c>
      <c r="AE607" s="7" t="str">
        <f t="shared" si="139"/>
        <v>Normal</v>
      </c>
    </row>
    <row r="608" spans="1:31">
      <c r="A608" t="s">
        <v>1994</v>
      </c>
      <c r="B608">
        <v>96886282</v>
      </c>
      <c r="C608" t="s">
        <v>517</v>
      </c>
      <c r="D608" t="s">
        <v>1995</v>
      </c>
      <c r="E608" t="s">
        <v>20</v>
      </c>
      <c r="F608" t="s">
        <v>22</v>
      </c>
      <c r="H608" t="s">
        <v>25</v>
      </c>
      <c r="I608" t="s">
        <v>3371</v>
      </c>
      <c r="J608">
        <v>1110.52</v>
      </c>
      <c r="K608" t="s">
        <v>57</v>
      </c>
      <c r="L608" t="s">
        <v>75</v>
      </c>
      <c r="M608" s="1">
        <v>44615.320138888892</v>
      </c>
      <c r="N608">
        <v>47</v>
      </c>
      <c r="O608" t="s">
        <v>55</v>
      </c>
      <c r="P608" t="s">
        <v>54</v>
      </c>
      <c r="Q608" t="s">
        <v>1996</v>
      </c>
      <c r="R608" t="str">
        <f t="shared" si="126"/>
        <v>Charles Lopez</v>
      </c>
      <c r="S608" t="str">
        <f t="shared" si="127"/>
        <v>Lucas Martin</v>
      </c>
      <c r="T608" t="str">
        <f t="shared" si="128"/>
        <v>BRL</v>
      </c>
      <c r="U608" s="7" t="str">
        <f t="shared" si="129"/>
        <v/>
      </c>
      <c r="V608" s="7" t="str">
        <f t="shared" si="130"/>
        <v>UK</v>
      </c>
      <c r="W608" s="7" t="str">
        <f t="shared" si="131"/>
        <v>India</v>
      </c>
      <c r="X608" s="7" t="str">
        <f t="shared" si="132"/>
        <v>Outer-Transaction</v>
      </c>
      <c r="Y608" s="7">
        <f t="shared" si="133"/>
        <v>1110.52</v>
      </c>
      <c r="Z608" s="7">
        <f t="shared" si="134"/>
        <v>47</v>
      </c>
      <c r="AA608" s="7">
        <f t="shared" si="135"/>
        <v>2022</v>
      </c>
      <c r="AB608" s="7">
        <f t="shared" si="136"/>
        <v>2</v>
      </c>
      <c r="AC608" s="7">
        <f t="shared" si="137"/>
        <v>1</v>
      </c>
      <c r="AD608" s="7" t="str">
        <f t="shared" si="138"/>
        <v>No</v>
      </c>
      <c r="AE608" s="7" t="str">
        <f t="shared" si="139"/>
        <v>High Risk</v>
      </c>
    </row>
    <row r="609" spans="1:31">
      <c r="A609" t="s">
        <v>1997</v>
      </c>
      <c r="B609">
        <v>68456858</v>
      </c>
      <c r="C609" t="s">
        <v>1998</v>
      </c>
      <c r="D609" t="s">
        <v>1205</v>
      </c>
      <c r="E609" t="s">
        <v>20</v>
      </c>
      <c r="F609" t="s">
        <v>116</v>
      </c>
      <c r="G609" t="s">
        <v>22</v>
      </c>
      <c r="H609" t="s">
        <v>56</v>
      </c>
      <c r="I609" t="s">
        <v>3378</v>
      </c>
      <c r="J609">
        <v>7306.77</v>
      </c>
      <c r="K609" t="s">
        <v>39</v>
      </c>
      <c r="L609" t="s">
        <v>81</v>
      </c>
      <c r="M609" s="1">
        <v>45042.728472222225</v>
      </c>
      <c r="N609">
        <v>68</v>
      </c>
      <c r="O609" t="s">
        <v>93</v>
      </c>
      <c r="P609" t="s">
        <v>62</v>
      </c>
      <c r="Q609" t="s">
        <v>1999</v>
      </c>
      <c r="R609" t="str">
        <f t="shared" si="126"/>
        <v>Jean-Pierre Nair</v>
      </c>
      <c r="S609" t="str">
        <f t="shared" si="127"/>
        <v>Jean-Pierre Jones</v>
      </c>
      <c r="T609" t="str">
        <f t="shared" si="128"/>
        <v>CHF</v>
      </c>
      <c r="U609" s="7" t="str">
        <f t="shared" si="129"/>
        <v>BRL</v>
      </c>
      <c r="V609" s="7" t="str">
        <f t="shared" si="130"/>
        <v>USA</v>
      </c>
      <c r="W609" s="7" t="str">
        <f t="shared" si="131"/>
        <v>Australia</v>
      </c>
      <c r="X609" s="7" t="str">
        <f t="shared" si="132"/>
        <v>Inter-Transaction</v>
      </c>
      <c r="Y609" s="7">
        <f t="shared" si="133"/>
        <v>7306.77</v>
      </c>
      <c r="Z609" s="7">
        <f t="shared" si="134"/>
        <v>68</v>
      </c>
      <c r="AA609" s="7">
        <f t="shared" si="135"/>
        <v>2023</v>
      </c>
      <c r="AB609" s="7">
        <f t="shared" si="136"/>
        <v>4</v>
      </c>
      <c r="AC609" s="7">
        <f t="shared" si="137"/>
        <v>1</v>
      </c>
      <c r="AD609" s="7" t="str">
        <f t="shared" si="138"/>
        <v>No</v>
      </c>
      <c r="AE609" s="7" t="str">
        <f t="shared" si="139"/>
        <v>Normal</v>
      </c>
    </row>
    <row r="610" spans="1:31">
      <c r="A610" t="s">
        <v>2000</v>
      </c>
      <c r="B610">
        <v>60202214</v>
      </c>
      <c r="C610" t="s">
        <v>282</v>
      </c>
      <c r="D610" t="s">
        <v>2001</v>
      </c>
      <c r="E610" t="s">
        <v>20</v>
      </c>
      <c r="F610" t="s">
        <v>180</v>
      </c>
      <c r="G610" t="s">
        <v>92</v>
      </c>
      <c r="H610" t="s">
        <v>56</v>
      </c>
      <c r="I610" t="s">
        <v>3377</v>
      </c>
      <c r="J610">
        <v>5293.71</v>
      </c>
      <c r="K610" t="s">
        <v>47</v>
      </c>
      <c r="L610" t="s">
        <v>75</v>
      </c>
      <c r="M610" s="1">
        <v>44501.754861111112</v>
      </c>
      <c r="N610">
        <v>22</v>
      </c>
      <c r="O610" t="s">
        <v>62</v>
      </c>
      <c r="P610" t="s">
        <v>23</v>
      </c>
      <c r="Q610" t="s">
        <v>2002</v>
      </c>
      <c r="R610" t="str">
        <f t="shared" si="126"/>
        <v>Mary Lopez</v>
      </c>
      <c r="S610" t="str">
        <f t="shared" si="127"/>
        <v xml:space="preserve"> Thomas Souza   </v>
      </c>
      <c r="T610" t="str">
        <f t="shared" si="128"/>
        <v>zar</v>
      </c>
      <c r="U610" s="7" t="str">
        <f t="shared" si="129"/>
        <v>AUD</v>
      </c>
      <c r="V610" s="7" t="str">
        <f t="shared" si="130"/>
        <v>Australia</v>
      </c>
      <c r="W610" s="7" t="str">
        <f t="shared" si="131"/>
        <v>France</v>
      </c>
      <c r="X610" s="7" t="str">
        <f t="shared" si="132"/>
        <v>Inter-Transaction</v>
      </c>
      <c r="Y610" s="7">
        <f t="shared" si="133"/>
        <v>5293.71</v>
      </c>
      <c r="Z610" s="7">
        <f t="shared" si="134"/>
        <v>22</v>
      </c>
      <c r="AA610" s="7">
        <f t="shared" si="135"/>
        <v>2021</v>
      </c>
      <c r="AB610" s="7">
        <f t="shared" si="136"/>
        <v>11</v>
      </c>
      <c r="AC610" s="7">
        <f t="shared" si="137"/>
        <v>1</v>
      </c>
      <c r="AD610" s="7" t="str">
        <f t="shared" si="138"/>
        <v>No</v>
      </c>
      <c r="AE610" s="7" t="str">
        <f t="shared" si="139"/>
        <v>High Risk</v>
      </c>
    </row>
    <row r="611" spans="1:31">
      <c r="A611" t="s">
        <v>2003</v>
      </c>
      <c r="B611">
        <v>79939654</v>
      </c>
      <c r="C611" t="s">
        <v>693</v>
      </c>
      <c r="D611" t="s">
        <v>2004</v>
      </c>
      <c r="E611" t="s">
        <v>20</v>
      </c>
      <c r="F611" t="s">
        <v>116</v>
      </c>
      <c r="G611" t="s">
        <v>44</v>
      </c>
      <c r="H611" t="s">
        <v>56</v>
      </c>
      <c r="I611" t="s">
        <v>3372</v>
      </c>
      <c r="J611">
        <v>6506.79</v>
      </c>
      <c r="K611" t="s">
        <v>27</v>
      </c>
      <c r="L611" t="s">
        <v>28</v>
      </c>
      <c r="M611" s="1">
        <v>45097.3125</v>
      </c>
      <c r="N611">
        <v>46</v>
      </c>
      <c r="O611" t="s">
        <v>36</v>
      </c>
      <c r="P611" t="s">
        <v>24</v>
      </c>
      <c r="Q611" t="s">
        <v>2005</v>
      </c>
      <c r="R611" t="str">
        <f t="shared" si="126"/>
        <v>Susan Smith</v>
      </c>
      <c r="S611" t="str">
        <f t="shared" si="127"/>
        <v>Thomas Gonzalez</v>
      </c>
      <c r="T611" t="str">
        <f t="shared" si="128"/>
        <v>CHF</v>
      </c>
      <c r="U611" s="7" t="str">
        <f t="shared" si="129"/>
        <v>SGD</v>
      </c>
      <c r="V611" s="7" t="str">
        <f t="shared" si="130"/>
        <v>Germany</v>
      </c>
      <c r="W611" s="7" t="str">
        <f t="shared" si="131"/>
        <v>Brazil</v>
      </c>
      <c r="X611" s="7" t="str">
        <f t="shared" si="132"/>
        <v>Outer-Transaction</v>
      </c>
      <c r="Y611" s="7">
        <f t="shared" si="133"/>
        <v>6506.79</v>
      </c>
      <c r="Z611" s="7">
        <f t="shared" si="134"/>
        <v>46</v>
      </c>
      <c r="AA611" s="7">
        <f t="shared" si="135"/>
        <v>2023</v>
      </c>
      <c r="AB611" s="7">
        <f t="shared" si="136"/>
        <v>6</v>
      </c>
      <c r="AC611" s="7">
        <f t="shared" si="137"/>
        <v>1</v>
      </c>
      <c r="AD611" s="7" t="str">
        <f t="shared" si="138"/>
        <v>No</v>
      </c>
      <c r="AE611" s="7" t="str">
        <f t="shared" si="139"/>
        <v>Normal</v>
      </c>
    </row>
    <row r="612" spans="1:31">
      <c r="A612" t="s">
        <v>2006</v>
      </c>
      <c r="B612">
        <v>29087269</v>
      </c>
      <c r="C612" t="s">
        <v>2007</v>
      </c>
      <c r="D612" t="s">
        <v>2008</v>
      </c>
      <c r="E612" t="s">
        <v>20</v>
      </c>
      <c r="F612" t="s">
        <v>53</v>
      </c>
      <c r="G612" t="s">
        <v>160</v>
      </c>
      <c r="H612" t="s">
        <v>74</v>
      </c>
      <c r="I612" t="s">
        <v>3372</v>
      </c>
      <c r="J612">
        <v>11994.08</v>
      </c>
      <c r="K612" t="s">
        <v>47</v>
      </c>
      <c r="L612" t="s">
        <v>81</v>
      </c>
      <c r="M612" s="1">
        <v>44927.084722222222</v>
      </c>
      <c r="N612">
        <v>21</v>
      </c>
      <c r="O612" t="s">
        <v>93</v>
      </c>
      <c r="P612" t="s">
        <v>54</v>
      </c>
      <c r="Q612" t="s">
        <v>2009</v>
      </c>
      <c r="R612" t="str">
        <f t="shared" si="126"/>
        <v>Jean-Pierre Souza</v>
      </c>
      <c r="S612" t="str">
        <f t="shared" si="127"/>
        <v>William Williams</v>
      </c>
      <c r="T612" t="str">
        <f t="shared" si="128"/>
        <v>AED</v>
      </c>
      <c r="U612" s="7" t="str">
        <f t="shared" si="129"/>
        <v>aud</v>
      </c>
      <c r="V612" s="7" t="str">
        <f t="shared" si="130"/>
        <v>USA</v>
      </c>
      <c r="W612" s="7" t="str">
        <f t="shared" si="131"/>
        <v>India</v>
      </c>
      <c r="X612" s="7" t="str">
        <f t="shared" si="132"/>
        <v>Outer-Transaction</v>
      </c>
      <c r="Y612" s="7">
        <f t="shared" si="133"/>
        <v>11994.08</v>
      </c>
      <c r="Z612" s="7">
        <f t="shared" si="134"/>
        <v>21</v>
      </c>
      <c r="AA612" s="7">
        <f t="shared" si="135"/>
        <v>2023</v>
      </c>
      <c r="AB612" s="7">
        <f t="shared" si="136"/>
        <v>1</v>
      </c>
      <c r="AC612" s="7">
        <f t="shared" si="137"/>
        <v>1</v>
      </c>
      <c r="AD612" s="7" t="str">
        <f t="shared" si="138"/>
        <v>No</v>
      </c>
      <c r="AE612" s="7" t="str">
        <f t="shared" si="139"/>
        <v>Normal</v>
      </c>
    </row>
    <row r="613" spans="1:31">
      <c r="A613" t="s">
        <v>2010</v>
      </c>
      <c r="B613">
        <v>32226983</v>
      </c>
      <c r="C613" t="s">
        <v>1242</v>
      </c>
      <c r="D613" t="s">
        <v>745</v>
      </c>
      <c r="E613" t="s">
        <v>20</v>
      </c>
      <c r="F613" t="s">
        <v>44</v>
      </c>
      <c r="G613" t="s">
        <v>34</v>
      </c>
      <c r="H613" t="s">
        <v>38</v>
      </c>
      <c r="I613" t="s">
        <v>3376</v>
      </c>
      <c r="J613">
        <v>13338.66</v>
      </c>
      <c r="K613" t="s">
        <v>57</v>
      </c>
      <c r="L613" t="s">
        <v>75</v>
      </c>
      <c r="M613" s="1">
        <v>46357.472916666666</v>
      </c>
      <c r="N613">
        <v>27</v>
      </c>
      <c r="O613" t="s">
        <v>54</v>
      </c>
      <c r="P613" t="s">
        <v>93</v>
      </c>
      <c r="Q613" t="s">
        <v>2011</v>
      </c>
      <c r="R613" t="str">
        <f t="shared" si="126"/>
        <v>Priya Velez</v>
      </c>
      <c r="S613" t="str">
        <f t="shared" si="127"/>
        <v>Sarah Brown</v>
      </c>
      <c r="T613" t="str">
        <f t="shared" si="128"/>
        <v>SGD</v>
      </c>
      <c r="U613" s="7" t="str">
        <f t="shared" si="129"/>
        <v>CAD</v>
      </c>
      <c r="V613" s="7" t="str">
        <f t="shared" si="130"/>
        <v>India</v>
      </c>
      <c r="W613" s="7" t="str">
        <f t="shared" si="131"/>
        <v>USA</v>
      </c>
      <c r="X613" s="7" t="str">
        <f t="shared" si="132"/>
        <v>Internal</v>
      </c>
      <c r="Y613" s="7">
        <f t="shared" si="133"/>
        <v>13338.66</v>
      </c>
      <c r="Z613" s="7">
        <f t="shared" si="134"/>
        <v>27</v>
      </c>
      <c r="AA613" s="7">
        <f t="shared" si="135"/>
        <v>2026</v>
      </c>
      <c r="AB613" s="7">
        <f t="shared" si="136"/>
        <v>12</v>
      </c>
      <c r="AC613" s="7">
        <f t="shared" si="137"/>
        <v>1</v>
      </c>
      <c r="AD613" s="7" t="str">
        <f t="shared" si="138"/>
        <v>No</v>
      </c>
      <c r="AE613" s="7" t="str">
        <f t="shared" si="139"/>
        <v>High Risk</v>
      </c>
    </row>
    <row r="614" spans="1:31">
      <c r="A614" t="s">
        <v>2012</v>
      </c>
      <c r="B614">
        <v>12983015</v>
      </c>
      <c r="C614" t="s">
        <v>1346</v>
      </c>
      <c r="D614" t="s">
        <v>1483</v>
      </c>
      <c r="E614">
        <v>0</v>
      </c>
      <c r="F614" t="s">
        <v>53</v>
      </c>
      <c r="G614" t="s">
        <v>686</v>
      </c>
      <c r="H614" t="s">
        <v>103</v>
      </c>
      <c r="I614" t="s">
        <v>3377</v>
      </c>
      <c r="J614">
        <v>12362.79</v>
      </c>
      <c r="K614" t="s">
        <v>27</v>
      </c>
      <c r="L614" t="s">
        <v>48</v>
      </c>
      <c r="M614" s="1">
        <v>45828.690972222219</v>
      </c>
      <c r="N614">
        <v>73</v>
      </c>
      <c r="O614" t="s">
        <v>36</v>
      </c>
      <c r="P614" t="s">
        <v>37</v>
      </c>
      <c r="Q614" t="s">
        <v>2013</v>
      </c>
      <c r="R614" t="str">
        <f t="shared" si="126"/>
        <v>Jessica Thomas</v>
      </c>
      <c r="S614" t="str">
        <f t="shared" si="127"/>
        <v>David Hernandez</v>
      </c>
      <c r="T614" t="str">
        <f t="shared" si="128"/>
        <v>AED</v>
      </c>
      <c r="U614" s="7" t="str">
        <f t="shared" si="129"/>
        <v>sgd</v>
      </c>
      <c r="V614" s="7" t="str">
        <f t="shared" si="130"/>
        <v>Germany</v>
      </c>
      <c r="W614" s="7" t="str">
        <f t="shared" si="131"/>
        <v>South Africa</v>
      </c>
      <c r="X614" s="7" t="str">
        <f t="shared" si="132"/>
        <v>Inter-Transaction</v>
      </c>
      <c r="Y614" s="7">
        <f t="shared" si="133"/>
        <v>12362.79</v>
      </c>
      <c r="Z614" s="7">
        <f t="shared" si="134"/>
        <v>73</v>
      </c>
      <c r="AA614" s="7">
        <f t="shared" si="135"/>
        <v>2025</v>
      </c>
      <c r="AB614" s="7">
        <f t="shared" si="136"/>
        <v>6</v>
      </c>
      <c r="AC614" s="7">
        <f t="shared" si="137"/>
        <v>1</v>
      </c>
      <c r="AD614" s="7" t="str">
        <f t="shared" si="138"/>
        <v>No</v>
      </c>
      <c r="AE614" s="7" t="str">
        <f t="shared" si="139"/>
        <v>Normal</v>
      </c>
    </row>
    <row r="615" spans="1:31">
      <c r="A615" t="s">
        <v>2014</v>
      </c>
      <c r="B615">
        <v>86044123</v>
      </c>
      <c r="C615" t="s">
        <v>661</v>
      </c>
      <c r="D615" t="s">
        <v>2015</v>
      </c>
      <c r="E615" t="s">
        <v>20</v>
      </c>
      <c r="F615" t="s">
        <v>686</v>
      </c>
      <c r="G615" t="s">
        <v>45</v>
      </c>
      <c r="H615" t="s">
        <v>74</v>
      </c>
      <c r="I615" t="s">
        <v>3372</v>
      </c>
      <c r="J615">
        <v>7102.88</v>
      </c>
      <c r="K615" t="s">
        <v>86</v>
      </c>
      <c r="L615" t="s">
        <v>75</v>
      </c>
      <c r="M615" s="1">
        <v>43931.675694444442</v>
      </c>
      <c r="N615">
        <v>34</v>
      </c>
      <c r="O615" t="s">
        <v>127</v>
      </c>
      <c r="P615" t="s">
        <v>62</v>
      </c>
      <c r="Q615" t="s">
        <v>2016</v>
      </c>
      <c r="R615" t="str">
        <f t="shared" si="126"/>
        <v>Richard Martinez</v>
      </c>
      <c r="S615" t="str">
        <f t="shared" si="127"/>
        <v>Robert Davis</v>
      </c>
      <c r="T615" t="str">
        <f t="shared" si="128"/>
        <v>sgd</v>
      </c>
      <c r="U615" s="7" t="str">
        <f t="shared" si="129"/>
        <v>ZAR</v>
      </c>
      <c r="V615" s="7" t="str">
        <f t="shared" si="130"/>
        <v>Canada</v>
      </c>
      <c r="W615" s="7" t="str">
        <f t="shared" si="131"/>
        <v>Australia</v>
      </c>
      <c r="X615" s="7" t="str">
        <f t="shared" si="132"/>
        <v>Outer-Transaction</v>
      </c>
      <c r="Y615" s="7">
        <f t="shared" si="133"/>
        <v>7102.88</v>
      </c>
      <c r="Z615" s="7">
        <f t="shared" si="134"/>
        <v>34</v>
      </c>
      <c r="AA615" s="7">
        <f t="shared" si="135"/>
        <v>2020</v>
      </c>
      <c r="AB615" s="7">
        <f t="shared" si="136"/>
        <v>4</v>
      </c>
      <c r="AC615" s="7">
        <f t="shared" si="137"/>
        <v>1</v>
      </c>
      <c r="AD615" s="7" t="str">
        <f t="shared" si="138"/>
        <v>No</v>
      </c>
      <c r="AE615" s="7" t="str">
        <f t="shared" si="139"/>
        <v>High Risk</v>
      </c>
    </row>
    <row r="616" spans="1:31">
      <c r="A616" t="s">
        <v>2017</v>
      </c>
      <c r="B616">
        <v>41556108</v>
      </c>
      <c r="C616" t="s">
        <v>409</v>
      </c>
      <c r="D616" t="s">
        <v>449</v>
      </c>
      <c r="E616" t="s">
        <v>20</v>
      </c>
      <c r="F616" t="s">
        <v>21</v>
      </c>
      <c r="G616" t="s">
        <v>116</v>
      </c>
      <c r="H616" t="s">
        <v>25</v>
      </c>
      <c r="I616" t="s">
        <v>3371</v>
      </c>
      <c r="J616">
        <v>8110.15</v>
      </c>
      <c r="K616" t="s">
        <v>39</v>
      </c>
      <c r="L616" t="s">
        <v>28</v>
      </c>
      <c r="M616" s="1">
        <v>45610.755555555559</v>
      </c>
      <c r="N616">
        <v>34</v>
      </c>
      <c r="O616" t="s">
        <v>62</v>
      </c>
      <c r="P616" t="s">
        <v>68</v>
      </c>
      <c r="Q616" t="s">
        <v>2018</v>
      </c>
      <c r="R616" t="str">
        <f t="shared" si="126"/>
        <v>Barbara Davis</v>
      </c>
      <c r="S616" t="str">
        <f t="shared" si="127"/>
        <v>Nancy Silva</v>
      </c>
      <c r="T616" t="str">
        <f t="shared" si="128"/>
        <v>GBP</v>
      </c>
      <c r="U616" s="7" t="str">
        <f t="shared" si="129"/>
        <v>CHF</v>
      </c>
      <c r="V616" s="7" t="str">
        <f t="shared" si="130"/>
        <v>Australia</v>
      </c>
      <c r="W616" s="7" t="str">
        <f t="shared" si="131"/>
        <v>UAE</v>
      </c>
      <c r="X616" s="7" t="str">
        <f t="shared" si="132"/>
        <v>Outer-Transaction</v>
      </c>
      <c r="Y616" s="7">
        <f t="shared" si="133"/>
        <v>8110.15</v>
      </c>
      <c r="Z616" s="7">
        <f t="shared" si="134"/>
        <v>34</v>
      </c>
      <c r="AA616" s="7">
        <f t="shared" si="135"/>
        <v>2024</v>
      </c>
      <c r="AB616" s="7">
        <f t="shared" si="136"/>
        <v>11</v>
      </c>
      <c r="AC616" s="7">
        <f t="shared" si="137"/>
        <v>1</v>
      </c>
      <c r="AD616" s="7" t="str">
        <f t="shared" si="138"/>
        <v>No</v>
      </c>
      <c r="AE616" s="7" t="str">
        <f t="shared" si="139"/>
        <v>Normal</v>
      </c>
    </row>
    <row r="617" spans="1:31">
      <c r="A617" t="s">
        <v>2019</v>
      </c>
      <c r="B617">
        <v>57949350</v>
      </c>
      <c r="C617" t="s">
        <v>2020</v>
      </c>
      <c r="D617" t="s">
        <v>2021</v>
      </c>
      <c r="E617" t="s">
        <v>20</v>
      </c>
      <c r="F617" t="s">
        <v>53</v>
      </c>
      <c r="G617" t="s">
        <v>34</v>
      </c>
      <c r="H617" t="s">
        <v>74</v>
      </c>
      <c r="I617" t="s">
        <v>3371</v>
      </c>
      <c r="J617">
        <v>13456.87</v>
      </c>
      <c r="K617" t="s">
        <v>39</v>
      </c>
      <c r="L617" t="s">
        <v>28</v>
      </c>
      <c r="M617" s="1">
        <v>44006.84097222222</v>
      </c>
      <c r="N617">
        <v>51</v>
      </c>
      <c r="O617" t="s">
        <v>23</v>
      </c>
      <c r="P617" t="s">
        <v>127</v>
      </c>
      <c r="Q617" t="s">
        <v>2022</v>
      </c>
      <c r="R617" t="str">
        <f t="shared" si="126"/>
        <v>MARTA JACKSON</v>
      </c>
      <c r="S617" t="str">
        <f t="shared" si="127"/>
        <v xml:space="preserve"> Robert Johnson   </v>
      </c>
      <c r="T617" t="str">
        <f t="shared" si="128"/>
        <v>AED</v>
      </c>
      <c r="U617" s="7" t="str">
        <f t="shared" si="129"/>
        <v>CAD</v>
      </c>
      <c r="V617" s="7" t="str">
        <f t="shared" si="130"/>
        <v>France</v>
      </c>
      <c r="W617" s="7" t="str">
        <f t="shared" si="131"/>
        <v>Canada</v>
      </c>
      <c r="X617" s="7" t="str">
        <f t="shared" si="132"/>
        <v>Outer-Transaction</v>
      </c>
      <c r="Y617" s="7">
        <f t="shared" si="133"/>
        <v>13456.87</v>
      </c>
      <c r="Z617" s="7">
        <f t="shared" si="134"/>
        <v>51</v>
      </c>
      <c r="AA617" s="7">
        <f t="shared" si="135"/>
        <v>2020</v>
      </c>
      <c r="AB617" s="7">
        <f t="shared" si="136"/>
        <v>6</v>
      </c>
      <c r="AC617" s="7">
        <f t="shared" si="137"/>
        <v>1</v>
      </c>
      <c r="AD617" s="7" t="str">
        <f t="shared" si="138"/>
        <v>No</v>
      </c>
      <c r="AE617" s="7" t="str">
        <f t="shared" si="139"/>
        <v>Normal</v>
      </c>
    </row>
    <row r="618" spans="1:31">
      <c r="A618" t="s">
        <v>2023</v>
      </c>
      <c r="B618">
        <v>44894223</v>
      </c>
      <c r="C618" t="s">
        <v>2024</v>
      </c>
      <c r="D618" t="s">
        <v>818</v>
      </c>
      <c r="E618" t="s">
        <v>20</v>
      </c>
      <c r="F618" t="s">
        <v>44</v>
      </c>
      <c r="G618" t="s">
        <v>116</v>
      </c>
      <c r="H618" t="s">
        <v>56</v>
      </c>
      <c r="I618" t="s">
        <v>3372</v>
      </c>
      <c r="J618">
        <v>5387.69</v>
      </c>
      <c r="K618" t="s">
        <v>27</v>
      </c>
      <c r="L618" t="s">
        <v>75</v>
      </c>
      <c r="M618" s="1">
        <v>44068.188194444447</v>
      </c>
      <c r="N618">
        <v>23</v>
      </c>
      <c r="O618" t="s">
        <v>68</v>
      </c>
      <c r="P618" t="s">
        <v>55</v>
      </c>
      <c r="Q618" t="s">
        <v>2025</v>
      </c>
      <c r="R618" t="str">
        <f t="shared" si="126"/>
        <v>Linda Nair</v>
      </c>
      <c r="S618" t="str">
        <f t="shared" si="127"/>
        <v>Jean-Pierre Rostova</v>
      </c>
      <c r="T618" t="str">
        <f t="shared" si="128"/>
        <v>SGD</v>
      </c>
      <c r="U618" s="7" t="str">
        <f t="shared" si="129"/>
        <v>CHF</v>
      </c>
      <c r="V618" s="7" t="str">
        <f t="shared" si="130"/>
        <v>UAE</v>
      </c>
      <c r="W618" s="7" t="str">
        <f t="shared" si="131"/>
        <v>UK</v>
      </c>
      <c r="X618" s="7" t="str">
        <f t="shared" si="132"/>
        <v>Outer-Transaction</v>
      </c>
      <c r="Y618" s="7">
        <f t="shared" si="133"/>
        <v>5387.69</v>
      </c>
      <c r="Z618" s="7">
        <f t="shared" si="134"/>
        <v>23</v>
      </c>
      <c r="AA618" s="7">
        <f t="shared" si="135"/>
        <v>2020</v>
      </c>
      <c r="AB618" s="7">
        <f t="shared" si="136"/>
        <v>8</v>
      </c>
      <c r="AC618" s="7">
        <f t="shared" si="137"/>
        <v>1</v>
      </c>
      <c r="AD618" s="7" t="str">
        <f t="shared" si="138"/>
        <v>No</v>
      </c>
      <c r="AE618" s="7" t="str">
        <f t="shared" si="139"/>
        <v>High Risk</v>
      </c>
    </row>
    <row r="619" spans="1:31">
      <c r="A619" t="s">
        <v>2026</v>
      </c>
      <c r="B619">
        <v>38259178</v>
      </c>
      <c r="C619" t="s">
        <v>1619</v>
      </c>
      <c r="D619" t="s">
        <v>460</v>
      </c>
      <c r="E619" t="s">
        <v>20</v>
      </c>
      <c r="F619" t="s">
        <v>35</v>
      </c>
      <c r="G619" t="s">
        <v>80</v>
      </c>
      <c r="H619" t="s">
        <v>25</v>
      </c>
      <c r="I619" t="s">
        <v>3378</v>
      </c>
      <c r="J619">
        <v>11557.8</v>
      </c>
      <c r="K619" t="s">
        <v>57</v>
      </c>
      <c r="L619" t="s">
        <v>48</v>
      </c>
      <c r="M619" s="1">
        <v>44953.429861111108</v>
      </c>
      <c r="N619">
        <v>70</v>
      </c>
      <c r="O619" t="s">
        <v>68</v>
      </c>
      <c r="P619" t="s">
        <v>93</v>
      </c>
      <c r="Q619" t="s">
        <v>2027</v>
      </c>
      <c r="R619" t="str">
        <f t="shared" si="126"/>
        <v>Elizabeth Anderson</v>
      </c>
      <c r="S619" t="str">
        <f t="shared" si="127"/>
        <v>Michael Rostova</v>
      </c>
      <c r="T619" t="str">
        <f t="shared" si="128"/>
        <v>EUR</v>
      </c>
      <c r="U619" s="7" t="str">
        <f t="shared" si="129"/>
        <v>USD</v>
      </c>
      <c r="V619" s="7" t="str">
        <f t="shared" si="130"/>
        <v>UAE</v>
      </c>
      <c r="W619" s="7" t="str">
        <f t="shared" si="131"/>
        <v>USA</v>
      </c>
      <c r="X619" s="7" t="str">
        <f t="shared" si="132"/>
        <v>Inter-Transaction</v>
      </c>
      <c r="Y619" s="7">
        <f t="shared" si="133"/>
        <v>11557.8</v>
      </c>
      <c r="Z619" s="7">
        <f t="shared" si="134"/>
        <v>70</v>
      </c>
      <c r="AA619" s="7">
        <f t="shared" si="135"/>
        <v>2023</v>
      </c>
      <c r="AB619" s="7">
        <f t="shared" si="136"/>
        <v>1</v>
      </c>
      <c r="AC619" s="7">
        <f t="shared" si="137"/>
        <v>1</v>
      </c>
      <c r="AD619" s="7" t="str">
        <f t="shared" si="138"/>
        <v>No</v>
      </c>
      <c r="AE619" s="7" t="str">
        <f t="shared" si="139"/>
        <v>Normal</v>
      </c>
    </row>
    <row r="620" spans="1:31">
      <c r="A620" t="s">
        <v>2028</v>
      </c>
      <c r="B620">
        <v>38155104</v>
      </c>
      <c r="C620" t="s">
        <v>1380</v>
      </c>
      <c r="D620" t="s">
        <v>2029</v>
      </c>
      <c r="E620" t="s">
        <v>20</v>
      </c>
      <c r="F620" t="s">
        <v>92</v>
      </c>
      <c r="G620" t="s">
        <v>121</v>
      </c>
      <c r="H620" t="s">
        <v>56</v>
      </c>
      <c r="I620" t="s">
        <v>3372</v>
      </c>
      <c r="J620">
        <v>9878.36</v>
      </c>
      <c r="K620" t="s">
        <v>39</v>
      </c>
      <c r="L620" t="s">
        <v>75</v>
      </c>
      <c r="M620" s="1">
        <v>45808.119444444441</v>
      </c>
      <c r="N620">
        <v>83</v>
      </c>
      <c r="O620" t="s">
        <v>68</v>
      </c>
      <c r="P620" t="s">
        <v>127</v>
      </c>
      <c r="Q620" t="s">
        <v>2030</v>
      </c>
      <c r="R620" t="str">
        <f t="shared" si="126"/>
        <v>Carlos Thomas</v>
      </c>
      <c r="S620" t="str">
        <f t="shared" si="127"/>
        <v>Sanjay Johnson</v>
      </c>
      <c r="T620" t="str">
        <f t="shared" si="128"/>
        <v>AUD</v>
      </c>
      <c r="U620" s="7" t="str">
        <f t="shared" si="129"/>
        <v>INR</v>
      </c>
      <c r="V620" s="7" t="str">
        <f t="shared" si="130"/>
        <v>UAE</v>
      </c>
      <c r="W620" s="7" t="str">
        <f t="shared" si="131"/>
        <v>Canada</v>
      </c>
      <c r="X620" s="7" t="str">
        <f t="shared" si="132"/>
        <v>Outer-Transaction</v>
      </c>
      <c r="Y620" s="7">
        <f t="shared" si="133"/>
        <v>9878.36</v>
      </c>
      <c r="Z620" s="7">
        <f t="shared" si="134"/>
        <v>83</v>
      </c>
      <c r="AA620" s="7">
        <f t="shared" si="135"/>
        <v>2025</v>
      </c>
      <c r="AB620" s="7">
        <f t="shared" si="136"/>
        <v>5</v>
      </c>
      <c r="AC620" s="7">
        <f t="shared" si="137"/>
        <v>1</v>
      </c>
      <c r="AD620" s="7" t="str">
        <f t="shared" si="138"/>
        <v>No</v>
      </c>
      <c r="AE620" s="7" t="str">
        <f t="shared" si="139"/>
        <v>High Risk</v>
      </c>
    </row>
    <row r="621" spans="1:31">
      <c r="A621" t="s">
        <v>2031</v>
      </c>
      <c r="C621" t="s">
        <v>637</v>
      </c>
      <c r="D621" t="s">
        <v>2032</v>
      </c>
      <c r="E621">
        <v>1</v>
      </c>
      <c r="F621" t="s">
        <v>92</v>
      </c>
      <c r="G621" t="s">
        <v>35</v>
      </c>
      <c r="H621" t="s">
        <v>38</v>
      </c>
      <c r="I621" t="s">
        <v>3372</v>
      </c>
      <c r="J621">
        <v>14356.37</v>
      </c>
      <c r="K621" t="s">
        <v>47</v>
      </c>
      <c r="L621" t="s">
        <v>48</v>
      </c>
      <c r="M621" s="1">
        <v>46373.614583333336</v>
      </c>
      <c r="N621">
        <v>60</v>
      </c>
      <c r="O621" t="s">
        <v>55</v>
      </c>
      <c r="P621" t="s">
        <v>36</v>
      </c>
      <c r="Q621" t="s">
        <v>2033</v>
      </c>
      <c r="R621" t="str">
        <f t="shared" si="126"/>
        <v>John Malik</v>
      </c>
      <c r="S621" t="str">
        <f t="shared" si="127"/>
        <v>Lucas Garcia</v>
      </c>
      <c r="T621" t="str">
        <f t="shared" si="128"/>
        <v>AUD</v>
      </c>
      <c r="U621" s="7" t="str">
        <f t="shared" si="129"/>
        <v>EUR</v>
      </c>
      <c r="V621" s="7" t="str">
        <f t="shared" si="130"/>
        <v>UK</v>
      </c>
      <c r="W621" s="7" t="str">
        <f t="shared" si="131"/>
        <v>Germany</v>
      </c>
      <c r="X621" s="7" t="str">
        <f t="shared" si="132"/>
        <v>Outer-Transaction</v>
      </c>
      <c r="Y621" s="7">
        <f t="shared" si="133"/>
        <v>14356.37</v>
      </c>
      <c r="Z621" s="7">
        <f t="shared" si="134"/>
        <v>60</v>
      </c>
      <c r="AA621" s="7">
        <f t="shared" si="135"/>
        <v>2026</v>
      </c>
      <c r="AB621" s="7">
        <f t="shared" si="136"/>
        <v>12</v>
      </c>
      <c r="AC621" s="7">
        <f t="shared" si="137"/>
        <v>1</v>
      </c>
      <c r="AD621" s="7" t="str">
        <f t="shared" si="138"/>
        <v>No</v>
      </c>
      <c r="AE621" s="7" t="str">
        <f t="shared" si="139"/>
        <v>Normal</v>
      </c>
    </row>
    <row r="622" spans="1:31">
      <c r="A622" t="s">
        <v>2034</v>
      </c>
      <c r="B622">
        <v>77253402</v>
      </c>
      <c r="C622" t="s">
        <v>2035</v>
      </c>
      <c r="E622" t="s">
        <v>20</v>
      </c>
      <c r="F622" t="s">
        <v>22</v>
      </c>
      <c r="G622" t="s">
        <v>22</v>
      </c>
      <c r="H622" t="s">
        <v>38</v>
      </c>
      <c r="I622" t="s">
        <v>3371</v>
      </c>
      <c r="J622">
        <v>6529.72</v>
      </c>
      <c r="K622" t="s">
        <v>86</v>
      </c>
      <c r="L622" t="s">
        <v>81</v>
      </c>
      <c r="M622" s="1">
        <v>45834.45208333333</v>
      </c>
      <c r="N622">
        <v>40</v>
      </c>
      <c r="O622" t="s">
        <v>127</v>
      </c>
      <c r="P622" t="s">
        <v>55</v>
      </c>
      <c r="Q622" t="s">
        <v>2036</v>
      </c>
      <c r="R622" t="str">
        <f t="shared" si="126"/>
        <v>William Miller</v>
      </c>
      <c r="S622" t="str">
        <f t="shared" si="127"/>
        <v/>
      </c>
      <c r="T622" t="str">
        <f t="shared" si="128"/>
        <v>BRL</v>
      </c>
      <c r="U622" s="7" t="str">
        <f t="shared" si="129"/>
        <v>BRL</v>
      </c>
      <c r="V622" s="7" t="str">
        <f t="shared" si="130"/>
        <v>Canada</v>
      </c>
      <c r="W622" s="7" t="str">
        <f t="shared" si="131"/>
        <v>UK</v>
      </c>
      <c r="X622" s="7" t="str">
        <f t="shared" si="132"/>
        <v>Outer-Transaction</v>
      </c>
      <c r="Y622" s="7">
        <f t="shared" si="133"/>
        <v>6529.72</v>
      </c>
      <c r="Z622" s="7">
        <f t="shared" si="134"/>
        <v>40</v>
      </c>
      <c r="AA622" s="7">
        <f t="shared" si="135"/>
        <v>2025</v>
      </c>
      <c r="AB622" s="7">
        <f t="shared" si="136"/>
        <v>6</v>
      </c>
      <c r="AC622" s="7">
        <f t="shared" si="137"/>
        <v>1</v>
      </c>
      <c r="AD622" s="7" t="str">
        <f t="shared" si="138"/>
        <v>No</v>
      </c>
      <c r="AE622" s="7" t="str">
        <f t="shared" si="139"/>
        <v>Normal</v>
      </c>
    </row>
    <row r="623" spans="1:31">
      <c r="A623" t="s">
        <v>2037</v>
      </c>
      <c r="B623">
        <v>66001691</v>
      </c>
      <c r="C623" t="s">
        <v>712</v>
      </c>
      <c r="D623" t="s">
        <v>1159</v>
      </c>
      <c r="E623" t="s">
        <v>20</v>
      </c>
      <c r="G623" t="s">
        <v>34</v>
      </c>
      <c r="H623" t="s">
        <v>74</v>
      </c>
      <c r="I623" t="s">
        <v>3374</v>
      </c>
      <c r="J623">
        <v>13566.66</v>
      </c>
      <c r="K623" t="s">
        <v>57</v>
      </c>
      <c r="L623" t="s">
        <v>81</v>
      </c>
      <c r="M623" s="1">
        <v>45368.293749999997</v>
      </c>
      <c r="N623">
        <v>72</v>
      </c>
      <c r="O623" t="s">
        <v>62</v>
      </c>
      <c r="P623" t="s">
        <v>127</v>
      </c>
      <c r="Q623" t="s">
        <v>2038</v>
      </c>
      <c r="R623" t="str">
        <f t="shared" si="126"/>
        <v>Priya Anderson</v>
      </c>
      <c r="S623" t="str">
        <f t="shared" si="127"/>
        <v>Priya Volkov</v>
      </c>
      <c r="T623" t="str">
        <f t="shared" si="128"/>
        <v/>
      </c>
      <c r="U623" s="7" t="str">
        <f t="shared" si="129"/>
        <v>CAD</v>
      </c>
      <c r="V623" s="7" t="str">
        <f t="shared" si="130"/>
        <v>Australia</v>
      </c>
      <c r="W623" s="7" t="str">
        <f t="shared" si="131"/>
        <v>Canada</v>
      </c>
      <c r="X623" s="7" t="str">
        <f t="shared" si="132"/>
        <v>External</v>
      </c>
      <c r="Y623" s="7">
        <f t="shared" si="133"/>
        <v>13566.66</v>
      </c>
      <c r="Z623" s="7">
        <f t="shared" si="134"/>
        <v>72</v>
      </c>
      <c r="AA623" s="7">
        <f t="shared" si="135"/>
        <v>2024</v>
      </c>
      <c r="AB623" s="7">
        <f t="shared" si="136"/>
        <v>3</v>
      </c>
      <c r="AC623" s="7">
        <f t="shared" si="137"/>
        <v>1</v>
      </c>
      <c r="AD623" s="7" t="str">
        <f t="shared" si="138"/>
        <v>No</v>
      </c>
      <c r="AE623" s="7" t="str">
        <f t="shared" si="139"/>
        <v>Normal</v>
      </c>
    </row>
    <row r="624" spans="1:31">
      <c r="A624" t="s">
        <v>2039</v>
      </c>
      <c r="B624">
        <v>20214735</v>
      </c>
      <c r="C624" t="s">
        <v>2040</v>
      </c>
      <c r="D624" t="s">
        <v>551</v>
      </c>
      <c r="E624" t="s">
        <v>3375</v>
      </c>
      <c r="F624" t="s">
        <v>294</v>
      </c>
      <c r="G624" t="s">
        <v>92</v>
      </c>
      <c r="H624" t="s">
        <v>38</v>
      </c>
      <c r="I624" t="s">
        <v>3374</v>
      </c>
      <c r="J624">
        <v>777.42</v>
      </c>
      <c r="K624" t="s">
        <v>27</v>
      </c>
      <c r="L624" t="s">
        <v>48</v>
      </c>
      <c r="M624" s="1">
        <v>44585.48541666667</v>
      </c>
      <c r="N624">
        <v>33</v>
      </c>
      <c r="O624" t="s">
        <v>36</v>
      </c>
      <c r="P624" t="s">
        <v>24</v>
      </c>
      <c r="Q624" t="s">
        <v>2041</v>
      </c>
      <c r="R624" t="str">
        <f t="shared" si="126"/>
        <v>Lucas Silva</v>
      </c>
      <c r="S624" t="str">
        <f t="shared" si="127"/>
        <v>David Moore</v>
      </c>
      <c r="T624" t="str">
        <f t="shared" si="128"/>
        <v>jpy</v>
      </c>
      <c r="U624" s="7" t="str">
        <f t="shared" si="129"/>
        <v>AUD</v>
      </c>
      <c r="V624" s="7" t="str">
        <f t="shared" si="130"/>
        <v>Germany</v>
      </c>
      <c r="W624" s="7" t="str">
        <f t="shared" si="131"/>
        <v>Brazil</v>
      </c>
      <c r="X624" s="7" t="str">
        <f t="shared" si="132"/>
        <v>External</v>
      </c>
      <c r="Y624" s="7">
        <f t="shared" si="133"/>
        <v>777.42</v>
      </c>
      <c r="Z624" s="7">
        <f t="shared" si="134"/>
        <v>33</v>
      </c>
      <c r="AA624" s="7">
        <f t="shared" si="135"/>
        <v>2022</v>
      </c>
      <c r="AB624" s="7">
        <f t="shared" si="136"/>
        <v>1</v>
      </c>
      <c r="AC624" s="7">
        <f t="shared" si="137"/>
        <v>1</v>
      </c>
      <c r="AD624" s="7" t="str">
        <f t="shared" si="138"/>
        <v>No</v>
      </c>
      <c r="AE624" s="7" t="str">
        <f t="shared" si="139"/>
        <v>Normal</v>
      </c>
    </row>
    <row r="625" spans="1:31">
      <c r="A625" t="s">
        <v>2042</v>
      </c>
      <c r="B625">
        <v>67646579</v>
      </c>
      <c r="C625" t="s">
        <v>2043</v>
      </c>
      <c r="D625" t="s">
        <v>1966</v>
      </c>
      <c r="E625">
        <v>1</v>
      </c>
      <c r="F625" t="s">
        <v>80</v>
      </c>
      <c r="G625" t="s">
        <v>35</v>
      </c>
      <c r="H625" t="s">
        <v>56</v>
      </c>
      <c r="I625" t="s">
        <v>3371</v>
      </c>
      <c r="J625">
        <v>13590.26</v>
      </c>
      <c r="K625" t="s">
        <v>47</v>
      </c>
      <c r="L625" t="s">
        <v>48</v>
      </c>
      <c r="M625" s="1">
        <v>46089.240277777775</v>
      </c>
      <c r="N625">
        <v>25</v>
      </c>
      <c r="O625" t="s">
        <v>55</v>
      </c>
      <c r="P625" t="s">
        <v>62</v>
      </c>
      <c r="Q625" t="s">
        <v>2044</v>
      </c>
      <c r="R625" t="str">
        <f t="shared" si="126"/>
        <v>Robert Hernandez</v>
      </c>
      <c r="S625" t="str">
        <f t="shared" si="127"/>
        <v>Sanjay Davis</v>
      </c>
      <c r="T625" t="str">
        <f t="shared" si="128"/>
        <v>USD</v>
      </c>
      <c r="U625" s="7" t="str">
        <f t="shared" si="129"/>
        <v>EUR</v>
      </c>
      <c r="V625" s="7" t="str">
        <f t="shared" si="130"/>
        <v>UK</v>
      </c>
      <c r="W625" s="7" t="str">
        <f t="shared" si="131"/>
        <v>Australia</v>
      </c>
      <c r="X625" s="7" t="str">
        <f t="shared" si="132"/>
        <v>Outer-Transaction</v>
      </c>
      <c r="Y625" s="7">
        <f t="shared" si="133"/>
        <v>13590.26</v>
      </c>
      <c r="Z625" s="7">
        <f t="shared" si="134"/>
        <v>25</v>
      </c>
      <c r="AA625" s="7">
        <f t="shared" si="135"/>
        <v>2026</v>
      </c>
      <c r="AB625" s="7">
        <f t="shared" si="136"/>
        <v>3</v>
      </c>
      <c r="AC625" s="7">
        <f t="shared" si="137"/>
        <v>1</v>
      </c>
      <c r="AD625" s="7" t="str">
        <f t="shared" si="138"/>
        <v>No</v>
      </c>
      <c r="AE625" s="7" t="str">
        <f t="shared" si="139"/>
        <v>Normal</v>
      </c>
    </row>
    <row r="626" spans="1:31">
      <c r="A626" t="s">
        <v>2045</v>
      </c>
      <c r="B626">
        <v>26299519</v>
      </c>
      <c r="C626" t="s">
        <v>2046</v>
      </c>
      <c r="D626" t="s">
        <v>2047</v>
      </c>
      <c r="E626" t="s">
        <v>20</v>
      </c>
      <c r="F626" t="s">
        <v>53</v>
      </c>
      <c r="H626" t="s">
        <v>56</v>
      </c>
      <c r="I626" t="s">
        <v>3376</v>
      </c>
      <c r="J626">
        <v>1840.24</v>
      </c>
      <c r="K626" t="s">
        <v>27</v>
      </c>
      <c r="L626" t="s">
        <v>75</v>
      </c>
      <c r="M626" s="1">
        <v>44977.490972222222</v>
      </c>
      <c r="N626">
        <v>21</v>
      </c>
      <c r="O626" t="s">
        <v>127</v>
      </c>
      <c r="P626" t="s">
        <v>127</v>
      </c>
      <c r="Q626" t="s">
        <v>2048</v>
      </c>
      <c r="R626" t="str">
        <f t="shared" si="126"/>
        <v>Zayn Souza</v>
      </c>
      <c r="S626" t="str">
        <f t="shared" si="127"/>
        <v>John Davis</v>
      </c>
      <c r="T626" t="str">
        <f t="shared" si="128"/>
        <v>AED</v>
      </c>
      <c r="U626" s="7" t="str">
        <f t="shared" si="129"/>
        <v/>
      </c>
      <c r="V626" s="7" t="str">
        <f t="shared" si="130"/>
        <v>Canada</v>
      </c>
      <c r="W626" s="7" t="str">
        <f t="shared" si="131"/>
        <v>Canada</v>
      </c>
      <c r="X626" s="7" t="str">
        <f t="shared" si="132"/>
        <v>Internal</v>
      </c>
      <c r="Y626" s="7">
        <f t="shared" si="133"/>
        <v>1840.24</v>
      </c>
      <c r="Z626" s="7">
        <f t="shared" si="134"/>
        <v>21</v>
      </c>
      <c r="AA626" s="7">
        <f t="shared" si="135"/>
        <v>2023</v>
      </c>
      <c r="AB626" s="7">
        <f t="shared" si="136"/>
        <v>2</v>
      </c>
      <c r="AC626" s="7">
        <f t="shared" si="137"/>
        <v>1</v>
      </c>
      <c r="AD626" s="7" t="str">
        <f t="shared" si="138"/>
        <v>No</v>
      </c>
      <c r="AE626" s="7" t="str">
        <f t="shared" si="139"/>
        <v>High Risk</v>
      </c>
    </row>
    <row r="627" spans="1:31">
      <c r="A627" t="s">
        <v>2049</v>
      </c>
      <c r="B627">
        <v>93260889</v>
      </c>
      <c r="C627" t="s">
        <v>2040</v>
      </c>
      <c r="D627" t="s">
        <v>1278</v>
      </c>
      <c r="E627" t="b">
        <v>0</v>
      </c>
      <c r="F627" t="s">
        <v>21</v>
      </c>
      <c r="G627" t="s">
        <v>21</v>
      </c>
      <c r="I627" t="s">
        <v>3378</v>
      </c>
      <c r="J627">
        <v>456.54</v>
      </c>
      <c r="K627" t="s">
        <v>39</v>
      </c>
      <c r="L627" t="s">
        <v>81</v>
      </c>
      <c r="M627" s="1">
        <v>45242.643055555556</v>
      </c>
      <c r="N627">
        <v>21</v>
      </c>
      <c r="O627" t="s">
        <v>23</v>
      </c>
      <c r="P627" t="s">
        <v>68</v>
      </c>
      <c r="Q627" t="s">
        <v>2050</v>
      </c>
      <c r="R627" t="str">
        <f t="shared" si="126"/>
        <v>Lucas Silva</v>
      </c>
      <c r="S627" t="str">
        <f t="shared" si="127"/>
        <v>Jean-Pierre Williams</v>
      </c>
      <c r="T627" t="str">
        <f t="shared" si="128"/>
        <v>GBP</v>
      </c>
      <c r="U627" s="7" t="str">
        <f t="shared" si="129"/>
        <v>GBP</v>
      </c>
      <c r="V627" s="7" t="str">
        <f t="shared" si="130"/>
        <v>France</v>
      </c>
      <c r="W627" s="7" t="str">
        <f t="shared" si="131"/>
        <v>UAE</v>
      </c>
      <c r="X627" s="7" t="str">
        <f t="shared" si="132"/>
        <v>Inter-Transaction</v>
      </c>
      <c r="Y627" s="7">
        <f t="shared" si="133"/>
        <v>456.54</v>
      </c>
      <c r="Z627" s="7">
        <f t="shared" si="134"/>
        <v>21</v>
      </c>
      <c r="AA627" s="7">
        <f t="shared" si="135"/>
        <v>2023</v>
      </c>
      <c r="AB627" s="7">
        <f t="shared" si="136"/>
        <v>11</v>
      </c>
      <c r="AC627" s="7">
        <f t="shared" si="137"/>
        <v>1</v>
      </c>
      <c r="AD627" s="7" t="str">
        <f t="shared" si="138"/>
        <v>No</v>
      </c>
      <c r="AE627" s="7" t="str">
        <f t="shared" si="139"/>
        <v>Normal</v>
      </c>
    </row>
    <row r="628" spans="1:31">
      <c r="A628" t="s">
        <v>2051</v>
      </c>
      <c r="B628">
        <v>18979241</v>
      </c>
      <c r="C628" t="s">
        <v>802</v>
      </c>
      <c r="D628" t="s">
        <v>2052</v>
      </c>
      <c r="E628">
        <v>0</v>
      </c>
      <c r="F628" t="s">
        <v>44</v>
      </c>
      <c r="G628" t="s">
        <v>98</v>
      </c>
      <c r="H628" t="s">
        <v>56</v>
      </c>
      <c r="I628" t="s">
        <v>3371</v>
      </c>
      <c r="J628">
        <v>65.790000000000006</v>
      </c>
      <c r="K628" t="s">
        <v>57</v>
      </c>
      <c r="L628" t="s">
        <v>28</v>
      </c>
      <c r="M628" s="1">
        <v>43970.868750000001</v>
      </c>
      <c r="N628">
        <v>73</v>
      </c>
      <c r="O628" t="s">
        <v>54</v>
      </c>
      <c r="P628" t="s">
        <v>37</v>
      </c>
      <c r="Q628" t="s">
        <v>2053</v>
      </c>
      <c r="R628" t="str">
        <f t="shared" si="126"/>
        <v>Fatima Davis</v>
      </c>
      <c r="S628" t="str">
        <f t="shared" si="127"/>
        <v xml:space="preserve"> Amir Velez   </v>
      </c>
      <c r="T628" t="str">
        <f t="shared" si="128"/>
        <v>SGD</v>
      </c>
      <c r="U628" s="7" t="str">
        <f t="shared" si="129"/>
        <v>JPY</v>
      </c>
      <c r="V628" s="7" t="str">
        <f t="shared" si="130"/>
        <v>India</v>
      </c>
      <c r="W628" s="7" t="str">
        <f t="shared" si="131"/>
        <v>South Africa</v>
      </c>
      <c r="X628" s="7" t="str">
        <f t="shared" si="132"/>
        <v>Outer-Transaction</v>
      </c>
      <c r="Y628" s="7">
        <f t="shared" si="133"/>
        <v>65.790000000000006</v>
      </c>
      <c r="Z628" s="7">
        <f t="shared" si="134"/>
        <v>73</v>
      </c>
      <c r="AA628" s="7">
        <f t="shared" si="135"/>
        <v>2020</v>
      </c>
      <c r="AB628" s="7">
        <f t="shared" si="136"/>
        <v>5</v>
      </c>
      <c r="AC628" s="7">
        <f t="shared" si="137"/>
        <v>1</v>
      </c>
      <c r="AD628" s="7" t="str">
        <f t="shared" si="138"/>
        <v>No</v>
      </c>
      <c r="AE628" s="7" t="str">
        <f t="shared" si="139"/>
        <v>Normal</v>
      </c>
    </row>
    <row r="629" spans="1:31">
      <c r="A629" t="s">
        <v>2054</v>
      </c>
      <c r="B629">
        <v>89812369</v>
      </c>
      <c r="C629" t="s">
        <v>270</v>
      </c>
      <c r="D629" t="s">
        <v>966</v>
      </c>
      <c r="E629" t="s">
        <v>20</v>
      </c>
      <c r="F629" t="s">
        <v>44</v>
      </c>
      <c r="G629" t="s">
        <v>44</v>
      </c>
      <c r="I629" t="s">
        <v>3378</v>
      </c>
      <c r="J629">
        <v>3698.1</v>
      </c>
      <c r="K629" t="s">
        <v>27</v>
      </c>
      <c r="L629" t="s">
        <v>81</v>
      </c>
      <c r="M629" s="1">
        <v>44371.832638888889</v>
      </c>
      <c r="N629">
        <v>42</v>
      </c>
      <c r="O629" t="s">
        <v>62</v>
      </c>
      <c r="P629" t="s">
        <v>24</v>
      </c>
      <c r="Q629" t="s">
        <v>2055</v>
      </c>
      <c r="R629" t="str">
        <f t="shared" si="126"/>
        <v>Charles Moore</v>
      </c>
      <c r="S629" t="str">
        <f t="shared" si="127"/>
        <v>Jean-Pierre Brown</v>
      </c>
      <c r="T629" t="str">
        <f t="shared" si="128"/>
        <v>SGD</v>
      </c>
      <c r="U629" s="7" t="str">
        <f t="shared" si="129"/>
        <v>SGD</v>
      </c>
      <c r="V629" s="7" t="str">
        <f t="shared" si="130"/>
        <v>Australia</v>
      </c>
      <c r="W629" s="7" t="str">
        <f t="shared" si="131"/>
        <v>Brazil</v>
      </c>
      <c r="X629" s="7" t="str">
        <f t="shared" si="132"/>
        <v>Inter-Transaction</v>
      </c>
      <c r="Y629" s="7">
        <f t="shared" si="133"/>
        <v>3698.1</v>
      </c>
      <c r="Z629" s="7">
        <f t="shared" si="134"/>
        <v>42</v>
      </c>
      <c r="AA629" s="7">
        <f t="shared" si="135"/>
        <v>2021</v>
      </c>
      <c r="AB629" s="7">
        <f t="shared" si="136"/>
        <v>6</v>
      </c>
      <c r="AC629" s="7">
        <f t="shared" si="137"/>
        <v>1</v>
      </c>
      <c r="AD629" s="7" t="str">
        <f t="shared" si="138"/>
        <v>No</v>
      </c>
      <c r="AE629" s="7" t="str">
        <f t="shared" si="139"/>
        <v>Normal</v>
      </c>
    </row>
    <row r="630" spans="1:31">
      <c r="A630" t="s">
        <v>2056</v>
      </c>
      <c r="B630">
        <v>30540246</v>
      </c>
      <c r="C630" t="s">
        <v>2057</v>
      </c>
      <c r="D630" t="s">
        <v>2058</v>
      </c>
      <c r="E630" t="b">
        <v>1</v>
      </c>
      <c r="F630" t="s">
        <v>294</v>
      </c>
      <c r="G630" t="s">
        <v>34</v>
      </c>
      <c r="H630" t="s">
        <v>103</v>
      </c>
      <c r="I630" t="s">
        <v>3371</v>
      </c>
      <c r="J630">
        <v>10679.89</v>
      </c>
      <c r="K630" t="s">
        <v>47</v>
      </c>
      <c r="L630" t="s">
        <v>28</v>
      </c>
      <c r="M630" s="1">
        <v>45245.131944444445</v>
      </c>
      <c r="N630">
        <v>84</v>
      </c>
      <c r="O630" t="s">
        <v>68</v>
      </c>
      <c r="P630" t="s">
        <v>93</v>
      </c>
      <c r="Q630" t="s">
        <v>2059</v>
      </c>
      <c r="R630" t="str">
        <f t="shared" si="126"/>
        <v>DAVID HERNANDEZ</v>
      </c>
      <c r="S630" t="str">
        <f t="shared" si="127"/>
        <v>Zayn Wilson</v>
      </c>
      <c r="T630" t="str">
        <f t="shared" si="128"/>
        <v>jpy</v>
      </c>
      <c r="U630" s="7" t="str">
        <f t="shared" si="129"/>
        <v>CAD</v>
      </c>
      <c r="V630" s="7" t="str">
        <f t="shared" si="130"/>
        <v>UAE</v>
      </c>
      <c r="W630" s="7" t="str">
        <f t="shared" si="131"/>
        <v>USA</v>
      </c>
      <c r="X630" s="7" t="str">
        <f t="shared" si="132"/>
        <v>Outer-Transaction</v>
      </c>
      <c r="Y630" s="7">
        <f t="shared" si="133"/>
        <v>10679.89</v>
      </c>
      <c r="Z630" s="7">
        <f t="shared" si="134"/>
        <v>84</v>
      </c>
      <c r="AA630" s="7">
        <f t="shared" si="135"/>
        <v>2023</v>
      </c>
      <c r="AB630" s="7">
        <f t="shared" si="136"/>
        <v>11</v>
      </c>
      <c r="AC630" s="7">
        <f t="shared" si="137"/>
        <v>1</v>
      </c>
      <c r="AD630" s="7" t="str">
        <f t="shared" si="138"/>
        <v>No</v>
      </c>
      <c r="AE630" s="7" t="str">
        <f t="shared" si="139"/>
        <v>Normal</v>
      </c>
    </row>
    <row r="631" spans="1:31">
      <c r="A631" t="s">
        <v>2060</v>
      </c>
      <c r="B631">
        <v>20581573</v>
      </c>
      <c r="C631" t="s">
        <v>2061</v>
      </c>
      <c r="D631" t="s">
        <v>2062</v>
      </c>
      <c r="E631" t="s">
        <v>3375</v>
      </c>
      <c r="F631" t="s">
        <v>98</v>
      </c>
      <c r="G631" t="s">
        <v>98</v>
      </c>
      <c r="H631" t="s">
        <v>38</v>
      </c>
      <c r="I631" t="s">
        <v>3378</v>
      </c>
      <c r="J631">
        <v>13595.73</v>
      </c>
      <c r="K631" t="s">
        <v>57</v>
      </c>
      <c r="L631" t="s">
        <v>28</v>
      </c>
      <c r="M631" s="1">
        <v>44100.505555555559</v>
      </c>
      <c r="N631">
        <v>84</v>
      </c>
      <c r="O631" t="s">
        <v>93</v>
      </c>
      <c r="P631" t="s">
        <v>93</v>
      </c>
      <c r="Q631" t="s">
        <v>2063</v>
      </c>
      <c r="R631" t="str">
        <f t="shared" si="126"/>
        <v>Elizabeth Johnson</v>
      </c>
      <c r="S631" t="str">
        <f t="shared" si="127"/>
        <v>David Martinez</v>
      </c>
      <c r="T631" t="str">
        <f t="shared" si="128"/>
        <v>JPY</v>
      </c>
      <c r="U631" s="7" t="str">
        <f t="shared" si="129"/>
        <v>JPY</v>
      </c>
      <c r="V631" s="7" t="str">
        <f t="shared" si="130"/>
        <v>USA</v>
      </c>
      <c r="W631" s="7" t="str">
        <f t="shared" si="131"/>
        <v>USA</v>
      </c>
      <c r="X631" s="7" t="str">
        <f t="shared" si="132"/>
        <v>Inter-Transaction</v>
      </c>
      <c r="Y631" s="7">
        <f t="shared" si="133"/>
        <v>13595.73</v>
      </c>
      <c r="Z631" s="7">
        <f t="shared" si="134"/>
        <v>84</v>
      </c>
      <c r="AA631" s="7">
        <f t="shared" si="135"/>
        <v>2020</v>
      </c>
      <c r="AB631" s="7">
        <f t="shared" si="136"/>
        <v>9</v>
      </c>
      <c r="AC631" s="7">
        <f t="shared" si="137"/>
        <v>1</v>
      </c>
      <c r="AD631" s="7" t="str">
        <f t="shared" si="138"/>
        <v>No</v>
      </c>
      <c r="AE631" s="7" t="str">
        <f t="shared" si="139"/>
        <v>Normal</v>
      </c>
    </row>
    <row r="632" spans="1:31">
      <c r="A632" t="s">
        <v>2064</v>
      </c>
      <c r="B632">
        <v>88960861</v>
      </c>
      <c r="C632" t="s">
        <v>1465</v>
      </c>
      <c r="D632" t="s">
        <v>1380</v>
      </c>
      <c r="E632" t="s">
        <v>20</v>
      </c>
      <c r="F632" t="s">
        <v>34</v>
      </c>
      <c r="G632" t="s">
        <v>92</v>
      </c>
      <c r="H632" t="s">
        <v>25</v>
      </c>
      <c r="I632" t="s">
        <v>3378</v>
      </c>
      <c r="J632">
        <v>2534.0100000000002</v>
      </c>
      <c r="K632" t="s">
        <v>27</v>
      </c>
      <c r="L632" t="s">
        <v>28</v>
      </c>
      <c r="M632" s="1">
        <v>44866.132638888892</v>
      </c>
      <c r="N632">
        <v>44</v>
      </c>
      <c r="O632" t="s">
        <v>62</v>
      </c>
      <c r="P632" t="s">
        <v>93</v>
      </c>
      <c r="Q632" t="s">
        <v>2065</v>
      </c>
      <c r="R632" t="str">
        <f t="shared" si="126"/>
        <v>John Brown</v>
      </c>
      <c r="S632" t="str">
        <f t="shared" si="127"/>
        <v>Carlos Thomas</v>
      </c>
      <c r="T632" t="str">
        <f t="shared" si="128"/>
        <v>CAD</v>
      </c>
      <c r="U632" s="7" t="str">
        <f t="shared" si="129"/>
        <v>AUD</v>
      </c>
      <c r="V632" s="7" t="str">
        <f t="shared" si="130"/>
        <v>Australia</v>
      </c>
      <c r="W632" s="7" t="str">
        <f t="shared" si="131"/>
        <v>USA</v>
      </c>
      <c r="X632" s="7" t="str">
        <f t="shared" si="132"/>
        <v>Inter-Transaction</v>
      </c>
      <c r="Y632" s="7">
        <f t="shared" si="133"/>
        <v>2534.0100000000002</v>
      </c>
      <c r="Z632" s="7">
        <f t="shared" si="134"/>
        <v>44</v>
      </c>
      <c r="AA632" s="7">
        <f t="shared" si="135"/>
        <v>2022</v>
      </c>
      <c r="AB632" s="7">
        <f t="shared" si="136"/>
        <v>11</v>
      </c>
      <c r="AC632" s="7">
        <f t="shared" si="137"/>
        <v>1</v>
      </c>
      <c r="AD632" s="7" t="str">
        <f t="shared" si="138"/>
        <v>No</v>
      </c>
      <c r="AE632" s="7" t="str">
        <f t="shared" si="139"/>
        <v>Normal</v>
      </c>
    </row>
    <row r="633" spans="1:31">
      <c r="A633" t="s">
        <v>2066</v>
      </c>
      <c r="B633">
        <v>64748819</v>
      </c>
      <c r="C633" t="s">
        <v>2067</v>
      </c>
      <c r="D633" t="s">
        <v>2068</v>
      </c>
      <c r="E633" t="s">
        <v>20</v>
      </c>
      <c r="F633" t="s">
        <v>22</v>
      </c>
      <c r="H633" t="s">
        <v>38</v>
      </c>
      <c r="I633" t="s">
        <v>3378</v>
      </c>
      <c r="J633">
        <v>5170.58</v>
      </c>
      <c r="K633" t="s">
        <v>39</v>
      </c>
      <c r="L633" t="s">
        <v>81</v>
      </c>
      <c r="M633" s="1">
        <v>45721.341666666667</v>
      </c>
      <c r="N633">
        <v>49</v>
      </c>
      <c r="O633" t="s">
        <v>37</v>
      </c>
      <c r="P633" t="s">
        <v>93</v>
      </c>
      <c r="Q633" t="s">
        <v>2069</v>
      </c>
      <c r="R633" t="str">
        <f t="shared" si="126"/>
        <v>John Velez</v>
      </c>
      <c r="S633" t="str">
        <f t="shared" si="127"/>
        <v>Charles Volkov</v>
      </c>
      <c r="T633" t="str">
        <f t="shared" si="128"/>
        <v>BRL</v>
      </c>
      <c r="U633" s="7" t="str">
        <f t="shared" si="129"/>
        <v/>
      </c>
      <c r="V633" s="7" t="str">
        <f t="shared" si="130"/>
        <v>South Africa</v>
      </c>
      <c r="W633" s="7" t="str">
        <f t="shared" si="131"/>
        <v>USA</v>
      </c>
      <c r="X633" s="7" t="str">
        <f t="shared" si="132"/>
        <v>Inter-Transaction</v>
      </c>
      <c r="Y633" s="7">
        <f t="shared" si="133"/>
        <v>5170.58</v>
      </c>
      <c r="Z633" s="7">
        <f t="shared" si="134"/>
        <v>49</v>
      </c>
      <c r="AA633" s="7">
        <f t="shared" si="135"/>
        <v>2025</v>
      </c>
      <c r="AB633" s="7">
        <f t="shared" si="136"/>
        <v>3</v>
      </c>
      <c r="AC633" s="7">
        <f t="shared" si="137"/>
        <v>1</v>
      </c>
      <c r="AD633" s="7" t="str">
        <f t="shared" si="138"/>
        <v>No</v>
      </c>
      <c r="AE633" s="7" t="str">
        <f t="shared" si="139"/>
        <v>Normal</v>
      </c>
    </row>
    <row r="634" spans="1:31">
      <c r="A634" t="s">
        <v>2070</v>
      </c>
      <c r="B634">
        <v>25382790</v>
      </c>
      <c r="C634" t="s">
        <v>559</v>
      </c>
      <c r="E634" t="s">
        <v>20</v>
      </c>
      <c r="F634" t="s">
        <v>21</v>
      </c>
      <c r="G634" t="s">
        <v>116</v>
      </c>
      <c r="H634" t="s">
        <v>25</v>
      </c>
      <c r="I634" t="s">
        <v>3371</v>
      </c>
      <c r="J634">
        <v>14972.19</v>
      </c>
      <c r="K634" t="s">
        <v>86</v>
      </c>
      <c r="L634" t="s">
        <v>28</v>
      </c>
      <c r="M634" s="1">
        <v>44336.642361111109</v>
      </c>
      <c r="N634">
        <v>67</v>
      </c>
      <c r="O634" t="s">
        <v>127</v>
      </c>
      <c r="P634" t="s">
        <v>37</v>
      </c>
      <c r="Q634" t="s">
        <v>2071</v>
      </c>
      <c r="R634" t="str">
        <f t="shared" si="126"/>
        <v>Joseph Jackson</v>
      </c>
      <c r="S634" t="str">
        <f t="shared" si="127"/>
        <v/>
      </c>
      <c r="T634" t="str">
        <f t="shared" si="128"/>
        <v>GBP</v>
      </c>
      <c r="U634" s="7" t="str">
        <f t="shared" si="129"/>
        <v>CHF</v>
      </c>
      <c r="V634" s="7" t="str">
        <f t="shared" si="130"/>
        <v>Canada</v>
      </c>
      <c r="W634" s="7" t="str">
        <f t="shared" si="131"/>
        <v>South Africa</v>
      </c>
      <c r="X634" s="7" t="str">
        <f t="shared" si="132"/>
        <v>Outer-Transaction</v>
      </c>
      <c r="Y634" s="7">
        <f t="shared" si="133"/>
        <v>14972.19</v>
      </c>
      <c r="Z634" s="7">
        <f t="shared" si="134"/>
        <v>67</v>
      </c>
      <c r="AA634" s="7">
        <f t="shared" si="135"/>
        <v>2021</v>
      </c>
      <c r="AB634" s="7">
        <f t="shared" si="136"/>
        <v>5</v>
      </c>
      <c r="AC634" s="7">
        <f t="shared" si="137"/>
        <v>1</v>
      </c>
      <c r="AD634" s="7" t="str">
        <f t="shared" si="138"/>
        <v>No</v>
      </c>
      <c r="AE634" s="7" t="str">
        <f t="shared" si="139"/>
        <v>Normal</v>
      </c>
    </row>
    <row r="635" spans="1:31">
      <c r="A635" t="s">
        <v>2072</v>
      </c>
      <c r="B635">
        <v>65479681</v>
      </c>
      <c r="C635" t="s">
        <v>500</v>
      </c>
      <c r="D635" t="s">
        <v>742</v>
      </c>
      <c r="E635" t="s">
        <v>20</v>
      </c>
      <c r="F635" t="s">
        <v>22</v>
      </c>
      <c r="G635" t="s">
        <v>45</v>
      </c>
      <c r="I635" t="s">
        <v>3378</v>
      </c>
      <c r="J635">
        <v>6656.74</v>
      </c>
      <c r="K635" t="s">
        <v>47</v>
      </c>
      <c r="L635" t="s">
        <v>48</v>
      </c>
      <c r="M635" s="1">
        <v>44960.236805555556</v>
      </c>
      <c r="N635">
        <v>78</v>
      </c>
      <c r="O635" t="s">
        <v>24</v>
      </c>
      <c r="P635" t="s">
        <v>127</v>
      </c>
      <c r="Q635" t="s">
        <v>2073</v>
      </c>
      <c r="R635" t="str">
        <f t="shared" si="126"/>
        <v>Patricia Hernandez</v>
      </c>
      <c r="S635" t="str">
        <f t="shared" si="127"/>
        <v>William Anderson</v>
      </c>
      <c r="T635" t="str">
        <f t="shared" si="128"/>
        <v>BRL</v>
      </c>
      <c r="U635" s="7" t="str">
        <f t="shared" si="129"/>
        <v>ZAR</v>
      </c>
      <c r="V635" s="7" t="str">
        <f t="shared" si="130"/>
        <v>Brazil</v>
      </c>
      <c r="W635" s="7" t="str">
        <f t="shared" si="131"/>
        <v>Canada</v>
      </c>
      <c r="X635" s="7" t="str">
        <f t="shared" si="132"/>
        <v>Inter-Transaction</v>
      </c>
      <c r="Y635" s="7">
        <f t="shared" si="133"/>
        <v>6656.74</v>
      </c>
      <c r="Z635" s="7">
        <f t="shared" si="134"/>
        <v>78</v>
      </c>
      <c r="AA635" s="7">
        <f t="shared" si="135"/>
        <v>2023</v>
      </c>
      <c r="AB635" s="7">
        <f t="shared" si="136"/>
        <v>2</v>
      </c>
      <c r="AC635" s="7">
        <f t="shared" si="137"/>
        <v>1</v>
      </c>
      <c r="AD635" s="7" t="str">
        <f t="shared" si="138"/>
        <v>No</v>
      </c>
      <c r="AE635" s="7" t="str">
        <f t="shared" si="139"/>
        <v>Normal</v>
      </c>
    </row>
    <row r="636" spans="1:31">
      <c r="A636" t="s">
        <v>2074</v>
      </c>
      <c r="B636">
        <v>16567733</v>
      </c>
      <c r="C636" t="s">
        <v>2075</v>
      </c>
      <c r="D636" t="s">
        <v>861</v>
      </c>
      <c r="E636" t="s">
        <v>20</v>
      </c>
      <c r="F636" t="s">
        <v>80</v>
      </c>
      <c r="G636" t="s">
        <v>22</v>
      </c>
      <c r="H636" t="s">
        <v>103</v>
      </c>
      <c r="I636" t="s">
        <v>3371</v>
      </c>
      <c r="J636">
        <v>6398.02</v>
      </c>
      <c r="K636" t="s">
        <v>86</v>
      </c>
      <c r="L636" t="s">
        <v>81</v>
      </c>
      <c r="M636" s="1">
        <v>45910.526388888888</v>
      </c>
      <c r="N636">
        <v>68</v>
      </c>
      <c r="O636" t="s">
        <v>23</v>
      </c>
      <c r="P636" t="s">
        <v>54</v>
      </c>
      <c r="Q636" t="s">
        <v>2076</v>
      </c>
      <c r="R636" t="str">
        <f t="shared" si="126"/>
        <v>David Smith</v>
      </c>
      <c r="S636" t="str">
        <f t="shared" si="127"/>
        <v>Jessica Anderson</v>
      </c>
      <c r="T636" t="str">
        <f t="shared" si="128"/>
        <v>USD</v>
      </c>
      <c r="U636" s="7" t="str">
        <f t="shared" si="129"/>
        <v>BRL</v>
      </c>
      <c r="V636" s="7" t="str">
        <f t="shared" si="130"/>
        <v>France</v>
      </c>
      <c r="W636" s="7" t="str">
        <f t="shared" si="131"/>
        <v>India</v>
      </c>
      <c r="X636" s="7" t="str">
        <f t="shared" si="132"/>
        <v>Outer-Transaction</v>
      </c>
      <c r="Y636" s="7">
        <f t="shared" si="133"/>
        <v>6398.02</v>
      </c>
      <c r="Z636" s="7">
        <f t="shared" si="134"/>
        <v>68</v>
      </c>
      <c r="AA636" s="7">
        <f t="shared" si="135"/>
        <v>2025</v>
      </c>
      <c r="AB636" s="7">
        <f t="shared" si="136"/>
        <v>9</v>
      </c>
      <c r="AC636" s="7">
        <f t="shared" si="137"/>
        <v>1</v>
      </c>
      <c r="AD636" s="7" t="str">
        <f t="shared" si="138"/>
        <v>No</v>
      </c>
      <c r="AE636" s="7" t="str">
        <f t="shared" si="139"/>
        <v>Normal</v>
      </c>
    </row>
    <row r="637" spans="1:31">
      <c r="A637" t="s">
        <v>2077</v>
      </c>
      <c r="B637">
        <v>62424760</v>
      </c>
      <c r="C637" t="s">
        <v>2078</v>
      </c>
      <c r="D637" t="s">
        <v>1197</v>
      </c>
      <c r="E637" t="s">
        <v>20</v>
      </c>
      <c r="F637" t="s">
        <v>21</v>
      </c>
      <c r="G637" t="s">
        <v>80</v>
      </c>
      <c r="I637" t="s">
        <v>3371</v>
      </c>
      <c r="J637">
        <v>1656.27</v>
      </c>
      <c r="K637" t="s">
        <v>57</v>
      </c>
      <c r="L637" t="s">
        <v>75</v>
      </c>
      <c r="M637" s="1">
        <v>45703.765972222223</v>
      </c>
      <c r="N637">
        <v>36</v>
      </c>
      <c r="O637" t="s">
        <v>54</v>
      </c>
      <c r="P637" t="s">
        <v>127</v>
      </c>
      <c r="Q637" t="s">
        <v>2079</v>
      </c>
      <c r="R637" t="str">
        <f t="shared" si="126"/>
        <v>David Garcia</v>
      </c>
      <c r="S637" t="str">
        <f t="shared" si="127"/>
        <v>Sarah Davis</v>
      </c>
      <c r="T637" t="str">
        <f t="shared" si="128"/>
        <v>GBP</v>
      </c>
      <c r="U637" s="7" t="str">
        <f t="shared" si="129"/>
        <v>USD</v>
      </c>
      <c r="V637" s="7" t="str">
        <f t="shared" si="130"/>
        <v>India</v>
      </c>
      <c r="W637" s="7" t="str">
        <f t="shared" si="131"/>
        <v>Canada</v>
      </c>
      <c r="X637" s="7" t="str">
        <f t="shared" si="132"/>
        <v>Outer-Transaction</v>
      </c>
      <c r="Y637" s="7">
        <f t="shared" si="133"/>
        <v>1656.27</v>
      </c>
      <c r="Z637" s="7">
        <f t="shared" si="134"/>
        <v>36</v>
      </c>
      <c r="AA637" s="7">
        <f t="shared" si="135"/>
        <v>2025</v>
      </c>
      <c r="AB637" s="7">
        <f t="shared" si="136"/>
        <v>2</v>
      </c>
      <c r="AC637" s="7">
        <f t="shared" si="137"/>
        <v>1</v>
      </c>
      <c r="AD637" s="7" t="str">
        <f t="shared" si="138"/>
        <v>No</v>
      </c>
      <c r="AE637" s="7" t="str">
        <f t="shared" si="139"/>
        <v>High Risk</v>
      </c>
    </row>
    <row r="638" spans="1:31">
      <c r="A638" t="s">
        <v>2080</v>
      </c>
      <c r="C638" t="s">
        <v>339</v>
      </c>
      <c r="D638" t="s">
        <v>318</v>
      </c>
      <c r="E638" t="s">
        <v>20</v>
      </c>
      <c r="F638" t="s">
        <v>45</v>
      </c>
      <c r="G638" t="s">
        <v>98</v>
      </c>
      <c r="H638" t="s">
        <v>38</v>
      </c>
      <c r="I638" t="s">
        <v>3377</v>
      </c>
      <c r="J638">
        <v>2244.9499999999998</v>
      </c>
      <c r="K638" t="s">
        <v>86</v>
      </c>
      <c r="L638" t="s">
        <v>75</v>
      </c>
      <c r="M638" s="1">
        <v>44923.783333333333</v>
      </c>
      <c r="N638">
        <v>38</v>
      </c>
      <c r="O638" t="s">
        <v>23</v>
      </c>
      <c r="P638" t="s">
        <v>36</v>
      </c>
      <c r="Q638" t="s">
        <v>2081</v>
      </c>
      <c r="R638" t="str">
        <f t="shared" si="126"/>
        <v>Carlos Martinez</v>
      </c>
      <c r="S638" t="str">
        <f t="shared" si="127"/>
        <v>David Silva</v>
      </c>
      <c r="T638" t="str">
        <f t="shared" si="128"/>
        <v>ZAR</v>
      </c>
      <c r="U638" s="7" t="str">
        <f t="shared" si="129"/>
        <v>JPY</v>
      </c>
      <c r="V638" s="7" t="str">
        <f t="shared" si="130"/>
        <v>France</v>
      </c>
      <c r="W638" s="7" t="str">
        <f t="shared" si="131"/>
        <v>Germany</v>
      </c>
      <c r="X638" s="7" t="str">
        <f t="shared" si="132"/>
        <v>Inter-Transaction</v>
      </c>
      <c r="Y638" s="7">
        <f t="shared" si="133"/>
        <v>2244.9499999999998</v>
      </c>
      <c r="Z638" s="7">
        <f t="shared" si="134"/>
        <v>38</v>
      </c>
      <c r="AA638" s="7">
        <f t="shared" si="135"/>
        <v>2022</v>
      </c>
      <c r="AB638" s="7">
        <f t="shared" si="136"/>
        <v>12</v>
      </c>
      <c r="AC638" s="7">
        <f t="shared" si="137"/>
        <v>1</v>
      </c>
      <c r="AD638" s="7" t="str">
        <f t="shared" si="138"/>
        <v>No</v>
      </c>
      <c r="AE638" s="7" t="str">
        <f t="shared" si="139"/>
        <v>High Risk</v>
      </c>
    </row>
    <row r="639" spans="1:31">
      <c r="A639" t="s">
        <v>2082</v>
      </c>
      <c r="B639">
        <v>46499378</v>
      </c>
      <c r="D639" t="s">
        <v>323</v>
      </c>
      <c r="E639" t="s">
        <v>20</v>
      </c>
      <c r="F639" t="s">
        <v>116</v>
      </c>
      <c r="G639" t="s">
        <v>116</v>
      </c>
      <c r="H639" t="s">
        <v>25</v>
      </c>
      <c r="I639" t="s">
        <v>3378</v>
      </c>
      <c r="J639">
        <v>5359.64</v>
      </c>
      <c r="K639" t="s">
        <v>47</v>
      </c>
      <c r="L639" t="s">
        <v>75</v>
      </c>
      <c r="M639" s="1">
        <v>44643.508333333331</v>
      </c>
      <c r="N639">
        <v>22</v>
      </c>
      <c r="O639" t="s">
        <v>62</v>
      </c>
      <c r="P639" t="s">
        <v>62</v>
      </c>
      <c r="Q639" t="s">
        <v>2083</v>
      </c>
      <c r="R639" t="str">
        <f t="shared" si="126"/>
        <v/>
      </c>
      <c r="S639" t="str">
        <f t="shared" si="127"/>
        <v>Sanjay Gonzalez</v>
      </c>
      <c r="T639" t="str">
        <f t="shared" si="128"/>
        <v>CHF</v>
      </c>
      <c r="U639" s="7" t="str">
        <f t="shared" si="129"/>
        <v>CHF</v>
      </c>
      <c r="V639" s="7" t="str">
        <f t="shared" si="130"/>
        <v>Australia</v>
      </c>
      <c r="W639" s="7" t="str">
        <f t="shared" si="131"/>
        <v>Australia</v>
      </c>
      <c r="X639" s="7" t="str">
        <f t="shared" si="132"/>
        <v>Inter-Transaction</v>
      </c>
      <c r="Y639" s="7">
        <f t="shared" si="133"/>
        <v>5359.64</v>
      </c>
      <c r="Z639" s="7">
        <f t="shared" si="134"/>
        <v>22</v>
      </c>
      <c r="AA639" s="7">
        <f t="shared" si="135"/>
        <v>2022</v>
      </c>
      <c r="AB639" s="7">
        <f t="shared" si="136"/>
        <v>3</v>
      </c>
      <c r="AC639" s="7">
        <f t="shared" si="137"/>
        <v>1</v>
      </c>
      <c r="AD639" s="7" t="str">
        <f t="shared" si="138"/>
        <v>No</v>
      </c>
      <c r="AE639" s="7" t="str">
        <f t="shared" si="139"/>
        <v>High Risk</v>
      </c>
    </row>
    <row r="640" spans="1:31">
      <c r="A640" t="s">
        <v>2084</v>
      </c>
      <c r="B640">
        <v>15889037</v>
      </c>
      <c r="C640" t="s">
        <v>742</v>
      </c>
      <c r="D640" t="s">
        <v>2085</v>
      </c>
      <c r="E640" t="b">
        <v>0</v>
      </c>
      <c r="F640" t="s">
        <v>35</v>
      </c>
      <c r="G640" t="s">
        <v>35</v>
      </c>
      <c r="H640" t="s">
        <v>74</v>
      </c>
      <c r="I640" t="s">
        <v>3378</v>
      </c>
      <c r="J640">
        <v>1461.87</v>
      </c>
      <c r="K640" t="s">
        <v>57</v>
      </c>
      <c r="L640" t="s">
        <v>28</v>
      </c>
      <c r="M640" s="1">
        <v>44192.834027777775</v>
      </c>
      <c r="N640">
        <v>59</v>
      </c>
      <c r="O640" t="s">
        <v>24</v>
      </c>
      <c r="P640" t="s">
        <v>55</v>
      </c>
      <c r="Q640" t="s">
        <v>2086</v>
      </c>
      <c r="R640" t="str">
        <f t="shared" si="126"/>
        <v>William Anderson</v>
      </c>
      <c r="S640" t="str">
        <f t="shared" si="127"/>
        <v>Jessica Moore</v>
      </c>
      <c r="T640" t="str">
        <f t="shared" si="128"/>
        <v>EUR</v>
      </c>
      <c r="U640" s="7" t="str">
        <f t="shared" si="129"/>
        <v>EUR</v>
      </c>
      <c r="V640" s="7" t="str">
        <f t="shared" si="130"/>
        <v>Brazil</v>
      </c>
      <c r="W640" s="7" t="str">
        <f t="shared" si="131"/>
        <v>UK</v>
      </c>
      <c r="X640" s="7" t="str">
        <f t="shared" si="132"/>
        <v>Inter-Transaction</v>
      </c>
      <c r="Y640" s="7">
        <f t="shared" si="133"/>
        <v>1461.87</v>
      </c>
      <c r="Z640" s="7">
        <f t="shared" si="134"/>
        <v>59</v>
      </c>
      <c r="AA640" s="7">
        <f t="shared" si="135"/>
        <v>2020</v>
      </c>
      <c r="AB640" s="7">
        <f t="shared" si="136"/>
        <v>12</v>
      </c>
      <c r="AC640" s="7">
        <f t="shared" si="137"/>
        <v>1</v>
      </c>
      <c r="AD640" s="7" t="str">
        <f t="shared" si="138"/>
        <v>No</v>
      </c>
      <c r="AE640" s="7" t="str">
        <f t="shared" si="139"/>
        <v>Normal</v>
      </c>
    </row>
    <row r="641" spans="1:31">
      <c r="A641" t="s">
        <v>2087</v>
      </c>
      <c r="B641">
        <v>22550720</v>
      </c>
      <c r="C641" t="s">
        <v>2088</v>
      </c>
      <c r="D641" t="s">
        <v>1995</v>
      </c>
      <c r="E641" t="s">
        <v>20</v>
      </c>
      <c r="F641" t="s">
        <v>180</v>
      </c>
      <c r="G641" t="s">
        <v>121</v>
      </c>
      <c r="I641" t="s">
        <v>3372</v>
      </c>
      <c r="J641">
        <v>12257.81</v>
      </c>
      <c r="K641" t="s">
        <v>47</v>
      </c>
      <c r="L641" t="s">
        <v>81</v>
      </c>
      <c r="M641" s="1">
        <v>45287.38958333333</v>
      </c>
      <c r="N641">
        <v>78</v>
      </c>
      <c r="O641" t="s">
        <v>37</v>
      </c>
      <c r="P641" t="s">
        <v>54</v>
      </c>
      <c r="Q641" t="s">
        <v>2089</v>
      </c>
      <c r="R641" t="str">
        <f t="shared" si="126"/>
        <v>Lucas Rodriguez</v>
      </c>
      <c r="S641" t="str">
        <f t="shared" si="127"/>
        <v>Lucas Martin</v>
      </c>
      <c r="T641" t="str">
        <f t="shared" si="128"/>
        <v>zar</v>
      </c>
      <c r="U641" s="7" t="str">
        <f t="shared" si="129"/>
        <v>INR</v>
      </c>
      <c r="V641" s="7" t="str">
        <f t="shared" si="130"/>
        <v>South Africa</v>
      </c>
      <c r="W641" s="7" t="str">
        <f t="shared" si="131"/>
        <v>India</v>
      </c>
      <c r="X641" s="7" t="str">
        <f t="shared" si="132"/>
        <v>Outer-Transaction</v>
      </c>
      <c r="Y641" s="7">
        <f t="shared" si="133"/>
        <v>12257.81</v>
      </c>
      <c r="Z641" s="7">
        <f t="shared" si="134"/>
        <v>78</v>
      </c>
      <c r="AA641" s="7">
        <f t="shared" si="135"/>
        <v>2023</v>
      </c>
      <c r="AB641" s="7">
        <f t="shared" si="136"/>
        <v>12</v>
      </c>
      <c r="AC641" s="7">
        <f t="shared" si="137"/>
        <v>1</v>
      </c>
      <c r="AD641" s="7" t="str">
        <f t="shared" si="138"/>
        <v>No</v>
      </c>
      <c r="AE641" s="7" t="str">
        <f t="shared" si="139"/>
        <v>Normal</v>
      </c>
    </row>
    <row r="642" spans="1:31">
      <c r="A642" t="s">
        <v>2090</v>
      </c>
      <c r="B642">
        <v>70714168</v>
      </c>
      <c r="C642" t="s">
        <v>111</v>
      </c>
      <c r="D642" t="s">
        <v>1050</v>
      </c>
      <c r="E642" t="s">
        <v>33</v>
      </c>
      <c r="F642" t="s">
        <v>180</v>
      </c>
      <c r="G642" t="s">
        <v>116</v>
      </c>
      <c r="I642" t="s">
        <v>3371</v>
      </c>
      <c r="J642">
        <v>2945.88</v>
      </c>
      <c r="K642" t="s">
        <v>47</v>
      </c>
      <c r="L642" t="s">
        <v>48</v>
      </c>
      <c r="M642" s="1">
        <v>44759.539583333331</v>
      </c>
      <c r="N642">
        <v>39</v>
      </c>
      <c r="O642" t="s">
        <v>36</v>
      </c>
      <c r="P642" t="s">
        <v>54</v>
      </c>
      <c r="Q642" t="s">
        <v>2091</v>
      </c>
      <c r="R642" t="str">
        <f t="shared" ref="R642:R705" si="140">TRIM(C642)</f>
        <v>Karen Rostova</v>
      </c>
      <c r="S642" t="str">
        <f t="shared" ref="S642:S705" si="141">PROPER(D642)</f>
        <v>Linda Smith</v>
      </c>
      <c r="T642" t="str">
        <f t="shared" ref="T642:T705" si="142">TRIM(F642)</f>
        <v>zar</v>
      </c>
      <c r="U642" s="7" t="str">
        <f t="shared" ref="U642:U705" si="143">TRIM(G642)</f>
        <v>CHF</v>
      </c>
      <c r="V642" s="7" t="str">
        <f t="shared" ref="V642:V705" si="144">TRIM(O642)</f>
        <v>Germany</v>
      </c>
      <c r="W642" s="7" t="str">
        <f t="shared" ref="W642:W705" si="145">TRIM(P642)</f>
        <v>India</v>
      </c>
      <c r="X642" s="7" t="str">
        <f t="shared" ref="X642:X705" si="146">PROPER(I642)</f>
        <v>Outer-Transaction</v>
      </c>
      <c r="Y642" s="7">
        <f t="shared" ref="Y642:Y705" si="147">IF(J642="",AVERAGE($J:$J),J642)</f>
        <v>2945.88</v>
      </c>
      <c r="Z642" s="7">
        <f t="shared" ref="Z642:Z705" si="148">IF(N642="",AVERAGE($N:$N),N642)</f>
        <v>39</v>
      </c>
      <c r="AA642" s="7">
        <f t="shared" ref="AA642:AA705" si="149">YEAR(M642)</f>
        <v>2022</v>
      </c>
      <c r="AB642" s="7">
        <f t="shared" ref="AB642:AB705" si="150">MONTH(M642)</f>
        <v>7</v>
      </c>
      <c r="AC642" s="7">
        <f t="shared" ref="AC642:AC705" si="151">COUNTIF(A:A,A642)</f>
        <v>1</v>
      </c>
      <c r="AD642" s="7" t="str">
        <f t="shared" ref="AD642:AD705" si="152">IF(C642="YES","Yes","No")</f>
        <v>No</v>
      </c>
      <c r="AE642" s="7" t="str">
        <f t="shared" ref="AE642:AE705" si="153">IF(L642="HIGH","High Risk","Normal")</f>
        <v>Normal</v>
      </c>
    </row>
    <row r="643" spans="1:31">
      <c r="A643" t="s">
        <v>2092</v>
      </c>
      <c r="B643">
        <v>59209911</v>
      </c>
      <c r="C643" t="s">
        <v>342</v>
      </c>
      <c r="D643" t="s">
        <v>2093</v>
      </c>
      <c r="E643" t="s">
        <v>20</v>
      </c>
      <c r="F643" t="s">
        <v>45</v>
      </c>
      <c r="G643" t="s">
        <v>92</v>
      </c>
      <c r="H643" t="s">
        <v>103</v>
      </c>
      <c r="I643" t="s">
        <v>3377</v>
      </c>
      <c r="J643">
        <v>8000.11</v>
      </c>
      <c r="K643" t="s">
        <v>39</v>
      </c>
      <c r="L643" t="s">
        <v>28</v>
      </c>
      <c r="M643" s="1">
        <v>43930.355555555558</v>
      </c>
      <c r="N643">
        <v>38</v>
      </c>
      <c r="O643" t="s">
        <v>93</v>
      </c>
      <c r="P643" t="s">
        <v>127</v>
      </c>
      <c r="Q643" t="s">
        <v>2094</v>
      </c>
      <c r="R643" t="str">
        <f t="shared" si="140"/>
        <v>Sanjay Dubois</v>
      </c>
      <c r="S643" t="str">
        <f t="shared" si="141"/>
        <v xml:space="preserve"> Carlos Dubois   </v>
      </c>
      <c r="T643" t="str">
        <f t="shared" si="142"/>
        <v>ZAR</v>
      </c>
      <c r="U643" s="7" t="str">
        <f t="shared" si="143"/>
        <v>AUD</v>
      </c>
      <c r="V643" s="7" t="str">
        <f t="shared" si="144"/>
        <v>USA</v>
      </c>
      <c r="W643" s="7" t="str">
        <f t="shared" si="145"/>
        <v>Canada</v>
      </c>
      <c r="X643" s="7" t="str">
        <f t="shared" si="146"/>
        <v>Inter-Transaction</v>
      </c>
      <c r="Y643" s="7">
        <f t="shared" si="147"/>
        <v>8000.11</v>
      </c>
      <c r="Z643" s="7">
        <f t="shared" si="148"/>
        <v>38</v>
      </c>
      <c r="AA643" s="7">
        <f t="shared" si="149"/>
        <v>2020</v>
      </c>
      <c r="AB643" s="7">
        <f t="shared" si="150"/>
        <v>4</v>
      </c>
      <c r="AC643" s="7">
        <f t="shared" si="151"/>
        <v>1</v>
      </c>
      <c r="AD643" s="7" t="str">
        <f t="shared" si="152"/>
        <v>No</v>
      </c>
      <c r="AE643" s="7" t="str">
        <f t="shared" si="153"/>
        <v>Normal</v>
      </c>
    </row>
    <row r="644" spans="1:31">
      <c r="A644" t="s">
        <v>2095</v>
      </c>
      <c r="B644">
        <v>84490480</v>
      </c>
      <c r="C644" t="s">
        <v>486</v>
      </c>
      <c r="D644" t="s">
        <v>2068</v>
      </c>
      <c r="E644">
        <v>0</v>
      </c>
      <c r="F644" t="s">
        <v>116</v>
      </c>
      <c r="G644" t="s">
        <v>34</v>
      </c>
      <c r="I644" t="s">
        <v>3372</v>
      </c>
      <c r="J644">
        <v>2590.3000000000002</v>
      </c>
      <c r="K644" t="s">
        <v>39</v>
      </c>
      <c r="L644" t="s">
        <v>75</v>
      </c>
      <c r="M644" s="1">
        <v>45512.574305555558</v>
      </c>
      <c r="N644">
        <v>18</v>
      </c>
      <c r="O644" t="s">
        <v>24</v>
      </c>
      <c r="P644" t="s">
        <v>54</v>
      </c>
      <c r="Q644" t="s">
        <v>2096</v>
      </c>
      <c r="R644" t="str">
        <f t="shared" si="140"/>
        <v>Carlos Velez</v>
      </c>
      <c r="S644" t="str">
        <f t="shared" si="141"/>
        <v>Charles Volkov</v>
      </c>
      <c r="T644" t="str">
        <f t="shared" si="142"/>
        <v>CHF</v>
      </c>
      <c r="U644" s="7" t="str">
        <f t="shared" si="143"/>
        <v>CAD</v>
      </c>
      <c r="V644" s="7" t="str">
        <f t="shared" si="144"/>
        <v>Brazil</v>
      </c>
      <c r="W644" s="7" t="str">
        <f t="shared" si="145"/>
        <v>India</v>
      </c>
      <c r="X644" s="7" t="str">
        <f t="shared" si="146"/>
        <v>Outer-Transaction</v>
      </c>
      <c r="Y644" s="7">
        <f t="shared" si="147"/>
        <v>2590.3000000000002</v>
      </c>
      <c r="Z644" s="7">
        <f t="shared" si="148"/>
        <v>18</v>
      </c>
      <c r="AA644" s="7">
        <f t="shared" si="149"/>
        <v>2024</v>
      </c>
      <c r="AB644" s="7">
        <f t="shared" si="150"/>
        <v>8</v>
      </c>
      <c r="AC644" s="7">
        <f t="shared" si="151"/>
        <v>1</v>
      </c>
      <c r="AD644" s="7" t="str">
        <f t="shared" si="152"/>
        <v>No</v>
      </c>
      <c r="AE644" s="7" t="str">
        <f t="shared" si="153"/>
        <v>High Risk</v>
      </c>
    </row>
    <row r="645" spans="1:31">
      <c r="A645" t="s">
        <v>2097</v>
      </c>
      <c r="B645">
        <v>81866578</v>
      </c>
      <c r="C645" t="s">
        <v>1970</v>
      </c>
      <c r="D645" t="s">
        <v>2098</v>
      </c>
      <c r="E645" t="s">
        <v>20</v>
      </c>
      <c r="F645" t="s">
        <v>22</v>
      </c>
      <c r="G645" t="s">
        <v>21</v>
      </c>
      <c r="H645" t="s">
        <v>56</v>
      </c>
      <c r="I645" t="s">
        <v>3372</v>
      </c>
      <c r="J645">
        <v>13640.9</v>
      </c>
      <c r="K645" t="s">
        <v>27</v>
      </c>
      <c r="L645" t="s">
        <v>48</v>
      </c>
      <c r="M645" s="1">
        <v>45887.801388888889</v>
      </c>
      <c r="N645">
        <v>22</v>
      </c>
      <c r="O645" t="s">
        <v>127</v>
      </c>
      <c r="P645" t="s">
        <v>23</v>
      </c>
      <c r="Q645" t="s">
        <v>2099</v>
      </c>
      <c r="R645" t="str">
        <f t="shared" si="140"/>
        <v>Thomas Souza</v>
      </c>
      <c r="S645" t="str">
        <f t="shared" si="141"/>
        <v>Robert Malik</v>
      </c>
      <c r="T645" t="str">
        <f t="shared" si="142"/>
        <v>BRL</v>
      </c>
      <c r="U645" s="7" t="str">
        <f t="shared" si="143"/>
        <v>GBP</v>
      </c>
      <c r="V645" s="7" t="str">
        <f t="shared" si="144"/>
        <v>Canada</v>
      </c>
      <c r="W645" s="7" t="str">
        <f t="shared" si="145"/>
        <v>France</v>
      </c>
      <c r="X645" s="7" t="str">
        <f t="shared" si="146"/>
        <v>Outer-Transaction</v>
      </c>
      <c r="Y645" s="7">
        <f t="shared" si="147"/>
        <v>13640.9</v>
      </c>
      <c r="Z645" s="7">
        <f t="shared" si="148"/>
        <v>22</v>
      </c>
      <c r="AA645" s="7">
        <f t="shared" si="149"/>
        <v>2025</v>
      </c>
      <c r="AB645" s="7">
        <f t="shared" si="150"/>
        <v>8</v>
      </c>
      <c r="AC645" s="7">
        <f t="shared" si="151"/>
        <v>1</v>
      </c>
      <c r="AD645" s="7" t="str">
        <f t="shared" si="152"/>
        <v>No</v>
      </c>
      <c r="AE645" s="7" t="str">
        <f t="shared" si="153"/>
        <v>Normal</v>
      </c>
    </row>
    <row r="646" spans="1:31">
      <c r="A646" t="s">
        <v>2100</v>
      </c>
      <c r="B646">
        <v>19955322</v>
      </c>
      <c r="C646" t="s">
        <v>297</v>
      </c>
      <c r="D646" t="s">
        <v>2101</v>
      </c>
      <c r="E646" t="s">
        <v>20</v>
      </c>
      <c r="F646" t="s">
        <v>98</v>
      </c>
      <c r="G646" t="s">
        <v>35</v>
      </c>
      <c r="H646" t="s">
        <v>74</v>
      </c>
      <c r="I646" t="s">
        <v>3371</v>
      </c>
      <c r="J646">
        <v>12045.02</v>
      </c>
      <c r="K646" t="s">
        <v>47</v>
      </c>
      <c r="L646" t="s">
        <v>28</v>
      </c>
      <c r="M646" s="1">
        <v>44883.011111111111</v>
      </c>
      <c r="N646">
        <v>29</v>
      </c>
      <c r="O646" t="s">
        <v>68</v>
      </c>
      <c r="P646" t="s">
        <v>23</v>
      </c>
      <c r="Q646" t="s">
        <v>2102</v>
      </c>
      <c r="R646" t="str">
        <f t="shared" si="140"/>
        <v>Elizabeth Moore</v>
      </c>
      <c r="S646" t="str">
        <f t="shared" si="141"/>
        <v>Karen Williams</v>
      </c>
      <c r="T646" t="str">
        <f t="shared" si="142"/>
        <v>JPY</v>
      </c>
      <c r="U646" s="7" t="str">
        <f t="shared" si="143"/>
        <v>EUR</v>
      </c>
      <c r="V646" s="7" t="str">
        <f t="shared" si="144"/>
        <v>UAE</v>
      </c>
      <c r="W646" s="7" t="str">
        <f t="shared" si="145"/>
        <v>France</v>
      </c>
      <c r="X646" s="7" t="str">
        <f t="shared" si="146"/>
        <v>Outer-Transaction</v>
      </c>
      <c r="Y646" s="7">
        <f t="shared" si="147"/>
        <v>12045.02</v>
      </c>
      <c r="Z646" s="7">
        <f t="shared" si="148"/>
        <v>29</v>
      </c>
      <c r="AA646" s="7">
        <f t="shared" si="149"/>
        <v>2022</v>
      </c>
      <c r="AB646" s="7">
        <f t="shared" si="150"/>
        <v>11</v>
      </c>
      <c r="AC646" s="7">
        <f t="shared" si="151"/>
        <v>1</v>
      </c>
      <c r="AD646" s="7" t="str">
        <f t="shared" si="152"/>
        <v>No</v>
      </c>
      <c r="AE646" s="7" t="str">
        <f t="shared" si="153"/>
        <v>Normal</v>
      </c>
    </row>
    <row r="647" spans="1:31">
      <c r="A647" t="s">
        <v>2103</v>
      </c>
      <c r="B647">
        <v>47085870</v>
      </c>
      <c r="C647" t="s">
        <v>168</v>
      </c>
      <c r="D647" t="s">
        <v>540</v>
      </c>
      <c r="E647" t="s">
        <v>3375</v>
      </c>
      <c r="F647" t="s">
        <v>80</v>
      </c>
      <c r="G647" t="s">
        <v>45</v>
      </c>
      <c r="I647" t="s">
        <v>3374</v>
      </c>
      <c r="J647">
        <v>8791.75</v>
      </c>
      <c r="K647" t="s">
        <v>86</v>
      </c>
      <c r="L647" t="s">
        <v>48</v>
      </c>
      <c r="M647" s="1">
        <v>46340.978472222225</v>
      </c>
      <c r="N647">
        <v>63</v>
      </c>
      <c r="O647" t="s">
        <v>37</v>
      </c>
      <c r="P647" t="s">
        <v>36</v>
      </c>
      <c r="Q647" t="s">
        <v>2104</v>
      </c>
      <c r="R647" t="str">
        <f t="shared" si="140"/>
        <v>Zayn Hernandez</v>
      </c>
      <c r="S647" t="str">
        <f t="shared" si="141"/>
        <v>John Johnson</v>
      </c>
      <c r="T647" t="str">
        <f t="shared" si="142"/>
        <v>USD</v>
      </c>
      <c r="U647" s="7" t="str">
        <f t="shared" si="143"/>
        <v>ZAR</v>
      </c>
      <c r="V647" s="7" t="str">
        <f t="shared" si="144"/>
        <v>South Africa</v>
      </c>
      <c r="W647" s="7" t="str">
        <f t="shared" si="145"/>
        <v>Germany</v>
      </c>
      <c r="X647" s="7" t="str">
        <f t="shared" si="146"/>
        <v>External</v>
      </c>
      <c r="Y647" s="7">
        <f t="shared" si="147"/>
        <v>8791.75</v>
      </c>
      <c r="Z647" s="7">
        <f t="shared" si="148"/>
        <v>63</v>
      </c>
      <c r="AA647" s="7">
        <f t="shared" si="149"/>
        <v>2026</v>
      </c>
      <c r="AB647" s="7">
        <f t="shared" si="150"/>
        <v>11</v>
      </c>
      <c r="AC647" s="7">
        <f t="shared" si="151"/>
        <v>1</v>
      </c>
      <c r="AD647" s="7" t="str">
        <f t="shared" si="152"/>
        <v>No</v>
      </c>
      <c r="AE647" s="7" t="str">
        <f t="shared" si="153"/>
        <v>Normal</v>
      </c>
    </row>
    <row r="648" spans="1:31">
      <c r="A648" t="s">
        <v>2105</v>
      </c>
      <c r="B648">
        <v>30102493</v>
      </c>
      <c r="C648" t="s">
        <v>793</v>
      </c>
      <c r="D648" t="s">
        <v>387</v>
      </c>
      <c r="E648" t="s">
        <v>20</v>
      </c>
      <c r="F648" t="s">
        <v>98</v>
      </c>
      <c r="G648" t="s">
        <v>45</v>
      </c>
      <c r="I648" t="s">
        <v>3376</v>
      </c>
      <c r="J648">
        <v>8104.8</v>
      </c>
      <c r="K648" t="s">
        <v>57</v>
      </c>
      <c r="L648" t="s">
        <v>81</v>
      </c>
      <c r="M648" s="1">
        <v>44751.540277777778</v>
      </c>
      <c r="N648">
        <v>51</v>
      </c>
      <c r="O648" t="s">
        <v>93</v>
      </c>
      <c r="P648" t="s">
        <v>55</v>
      </c>
      <c r="Q648" t="s">
        <v>2106</v>
      </c>
      <c r="R648" t="str">
        <f t="shared" si="140"/>
        <v>Susan Hernandez</v>
      </c>
      <c r="S648" t="str">
        <f t="shared" si="141"/>
        <v>Joseph Velez</v>
      </c>
      <c r="T648" t="str">
        <f t="shared" si="142"/>
        <v>JPY</v>
      </c>
      <c r="U648" s="7" t="str">
        <f t="shared" si="143"/>
        <v>ZAR</v>
      </c>
      <c r="V648" s="7" t="str">
        <f t="shared" si="144"/>
        <v>USA</v>
      </c>
      <c r="W648" s="7" t="str">
        <f t="shared" si="145"/>
        <v>UK</v>
      </c>
      <c r="X648" s="7" t="str">
        <f t="shared" si="146"/>
        <v>Internal</v>
      </c>
      <c r="Y648" s="7">
        <f t="shared" si="147"/>
        <v>8104.8</v>
      </c>
      <c r="Z648" s="7">
        <f t="shared" si="148"/>
        <v>51</v>
      </c>
      <c r="AA648" s="7">
        <f t="shared" si="149"/>
        <v>2022</v>
      </c>
      <c r="AB648" s="7">
        <f t="shared" si="150"/>
        <v>7</v>
      </c>
      <c r="AC648" s="7">
        <f t="shared" si="151"/>
        <v>1</v>
      </c>
      <c r="AD648" s="7" t="str">
        <f t="shared" si="152"/>
        <v>No</v>
      </c>
      <c r="AE648" s="7" t="str">
        <f t="shared" si="153"/>
        <v>Normal</v>
      </c>
    </row>
    <row r="649" spans="1:31">
      <c r="A649" t="s">
        <v>2107</v>
      </c>
      <c r="B649">
        <v>68343093</v>
      </c>
      <c r="C649" t="s">
        <v>2108</v>
      </c>
      <c r="D649" t="s">
        <v>1562</v>
      </c>
      <c r="E649" t="s">
        <v>20</v>
      </c>
      <c r="F649" t="s">
        <v>45</v>
      </c>
      <c r="G649" t="s">
        <v>53</v>
      </c>
      <c r="H649" t="s">
        <v>103</v>
      </c>
      <c r="I649" t="s">
        <v>3376</v>
      </c>
      <c r="J649">
        <v>2257.88</v>
      </c>
      <c r="K649" t="s">
        <v>39</v>
      </c>
      <c r="L649" t="s">
        <v>28</v>
      </c>
      <c r="M649" s="1">
        <v>46268.615972222222</v>
      </c>
      <c r="N649">
        <v>66</v>
      </c>
      <c r="O649" t="s">
        <v>54</v>
      </c>
      <c r="P649" t="s">
        <v>68</v>
      </c>
      <c r="Q649" t="s">
        <v>2109</v>
      </c>
      <c r="R649" t="str">
        <f t="shared" si="140"/>
        <v>Thomas Smith</v>
      </c>
      <c r="S649" t="str">
        <f t="shared" si="141"/>
        <v>Mary Martin</v>
      </c>
      <c r="T649" t="str">
        <f t="shared" si="142"/>
        <v>ZAR</v>
      </c>
      <c r="U649" s="7" t="str">
        <f t="shared" si="143"/>
        <v>AED</v>
      </c>
      <c r="V649" s="7" t="str">
        <f t="shared" si="144"/>
        <v>India</v>
      </c>
      <c r="W649" s="7" t="str">
        <f t="shared" si="145"/>
        <v>UAE</v>
      </c>
      <c r="X649" s="7" t="str">
        <f t="shared" si="146"/>
        <v>Internal</v>
      </c>
      <c r="Y649" s="7">
        <f t="shared" si="147"/>
        <v>2257.88</v>
      </c>
      <c r="Z649" s="7">
        <f t="shared" si="148"/>
        <v>66</v>
      </c>
      <c r="AA649" s="7">
        <f t="shared" si="149"/>
        <v>2026</v>
      </c>
      <c r="AB649" s="7">
        <f t="shared" si="150"/>
        <v>9</v>
      </c>
      <c r="AC649" s="7">
        <f t="shared" si="151"/>
        <v>1</v>
      </c>
      <c r="AD649" s="7" t="str">
        <f t="shared" si="152"/>
        <v>No</v>
      </c>
      <c r="AE649" s="7" t="str">
        <f t="shared" si="153"/>
        <v>Normal</v>
      </c>
    </row>
    <row r="650" spans="1:31">
      <c r="A650" t="s">
        <v>2110</v>
      </c>
      <c r="B650">
        <v>32848643</v>
      </c>
      <c r="C650" t="s">
        <v>2111</v>
      </c>
      <c r="D650" t="s">
        <v>1809</v>
      </c>
      <c r="E650" t="s">
        <v>20</v>
      </c>
      <c r="F650" t="s">
        <v>22</v>
      </c>
      <c r="G650" t="s">
        <v>80</v>
      </c>
      <c r="H650" t="s">
        <v>38</v>
      </c>
      <c r="I650" t="s">
        <v>3372</v>
      </c>
      <c r="J650">
        <v>9275.19</v>
      </c>
      <c r="K650" t="s">
        <v>86</v>
      </c>
      <c r="L650" t="s">
        <v>48</v>
      </c>
      <c r="M650" s="1">
        <v>44462.625694444447</v>
      </c>
      <c r="N650">
        <v>62</v>
      </c>
      <c r="O650" t="s">
        <v>68</v>
      </c>
      <c r="P650" t="s">
        <v>37</v>
      </c>
      <c r="Q650" t="s">
        <v>2112</v>
      </c>
      <c r="R650" t="str">
        <f t="shared" si="140"/>
        <v>Lucas Jackson</v>
      </c>
      <c r="S650" t="str">
        <f t="shared" si="141"/>
        <v>Joseph Al-Sayed</v>
      </c>
      <c r="T650" t="str">
        <f t="shared" si="142"/>
        <v>BRL</v>
      </c>
      <c r="U650" s="7" t="str">
        <f t="shared" si="143"/>
        <v>USD</v>
      </c>
      <c r="V650" s="7" t="str">
        <f t="shared" si="144"/>
        <v>UAE</v>
      </c>
      <c r="W650" s="7" t="str">
        <f t="shared" si="145"/>
        <v>South Africa</v>
      </c>
      <c r="X650" s="7" t="str">
        <f t="shared" si="146"/>
        <v>Outer-Transaction</v>
      </c>
      <c r="Y650" s="7">
        <f t="shared" si="147"/>
        <v>9275.19</v>
      </c>
      <c r="Z650" s="7">
        <f t="shared" si="148"/>
        <v>62</v>
      </c>
      <c r="AA650" s="7">
        <f t="shared" si="149"/>
        <v>2021</v>
      </c>
      <c r="AB650" s="7">
        <f t="shared" si="150"/>
        <v>9</v>
      </c>
      <c r="AC650" s="7">
        <f t="shared" si="151"/>
        <v>1</v>
      </c>
      <c r="AD650" s="7" t="str">
        <f t="shared" si="152"/>
        <v>No</v>
      </c>
      <c r="AE650" s="7" t="str">
        <f t="shared" si="153"/>
        <v>Normal</v>
      </c>
    </row>
    <row r="651" spans="1:31">
      <c r="A651" t="s">
        <v>2113</v>
      </c>
      <c r="B651">
        <v>84597332</v>
      </c>
      <c r="C651" t="s">
        <v>2114</v>
      </c>
      <c r="D651" t="s">
        <v>839</v>
      </c>
      <c r="E651" t="s">
        <v>20</v>
      </c>
      <c r="F651" t="s">
        <v>22</v>
      </c>
      <c r="G651" t="s">
        <v>53</v>
      </c>
      <c r="H651" t="s">
        <v>74</v>
      </c>
      <c r="I651" t="s">
        <v>3376</v>
      </c>
      <c r="J651">
        <v>2915.9</v>
      </c>
      <c r="K651" t="s">
        <v>47</v>
      </c>
      <c r="L651" t="s">
        <v>28</v>
      </c>
      <c r="M651" s="1">
        <v>44512.688194444447</v>
      </c>
      <c r="N651">
        <v>44</v>
      </c>
      <c r="O651" t="s">
        <v>62</v>
      </c>
      <c r="P651" t="s">
        <v>127</v>
      </c>
      <c r="Q651" t="s">
        <v>2115</v>
      </c>
      <c r="R651" t="str">
        <f t="shared" si="140"/>
        <v>Priya Taylor</v>
      </c>
      <c r="S651" t="str">
        <f t="shared" si="141"/>
        <v>Fatima Smith</v>
      </c>
      <c r="T651" t="str">
        <f t="shared" si="142"/>
        <v>BRL</v>
      </c>
      <c r="U651" s="7" t="str">
        <f t="shared" si="143"/>
        <v>AED</v>
      </c>
      <c r="V651" s="7" t="str">
        <f t="shared" si="144"/>
        <v>Australia</v>
      </c>
      <c r="W651" s="7" t="str">
        <f t="shared" si="145"/>
        <v>Canada</v>
      </c>
      <c r="X651" s="7" t="str">
        <f t="shared" si="146"/>
        <v>Internal</v>
      </c>
      <c r="Y651" s="7">
        <f t="shared" si="147"/>
        <v>2915.9</v>
      </c>
      <c r="Z651" s="7">
        <f t="shared" si="148"/>
        <v>44</v>
      </c>
      <c r="AA651" s="7">
        <f t="shared" si="149"/>
        <v>2021</v>
      </c>
      <c r="AB651" s="7">
        <f t="shared" si="150"/>
        <v>11</v>
      </c>
      <c r="AC651" s="7">
        <f t="shared" si="151"/>
        <v>1</v>
      </c>
      <c r="AD651" s="7" t="str">
        <f t="shared" si="152"/>
        <v>No</v>
      </c>
      <c r="AE651" s="7" t="str">
        <f t="shared" si="153"/>
        <v>Normal</v>
      </c>
    </row>
    <row r="652" spans="1:31">
      <c r="A652" t="s">
        <v>2116</v>
      </c>
      <c r="B652">
        <v>86694751</v>
      </c>
      <c r="C652" t="s">
        <v>412</v>
      </c>
      <c r="D652" t="s">
        <v>2117</v>
      </c>
      <c r="E652" t="s">
        <v>20</v>
      </c>
      <c r="F652" t="s">
        <v>176</v>
      </c>
      <c r="G652" t="s">
        <v>21</v>
      </c>
      <c r="H652" t="s">
        <v>38</v>
      </c>
      <c r="I652" t="s">
        <v>3372</v>
      </c>
      <c r="J652">
        <v>3215.98</v>
      </c>
      <c r="K652" t="s">
        <v>57</v>
      </c>
      <c r="L652" t="s">
        <v>75</v>
      </c>
      <c r="M652" s="1">
        <v>46035.421527777777</v>
      </c>
      <c r="N652">
        <v>43</v>
      </c>
      <c r="O652" t="s">
        <v>24</v>
      </c>
      <c r="P652" t="s">
        <v>37</v>
      </c>
      <c r="Q652" t="s">
        <v>2118</v>
      </c>
      <c r="R652" t="str">
        <f t="shared" si="140"/>
        <v>Sanjay Velez</v>
      </c>
      <c r="S652" t="str">
        <f t="shared" si="141"/>
        <v>Marta Al-Sayed</v>
      </c>
      <c r="T652" t="str">
        <f t="shared" si="142"/>
        <v>aed</v>
      </c>
      <c r="U652" s="7" t="str">
        <f t="shared" si="143"/>
        <v>GBP</v>
      </c>
      <c r="V652" s="7" t="str">
        <f t="shared" si="144"/>
        <v>Brazil</v>
      </c>
      <c r="W652" s="7" t="str">
        <f t="shared" si="145"/>
        <v>South Africa</v>
      </c>
      <c r="X652" s="7" t="str">
        <f t="shared" si="146"/>
        <v>Outer-Transaction</v>
      </c>
      <c r="Y652" s="7">
        <f t="shared" si="147"/>
        <v>3215.98</v>
      </c>
      <c r="Z652" s="7">
        <f t="shared" si="148"/>
        <v>43</v>
      </c>
      <c r="AA652" s="7">
        <f t="shared" si="149"/>
        <v>2026</v>
      </c>
      <c r="AB652" s="7">
        <f t="shared" si="150"/>
        <v>1</v>
      </c>
      <c r="AC652" s="7">
        <f t="shared" si="151"/>
        <v>1</v>
      </c>
      <c r="AD652" s="7" t="str">
        <f t="shared" si="152"/>
        <v>No</v>
      </c>
      <c r="AE652" s="7" t="str">
        <f t="shared" si="153"/>
        <v>High Risk</v>
      </c>
    </row>
    <row r="653" spans="1:31">
      <c r="A653" t="s">
        <v>2119</v>
      </c>
      <c r="B653">
        <v>60152461</v>
      </c>
      <c r="C653" t="s">
        <v>2120</v>
      </c>
      <c r="D653" t="s">
        <v>365</v>
      </c>
      <c r="E653" t="s">
        <v>20</v>
      </c>
      <c r="F653" t="s">
        <v>92</v>
      </c>
      <c r="G653" t="s">
        <v>121</v>
      </c>
      <c r="I653" t="s">
        <v>3377</v>
      </c>
      <c r="J653">
        <v>10033.280000000001</v>
      </c>
      <c r="K653" t="s">
        <v>39</v>
      </c>
      <c r="L653" t="s">
        <v>81</v>
      </c>
      <c r="M653" s="1">
        <v>46213.793055555558</v>
      </c>
      <c r="N653">
        <v>64</v>
      </c>
      <c r="O653" t="s">
        <v>93</v>
      </c>
      <c r="P653" t="s">
        <v>68</v>
      </c>
      <c r="Q653" t="s">
        <v>2121</v>
      </c>
      <c r="R653" t="str">
        <f t="shared" si="140"/>
        <v>Jean-Pierre Martinez</v>
      </c>
      <c r="S653" t="str">
        <f t="shared" si="141"/>
        <v>Zayn Malik</v>
      </c>
      <c r="T653" t="str">
        <f t="shared" si="142"/>
        <v>AUD</v>
      </c>
      <c r="U653" s="7" t="str">
        <f t="shared" si="143"/>
        <v>INR</v>
      </c>
      <c r="V653" s="7" t="str">
        <f t="shared" si="144"/>
        <v>USA</v>
      </c>
      <c r="W653" s="7" t="str">
        <f t="shared" si="145"/>
        <v>UAE</v>
      </c>
      <c r="X653" s="7" t="str">
        <f t="shared" si="146"/>
        <v>Inter-Transaction</v>
      </c>
      <c r="Y653" s="7">
        <f t="shared" si="147"/>
        <v>10033.280000000001</v>
      </c>
      <c r="Z653" s="7">
        <f t="shared" si="148"/>
        <v>64</v>
      </c>
      <c r="AA653" s="7">
        <f t="shared" si="149"/>
        <v>2026</v>
      </c>
      <c r="AB653" s="7">
        <f t="shared" si="150"/>
        <v>7</v>
      </c>
      <c r="AC653" s="7">
        <f t="shared" si="151"/>
        <v>1</v>
      </c>
      <c r="AD653" s="7" t="str">
        <f t="shared" si="152"/>
        <v>No</v>
      </c>
      <c r="AE653" s="7" t="str">
        <f t="shared" si="153"/>
        <v>Normal</v>
      </c>
    </row>
    <row r="654" spans="1:31">
      <c r="A654" t="s">
        <v>2122</v>
      </c>
      <c r="B654">
        <v>40315274</v>
      </c>
      <c r="C654" t="s">
        <v>146</v>
      </c>
      <c r="D654" t="s">
        <v>311</v>
      </c>
      <c r="E654" t="s">
        <v>20</v>
      </c>
      <c r="F654" t="s">
        <v>98</v>
      </c>
      <c r="G654" t="s">
        <v>98</v>
      </c>
      <c r="I654" t="s">
        <v>3377</v>
      </c>
      <c r="J654">
        <v>10108.43</v>
      </c>
      <c r="K654" t="s">
        <v>57</v>
      </c>
      <c r="L654" t="s">
        <v>28</v>
      </c>
      <c r="M654" s="1">
        <v>46138.47152777778</v>
      </c>
      <c r="N654">
        <v>73</v>
      </c>
      <c r="O654" t="s">
        <v>55</v>
      </c>
      <c r="P654" t="s">
        <v>127</v>
      </c>
      <c r="Q654" t="s">
        <v>2123</v>
      </c>
      <c r="R654" t="str">
        <f t="shared" si="140"/>
        <v>Fatima Brown</v>
      </c>
      <c r="S654" t="str">
        <f t="shared" si="141"/>
        <v>Susan Davis</v>
      </c>
      <c r="T654" t="str">
        <f t="shared" si="142"/>
        <v>JPY</v>
      </c>
      <c r="U654" s="7" t="str">
        <f t="shared" si="143"/>
        <v>JPY</v>
      </c>
      <c r="V654" s="7" t="str">
        <f t="shared" si="144"/>
        <v>UK</v>
      </c>
      <c r="W654" s="7" t="str">
        <f t="shared" si="145"/>
        <v>Canada</v>
      </c>
      <c r="X654" s="7" t="str">
        <f t="shared" si="146"/>
        <v>Inter-Transaction</v>
      </c>
      <c r="Y654" s="7">
        <f t="shared" si="147"/>
        <v>10108.43</v>
      </c>
      <c r="Z654" s="7">
        <f t="shared" si="148"/>
        <v>73</v>
      </c>
      <c r="AA654" s="7">
        <f t="shared" si="149"/>
        <v>2026</v>
      </c>
      <c r="AB654" s="7">
        <f t="shared" si="150"/>
        <v>4</v>
      </c>
      <c r="AC654" s="7">
        <f t="shared" si="151"/>
        <v>1</v>
      </c>
      <c r="AD654" s="7" t="str">
        <f t="shared" si="152"/>
        <v>No</v>
      </c>
      <c r="AE654" s="7" t="str">
        <f t="shared" si="153"/>
        <v>Normal</v>
      </c>
    </row>
    <row r="655" spans="1:31">
      <c r="A655" t="s">
        <v>2124</v>
      </c>
      <c r="B655">
        <v>57655811</v>
      </c>
      <c r="C655" t="s">
        <v>585</v>
      </c>
      <c r="D655" t="s">
        <v>2125</v>
      </c>
      <c r="E655" t="s">
        <v>20</v>
      </c>
      <c r="F655" t="s">
        <v>22</v>
      </c>
      <c r="G655" t="s">
        <v>35</v>
      </c>
      <c r="H655" t="s">
        <v>38</v>
      </c>
      <c r="I655" t="s">
        <v>3372</v>
      </c>
      <c r="J655">
        <v>7897.91</v>
      </c>
      <c r="K655" t="s">
        <v>86</v>
      </c>
      <c r="L655" t="s">
        <v>28</v>
      </c>
      <c r="M655" s="1">
        <v>45960.634027777778</v>
      </c>
      <c r="N655">
        <v>80</v>
      </c>
      <c r="O655" t="s">
        <v>36</v>
      </c>
      <c r="P655" t="s">
        <v>127</v>
      </c>
      <c r="Q655" t="s">
        <v>2126</v>
      </c>
      <c r="R655" t="str">
        <f t="shared" si="140"/>
        <v>William Khan</v>
      </c>
      <c r="S655" t="str">
        <f t="shared" si="141"/>
        <v>Charles Rodriguez</v>
      </c>
      <c r="T655" t="str">
        <f t="shared" si="142"/>
        <v>BRL</v>
      </c>
      <c r="U655" s="7" t="str">
        <f t="shared" si="143"/>
        <v>EUR</v>
      </c>
      <c r="V655" s="7" t="str">
        <f t="shared" si="144"/>
        <v>Germany</v>
      </c>
      <c r="W655" s="7" t="str">
        <f t="shared" si="145"/>
        <v>Canada</v>
      </c>
      <c r="X655" s="7" t="str">
        <f t="shared" si="146"/>
        <v>Outer-Transaction</v>
      </c>
      <c r="Y655" s="7">
        <f t="shared" si="147"/>
        <v>7897.91</v>
      </c>
      <c r="Z655" s="7">
        <f t="shared" si="148"/>
        <v>80</v>
      </c>
      <c r="AA655" s="7">
        <f t="shared" si="149"/>
        <v>2025</v>
      </c>
      <c r="AB655" s="7">
        <f t="shared" si="150"/>
        <v>10</v>
      </c>
      <c r="AC655" s="7">
        <f t="shared" si="151"/>
        <v>1</v>
      </c>
      <c r="AD655" s="7" t="str">
        <f t="shared" si="152"/>
        <v>No</v>
      </c>
      <c r="AE655" s="7" t="str">
        <f t="shared" si="153"/>
        <v>Normal</v>
      </c>
    </row>
    <row r="656" spans="1:31">
      <c r="A656" t="s">
        <v>2127</v>
      </c>
      <c r="B656">
        <v>15262830</v>
      </c>
      <c r="C656" t="s">
        <v>1579</v>
      </c>
      <c r="E656" t="s">
        <v>33</v>
      </c>
      <c r="F656" t="s">
        <v>35</v>
      </c>
      <c r="G656" t="s">
        <v>116</v>
      </c>
      <c r="H656" t="s">
        <v>38</v>
      </c>
      <c r="I656" t="s">
        <v>3372</v>
      </c>
      <c r="J656">
        <v>11685.91</v>
      </c>
      <c r="K656" t="s">
        <v>27</v>
      </c>
      <c r="L656" t="s">
        <v>28</v>
      </c>
      <c r="M656" s="1">
        <v>44584.665277777778</v>
      </c>
      <c r="N656">
        <v>65</v>
      </c>
      <c r="O656" t="s">
        <v>36</v>
      </c>
      <c r="P656" t="s">
        <v>55</v>
      </c>
      <c r="Q656" t="s">
        <v>2128</v>
      </c>
      <c r="R656" t="str">
        <f t="shared" si="140"/>
        <v>Carlos Wilson</v>
      </c>
      <c r="S656" t="str">
        <f t="shared" si="141"/>
        <v/>
      </c>
      <c r="T656" t="str">
        <f t="shared" si="142"/>
        <v>EUR</v>
      </c>
      <c r="U656" s="7" t="str">
        <f t="shared" si="143"/>
        <v>CHF</v>
      </c>
      <c r="V656" s="7" t="str">
        <f t="shared" si="144"/>
        <v>Germany</v>
      </c>
      <c r="W656" s="7" t="str">
        <f t="shared" si="145"/>
        <v>UK</v>
      </c>
      <c r="X656" s="7" t="str">
        <f t="shared" si="146"/>
        <v>Outer-Transaction</v>
      </c>
      <c r="Y656" s="7">
        <f t="shared" si="147"/>
        <v>11685.91</v>
      </c>
      <c r="Z656" s="7">
        <f t="shared" si="148"/>
        <v>65</v>
      </c>
      <c r="AA656" s="7">
        <f t="shared" si="149"/>
        <v>2022</v>
      </c>
      <c r="AB656" s="7">
        <f t="shared" si="150"/>
        <v>1</v>
      </c>
      <c r="AC656" s="7">
        <f t="shared" si="151"/>
        <v>1</v>
      </c>
      <c r="AD656" s="7" t="str">
        <f t="shared" si="152"/>
        <v>No</v>
      </c>
      <c r="AE656" s="7" t="str">
        <f t="shared" si="153"/>
        <v>Normal</v>
      </c>
    </row>
    <row r="657" spans="1:31">
      <c r="A657" t="s">
        <v>2129</v>
      </c>
      <c r="B657">
        <v>27167388</v>
      </c>
      <c r="C657" t="s">
        <v>2130</v>
      </c>
      <c r="D657" t="s">
        <v>96</v>
      </c>
      <c r="E657" t="s">
        <v>20</v>
      </c>
      <c r="F657" t="s">
        <v>22</v>
      </c>
      <c r="G657" t="s">
        <v>92</v>
      </c>
      <c r="H657" t="s">
        <v>38</v>
      </c>
      <c r="I657" t="s">
        <v>3377</v>
      </c>
      <c r="J657">
        <v>14405.92</v>
      </c>
      <c r="K657" t="s">
        <v>39</v>
      </c>
      <c r="L657" t="s">
        <v>28</v>
      </c>
      <c r="M657" s="1">
        <v>45295.866666666669</v>
      </c>
      <c r="N657">
        <v>78</v>
      </c>
      <c r="O657" t="s">
        <v>37</v>
      </c>
      <c r="P657" t="s">
        <v>37</v>
      </c>
      <c r="Q657" t="s">
        <v>2131</v>
      </c>
      <c r="R657" t="str">
        <f t="shared" si="140"/>
        <v>Amir Martin</v>
      </c>
      <c r="S657" t="str">
        <f t="shared" si="141"/>
        <v>Charles Souza</v>
      </c>
      <c r="T657" t="str">
        <f t="shared" si="142"/>
        <v>BRL</v>
      </c>
      <c r="U657" s="7" t="str">
        <f t="shared" si="143"/>
        <v>AUD</v>
      </c>
      <c r="V657" s="7" t="str">
        <f t="shared" si="144"/>
        <v>South Africa</v>
      </c>
      <c r="W657" s="7" t="str">
        <f t="shared" si="145"/>
        <v>South Africa</v>
      </c>
      <c r="X657" s="7" t="str">
        <f t="shared" si="146"/>
        <v>Inter-Transaction</v>
      </c>
      <c r="Y657" s="7">
        <f t="shared" si="147"/>
        <v>14405.92</v>
      </c>
      <c r="Z657" s="7">
        <f t="shared" si="148"/>
        <v>78</v>
      </c>
      <c r="AA657" s="7">
        <f t="shared" si="149"/>
        <v>2024</v>
      </c>
      <c r="AB657" s="7">
        <f t="shared" si="150"/>
        <v>1</v>
      </c>
      <c r="AC657" s="7">
        <f t="shared" si="151"/>
        <v>1</v>
      </c>
      <c r="AD657" s="7" t="str">
        <f t="shared" si="152"/>
        <v>No</v>
      </c>
      <c r="AE657" s="7" t="str">
        <f t="shared" si="153"/>
        <v>Normal</v>
      </c>
    </row>
    <row r="658" spans="1:31">
      <c r="A658" t="s">
        <v>2132</v>
      </c>
      <c r="B658">
        <v>80593346</v>
      </c>
      <c r="C658" t="s">
        <v>2133</v>
      </c>
      <c r="D658" t="s">
        <v>2134</v>
      </c>
      <c r="E658" t="s">
        <v>20</v>
      </c>
      <c r="F658" t="s">
        <v>53</v>
      </c>
      <c r="G658" t="s">
        <v>121</v>
      </c>
      <c r="H658" t="s">
        <v>56</v>
      </c>
      <c r="I658" t="s">
        <v>3371</v>
      </c>
      <c r="J658">
        <v>2567.3000000000002</v>
      </c>
      <c r="K658" t="s">
        <v>47</v>
      </c>
      <c r="L658" t="s">
        <v>48</v>
      </c>
      <c r="M658" s="1">
        <v>44550.45</v>
      </c>
      <c r="N658">
        <v>43</v>
      </c>
      <c r="O658" t="s">
        <v>54</v>
      </c>
      <c r="P658" t="s">
        <v>23</v>
      </c>
      <c r="Q658" t="s">
        <v>2135</v>
      </c>
      <c r="R658" t="str">
        <f t="shared" si="140"/>
        <v>SANJAY DUBOIS</v>
      </c>
      <c r="S658" t="str">
        <f t="shared" si="141"/>
        <v>Christopher Martinez</v>
      </c>
      <c r="T658" t="str">
        <f t="shared" si="142"/>
        <v>AED</v>
      </c>
      <c r="U658" s="7" t="str">
        <f t="shared" si="143"/>
        <v>INR</v>
      </c>
      <c r="V658" s="7" t="str">
        <f t="shared" si="144"/>
        <v>India</v>
      </c>
      <c r="W658" s="7" t="str">
        <f t="shared" si="145"/>
        <v>France</v>
      </c>
      <c r="X658" s="7" t="str">
        <f t="shared" si="146"/>
        <v>Outer-Transaction</v>
      </c>
      <c r="Y658" s="7">
        <f t="shared" si="147"/>
        <v>2567.3000000000002</v>
      </c>
      <c r="Z658" s="7">
        <f t="shared" si="148"/>
        <v>43</v>
      </c>
      <c r="AA658" s="7">
        <f t="shared" si="149"/>
        <v>2021</v>
      </c>
      <c r="AB658" s="7">
        <f t="shared" si="150"/>
        <v>12</v>
      </c>
      <c r="AC658" s="7">
        <f t="shared" si="151"/>
        <v>1</v>
      </c>
      <c r="AD658" s="7" t="str">
        <f t="shared" si="152"/>
        <v>No</v>
      </c>
      <c r="AE658" s="7" t="str">
        <f t="shared" si="153"/>
        <v>Normal</v>
      </c>
    </row>
    <row r="659" spans="1:31">
      <c r="A659" t="s">
        <v>2136</v>
      </c>
      <c r="B659">
        <v>49453084</v>
      </c>
      <c r="C659" t="s">
        <v>408</v>
      </c>
      <c r="D659" t="s">
        <v>2137</v>
      </c>
      <c r="E659">
        <v>1</v>
      </c>
      <c r="F659" t="s">
        <v>80</v>
      </c>
      <c r="G659" t="s">
        <v>34</v>
      </c>
      <c r="H659" t="s">
        <v>56</v>
      </c>
      <c r="I659" t="s">
        <v>3374</v>
      </c>
      <c r="J659">
        <v>704.91</v>
      </c>
      <c r="K659" t="s">
        <v>86</v>
      </c>
      <c r="L659" t="s">
        <v>28</v>
      </c>
      <c r="M659" s="1">
        <v>43905.786805555559</v>
      </c>
      <c r="N659">
        <v>53</v>
      </c>
      <c r="O659" t="s">
        <v>37</v>
      </c>
      <c r="P659" t="s">
        <v>93</v>
      </c>
      <c r="Q659" t="s">
        <v>2138</v>
      </c>
      <c r="R659" t="str">
        <f t="shared" si="140"/>
        <v>Michael Taylor</v>
      </c>
      <c r="S659" t="str">
        <f t="shared" si="141"/>
        <v>Karen Wilson</v>
      </c>
      <c r="T659" t="str">
        <f t="shared" si="142"/>
        <v>USD</v>
      </c>
      <c r="U659" s="7" t="str">
        <f t="shared" si="143"/>
        <v>CAD</v>
      </c>
      <c r="V659" s="7" t="str">
        <f t="shared" si="144"/>
        <v>South Africa</v>
      </c>
      <c r="W659" s="7" t="str">
        <f t="shared" si="145"/>
        <v>USA</v>
      </c>
      <c r="X659" s="7" t="str">
        <f t="shared" si="146"/>
        <v>External</v>
      </c>
      <c r="Y659" s="7">
        <f t="shared" si="147"/>
        <v>704.91</v>
      </c>
      <c r="Z659" s="7">
        <f t="shared" si="148"/>
        <v>53</v>
      </c>
      <c r="AA659" s="7">
        <f t="shared" si="149"/>
        <v>2020</v>
      </c>
      <c r="AB659" s="7">
        <f t="shared" si="150"/>
        <v>3</v>
      </c>
      <c r="AC659" s="7">
        <f t="shared" si="151"/>
        <v>1</v>
      </c>
      <c r="AD659" s="7" t="str">
        <f t="shared" si="152"/>
        <v>No</v>
      </c>
      <c r="AE659" s="7" t="str">
        <f t="shared" si="153"/>
        <v>Normal</v>
      </c>
    </row>
    <row r="660" spans="1:31">
      <c r="A660" t="s">
        <v>2139</v>
      </c>
      <c r="B660">
        <v>58495831</v>
      </c>
      <c r="C660" t="s">
        <v>935</v>
      </c>
      <c r="D660" t="s">
        <v>1565</v>
      </c>
      <c r="E660" t="s">
        <v>20</v>
      </c>
      <c r="F660" t="s">
        <v>80</v>
      </c>
      <c r="G660" t="s">
        <v>92</v>
      </c>
      <c r="H660" t="s">
        <v>74</v>
      </c>
      <c r="I660" t="s">
        <v>3371</v>
      </c>
      <c r="J660">
        <v>3817.86</v>
      </c>
      <c r="K660" t="s">
        <v>57</v>
      </c>
      <c r="L660" t="s">
        <v>75</v>
      </c>
      <c r="M660" s="1">
        <v>45124.020138888889</v>
      </c>
      <c r="N660">
        <v>18</v>
      </c>
      <c r="O660" t="s">
        <v>55</v>
      </c>
      <c r="P660" t="s">
        <v>37</v>
      </c>
      <c r="Q660" t="s">
        <v>2140</v>
      </c>
      <c r="R660" t="str">
        <f t="shared" si="140"/>
        <v>Joseph Gonzalez</v>
      </c>
      <c r="S660" t="str">
        <f t="shared" si="141"/>
        <v>Carlos Martin</v>
      </c>
      <c r="T660" t="str">
        <f t="shared" si="142"/>
        <v>USD</v>
      </c>
      <c r="U660" s="7" t="str">
        <f t="shared" si="143"/>
        <v>AUD</v>
      </c>
      <c r="V660" s="7" t="str">
        <f t="shared" si="144"/>
        <v>UK</v>
      </c>
      <c r="W660" s="7" t="str">
        <f t="shared" si="145"/>
        <v>South Africa</v>
      </c>
      <c r="X660" s="7" t="str">
        <f t="shared" si="146"/>
        <v>Outer-Transaction</v>
      </c>
      <c r="Y660" s="7">
        <f t="shared" si="147"/>
        <v>3817.86</v>
      </c>
      <c r="Z660" s="7">
        <f t="shared" si="148"/>
        <v>18</v>
      </c>
      <c r="AA660" s="7">
        <f t="shared" si="149"/>
        <v>2023</v>
      </c>
      <c r="AB660" s="7">
        <f t="shared" si="150"/>
        <v>7</v>
      </c>
      <c r="AC660" s="7">
        <f t="shared" si="151"/>
        <v>1</v>
      </c>
      <c r="AD660" s="7" t="str">
        <f t="shared" si="152"/>
        <v>No</v>
      </c>
      <c r="AE660" s="7" t="str">
        <f t="shared" si="153"/>
        <v>High Risk</v>
      </c>
    </row>
    <row r="661" spans="1:31">
      <c r="A661" t="s">
        <v>2141</v>
      </c>
      <c r="B661">
        <v>96456474</v>
      </c>
      <c r="C661" t="s">
        <v>1950</v>
      </c>
      <c r="D661" t="s">
        <v>2142</v>
      </c>
      <c r="E661" t="b">
        <v>1</v>
      </c>
      <c r="F661" t="s">
        <v>53</v>
      </c>
      <c r="G661" t="s">
        <v>53</v>
      </c>
      <c r="H661" t="s">
        <v>38</v>
      </c>
      <c r="I661" t="s">
        <v>3372</v>
      </c>
      <c r="J661">
        <v>11705.85</v>
      </c>
      <c r="K661" t="s">
        <v>57</v>
      </c>
      <c r="L661" t="s">
        <v>75</v>
      </c>
      <c r="M661" s="1">
        <v>45753.468055555553</v>
      </c>
      <c r="N661">
        <v>25</v>
      </c>
      <c r="O661" t="s">
        <v>127</v>
      </c>
      <c r="P661" t="s">
        <v>62</v>
      </c>
      <c r="Q661" t="s">
        <v>2143</v>
      </c>
      <c r="R661" t="str">
        <f t="shared" si="140"/>
        <v>Carlos Jones</v>
      </c>
      <c r="S661" t="str">
        <f t="shared" si="141"/>
        <v xml:space="preserve"> Nancy Miller   </v>
      </c>
      <c r="T661" t="str">
        <f t="shared" si="142"/>
        <v>AED</v>
      </c>
      <c r="U661" s="7" t="str">
        <f t="shared" si="143"/>
        <v>AED</v>
      </c>
      <c r="V661" s="7" t="str">
        <f t="shared" si="144"/>
        <v>Canada</v>
      </c>
      <c r="W661" s="7" t="str">
        <f t="shared" si="145"/>
        <v>Australia</v>
      </c>
      <c r="X661" s="7" t="str">
        <f t="shared" si="146"/>
        <v>Outer-Transaction</v>
      </c>
      <c r="Y661" s="7">
        <f t="shared" si="147"/>
        <v>11705.85</v>
      </c>
      <c r="Z661" s="7">
        <f t="shared" si="148"/>
        <v>25</v>
      </c>
      <c r="AA661" s="7">
        <f t="shared" si="149"/>
        <v>2025</v>
      </c>
      <c r="AB661" s="7">
        <f t="shared" si="150"/>
        <v>4</v>
      </c>
      <c r="AC661" s="7">
        <f t="shared" si="151"/>
        <v>1</v>
      </c>
      <c r="AD661" s="7" t="str">
        <f t="shared" si="152"/>
        <v>No</v>
      </c>
      <c r="AE661" s="7" t="str">
        <f t="shared" si="153"/>
        <v>High Risk</v>
      </c>
    </row>
    <row r="662" spans="1:31">
      <c r="A662" t="s">
        <v>2144</v>
      </c>
      <c r="B662">
        <v>60238044</v>
      </c>
      <c r="C662" t="s">
        <v>1269</v>
      </c>
      <c r="D662" t="s">
        <v>2145</v>
      </c>
      <c r="E662" t="s">
        <v>20</v>
      </c>
      <c r="F662" t="s">
        <v>34</v>
      </c>
      <c r="G662" t="s">
        <v>44</v>
      </c>
      <c r="H662" t="s">
        <v>38</v>
      </c>
      <c r="I662" t="s">
        <v>3374</v>
      </c>
      <c r="J662">
        <v>981.95</v>
      </c>
      <c r="K662" t="s">
        <v>57</v>
      </c>
      <c r="L662" t="s">
        <v>75</v>
      </c>
      <c r="M662" s="1">
        <v>43892.727083333331</v>
      </c>
      <c r="N662">
        <v>69</v>
      </c>
      <c r="O662" t="s">
        <v>54</v>
      </c>
      <c r="P662" t="s">
        <v>62</v>
      </c>
      <c r="Q662" t="s">
        <v>2146</v>
      </c>
      <c r="R662" t="str">
        <f t="shared" si="140"/>
        <v>Nancy Al-Sayed</v>
      </c>
      <c r="S662" t="str">
        <f t="shared" si="141"/>
        <v>Patricia Johnson</v>
      </c>
      <c r="T662" t="str">
        <f t="shared" si="142"/>
        <v>CAD</v>
      </c>
      <c r="U662" s="7" t="str">
        <f t="shared" si="143"/>
        <v>SGD</v>
      </c>
      <c r="V662" s="7" t="str">
        <f t="shared" si="144"/>
        <v>India</v>
      </c>
      <c r="W662" s="7" t="str">
        <f t="shared" si="145"/>
        <v>Australia</v>
      </c>
      <c r="X662" s="7" t="str">
        <f t="shared" si="146"/>
        <v>External</v>
      </c>
      <c r="Y662" s="7">
        <f t="shared" si="147"/>
        <v>981.95</v>
      </c>
      <c r="Z662" s="7">
        <f t="shared" si="148"/>
        <v>69</v>
      </c>
      <c r="AA662" s="7">
        <f t="shared" si="149"/>
        <v>2020</v>
      </c>
      <c r="AB662" s="7">
        <f t="shared" si="150"/>
        <v>3</v>
      </c>
      <c r="AC662" s="7">
        <f t="shared" si="151"/>
        <v>1</v>
      </c>
      <c r="AD662" s="7" t="str">
        <f t="shared" si="152"/>
        <v>No</v>
      </c>
      <c r="AE662" s="7" t="str">
        <f t="shared" si="153"/>
        <v>High Risk</v>
      </c>
    </row>
    <row r="663" spans="1:31">
      <c r="A663" t="s">
        <v>2147</v>
      </c>
      <c r="B663">
        <v>93721739</v>
      </c>
      <c r="C663" t="s">
        <v>1787</v>
      </c>
      <c r="D663" t="s">
        <v>1173</v>
      </c>
      <c r="E663" t="s">
        <v>20</v>
      </c>
      <c r="F663" t="s">
        <v>92</v>
      </c>
      <c r="G663" t="s">
        <v>45</v>
      </c>
      <c r="I663" t="s">
        <v>3372</v>
      </c>
      <c r="J663">
        <v>1353.92</v>
      </c>
      <c r="K663" t="s">
        <v>27</v>
      </c>
      <c r="L663" t="s">
        <v>75</v>
      </c>
      <c r="M663" s="1">
        <v>44704.925694444442</v>
      </c>
      <c r="N663">
        <v>64</v>
      </c>
      <c r="O663" t="s">
        <v>23</v>
      </c>
      <c r="P663" t="s">
        <v>127</v>
      </c>
      <c r="Q663" t="s">
        <v>2148</v>
      </c>
      <c r="R663" t="str">
        <f t="shared" si="140"/>
        <v>Sanjay Wilson</v>
      </c>
      <c r="S663" t="str">
        <f t="shared" si="141"/>
        <v>Jean-Pierre Martin</v>
      </c>
      <c r="T663" t="str">
        <f t="shared" si="142"/>
        <v>AUD</v>
      </c>
      <c r="U663" s="7" t="str">
        <f t="shared" si="143"/>
        <v>ZAR</v>
      </c>
      <c r="V663" s="7" t="str">
        <f t="shared" si="144"/>
        <v>France</v>
      </c>
      <c r="W663" s="7" t="str">
        <f t="shared" si="145"/>
        <v>Canada</v>
      </c>
      <c r="X663" s="7" t="str">
        <f t="shared" si="146"/>
        <v>Outer-Transaction</v>
      </c>
      <c r="Y663" s="7">
        <f t="shared" si="147"/>
        <v>1353.92</v>
      </c>
      <c r="Z663" s="7">
        <f t="shared" si="148"/>
        <v>64</v>
      </c>
      <c r="AA663" s="7">
        <f t="shared" si="149"/>
        <v>2022</v>
      </c>
      <c r="AB663" s="7">
        <f t="shared" si="150"/>
        <v>5</v>
      </c>
      <c r="AC663" s="7">
        <f t="shared" si="151"/>
        <v>1</v>
      </c>
      <c r="AD663" s="7" t="str">
        <f t="shared" si="152"/>
        <v>No</v>
      </c>
      <c r="AE663" s="7" t="str">
        <f t="shared" si="153"/>
        <v>High Risk</v>
      </c>
    </row>
    <row r="664" spans="1:31">
      <c r="A664" t="s">
        <v>2149</v>
      </c>
      <c r="C664" t="s">
        <v>174</v>
      </c>
      <c r="D664" t="s">
        <v>339</v>
      </c>
      <c r="E664" t="s">
        <v>20</v>
      </c>
      <c r="F664" t="s">
        <v>121</v>
      </c>
      <c r="G664" t="s">
        <v>21</v>
      </c>
      <c r="H664" t="s">
        <v>74</v>
      </c>
      <c r="I664" t="s">
        <v>3372</v>
      </c>
      <c r="J664">
        <v>6069.14</v>
      </c>
      <c r="K664" t="s">
        <v>27</v>
      </c>
      <c r="L664" t="s">
        <v>28</v>
      </c>
      <c r="M664" s="1">
        <v>44150.030555555553</v>
      </c>
      <c r="N664">
        <v>73</v>
      </c>
      <c r="O664" t="s">
        <v>127</v>
      </c>
      <c r="P664" t="s">
        <v>93</v>
      </c>
      <c r="Q664" t="s">
        <v>2150</v>
      </c>
      <c r="R664" t="str">
        <f t="shared" si="140"/>
        <v>Jean-Pierre Taylor</v>
      </c>
      <c r="S664" t="str">
        <f t="shared" si="141"/>
        <v>Carlos Martinez</v>
      </c>
      <c r="T664" t="str">
        <f t="shared" si="142"/>
        <v>INR</v>
      </c>
      <c r="U664" s="7" t="str">
        <f t="shared" si="143"/>
        <v>GBP</v>
      </c>
      <c r="V664" s="7" t="str">
        <f t="shared" si="144"/>
        <v>Canada</v>
      </c>
      <c r="W664" s="7" t="str">
        <f t="shared" si="145"/>
        <v>USA</v>
      </c>
      <c r="X664" s="7" t="str">
        <f t="shared" si="146"/>
        <v>Outer-Transaction</v>
      </c>
      <c r="Y664" s="7">
        <f t="shared" si="147"/>
        <v>6069.14</v>
      </c>
      <c r="Z664" s="7">
        <f t="shared" si="148"/>
        <v>73</v>
      </c>
      <c r="AA664" s="7">
        <f t="shared" si="149"/>
        <v>2020</v>
      </c>
      <c r="AB664" s="7">
        <f t="shared" si="150"/>
        <v>11</v>
      </c>
      <c r="AC664" s="7">
        <f t="shared" si="151"/>
        <v>1</v>
      </c>
      <c r="AD664" s="7" t="str">
        <f t="shared" si="152"/>
        <v>No</v>
      </c>
      <c r="AE664" s="7" t="str">
        <f t="shared" si="153"/>
        <v>Normal</v>
      </c>
    </row>
    <row r="665" spans="1:31">
      <c r="A665" t="s">
        <v>2151</v>
      </c>
      <c r="C665" t="s">
        <v>1079</v>
      </c>
      <c r="D665" t="s">
        <v>2152</v>
      </c>
      <c r="E665" t="s">
        <v>20</v>
      </c>
      <c r="F665" t="s">
        <v>98</v>
      </c>
      <c r="G665" t="s">
        <v>22</v>
      </c>
      <c r="I665" t="s">
        <v>3371</v>
      </c>
      <c r="J665">
        <v>13478.84</v>
      </c>
      <c r="K665" t="s">
        <v>27</v>
      </c>
      <c r="L665" t="s">
        <v>48</v>
      </c>
      <c r="M665" s="1">
        <v>45980.587500000001</v>
      </c>
      <c r="N665">
        <v>31</v>
      </c>
      <c r="O665" t="s">
        <v>54</v>
      </c>
      <c r="P665" t="s">
        <v>24</v>
      </c>
      <c r="Q665" t="s">
        <v>2153</v>
      </c>
      <c r="R665" t="str">
        <f t="shared" si="140"/>
        <v>Sanjay Anderson</v>
      </c>
      <c r="S665" t="str">
        <f t="shared" si="141"/>
        <v>Linda Al-Sayed</v>
      </c>
      <c r="T665" t="str">
        <f t="shared" si="142"/>
        <v>JPY</v>
      </c>
      <c r="U665" s="7" t="str">
        <f t="shared" si="143"/>
        <v>BRL</v>
      </c>
      <c r="V665" s="7" t="str">
        <f t="shared" si="144"/>
        <v>India</v>
      </c>
      <c r="W665" s="7" t="str">
        <f t="shared" si="145"/>
        <v>Brazil</v>
      </c>
      <c r="X665" s="7" t="str">
        <f t="shared" si="146"/>
        <v>Outer-Transaction</v>
      </c>
      <c r="Y665" s="7">
        <f t="shared" si="147"/>
        <v>13478.84</v>
      </c>
      <c r="Z665" s="7">
        <f t="shared" si="148"/>
        <v>31</v>
      </c>
      <c r="AA665" s="7">
        <f t="shared" si="149"/>
        <v>2025</v>
      </c>
      <c r="AB665" s="7">
        <f t="shared" si="150"/>
        <v>11</v>
      </c>
      <c r="AC665" s="7">
        <f t="shared" si="151"/>
        <v>1</v>
      </c>
      <c r="AD665" s="7" t="str">
        <f t="shared" si="152"/>
        <v>No</v>
      </c>
      <c r="AE665" s="7" t="str">
        <f t="shared" si="153"/>
        <v>Normal</v>
      </c>
    </row>
    <row r="666" spans="1:31">
      <c r="A666" t="s">
        <v>2154</v>
      </c>
      <c r="B666">
        <v>86003182</v>
      </c>
      <c r="C666" t="s">
        <v>1943</v>
      </c>
      <c r="D666" t="s">
        <v>809</v>
      </c>
      <c r="E666" t="s">
        <v>20</v>
      </c>
      <c r="F666" t="s">
        <v>21</v>
      </c>
      <c r="G666" t="s">
        <v>92</v>
      </c>
      <c r="H666" t="s">
        <v>38</v>
      </c>
      <c r="I666" t="s">
        <v>3372</v>
      </c>
      <c r="J666">
        <v>8597.9699999999993</v>
      </c>
      <c r="K666" t="s">
        <v>57</v>
      </c>
      <c r="L666" t="s">
        <v>81</v>
      </c>
      <c r="M666" s="1">
        <v>45283.618750000001</v>
      </c>
      <c r="N666">
        <v>45</v>
      </c>
      <c r="O666" t="s">
        <v>54</v>
      </c>
      <c r="P666" t="s">
        <v>68</v>
      </c>
      <c r="Q666" t="s">
        <v>2155</v>
      </c>
      <c r="R666" t="str">
        <f t="shared" si="140"/>
        <v>Nancy Wilson</v>
      </c>
      <c r="S666" t="str">
        <f t="shared" si="141"/>
        <v>Richard Smith</v>
      </c>
      <c r="T666" t="str">
        <f t="shared" si="142"/>
        <v>GBP</v>
      </c>
      <c r="U666" s="7" t="str">
        <f t="shared" si="143"/>
        <v>AUD</v>
      </c>
      <c r="V666" s="7" t="str">
        <f t="shared" si="144"/>
        <v>India</v>
      </c>
      <c r="W666" s="7" t="str">
        <f t="shared" si="145"/>
        <v>UAE</v>
      </c>
      <c r="X666" s="7" t="str">
        <f t="shared" si="146"/>
        <v>Outer-Transaction</v>
      </c>
      <c r="Y666" s="7">
        <f t="shared" si="147"/>
        <v>8597.9699999999993</v>
      </c>
      <c r="Z666" s="7">
        <f t="shared" si="148"/>
        <v>45</v>
      </c>
      <c r="AA666" s="7">
        <f t="shared" si="149"/>
        <v>2023</v>
      </c>
      <c r="AB666" s="7">
        <f t="shared" si="150"/>
        <v>12</v>
      </c>
      <c r="AC666" s="7">
        <f t="shared" si="151"/>
        <v>1</v>
      </c>
      <c r="AD666" s="7" t="str">
        <f t="shared" si="152"/>
        <v>No</v>
      </c>
      <c r="AE666" s="7" t="str">
        <f t="shared" si="153"/>
        <v>Normal</v>
      </c>
    </row>
    <row r="667" spans="1:31">
      <c r="A667" t="s">
        <v>2156</v>
      </c>
      <c r="B667">
        <v>80934691</v>
      </c>
      <c r="D667" t="s">
        <v>1686</v>
      </c>
      <c r="E667" t="s">
        <v>3375</v>
      </c>
      <c r="F667" t="s">
        <v>53</v>
      </c>
      <c r="G667" t="s">
        <v>121</v>
      </c>
      <c r="H667" t="s">
        <v>38</v>
      </c>
      <c r="I667" t="s">
        <v>3378</v>
      </c>
      <c r="J667">
        <v>9394.36</v>
      </c>
      <c r="K667" t="s">
        <v>86</v>
      </c>
      <c r="L667" t="s">
        <v>28</v>
      </c>
      <c r="M667" s="1">
        <v>44704.40625</v>
      </c>
      <c r="N667">
        <v>19</v>
      </c>
      <c r="O667" t="s">
        <v>55</v>
      </c>
      <c r="P667" t="s">
        <v>36</v>
      </c>
      <c r="Q667" t="s">
        <v>2157</v>
      </c>
      <c r="R667" t="str">
        <f t="shared" si="140"/>
        <v/>
      </c>
      <c r="S667" t="str">
        <f t="shared" si="141"/>
        <v>Richard Souza</v>
      </c>
      <c r="T667" t="str">
        <f t="shared" si="142"/>
        <v>AED</v>
      </c>
      <c r="U667" s="7" t="str">
        <f t="shared" si="143"/>
        <v>INR</v>
      </c>
      <c r="V667" s="7" t="str">
        <f t="shared" si="144"/>
        <v>UK</v>
      </c>
      <c r="W667" s="7" t="str">
        <f t="shared" si="145"/>
        <v>Germany</v>
      </c>
      <c r="X667" s="7" t="str">
        <f t="shared" si="146"/>
        <v>Inter-Transaction</v>
      </c>
      <c r="Y667" s="7">
        <f t="shared" si="147"/>
        <v>9394.36</v>
      </c>
      <c r="Z667" s="7">
        <f t="shared" si="148"/>
        <v>19</v>
      </c>
      <c r="AA667" s="7">
        <f t="shared" si="149"/>
        <v>2022</v>
      </c>
      <c r="AB667" s="7">
        <f t="shared" si="150"/>
        <v>5</v>
      </c>
      <c r="AC667" s="7">
        <f t="shared" si="151"/>
        <v>1</v>
      </c>
      <c r="AD667" s="7" t="str">
        <f t="shared" si="152"/>
        <v>No</v>
      </c>
      <c r="AE667" s="7" t="str">
        <f t="shared" si="153"/>
        <v>Normal</v>
      </c>
    </row>
    <row r="668" spans="1:31">
      <c r="A668" t="s">
        <v>2158</v>
      </c>
      <c r="B668">
        <v>18402695</v>
      </c>
      <c r="C668" t="s">
        <v>1480</v>
      </c>
      <c r="D668" t="s">
        <v>196</v>
      </c>
      <c r="E668" t="s">
        <v>20</v>
      </c>
      <c r="F668" t="s">
        <v>121</v>
      </c>
      <c r="G668" t="s">
        <v>35</v>
      </c>
      <c r="H668" t="s">
        <v>25</v>
      </c>
      <c r="I668" t="s">
        <v>3377</v>
      </c>
      <c r="J668">
        <v>14180.7</v>
      </c>
      <c r="K668" t="s">
        <v>39</v>
      </c>
      <c r="L668" t="s">
        <v>28</v>
      </c>
      <c r="M668" s="1">
        <v>45576.239583333336</v>
      </c>
      <c r="N668">
        <v>43</v>
      </c>
      <c r="O668" t="s">
        <v>62</v>
      </c>
      <c r="P668" t="s">
        <v>93</v>
      </c>
      <c r="Q668" t="s">
        <v>2159</v>
      </c>
      <c r="R668" t="str">
        <f t="shared" si="140"/>
        <v>Mary Brown</v>
      </c>
      <c r="S668" t="str">
        <f t="shared" si="141"/>
        <v>Amir Dubois</v>
      </c>
      <c r="T668" t="str">
        <f t="shared" si="142"/>
        <v>INR</v>
      </c>
      <c r="U668" s="7" t="str">
        <f t="shared" si="143"/>
        <v>EUR</v>
      </c>
      <c r="V668" s="7" t="str">
        <f t="shared" si="144"/>
        <v>Australia</v>
      </c>
      <c r="W668" s="7" t="str">
        <f t="shared" si="145"/>
        <v>USA</v>
      </c>
      <c r="X668" s="7" t="str">
        <f t="shared" si="146"/>
        <v>Inter-Transaction</v>
      </c>
      <c r="Y668" s="7">
        <f t="shared" si="147"/>
        <v>14180.7</v>
      </c>
      <c r="Z668" s="7">
        <f t="shared" si="148"/>
        <v>43</v>
      </c>
      <c r="AA668" s="7">
        <f t="shared" si="149"/>
        <v>2024</v>
      </c>
      <c r="AB668" s="7">
        <f t="shared" si="150"/>
        <v>10</v>
      </c>
      <c r="AC668" s="7">
        <f t="shared" si="151"/>
        <v>1</v>
      </c>
      <c r="AD668" s="7" t="str">
        <f t="shared" si="152"/>
        <v>No</v>
      </c>
      <c r="AE668" s="7" t="str">
        <f t="shared" si="153"/>
        <v>Normal</v>
      </c>
    </row>
    <row r="669" spans="1:31">
      <c r="A669" t="s">
        <v>2160</v>
      </c>
      <c r="B669">
        <v>94495057</v>
      </c>
      <c r="C669" t="s">
        <v>1029</v>
      </c>
      <c r="D669" t="s">
        <v>1473</v>
      </c>
      <c r="E669">
        <v>1</v>
      </c>
      <c r="F669" t="s">
        <v>45</v>
      </c>
      <c r="G669" t="s">
        <v>92</v>
      </c>
      <c r="H669" t="s">
        <v>56</v>
      </c>
      <c r="I669" t="s">
        <v>3372</v>
      </c>
      <c r="J669">
        <v>6646</v>
      </c>
      <c r="K669" t="s">
        <v>57</v>
      </c>
      <c r="L669" t="s">
        <v>81</v>
      </c>
      <c r="M669" s="1">
        <v>46133.99722222222</v>
      </c>
      <c r="N669">
        <v>31</v>
      </c>
      <c r="O669" t="s">
        <v>55</v>
      </c>
      <c r="P669" t="s">
        <v>36</v>
      </c>
      <c r="Q669" t="s">
        <v>2161</v>
      </c>
      <c r="R669" t="str">
        <f t="shared" si="140"/>
        <v>Charles Miller</v>
      </c>
      <c r="S669" t="str">
        <f t="shared" si="141"/>
        <v>Zayn Jackson</v>
      </c>
      <c r="T669" t="str">
        <f t="shared" si="142"/>
        <v>ZAR</v>
      </c>
      <c r="U669" s="7" t="str">
        <f t="shared" si="143"/>
        <v>AUD</v>
      </c>
      <c r="V669" s="7" t="str">
        <f t="shared" si="144"/>
        <v>UK</v>
      </c>
      <c r="W669" s="7" t="str">
        <f t="shared" si="145"/>
        <v>Germany</v>
      </c>
      <c r="X669" s="7" t="str">
        <f t="shared" si="146"/>
        <v>Outer-Transaction</v>
      </c>
      <c r="Y669" s="7">
        <f t="shared" si="147"/>
        <v>6646</v>
      </c>
      <c r="Z669" s="7">
        <f t="shared" si="148"/>
        <v>31</v>
      </c>
      <c r="AA669" s="7">
        <f t="shared" si="149"/>
        <v>2026</v>
      </c>
      <c r="AB669" s="7">
        <f t="shared" si="150"/>
        <v>4</v>
      </c>
      <c r="AC669" s="7">
        <f t="shared" si="151"/>
        <v>1</v>
      </c>
      <c r="AD669" s="7" t="str">
        <f t="shared" si="152"/>
        <v>No</v>
      </c>
      <c r="AE669" s="7" t="str">
        <f t="shared" si="153"/>
        <v>Normal</v>
      </c>
    </row>
    <row r="670" spans="1:31">
      <c r="A670" t="s">
        <v>2162</v>
      </c>
      <c r="B670">
        <v>28413747</v>
      </c>
      <c r="C670" t="s">
        <v>2163</v>
      </c>
      <c r="D670" t="s">
        <v>1593</v>
      </c>
      <c r="E670" t="s">
        <v>20</v>
      </c>
      <c r="F670" t="s">
        <v>44</v>
      </c>
      <c r="G670" t="s">
        <v>22</v>
      </c>
      <c r="I670" t="s">
        <v>3376</v>
      </c>
      <c r="J670">
        <v>1011.24</v>
      </c>
      <c r="K670" t="s">
        <v>57</v>
      </c>
      <c r="L670" t="s">
        <v>28</v>
      </c>
      <c r="M670" s="1">
        <v>45386.904861111114</v>
      </c>
      <c r="N670">
        <v>76</v>
      </c>
      <c r="O670" t="s">
        <v>54</v>
      </c>
      <c r="P670" t="s">
        <v>37</v>
      </c>
      <c r="Q670" t="s">
        <v>2164</v>
      </c>
      <c r="R670" t="str">
        <f t="shared" si="140"/>
        <v>SUSAN SMITH</v>
      </c>
      <c r="S670" t="str">
        <f t="shared" si="141"/>
        <v>Karen Silva</v>
      </c>
      <c r="T670" t="str">
        <f t="shared" si="142"/>
        <v>SGD</v>
      </c>
      <c r="U670" s="7" t="str">
        <f t="shared" si="143"/>
        <v>BRL</v>
      </c>
      <c r="V670" s="7" t="str">
        <f t="shared" si="144"/>
        <v>India</v>
      </c>
      <c r="W670" s="7" t="str">
        <f t="shared" si="145"/>
        <v>South Africa</v>
      </c>
      <c r="X670" s="7" t="str">
        <f t="shared" si="146"/>
        <v>Internal</v>
      </c>
      <c r="Y670" s="7">
        <f t="shared" si="147"/>
        <v>1011.24</v>
      </c>
      <c r="Z670" s="7">
        <f t="shared" si="148"/>
        <v>76</v>
      </c>
      <c r="AA670" s="7">
        <f t="shared" si="149"/>
        <v>2024</v>
      </c>
      <c r="AB670" s="7">
        <f t="shared" si="150"/>
        <v>4</v>
      </c>
      <c r="AC670" s="7">
        <f t="shared" si="151"/>
        <v>1</v>
      </c>
      <c r="AD670" s="7" t="str">
        <f t="shared" si="152"/>
        <v>No</v>
      </c>
      <c r="AE670" s="7" t="str">
        <f t="shared" si="153"/>
        <v>Normal</v>
      </c>
    </row>
    <row r="671" spans="1:31">
      <c r="A671" t="s">
        <v>2165</v>
      </c>
      <c r="B671">
        <v>52171230</v>
      </c>
      <c r="C671" t="s">
        <v>1100</v>
      </c>
      <c r="D671" t="s">
        <v>2166</v>
      </c>
      <c r="E671" t="s">
        <v>20</v>
      </c>
      <c r="F671" t="s">
        <v>92</v>
      </c>
      <c r="G671" t="s">
        <v>35</v>
      </c>
      <c r="H671" t="s">
        <v>74</v>
      </c>
      <c r="I671" t="s">
        <v>3374</v>
      </c>
      <c r="J671">
        <v>1533.83</v>
      </c>
      <c r="K671" t="s">
        <v>27</v>
      </c>
      <c r="L671" t="s">
        <v>48</v>
      </c>
      <c r="M671" s="1">
        <v>43942.436111111114</v>
      </c>
      <c r="N671">
        <v>73</v>
      </c>
      <c r="O671" t="s">
        <v>93</v>
      </c>
      <c r="P671" t="s">
        <v>37</v>
      </c>
      <c r="Q671" t="s">
        <v>2167</v>
      </c>
      <c r="R671" t="str">
        <f t="shared" si="140"/>
        <v>Susan Rostova</v>
      </c>
      <c r="S671" t="str">
        <f t="shared" si="141"/>
        <v>Priya Garcia</v>
      </c>
      <c r="T671" t="str">
        <f t="shared" si="142"/>
        <v>AUD</v>
      </c>
      <c r="U671" s="7" t="str">
        <f t="shared" si="143"/>
        <v>EUR</v>
      </c>
      <c r="V671" s="7" t="str">
        <f t="shared" si="144"/>
        <v>USA</v>
      </c>
      <c r="W671" s="7" t="str">
        <f t="shared" si="145"/>
        <v>South Africa</v>
      </c>
      <c r="X671" s="7" t="str">
        <f t="shared" si="146"/>
        <v>External</v>
      </c>
      <c r="Y671" s="7">
        <f t="shared" si="147"/>
        <v>1533.83</v>
      </c>
      <c r="Z671" s="7">
        <f t="shared" si="148"/>
        <v>73</v>
      </c>
      <c r="AA671" s="7">
        <f t="shared" si="149"/>
        <v>2020</v>
      </c>
      <c r="AB671" s="7">
        <f t="shared" si="150"/>
        <v>4</v>
      </c>
      <c r="AC671" s="7">
        <f t="shared" si="151"/>
        <v>1</v>
      </c>
      <c r="AD671" s="7" t="str">
        <f t="shared" si="152"/>
        <v>No</v>
      </c>
      <c r="AE671" s="7" t="str">
        <f t="shared" si="153"/>
        <v>Normal</v>
      </c>
    </row>
    <row r="672" spans="1:31">
      <c r="A672" t="s">
        <v>2168</v>
      </c>
      <c r="B672">
        <v>83298017</v>
      </c>
      <c r="C672" t="s">
        <v>701</v>
      </c>
      <c r="D672" t="s">
        <v>2169</v>
      </c>
      <c r="E672" t="s">
        <v>20</v>
      </c>
      <c r="F672" t="s">
        <v>44</v>
      </c>
      <c r="G672" t="s">
        <v>35</v>
      </c>
      <c r="H672" t="s">
        <v>74</v>
      </c>
      <c r="I672" t="s">
        <v>3376</v>
      </c>
      <c r="J672">
        <v>4852.1099999999997</v>
      </c>
      <c r="K672" t="s">
        <v>47</v>
      </c>
      <c r="L672" t="s">
        <v>81</v>
      </c>
      <c r="M672" s="1">
        <v>44291.828472222223</v>
      </c>
      <c r="N672">
        <v>24</v>
      </c>
      <c r="O672" t="s">
        <v>127</v>
      </c>
      <c r="P672" t="s">
        <v>36</v>
      </c>
      <c r="Q672" t="s">
        <v>2170</v>
      </c>
      <c r="R672" t="str">
        <f t="shared" si="140"/>
        <v>Christopher Lopez</v>
      </c>
      <c r="S672" t="str">
        <f t="shared" si="141"/>
        <v>Joseph Brown</v>
      </c>
      <c r="T672" t="str">
        <f t="shared" si="142"/>
        <v>SGD</v>
      </c>
      <c r="U672" s="7" t="str">
        <f t="shared" si="143"/>
        <v>EUR</v>
      </c>
      <c r="V672" s="7" t="str">
        <f t="shared" si="144"/>
        <v>Canada</v>
      </c>
      <c r="W672" s="7" t="str">
        <f t="shared" si="145"/>
        <v>Germany</v>
      </c>
      <c r="X672" s="7" t="str">
        <f t="shared" si="146"/>
        <v>Internal</v>
      </c>
      <c r="Y672" s="7">
        <f t="shared" si="147"/>
        <v>4852.1099999999997</v>
      </c>
      <c r="Z672" s="7">
        <f t="shared" si="148"/>
        <v>24</v>
      </c>
      <c r="AA672" s="7">
        <f t="shared" si="149"/>
        <v>2021</v>
      </c>
      <c r="AB672" s="7">
        <f t="shared" si="150"/>
        <v>4</v>
      </c>
      <c r="AC672" s="7">
        <f t="shared" si="151"/>
        <v>1</v>
      </c>
      <c r="AD672" s="7" t="str">
        <f t="shared" si="152"/>
        <v>No</v>
      </c>
      <c r="AE672" s="7" t="str">
        <f t="shared" si="153"/>
        <v>Normal</v>
      </c>
    </row>
    <row r="673" spans="1:31">
      <c r="A673" t="s">
        <v>2171</v>
      </c>
      <c r="B673">
        <v>43571334</v>
      </c>
      <c r="C673" t="s">
        <v>487</v>
      </c>
      <c r="D673" t="s">
        <v>179</v>
      </c>
      <c r="E673" t="s">
        <v>20</v>
      </c>
      <c r="F673" t="s">
        <v>21</v>
      </c>
      <c r="G673" t="s">
        <v>44</v>
      </c>
      <c r="H673" t="s">
        <v>74</v>
      </c>
      <c r="I673" t="s">
        <v>3374</v>
      </c>
      <c r="J673">
        <v>1393.11</v>
      </c>
      <c r="K673" t="s">
        <v>39</v>
      </c>
      <c r="L673" t="s">
        <v>48</v>
      </c>
      <c r="M673" s="1">
        <v>44717.99722222222</v>
      </c>
      <c r="N673">
        <v>20</v>
      </c>
      <c r="O673" t="s">
        <v>55</v>
      </c>
      <c r="P673" t="s">
        <v>68</v>
      </c>
      <c r="Q673" t="s">
        <v>2172</v>
      </c>
      <c r="R673" t="str">
        <f t="shared" si="140"/>
        <v>Amir Brown</v>
      </c>
      <c r="S673" t="str">
        <f t="shared" si="141"/>
        <v>Joseph Thomas</v>
      </c>
      <c r="T673" t="str">
        <f t="shared" si="142"/>
        <v>GBP</v>
      </c>
      <c r="U673" s="7" t="str">
        <f t="shared" si="143"/>
        <v>SGD</v>
      </c>
      <c r="V673" s="7" t="str">
        <f t="shared" si="144"/>
        <v>UK</v>
      </c>
      <c r="W673" s="7" t="str">
        <f t="shared" si="145"/>
        <v>UAE</v>
      </c>
      <c r="X673" s="7" t="str">
        <f t="shared" si="146"/>
        <v>External</v>
      </c>
      <c r="Y673" s="7">
        <f t="shared" si="147"/>
        <v>1393.11</v>
      </c>
      <c r="Z673" s="7">
        <f t="shared" si="148"/>
        <v>20</v>
      </c>
      <c r="AA673" s="7">
        <f t="shared" si="149"/>
        <v>2022</v>
      </c>
      <c r="AB673" s="7">
        <f t="shared" si="150"/>
        <v>6</v>
      </c>
      <c r="AC673" s="7">
        <f t="shared" si="151"/>
        <v>1</v>
      </c>
      <c r="AD673" s="7" t="str">
        <f t="shared" si="152"/>
        <v>No</v>
      </c>
      <c r="AE673" s="7" t="str">
        <f t="shared" si="153"/>
        <v>Normal</v>
      </c>
    </row>
    <row r="674" spans="1:31">
      <c r="A674" t="s">
        <v>2173</v>
      </c>
      <c r="B674">
        <v>91402258</v>
      </c>
      <c r="C674" t="s">
        <v>239</v>
      </c>
      <c r="D674" t="s">
        <v>2174</v>
      </c>
      <c r="E674" t="s">
        <v>3373</v>
      </c>
      <c r="F674" t="s">
        <v>121</v>
      </c>
      <c r="G674" t="s">
        <v>98</v>
      </c>
      <c r="H674" t="s">
        <v>56</v>
      </c>
      <c r="I674" t="s">
        <v>3377</v>
      </c>
      <c r="J674">
        <v>5083.68</v>
      </c>
      <c r="K674" t="s">
        <v>27</v>
      </c>
      <c r="L674" t="s">
        <v>81</v>
      </c>
      <c r="M674" s="1">
        <v>44946.750694444447</v>
      </c>
      <c r="N674">
        <v>40</v>
      </c>
      <c r="O674" t="s">
        <v>62</v>
      </c>
      <c r="P674" t="s">
        <v>93</v>
      </c>
      <c r="Q674" t="s">
        <v>2175</v>
      </c>
      <c r="R674" t="str">
        <f t="shared" si="140"/>
        <v>Thomas Davis</v>
      </c>
      <c r="S674" t="str">
        <f t="shared" si="141"/>
        <v>Jean-Pierre Wilson</v>
      </c>
      <c r="T674" t="str">
        <f t="shared" si="142"/>
        <v>INR</v>
      </c>
      <c r="U674" s="7" t="str">
        <f t="shared" si="143"/>
        <v>JPY</v>
      </c>
      <c r="V674" s="7" t="str">
        <f t="shared" si="144"/>
        <v>Australia</v>
      </c>
      <c r="W674" s="7" t="str">
        <f t="shared" si="145"/>
        <v>USA</v>
      </c>
      <c r="X674" s="7" t="str">
        <f t="shared" si="146"/>
        <v>Inter-Transaction</v>
      </c>
      <c r="Y674" s="7">
        <f t="shared" si="147"/>
        <v>5083.68</v>
      </c>
      <c r="Z674" s="7">
        <f t="shared" si="148"/>
        <v>40</v>
      </c>
      <c r="AA674" s="7">
        <f t="shared" si="149"/>
        <v>2023</v>
      </c>
      <c r="AB674" s="7">
        <f t="shared" si="150"/>
        <v>1</v>
      </c>
      <c r="AC674" s="7">
        <f t="shared" si="151"/>
        <v>1</v>
      </c>
      <c r="AD674" s="7" t="str">
        <f t="shared" si="152"/>
        <v>No</v>
      </c>
      <c r="AE674" s="7" t="str">
        <f t="shared" si="153"/>
        <v>Normal</v>
      </c>
    </row>
    <row r="675" spans="1:31">
      <c r="A675" t="s">
        <v>2176</v>
      </c>
      <c r="B675">
        <v>74199191</v>
      </c>
      <c r="C675" t="s">
        <v>2177</v>
      </c>
      <c r="D675" t="s">
        <v>562</v>
      </c>
      <c r="E675">
        <v>0</v>
      </c>
      <c r="F675" t="s">
        <v>121</v>
      </c>
      <c r="H675" t="s">
        <v>56</v>
      </c>
      <c r="I675" t="s">
        <v>3376</v>
      </c>
      <c r="J675">
        <v>2163.0100000000002</v>
      </c>
      <c r="K675" t="s">
        <v>47</v>
      </c>
      <c r="L675" t="s">
        <v>48</v>
      </c>
      <c r="M675" s="1">
        <v>44906.888194444444</v>
      </c>
      <c r="N675">
        <v>35</v>
      </c>
      <c r="O675" t="s">
        <v>24</v>
      </c>
      <c r="P675" t="s">
        <v>24</v>
      </c>
      <c r="Q675" t="s">
        <v>2178</v>
      </c>
      <c r="R675" t="str">
        <f t="shared" si="140"/>
        <v>ELENA JOHNSON</v>
      </c>
      <c r="S675" t="str">
        <f t="shared" si="141"/>
        <v>Joseph Malik</v>
      </c>
      <c r="T675" t="str">
        <f t="shared" si="142"/>
        <v>INR</v>
      </c>
      <c r="U675" s="7" t="str">
        <f t="shared" si="143"/>
        <v/>
      </c>
      <c r="V675" s="7" t="str">
        <f t="shared" si="144"/>
        <v>Brazil</v>
      </c>
      <c r="W675" s="7" t="str">
        <f t="shared" si="145"/>
        <v>Brazil</v>
      </c>
      <c r="X675" s="7" t="str">
        <f t="shared" si="146"/>
        <v>Internal</v>
      </c>
      <c r="Y675" s="7">
        <f t="shared" si="147"/>
        <v>2163.0100000000002</v>
      </c>
      <c r="Z675" s="7">
        <f t="shared" si="148"/>
        <v>35</v>
      </c>
      <c r="AA675" s="7">
        <f t="shared" si="149"/>
        <v>2022</v>
      </c>
      <c r="AB675" s="7">
        <f t="shared" si="150"/>
        <v>12</v>
      </c>
      <c r="AC675" s="7">
        <f t="shared" si="151"/>
        <v>1</v>
      </c>
      <c r="AD675" s="7" t="str">
        <f t="shared" si="152"/>
        <v>No</v>
      </c>
      <c r="AE675" s="7" t="str">
        <f t="shared" si="153"/>
        <v>Normal</v>
      </c>
    </row>
    <row r="676" spans="1:31">
      <c r="A676" t="s">
        <v>2179</v>
      </c>
      <c r="B676">
        <v>54969786</v>
      </c>
      <c r="C676" t="s">
        <v>897</v>
      </c>
      <c r="D676" t="s">
        <v>633</v>
      </c>
      <c r="E676" t="s">
        <v>20</v>
      </c>
      <c r="F676" t="s">
        <v>92</v>
      </c>
      <c r="G676" t="s">
        <v>116</v>
      </c>
      <c r="H676" t="s">
        <v>38</v>
      </c>
      <c r="I676" t="s">
        <v>3371</v>
      </c>
      <c r="J676">
        <v>4917.6099999999997</v>
      </c>
      <c r="K676" t="s">
        <v>39</v>
      </c>
      <c r="L676" t="s">
        <v>81</v>
      </c>
      <c r="M676" s="1">
        <v>44350.004861111112</v>
      </c>
      <c r="N676">
        <v>55</v>
      </c>
      <c r="O676" t="s">
        <v>37</v>
      </c>
      <c r="P676" t="s">
        <v>127</v>
      </c>
      <c r="Q676" t="s">
        <v>2180</v>
      </c>
      <c r="R676" t="str">
        <f t="shared" si="140"/>
        <v>Karen Anderson</v>
      </c>
      <c r="S676" t="str">
        <f t="shared" si="141"/>
        <v>Priya Brown</v>
      </c>
      <c r="T676" t="str">
        <f t="shared" si="142"/>
        <v>AUD</v>
      </c>
      <c r="U676" s="7" t="str">
        <f t="shared" si="143"/>
        <v>CHF</v>
      </c>
      <c r="V676" s="7" t="str">
        <f t="shared" si="144"/>
        <v>South Africa</v>
      </c>
      <c r="W676" s="7" t="str">
        <f t="shared" si="145"/>
        <v>Canada</v>
      </c>
      <c r="X676" s="7" t="str">
        <f t="shared" si="146"/>
        <v>Outer-Transaction</v>
      </c>
      <c r="Y676" s="7">
        <f t="shared" si="147"/>
        <v>4917.6099999999997</v>
      </c>
      <c r="Z676" s="7">
        <f t="shared" si="148"/>
        <v>55</v>
      </c>
      <c r="AA676" s="7">
        <f t="shared" si="149"/>
        <v>2021</v>
      </c>
      <c r="AB676" s="7">
        <f t="shared" si="150"/>
        <v>6</v>
      </c>
      <c r="AC676" s="7">
        <f t="shared" si="151"/>
        <v>1</v>
      </c>
      <c r="AD676" s="7" t="str">
        <f t="shared" si="152"/>
        <v>No</v>
      </c>
      <c r="AE676" s="7" t="str">
        <f t="shared" si="153"/>
        <v>Normal</v>
      </c>
    </row>
    <row r="677" spans="1:31">
      <c r="A677" t="s">
        <v>2181</v>
      </c>
      <c r="B677">
        <v>12169801</v>
      </c>
      <c r="C677" t="s">
        <v>2182</v>
      </c>
      <c r="D677" t="s">
        <v>2183</v>
      </c>
      <c r="E677" t="s">
        <v>20</v>
      </c>
      <c r="F677" t="s">
        <v>34</v>
      </c>
      <c r="G677" t="s">
        <v>80</v>
      </c>
      <c r="I677" t="s">
        <v>3376</v>
      </c>
      <c r="J677">
        <v>10754.1</v>
      </c>
      <c r="K677" t="s">
        <v>57</v>
      </c>
      <c r="L677" t="s">
        <v>75</v>
      </c>
      <c r="M677" s="1">
        <v>44642.547222222223</v>
      </c>
      <c r="N677">
        <v>32</v>
      </c>
      <c r="O677" t="s">
        <v>54</v>
      </c>
      <c r="P677" t="s">
        <v>55</v>
      </c>
      <c r="Q677" t="s">
        <v>2184</v>
      </c>
      <c r="R677" t="str">
        <f t="shared" si="140"/>
        <v>Linda Jones</v>
      </c>
      <c r="S677" t="str">
        <f t="shared" si="141"/>
        <v>Carlos Souza</v>
      </c>
      <c r="T677" t="str">
        <f t="shared" si="142"/>
        <v>CAD</v>
      </c>
      <c r="U677" s="7" t="str">
        <f t="shared" si="143"/>
        <v>USD</v>
      </c>
      <c r="V677" s="7" t="str">
        <f t="shared" si="144"/>
        <v>India</v>
      </c>
      <c r="W677" s="7" t="str">
        <f t="shared" si="145"/>
        <v>UK</v>
      </c>
      <c r="X677" s="7" t="str">
        <f t="shared" si="146"/>
        <v>Internal</v>
      </c>
      <c r="Y677" s="7">
        <f t="shared" si="147"/>
        <v>10754.1</v>
      </c>
      <c r="Z677" s="7">
        <f t="shared" si="148"/>
        <v>32</v>
      </c>
      <c r="AA677" s="7">
        <f t="shared" si="149"/>
        <v>2022</v>
      </c>
      <c r="AB677" s="7">
        <f t="shared" si="150"/>
        <v>3</v>
      </c>
      <c r="AC677" s="7">
        <f t="shared" si="151"/>
        <v>1</v>
      </c>
      <c r="AD677" s="7" t="str">
        <f t="shared" si="152"/>
        <v>No</v>
      </c>
      <c r="AE677" s="7" t="str">
        <f t="shared" si="153"/>
        <v>High Risk</v>
      </c>
    </row>
    <row r="678" spans="1:31">
      <c r="A678" t="s">
        <v>2185</v>
      </c>
      <c r="B678">
        <v>56543939</v>
      </c>
      <c r="C678" t="s">
        <v>2186</v>
      </c>
      <c r="D678" t="s">
        <v>825</v>
      </c>
      <c r="E678" t="s">
        <v>20</v>
      </c>
      <c r="F678" t="s">
        <v>80</v>
      </c>
      <c r="G678" t="s">
        <v>22</v>
      </c>
      <c r="H678" t="s">
        <v>56</v>
      </c>
      <c r="I678" t="s">
        <v>3372</v>
      </c>
      <c r="J678">
        <v>7169.25</v>
      </c>
      <c r="K678" t="s">
        <v>27</v>
      </c>
      <c r="L678" t="s">
        <v>48</v>
      </c>
      <c r="M678" s="1">
        <v>46114.080555555556</v>
      </c>
      <c r="N678">
        <v>81</v>
      </c>
      <c r="O678" t="s">
        <v>23</v>
      </c>
      <c r="P678" t="s">
        <v>37</v>
      </c>
      <c r="Q678" t="s">
        <v>2187</v>
      </c>
      <c r="R678" t="str">
        <f t="shared" si="140"/>
        <v>Thomas Nair</v>
      </c>
      <c r="S678" t="str">
        <f t="shared" si="141"/>
        <v>Karen Taylor</v>
      </c>
      <c r="T678" t="str">
        <f t="shared" si="142"/>
        <v>USD</v>
      </c>
      <c r="U678" s="7" t="str">
        <f t="shared" si="143"/>
        <v>BRL</v>
      </c>
      <c r="V678" s="7" t="str">
        <f t="shared" si="144"/>
        <v>France</v>
      </c>
      <c r="W678" s="7" t="str">
        <f t="shared" si="145"/>
        <v>South Africa</v>
      </c>
      <c r="X678" s="7" t="str">
        <f t="shared" si="146"/>
        <v>Outer-Transaction</v>
      </c>
      <c r="Y678" s="7">
        <f t="shared" si="147"/>
        <v>7169.25</v>
      </c>
      <c r="Z678" s="7">
        <f t="shared" si="148"/>
        <v>81</v>
      </c>
      <c r="AA678" s="7">
        <f t="shared" si="149"/>
        <v>2026</v>
      </c>
      <c r="AB678" s="7">
        <f t="shared" si="150"/>
        <v>4</v>
      </c>
      <c r="AC678" s="7">
        <f t="shared" si="151"/>
        <v>1</v>
      </c>
      <c r="AD678" s="7" t="str">
        <f t="shared" si="152"/>
        <v>No</v>
      </c>
      <c r="AE678" s="7" t="str">
        <f t="shared" si="153"/>
        <v>Normal</v>
      </c>
    </row>
    <row r="679" spans="1:31">
      <c r="A679" t="s">
        <v>2188</v>
      </c>
      <c r="C679" t="s">
        <v>151</v>
      </c>
      <c r="D679" t="s">
        <v>946</v>
      </c>
      <c r="E679" t="s">
        <v>20</v>
      </c>
      <c r="F679" t="s">
        <v>116</v>
      </c>
      <c r="G679" t="s">
        <v>116</v>
      </c>
      <c r="H679" t="s">
        <v>103</v>
      </c>
      <c r="I679" t="s">
        <v>3376</v>
      </c>
      <c r="J679">
        <v>8656.2999999999993</v>
      </c>
      <c r="K679" t="s">
        <v>39</v>
      </c>
      <c r="L679" t="s">
        <v>28</v>
      </c>
      <c r="M679" s="1">
        <v>45755.919444444444</v>
      </c>
      <c r="N679">
        <v>45</v>
      </c>
      <c r="O679" t="s">
        <v>24</v>
      </c>
      <c r="P679" t="s">
        <v>62</v>
      </c>
      <c r="Q679" t="s">
        <v>2189</v>
      </c>
      <c r="R679" t="str">
        <f t="shared" si="140"/>
        <v>Nancy Moore</v>
      </c>
      <c r="S679" t="str">
        <f t="shared" si="141"/>
        <v>Sarah Gonzalez</v>
      </c>
      <c r="T679" t="str">
        <f t="shared" si="142"/>
        <v>CHF</v>
      </c>
      <c r="U679" s="7" t="str">
        <f t="shared" si="143"/>
        <v>CHF</v>
      </c>
      <c r="V679" s="7" t="str">
        <f t="shared" si="144"/>
        <v>Brazil</v>
      </c>
      <c r="W679" s="7" t="str">
        <f t="shared" si="145"/>
        <v>Australia</v>
      </c>
      <c r="X679" s="7" t="str">
        <f t="shared" si="146"/>
        <v>Internal</v>
      </c>
      <c r="Y679" s="7">
        <f t="shared" si="147"/>
        <v>8656.2999999999993</v>
      </c>
      <c r="Z679" s="7">
        <f t="shared" si="148"/>
        <v>45</v>
      </c>
      <c r="AA679" s="7">
        <f t="shared" si="149"/>
        <v>2025</v>
      </c>
      <c r="AB679" s="7">
        <f t="shared" si="150"/>
        <v>4</v>
      </c>
      <c r="AC679" s="7">
        <f t="shared" si="151"/>
        <v>1</v>
      </c>
      <c r="AD679" s="7" t="str">
        <f t="shared" si="152"/>
        <v>No</v>
      </c>
      <c r="AE679" s="7" t="str">
        <f t="shared" si="153"/>
        <v>Normal</v>
      </c>
    </row>
    <row r="680" spans="1:31">
      <c r="A680" t="s">
        <v>2190</v>
      </c>
      <c r="B680">
        <v>14012808</v>
      </c>
      <c r="C680" t="s">
        <v>2191</v>
      </c>
      <c r="D680" t="s">
        <v>240</v>
      </c>
      <c r="E680" t="s">
        <v>3375</v>
      </c>
      <c r="F680" t="s">
        <v>92</v>
      </c>
      <c r="G680" t="s">
        <v>92</v>
      </c>
      <c r="H680" t="s">
        <v>74</v>
      </c>
      <c r="I680" t="s">
        <v>3378</v>
      </c>
      <c r="J680">
        <v>13497.5</v>
      </c>
      <c r="K680" t="s">
        <v>47</v>
      </c>
      <c r="L680" t="s">
        <v>75</v>
      </c>
      <c r="M680" s="1">
        <v>45435.933333333334</v>
      </c>
      <c r="N680">
        <v>56</v>
      </c>
      <c r="O680" t="s">
        <v>36</v>
      </c>
      <c r="P680" t="s">
        <v>68</v>
      </c>
      <c r="Q680" t="s">
        <v>2192</v>
      </c>
      <c r="R680" t="str">
        <f t="shared" si="140"/>
        <v>MARTA VOLKOV</v>
      </c>
      <c r="S680" t="str">
        <f t="shared" si="141"/>
        <v>Zayn Lopez</v>
      </c>
      <c r="T680" t="str">
        <f t="shared" si="142"/>
        <v>AUD</v>
      </c>
      <c r="U680" s="7" t="str">
        <f t="shared" si="143"/>
        <v>AUD</v>
      </c>
      <c r="V680" s="7" t="str">
        <f t="shared" si="144"/>
        <v>Germany</v>
      </c>
      <c r="W680" s="7" t="str">
        <f t="shared" si="145"/>
        <v>UAE</v>
      </c>
      <c r="X680" s="7" t="str">
        <f t="shared" si="146"/>
        <v>Inter-Transaction</v>
      </c>
      <c r="Y680" s="7">
        <f t="shared" si="147"/>
        <v>13497.5</v>
      </c>
      <c r="Z680" s="7">
        <f t="shared" si="148"/>
        <v>56</v>
      </c>
      <c r="AA680" s="7">
        <f t="shared" si="149"/>
        <v>2024</v>
      </c>
      <c r="AB680" s="7">
        <f t="shared" si="150"/>
        <v>5</v>
      </c>
      <c r="AC680" s="7">
        <f t="shared" si="151"/>
        <v>1</v>
      </c>
      <c r="AD680" s="7" t="str">
        <f t="shared" si="152"/>
        <v>No</v>
      </c>
      <c r="AE680" s="7" t="str">
        <f t="shared" si="153"/>
        <v>High Risk</v>
      </c>
    </row>
    <row r="681" spans="1:31">
      <c r="A681" t="s">
        <v>2193</v>
      </c>
      <c r="B681">
        <v>92059030</v>
      </c>
      <c r="C681" t="s">
        <v>386</v>
      </c>
      <c r="D681" t="s">
        <v>1966</v>
      </c>
      <c r="E681" t="s">
        <v>20</v>
      </c>
      <c r="F681" t="s">
        <v>21</v>
      </c>
      <c r="G681" t="s">
        <v>45</v>
      </c>
      <c r="H681" t="s">
        <v>74</v>
      </c>
      <c r="I681" t="s">
        <v>3376</v>
      </c>
      <c r="J681">
        <v>14407.52</v>
      </c>
      <c r="K681" t="s">
        <v>27</v>
      </c>
      <c r="L681" t="s">
        <v>28</v>
      </c>
      <c r="M681" s="1">
        <v>44757.302083333336</v>
      </c>
      <c r="N681">
        <v>74</v>
      </c>
      <c r="O681" t="s">
        <v>68</v>
      </c>
      <c r="P681" t="s">
        <v>55</v>
      </c>
      <c r="Q681" t="s">
        <v>2194</v>
      </c>
      <c r="R681" t="str">
        <f t="shared" si="140"/>
        <v>Barbara Garcia</v>
      </c>
      <c r="S681" t="str">
        <f t="shared" si="141"/>
        <v>Sanjay Davis</v>
      </c>
      <c r="T681" t="str">
        <f t="shared" si="142"/>
        <v>GBP</v>
      </c>
      <c r="U681" s="7" t="str">
        <f t="shared" si="143"/>
        <v>ZAR</v>
      </c>
      <c r="V681" s="7" t="str">
        <f t="shared" si="144"/>
        <v>UAE</v>
      </c>
      <c r="W681" s="7" t="str">
        <f t="shared" si="145"/>
        <v>UK</v>
      </c>
      <c r="X681" s="7" t="str">
        <f t="shared" si="146"/>
        <v>Internal</v>
      </c>
      <c r="Y681" s="7">
        <f t="shared" si="147"/>
        <v>14407.52</v>
      </c>
      <c r="Z681" s="7">
        <f t="shared" si="148"/>
        <v>74</v>
      </c>
      <c r="AA681" s="7">
        <f t="shared" si="149"/>
        <v>2022</v>
      </c>
      <c r="AB681" s="7">
        <f t="shared" si="150"/>
        <v>7</v>
      </c>
      <c r="AC681" s="7">
        <f t="shared" si="151"/>
        <v>1</v>
      </c>
      <c r="AD681" s="7" t="str">
        <f t="shared" si="152"/>
        <v>No</v>
      </c>
      <c r="AE681" s="7" t="str">
        <f t="shared" si="153"/>
        <v>Normal</v>
      </c>
    </row>
    <row r="682" spans="1:31">
      <c r="A682" t="s">
        <v>2195</v>
      </c>
      <c r="C682" t="s">
        <v>2196</v>
      </c>
      <c r="D682" t="s">
        <v>2197</v>
      </c>
      <c r="E682" t="s">
        <v>20</v>
      </c>
      <c r="F682" t="s">
        <v>116</v>
      </c>
      <c r="G682" t="s">
        <v>21</v>
      </c>
      <c r="I682" t="s">
        <v>3378</v>
      </c>
      <c r="J682">
        <v>1542.29</v>
      </c>
      <c r="K682" t="s">
        <v>27</v>
      </c>
      <c r="L682" t="s">
        <v>28</v>
      </c>
      <c r="M682" s="1">
        <v>44387.907638888886</v>
      </c>
      <c r="N682">
        <v>34</v>
      </c>
      <c r="O682" t="s">
        <v>62</v>
      </c>
      <c r="P682" t="s">
        <v>24</v>
      </c>
      <c r="Q682" t="s">
        <v>2198</v>
      </c>
      <c r="R682" t="str">
        <f t="shared" si="140"/>
        <v>Linda Souza</v>
      </c>
      <c r="S682" t="str">
        <f t="shared" si="141"/>
        <v>Richard Gonzalez</v>
      </c>
      <c r="T682" t="str">
        <f t="shared" si="142"/>
        <v>CHF</v>
      </c>
      <c r="U682" s="7" t="str">
        <f t="shared" si="143"/>
        <v>GBP</v>
      </c>
      <c r="V682" s="7" t="str">
        <f t="shared" si="144"/>
        <v>Australia</v>
      </c>
      <c r="W682" s="7" t="str">
        <f t="shared" si="145"/>
        <v>Brazil</v>
      </c>
      <c r="X682" s="7" t="str">
        <f t="shared" si="146"/>
        <v>Inter-Transaction</v>
      </c>
      <c r="Y682" s="7">
        <f t="shared" si="147"/>
        <v>1542.29</v>
      </c>
      <c r="Z682" s="7">
        <f t="shared" si="148"/>
        <v>34</v>
      </c>
      <c r="AA682" s="7">
        <f t="shared" si="149"/>
        <v>2021</v>
      </c>
      <c r="AB682" s="7">
        <f t="shared" si="150"/>
        <v>7</v>
      </c>
      <c r="AC682" s="7">
        <f t="shared" si="151"/>
        <v>1</v>
      </c>
      <c r="AD682" s="7" t="str">
        <f t="shared" si="152"/>
        <v>No</v>
      </c>
      <c r="AE682" s="7" t="str">
        <f t="shared" si="153"/>
        <v>Normal</v>
      </c>
    </row>
    <row r="683" spans="1:31">
      <c r="A683" t="s">
        <v>2199</v>
      </c>
      <c r="B683">
        <v>12098146</v>
      </c>
      <c r="C683" t="s">
        <v>836</v>
      </c>
      <c r="D683" t="s">
        <v>1167</v>
      </c>
      <c r="E683" t="s">
        <v>3375</v>
      </c>
      <c r="F683" t="s">
        <v>53</v>
      </c>
      <c r="G683" t="s">
        <v>53</v>
      </c>
      <c r="H683" t="s">
        <v>38</v>
      </c>
      <c r="I683" t="s">
        <v>3376</v>
      </c>
      <c r="J683">
        <v>1126.9000000000001</v>
      </c>
      <c r="K683" t="s">
        <v>86</v>
      </c>
      <c r="L683" t="s">
        <v>81</v>
      </c>
      <c r="M683" s="1">
        <v>46112.535416666666</v>
      </c>
      <c r="N683">
        <v>61</v>
      </c>
      <c r="O683" t="s">
        <v>23</v>
      </c>
      <c r="P683" t="s">
        <v>54</v>
      </c>
      <c r="Q683" t="s">
        <v>2200</v>
      </c>
      <c r="R683" t="str">
        <f t="shared" si="140"/>
        <v>Nancy Hernandez</v>
      </c>
      <c r="S683" t="str">
        <f t="shared" si="141"/>
        <v>Jean-Pierre Thomas</v>
      </c>
      <c r="T683" t="str">
        <f t="shared" si="142"/>
        <v>AED</v>
      </c>
      <c r="U683" s="7" t="str">
        <f t="shared" si="143"/>
        <v>AED</v>
      </c>
      <c r="V683" s="7" t="str">
        <f t="shared" si="144"/>
        <v>France</v>
      </c>
      <c r="W683" s="7" t="str">
        <f t="shared" si="145"/>
        <v>India</v>
      </c>
      <c r="X683" s="7" t="str">
        <f t="shared" si="146"/>
        <v>Internal</v>
      </c>
      <c r="Y683" s="7">
        <f t="shared" si="147"/>
        <v>1126.9000000000001</v>
      </c>
      <c r="Z683" s="7">
        <f t="shared" si="148"/>
        <v>61</v>
      </c>
      <c r="AA683" s="7">
        <f t="shared" si="149"/>
        <v>2026</v>
      </c>
      <c r="AB683" s="7">
        <f t="shared" si="150"/>
        <v>3</v>
      </c>
      <c r="AC683" s="7">
        <f t="shared" si="151"/>
        <v>1</v>
      </c>
      <c r="AD683" s="7" t="str">
        <f t="shared" si="152"/>
        <v>No</v>
      </c>
      <c r="AE683" s="7" t="str">
        <f t="shared" si="153"/>
        <v>Normal</v>
      </c>
    </row>
    <row r="684" spans="1:31">
      <c r="A684" t="s">
        <v>2201</v>
      </c>
      <c r="B684">
        <v>58885275</v>
      </c>
      <c r="C684" t="s">
        <v>2202</v>
      </c>
      <c r="D684" t="s">
        <v>354</v>
      </c>
      <c r="E684" t="s">
        <v>20</v>
      </c>
      <c r="F684" t="s">
        <v>44</v>
      </c>
      <c r="G684" t="s">
        <v>35</v>
      </c>
      <c r="H684" t="s">
        <v>74</v>
      </c>
      <c r="I684" t="s">
        <v>3372</v>
      </c>
      <c r="J684">
        <v>7143.08</v>
      </c>
      <c r="K684" t="s">
        <v>27</v>
      </c>
      <c r="L684" t="s">
        <v>28</v>
      </c>
      <c r="M684" s="1">
        <v>44886.583333333336</v>
      </c>
      <c r="N684">
        <v>42</v>
      </c>
      <c r="O684" t="s">
        <v>68</v>
      </c>
      <c r="P684" t="s">
        <v>127</v>
      </c>
      <c r="Q684" t="s">
        <v>2203</v>
      </c>
      <c r="R684" t="str">
        <f t="shared" si="140"/>
        <v>William Gonzalez</v>
      </c>
      <c r="S684" t="str">
        <f t="shared" si="141"/>
        <v>Barbara Williams</v>
      </c>
      <c r="T684" t="str">
        <f t="shared" si="142"/>
        <v>SGD</v>
      </c>
      <c r="U684" s="7" t="str">
        <f t="shared" si="143"/>
        <v>EUR</v>
      </c>
      <c r="V684" s="7" t="str">
        <f t="shared" si="144"/>
        <v>UAE</v>
      </c>
      <c r="W684" s="7" t="str">
        <f t="shared" si="145"/>
        <v>Canada</v>
      </c>
      <c r="X684" s="7" t="str">
        <f t="shared" si="146"/>
        <v>Outer-Transaction</v>
      </c>
      <c r="Y684" s="7">
        <f t="shared" si="147"/>
        <v>7143.08</v>
      </c>
      <c r="Z684" s="7">
        <f t="shared" si="148"/>
        <v>42</v>
      </c>
      <c r="AA684" s="7">
        <f t="shared" si="149"/>
        <v>2022</v>
      </c>
      <c r="AB684" s="7">
        <f t="shared" si="150"/>
        <v>11</v>
      </c>
      <c r="AC684" s="7">
        <f t="shared" si="151"/>
        <v>1</v>
      </c>
      <c r="AD684" s="7" t="str">
        <f t="shared" si="152"/>
        <v>No</v>
      </c>
      <c r="AE684" s="7" t="str">
        <f t="shared" si="153"/>
        <v>Normal</v>
      </c>
    </row>
    <row r="685" spans="1:31">
      <c r="A685" t="s">
        <v>2204</v>
      </c>
      <c r="B685">
        <v>96343880</v>
      </c>
      <c r="C685" t="s">
        <v>1558</v>
      </c>
      <c r="D685" t="s">
        <v>2205</v>
      </c>
      <c r="E685" t="s">
        <v>3375</v>
      </c>
      <c r="F685" t="s">
        <v>80</v>
      </c>
      <c r="G685" t="s">
        <v>34</v>
      </c>
      <c r="H685" t="s">
        <v>38</v>
      </c>
      <c r="I685" t="s">
        <v>3372</v>
      </c>
      <c r="J685">
        <v>8426.67</v>
      </c>
      <c r="K685" t="s">
        <v>27</v>
      </c>
      <c r="L685" t="s">
        <v>48</v>
      </c>
      <c r="M685" s="1">
        <v>44409.876388888886</v>
      </c>
      <c r="N685">
        <v>34</v>
      </c>
      <c r="O685" t="s">
        <v>62</v>
      </c>
      <c r="P685" t="s">
        <v>37</v>
      </c>
      <c r="Q685" t="s">
        <v>2206</v>
      </c>
      <c r="R685" t="str">
        <f t="shared" si="140"/>
        <v>Lucas Brown</v>
      </c>
      <c r="S685" t="str">
        <f t="shared" si="141"/>
        <v>Barbara Dubois</v>
      </c>
      <c r="T685" t="str">
        <f t="shared" si="142"/>
        <v>USD</v>
      </c>
      <c r="U685" s="7" t="str">
        <f t="shared" si="143"/>
        <v>CAD</v>
      </c>
      <c r="V685" s="7" t="str">
        <f t="shared" si="144"/>
        <v>Australia</v>
      </c>
      <c r="W685" s="7" t="str">
        <f t="shared" si="145"/>
        <v>South Africa</v>
      </c>
      <c r="X685" s="7" t="str">
        <f t="shared" si="146"/>
        <v>Outer-Transaction</v>
      </c>
      <c r="Y685" s="7">
        <f t="shared" si="147"/>
        <v>8426.67</v>
      </c>
      <c r="Z685" s="7">
        <f t="shared" si="148"/>
        <v>34</v>
      </c>
      <c r="AA685" s="7">
        <f t="shared" si="149"/>
        <v>2021</v>
      </c>
      <c r="AB685" s="7">
        <f t="shared" si="150"/>
        <v>8</v>
      </c>
      <c r="AC685" s="7">
        <f t="shared" si="151"/>
        <v>1</v>
      </c>
      <c r="AD685" s="7" t="str">
        <f t="shared" si="152"/>
        <v>No</v>
      </c>
      <c r="AE685" s="7" t="str">
        <f t="shared" si="153"/>
        <v>Normal</v>
      </c>
    </row>
    <row r="686" spans="1:31">
      <c r="A686" t="s">
        <v>2207</v>
      </c>
      <c r="B686">
        <v>28367664</v>
      </c>
      <c r="C686" t="s">
        <v>2208</v>
      </c>
      <c r="D686" t="s">
        <v>1593</v>
      </c>
      <c r="E686">
        <v>0</v>
      </c>
      <c r="F686" t="s">
        <v>160</v>
      </c>
      <c r="G686" t="s">
        <v>92</v>
      </c>
      <c r="H686" t="s">
        <v>56</v>
      </c>
      <c r="I686" t="s">
        <v>3376</v>
      </c>
      <c r="J686">
        <v>6638.6</v>
      </c>
      <c r="K686" t="s">
        <v>57</v>
      </c>
      <c r="L686" t="s">
        <v>48</v>
      </c>
      <c r="M686" s="1">
        <v>44372.245138888888</v>
      </c>
      <c r="N686">
        <v>30</v>
      </c>
      <c r="O686" t="s">
        <v>93</v>
      </c>
      <c r="P686" t="s">
        <v>127</v>
      </c>
      <c r="Q686" t="s">
        <v>2209</v>
      </c>
      <c r="R686" t="str">
        <f t="shared" si="140"/>
        <v>Priya Hernandez</v>
      </c>
      <c r="S686" t="str">
        <f t="shared" si="141"/>
        <v>Karen Silva</v>
      </c>
      <c r="T686" t="str">
        <f t="shared" si="142"/>
        <v>aud</v>
      </c>
      <c r="U686" s="7" t="str">
        <f t="shared" si="143"/>
        <v>AUD</v>
      </c>
      <c r="V686" s="7" t="str">
        <f t="shared" si="144"/>
        <v>USA</v>
      </c>
      <c r="W686" s="7" t="str">
        <f t="shared" si="145"/>
        <v>Canada</v>
      </c>
      <c r="X686" s="7" t="str">
        <f t="shared" si="146"/>
        <v>Internal</v>
      </c>
      <c r="Y686" s="7">
        <f t="shared" si="147"/>
        <v>6638.6</v>
      </c>
      <c r="Z686" s="7">
        <f t="shared" si="148"/>
        <v>30</v>
      </c>
      <c r="AA686" s="7">
        <f t="shared" si="149"/>
        <v>2021</v>
      </c>
      <c r="AB686" s="7">
        <f t="shared" si="150"/>
        <v>6</v>
      </c>
      <c r="AC686" s="7">
        <f t="shared" si="151"/>
        <v>1</v>
      </c>
      <c r="AD686" s="7" t="str">
        <f t="shared" si="152"/>
        <v>No</v>
      </c>
      <c r="AE686" s="7" t="str">
        <f t="shared" si="153"/>
        <v>Normal</v>
      </c>
    </row>
    <row r="687" spans="1:31">
      <c r="A687" t="s">
        <v>2210</v>
      </c>
      <c r="C687" t="s">
        <v>163</v>
      </c>
      <c r="D687" t="s">
        <v>2211</v>
      </c>
      <c r="E687" t="s">
        <v>20</v>
      </c>
      <c r="F687" t="s">
        <v>22</v>
      </c>
      <c r="G687" t="s">
        <v>116</v>
      </c>
      <c r="H687" t="s">
        <v>25</v>
      </c>
      <c r="I687" t="s">
        <v>3374</v>
      </c>
      <c r="J687">
        <v>6427.33</v>
      </c>
      <c r="K687" t="s">
        <v>57</v>
      </c>
      <c r="L687" t="s">
        <v>28</v>
      </c>
      <c r="M687" s="1">
        <v>45992.565972222219</v>
      </c>
      <c r="N687">
        <v>42</v>
      </c>
      <c r="O687" t="s">
        <v>37</v>
      </c>
      <c r="P687" t="s">
        <v>55</v>
      </c>
      <c r="Q687" t="s">
        <v>2212</v>
      </c>
      <c r="R687" t="str">
        <f t="shared" si="140"/>
        <v>Jessica Lopez</v>
      </c>
      <c r="S687" t="str">
        <f t="shared" si="141"/>
        <v>Lucas Malik</v>
      </c>
      <c r="T687" t="str">
        <f t="shared" si="142"/>
        <v>BRL</v>
      </c>
      <c r="U687" s="7" t="str">
        <f t="shared" si="143"/>
        <v>CHF</v>
      </c>
      <c r="V687" s="7" t="str">
        <f t="shared" si="144"/>
        <v>South Africa</v>
      </c>
      <c r="W687" s="7" t="str">
        <f t="shared" si="145"/>
        <v>UK</v>
      </c>
      <c r="X687" s="7" t="str">
        <f t="shared" si="146"/>
        <v>External</v>
      </c>
      <c r="Y687" s="7">
        <f t="shared" si="147"/>
        <v>6427.33</v>
      </c>
      <c r="Z687" s="7">
        <f t="shared" si="148"/>
        <v>42</v>
      </c>
      <c r="AA687" s="7">
        <f t="shared" si="149"/>
        <v>2025</v>
      </c>
      <c r="AB687" s="7">
        <f t="shared" si="150"/>
        <v>12</v>
      </c>
      <c r="AC687" s="7">
        <f t="shared" si="151"/>
        <v>1</v>
      </c>
      <c r="AD687" s="7" t="str">
        <f t="shared" si="152"/>
        <v>No</v>
      </c>
      <c r="AE687" s="7" t="str">
        <f t="shared" si="153"/>
        <v>Normal</v>
      </c>
    </row>
    <row r="688" spans="1:31">
      <c r="A688" t="s">
        <v>2213</v>
      </c>
      <c r="B688">
        <v>19764093</v>
      </c>
      <c r="C688" t="s">
        <v>2214</v>
      </c>
      <c r="D688" t="s">
        <v>2215</v>
      </c>
      <c r="E688" t="s">
        <v>3375</v>
      </c>
      <c r="F688" t="s">
        <v>35</v>
      </c>
      <c r="G688" t="s">
        <v>393</v>
      </c>
      <c r="H688" t="s">
        <v>74</v>
      </c>
      <c r="I688" t="s">
        <v>3374</v>
      </c>
      <c r="J688">
        <v>9498.75</v>
      </c>
      <c r="K688" t="s">
        <v>27</v>
      </c>
      <c r="L688" t="s">
        <v>48</v>
      </c>
      <c r="M688" s="1">
        <v>46082.740277777775</v>
      </c>
      <c r="N688">
        <v>85</v>
      </c>
      <c r="O688" t="s">
        <v>24</v>
      </c>
      <c r="P688" t="s">
        <v>127</v>
      </c>
      <c r="Q688" t="s">
        <v>2216</v>
      </c>
      <c r="R688" t="str">
        <f t="shared" si="140"/>
        <v>Elizabeth Jones</v>
      </c>
      <c r="S688" t="str">
        <f t="shared" si="141"/>
        <v xml:space="preserve"> Sanjay Volkov   </v>
      </c>
      <c r="T688" t="str">
        <f t="shared" si="142"/>
        <v>EUR</v>
      </c>
      <c r="U688" s="7" t="str">
        <f t="shared" si="143"/>
        <v>cad</v>
      </c>
      <c r="V688" s="7" t="str">
        <f t="shared" si="144"/>
        <v>Brazil</v>
      </c>
      <c r="W688" s="7" t="str">
        <f t="shared" si="145"/>
        <v>Canada</v>
      </c>
      <c r="X688" s="7" t="str">
        <f t="shared" si="146"/>
        <v>External</v>
      </c>
      <c r="Y688" s="7">
        <f t="shared" si="147"/>
        <v>9498.75</v>
      </c>
      <c r="Z688" s="7">
        <f t="shared" si="148"/>
        <v>85</v>
      </c>
      <c r="AA688" s="7">
        <f t="shared" si="149"/>
        <v>2026</v>
      </c>
      <c r="AB688" s="7">
        <f t="shared" si="150"/>
        <v>3</v>
      </c>
      <c r="AC688" s="7">
        <f t="shared" si="151"/>
        <v>1</v>
      </c>
      <c r="AD688" s="7" t="str">
        <f t="shared" si="152"/>
        <v>No</v>
      </c>
      <c r="AE688" s="7" t="str">
        <f t="shared" si="153"/>
        <v>Normal</v>
      </c>
    </row>
    <row r="689" spans="1:31">
      <c r="A689" t="s">
        <v>2217</v>
      </c>
      <c r="B689">
        <v>29337067</v>
      </c>
      <c r="C689" t="s">
        <v>2218</v>
      </c>
      <c r="D689" t="s">
        <v>491</v>
      </c>
      <c r="E689" t="s">
        <v>20</v>
      </c>
      <c r="F689" t="s">
        <v>44</v>
      </c>
      <c r="G689" t="s">
        <v>45</v>
      </c>
      <c r="H689" t="s">
        <v>74</v>
      </c>
      <c r="I689" t="s">
        <v>3378</v>
      </c>
      <c r="J689">
        <v>12690.99</v>
      </c>
      <c r="K689" t="s">
        <v>47</v>
      </c>
      <c r="L689" t="s">
        <v>75</v>
      </c>
      <c r="M689" s="1">
        <v>44883.345138888886</v>
      </c>
      <c r="N689">
        <v>27</v>
      </c>
      <c r="O689" t="s">
        <v>127</v>
      </c>
      <c r="P689" t="s">
        <v>54</v>
      </c>
      <c r="Q689" t="s">
        <v>2219</v>
      </c>
      <c r="R689" t="str">
        <f t="shared" si="140"/>
        <v>Sarah Malik</v>
      </c>
      <c r="S689" t="str">
        <f t="shared" si="141"/>
        <v>Elena Souza</v>
      </c>
      <c r="T689" t="str">
        <f t="shared" si="142"/>
        <v>SGD</v>
      </c>
      <c r="U689" s="7" t="str">
        <f t="shared" si="143"/>
        <v>ZAR</v>
      </c>
      <c r="V689" s="7" t="str">
        <f t="shared" si="144"/>
        <v>Canada</v>
      </c>
      <c r="W689" s="7" t="str">
        <f t="shared" si="145"/>
        <v>India</v>
      </c>
      <c r="X689" s="7" t="str">
        <f t="shared" si="146"/>
        <v>Inter-Transaction</v>
      </c>
      <c r="Y689" s="7">
        <f t="shared" si="147"/>
        <v>12690.99</v>
      </c>
      <c r="Z689" s="7">
        <f t="shared" si="148"/>
        <v>27</v>
      </c>
      <c r="AA689" s="7">
        <f t="shared" si="149"/>
        <v>2022</v>
      </c>
      <c r="AB689" s="7">
        <f t="shared" si="150"/>
        <v>11</v>
      </c>
      <c r="AC689" s="7">
        <f t="shared" si="151"/>
        <v>1</v>
      </c>
      <c r="AD689" s="7" t="str">
        <f t="shared" si="152"/>
        <v>No</v>
      </c>
      <c r="AE689" s="7" t="str">
        <f t="shared" si="153"/>
        <v>High Risk</v>
      </c>
    </row>
    <row r="690" spans="1:31">
      <c r="A690" t="s">
        <v>2220</v>
      </c>
      <c r="B690">
        <v>35558238</v>
      </c>
      <c r="D690" t="s">
        <v>2221</v>
      </c>
      <c r="E690" t="s">
        <v>20</v>
      </c>
      <c r="F690" t="s">
        <v>45</v>
      </c>
      <c r="G690" t="s">
        <v>112</v>
      </c>
      <c r="H690" t="s">
        <v>38</v>
      </c>
      <c r="I690" t="s">
        <v>3371</v>
      </c>
      <c r="J690">
        <v>6236.37</v>
      </c>
      <c r="K690" t="s">
        <v>39</v>
      </c>
      <c r="L690" t="s">
        <v>48</v>
      </c>
      <c r="M690" s="1">
        <v>44304.089583333334</v>
      </c>
      <c r="N690">
        <v>84</v>
      </c>
      <c r="O690" t="s">
        <v>62</v>
      </c>
      <c r="P690" t="s">
        <v>55</v>
      </c>
      <c r="Q690" t="s">
        <v>2222</v>
      </c>
      <c r="R690" t="str">
        <f t="shared" si="140"/>
        <v/>
      </c>
      <c r="S690" t="str">
        <f t="shared" si="141"/>
        <v>Michael Miller</v>
      </c>
      <c r="T690" t="str">
        <f t="shared" si="142"/>
        <v>ZAR</v>
      </c>
      <c r="U690" s="7" t="str">
        <f t="shared" si="143"/>
        <v>usd</v>
      </c>
      <c r="V690" s="7" t="str">
        <f t="shared" si="144"/>
        <v>Australia</v>
      </c>
      <c r="W690" s="7" t="str">
        <f t="shared" si="145"/>
        <v>UK</v>
      </c>
      <c r="X690" s="7" t="str">
        <f t="shared" si="146"/>
        <v>Outer-Transaction</v>
      </c>
      <c r="Y690" s="7">
        <f t="shared" si="147"/>
        <v>6236.37</v>
      </c>
      <c r="Z690" s="7">
        <f t="shared" si="148"/>
        <v>84</v>
      </c>
      <c r="AA690" s="7">
        <f t="shared" si="149"/>
        <v>2021</v>
      </c>
      <c r="AB690" s="7">
        <f t="shared" si="150"/>
        <v>4</v>
      </c>
      <c r="AC690" s="7">
        <f t="shared" si="151"/>
        <v>1</v>
      </c>
      <c r="AD690" s="7" t="str">
        <f t="shared" si="152"/>
        <v>No</v>
      </c>
      <c r="AE690" s="7" t="str">
        <f t="shared" si="153"/>
        <v>Normal</v>
      </c>
    </row>
    <row r="691" spans="1:31">
      <c r="A691" t="s">
        <v>2223</v>
      </c>
      <c r="B691">
        <v>71206971</v>
      </c>
      <c r="C691" t="s">
        <v>536</v>
      </c>
      <c r="D691" t="s">
        <v>2224</v>
      </c>
      <c r="E691" t="s">
        <v>20</v>
      </c>
      <c r="F691" t="s">
        <v>44</v>
      </c>
      <c r="G691" t="s">
        <v>34</v>
      </c>
      <c r="H691" t="s">
        <v>74</v>
      </c>
      <c r="I691" t="s">
        <v>3376</v>
      </c>
      <c r="J691">
        <v>14132.64</v>
      </c>
      <c r="K691" t="s">
        <v>57</v>
      </c>
      <c r="L691" t="s">
        <v>48</v>
      </c>
      <c r="M691" s="1">
        <v>46131.693055555559</v>
      </c>
      <c r="N691">
        <v>35</v>
      </c>
      <c r="O691" t="s">
        <v>127</v>
      </c>
      <c r="P691" t="s">
        <v>37</v>
      </c>
      <c r="Q691" t="s">
        <v>2225</v>
      </c>
      <c r="R691" t="str">
        <f t="shared" si="140"/>
        <v>Linda Silva</v>
      </c>
      <c r="S691" t="str">
        <f t="shared" si="141"/>
        <v>Linda Volkov</v>
      </c>
      <c r="T691" t="str">
        <f t="shared" si="142"/>
        <v>SGD</v>
      </c>
      <c r="U691" s="7" t="str">
        <f t="shared" si="143"/>
        <v>CAD</v>
      </c>
      <c r="V691" s="7" t="str">
        <f t="shared" si="144"/>
        <v>Canada</v>
      </c>
      <c r="W691" s="7" t="str">
        <f t="shared" si="145"/>
        <v>South Africa</v>
      </c>
      <c r="X691" s="7" t="str">
        <f t="shared" si="146"/>
        <v>Internal</v>
      </c>
      <c r="Y691" s="7">
        <f t="shared" si="147"/>
        <v>14132.64</v>
      </c>
      <c r="Z691" s="7">
        <f t="shared" si="148"/>
        <v>35</v>
      </c>
      <c r="AA691" s="7">
        <f t="shared" si="149"/>
        <v>2026</v>
      </c>
      <c r="AB691" s="7">
        <f t="shared" si="150"/>
        <v>4</v>
      </c>
      <c r="AC691" s="7">
        <f t="shared" si="151"/>
        <v>1</v>
      </c>
      <c r="AD691" s="7" t="str">
        <f t="shared" si="152"/>
        <v>No</v>
      </c>
      <c r="AE691" s="7" t="str">
        <f t="shared" si="153"/>
        <v>Normal</v>
      </c>
    </row>
    <row r="692" spans="1:31">
      <c r="A692" t="s">
        <v>2226</v>
      </c>
      <c r="B692">
        <v>62679863</v>
      </c>
      <c r="C692" t="s">
        <v>397</v>
      </c>
      <c r="D692" t="s">
        <v>640</v>
      </c>
      <c r="E692" t="s">
        <v>33</v>
      </c>
      <c r="F692" t="s">
        <v>35</v>
      </c>
      <c r="G692" t="s">
        <v>45</v>
      </c>
      <c r="I692" t="s">
        <v>3371</v>
      </c>
      <c r="J692">
        <v>13887.67</v>
      </c>
      <c r="K692" t="s">
        <v>27</v>
      </c>
      <c r="L692" t="s">
        <v>48</v>
      </c>
      <c r="M692" s="1">
        <v>44735.583333333336</v>
      </c>
      <c r="N692">
        <v>51</v>
      </c>
      <c r="O692" t="s">
        <v>37</v>
      </c>
      <c r="P692" t="s">
        <v>93</v>
      </c>
      <c r="Q692" t="s">
        <v>2227</v>
      </c>
      <c r="R692" t="str">
        <f t="shared" si="140"/>
        <v>Mary Moore</v>
      </c>
      <c r="S692" t="str">
        <f t="shared" si="141"/>
        <v>Zayn Garcia</v>
      </c>
      <c r="T692" t="str">
        <f t="shared" si="142"/>
        <v>EUR</v>
      </c>
      <c r="U692" s="7" t="str">
        <f t="shared" si="143"/>
        <v>ZAR</v>
      </c>
      <c r="V692" s="7" t="str">
        <f t="shared" si="144"/>
        <v>South Africa</v>
      </c>
      <c r="W692" s="7" t="str">
        <f t="shared" si="145"/>
        <v>USA</v>
      </c>
      <c r="X692" s="7" t="str">
        <f t="shared" si="146"/>
        <v>Outer-Transaction</v>
      </c>
      <c r="Y692" s="7">
        <f t="shared" si="147"/>
        <v>13887.67</v>
      </c>
      <c r="Z692" s="7">
        <f t="shared" si="148"/>
        <v>51</v>
      </c>
      <c r="AA692" s="7">
        <f t="shared" si="149"/>
        <v>2022</v>
      </c>
      <c r="AB692" s="7">
        <f t="shared" si="150"/>
        <v>6</v>
      </c>
      <c r="AC692" s="7">
        <f t="shared" si="151"/>
        <v>1</v>
      </c>
      <c r="AD692" s="7" t="str">
        <f t="shared" si="152"/>
        <v>No</v>
      </c>
      <c r="AE692" s="7" t="str">
        <f t="shared" si="153"/>
        <v>Normal</v>
      </c>
    </row>
    <row r="693" spans="1:31">
      <c r="A693" t="s">
        <v>2228</v>
      </c>
      <c r="B693">
        <v>23530495</v>
      </c>
      <c r="C693" t="s">
        <v>1349</v>
      </c>
      <c r="D693" t="s">
        <v>494</v>
      </c>
      <c r="E693" t="s">
        <v>20</v>
      </c>
      <c r="F693" t="s">
        <v>116</v>
      </c>
      <c r="G693" t="s">
        <v>35</v>
      </c>
      <c r="I693" t="s">
        <v>3378</v>
      </c>
      <c r="J693">
        <v>10540.03</v>
      </c>
      <c r="K693" t="s">
        <v>47</v>
      </c>
      <c r="L693" t="s">
        <v>48</v>
      </c>
      <c r="M693" s="1">
        <v>45776.45</v>
      </c>
      <c r="N693">
        <v>25</v>
      </c>
      <c r="O693" t="s">
        <v>54</v>
      </c>
      <c r="P693" t="s">
        <v>62</v>
      </c>
      <c r="Q693" t="s">
        <v>2229</v>
      </c>
      <c r="R693" t="str">
        <f t="shared" si="140"/>
        <v>Fatima Wilson</v>
      </c>
      <c r="S693" t="str">
        <f t="shared" si="141"/>
        <v>Lucas Hernandez</v>
      </c>
      <c r="T693" t="str">
        <f t="shared" si="142"/>
        <v>CHF</v>
      </c>
      <c r="U693" s="7" t="str">
        <f t="shared" si="143"/>
        <v>EUR</v>
      </c>
      <c r="V693" s="7" t="str">
        <f t="shared" si="144"/>
        <v>India</v>
      </c>
      <c r="W693" s="7" t="str">
        <f t="shared" si="145"/>
        <v>Australia</v>
      </c>
      <c r="X693" s="7" t="str">
        <f t="shared" si="146"/>
        <v>Inter-Transaction</v>
      </c>
      <c r="Y693" s="7">
        <f t="shared" si="147"/>
        <v>10540.03</v>
      </c>
      <c r="Z693" s="7">
        <f t="shared" si="148"/>
        <v>25</v>
      </c>
      <c r="AA693" s="7">
        <f t="shared" si="149"/>
        <v>2025</v>
      </c>
      <c r="AB693" s="7">
        <f t="shared" si="150"/>
        <v>4</v>
      </c>
      <c r="AC693" s="7">
        <f t="shared" si="151"/>
        <v>1</v>
      </c>
      <c r="AD693" s="7" t="str">
        <f t="shared" si="152"/>
        <v>No</v>
      </c>
      <c r="AE693" s="7" t="str">
        <f t="shared" si="153"/>
        <v>Normal</v>
      </c>
    </row>
    <row r="694" spans="1:31">
      <c r="A694" t="s">
        <v>2230</v>
      </c>
      <c r="B694">
        <v>31684442</v>
      </c>
      <c r="C694" t="s">
        <v>1762</v>
      </c>
      <c r="D694" t="s">
        <v>409</v>
      </c>
      <c r="E694">
        <v>1</v>
      </c>
      <c r="F694" t="s">
        <v>116</v>
      </c>
      <c r="G694" t="s">
        <v>34</v>
      </c>
      <c r="I694" t="s">
        <v>3377</v>
      </c>
      <c r="J694">
        <v>2715.1</v>
      </c>
      <c r="K694" t="s">
        <v>39</v>
      </c>
      <c r="L694" t="s">
        <v>81</v>
      </c>
      <c r="M694" s="1">
        <v>44216.17083333333</v>
      </c>
      <c r="N694">
        <v>57</v>
      </c>
      <c r="O694" t="s">
        <v>36</v>
      </c>
      <c r="P694" t="s">
        <v>55</v>
      </c>
      <c r="Q694" t="s">
        <v>2231</v>
      </c>
      <c r="R694" t="str">
        <f t="shared" si="140"/>
        <v>Lucas Gonzalez</v>
      </c>
      <c r="S694" t="str">
        <f t="shared" si="141"/>
        <v>Barbara Davis</v>
      </c>
      <c r="T694" t="str">
        <f t="shared" si="142"/>
        <v>CHF</v>
      </c>
      <c r="U694" s="7" t="str">
        <f t="shared" si="143"/>
        <v>CAD</v>
      </c>
      <c r="V694" s="7" t="str">
        <f t="shared" si="144"/>
        <v>Germany</v>
      </c>
      <c r="W694" s="7" t="str">
        <f t="shared" si="145"/>
        <v>UK</v>
      </c>
      <c r="X694" s="7" t="str">
        <f t="shared" si="146"/>
        <v>Inter-Transaction</v>
      </c>
      <c r="Y694" s="7">
        <f t="shared" si="147"/>
        <v>2715.1</v>
      </c>
      <c r="Z694" s="7">
        <f t="shared" si="148"/>
        <v>57</v>
      </c>
      <c r="AA694" s="7">
        <f t="shared" si="149"/>
        <v>2021</v>
      </c>
      <c r="AB694" s="7">
        <f t="shared" si="150"/>
        <v>1</v>
      </c>
      <c r="AC694" s="7">
        <f t="shared" si="151"/>
        <v>2</v>
      </c>
      <c r="AD694" s="7" t="str">
        <f t="shared" si="152"/>
        <v>No</v>
      </c>
      <c r="AE694" s="7" t="str">
        <f t="shared" si="153"/>
        <v>Normal</v>
      </c>
    </row>
    <row r="695" spans="1:31">
      <c r="A695" t="s">
        <v>2232</v>
      </c>
      <c r="B695">
        <v>80732751</v>
      </c>
      <c r="C695" t="s">
        <v>582</v>
      </c>
      <c r="D695" t="s">
        <v>146</v>
      </c>
      <c r="E695" t="s">
        <v>20</v>
      </c>
      <c r="F695" t="s">
        <v>22</v>
      </c>
      <c r="G695" t="s">
        <v>34</v>
      </c>
      <c r="H695" t="s">
        <v>25</v>
      </c>
      <c r="I695" t="s">
        <v>3374</v>
      </c>
      <c r="J695">
        <v>11293.71</v>
      </c>
      <c r="K695" t="s">
        <v>86</v>
      </c>
      <c r="L695" t="s">
        <v>48</v>
      </c>
      <c r="M695" s="1">
        <v>43892.788888888892</v>
      </c>
      <c r="N695">
        <v>59</v>
      </c>
      <c r="O695" t="s">
        <v>24</v>
      </c>
      <c r="P695" t="s">
        <v>23</v>
      </c>
      <c r="Q695" t="s">
        <v>2233</v>
      </c>
      <c r="R695" t="str">
        <f t="shared" si="140"/>
        <v>Priya Thomas</v>
      </c>
      <c r="S695" t="str">
        <f t="shared" si="141"/>
        <v>Fatima Brown</v>
      </c>
      <c r="T695" t="str">
        <f t="shared" si="142"/>
        <v>BRL</v>
      </c>
      <c r="U695" s="7" t="str">
        <f t="shared" si="143"/>
        <v>CAD</v>
      </c>
      <c r="V695" s="7" t="str">
        <f t="shared" si="144"/>
        <v>Brazil</v>
      </c>
      <c r="W695" s="7" t="str">
        <f t="shared" si="145"/>
        <v>France</v>
      </c>
      <c r="X695" s="7" t="str">
        <f t="shared" si="146"/>
        <v>External</v>
      </c>
      <c r="Y695" s="7">
        <f t="shared" si="147"/>
        <v>11293.71</v>
      </c>
      <c r="Z695" s="7">
        <f t="shared" si="148"/>
        <v>59</v>
      </c>
      <c r="AA695" s="7">
        <f t="shared" si="149"/>
        <v>2020</v>
      </c>
      <c r="AB695" s="7">
        <f t="shared" si="150"/>
        <v>3</v>
      </c>
      <c r="AC695" s="7">
        <f t="shared" si="151"/>
        <v>1</v>
      </c>
      <c r="AD695" s="7" t="str">
        <f t="shared" si="152"/>
        <v>No</v>
      </c>
      <c r="AE695" s="7" t="str">
        <f t="shared" si="153"/>
        <v>Normal</v>
      </c>
    </row>
    <row r="696" spans="1:31">
      <c r="A696" t="s">
        <v>2234</v>
      </c>
      <c r="B696">
        <v>84384809</v>
      </c>
      <c r="C696" t="s">
        <v>1958</v>
      </c>
      <c r="D696" t="s">
        <v>1073</v>
      </c>
      <c r="E696" t="s">
        <v>3373</v>
      </c>
      <c r="F696" t="s">
        <v>98</v>
      </c>
      <c r="G696" t="s">
        <v>98</v>
      </c>
      <c r="I696" t="s">
        <v>3378</v>
      </c>
      <c r="J696">
        <v>10013.549999999999</v>
      </c>
      <c r="K696" t="s">
        <v>57</v>
      </c>
      <c r="L696" t="s">
        <v>48</v>
      </c>
      <c r="M696" s="1">
        <v>44345.977777777778</v>
      </c>
      <c r="N696">
        <v>58</v>
      </c>
      <c r="O696" t="s">
        <v>37</v>
      </c>
      <c r="P696" t="s">
        <v>54</v>
      </c>
      <c r="Q696" t="s">
        <v>2235</v>
      </c>
      <c r="R696" t="str">
        <f t="shared" si="140"/>
        <v>Sarah Martin</v>
      </c>
      <c r="S696" t="str">
        <f t="shared" si="141"/>
        <v>Lucas Velez</v>
      </c>
      <c r="T696" t="str">
        <f t="shared" si="142"/>
        <v>JPY</v>
      </c>
      <c r="U696" s="7" t="str">
        <f t="shared" si="143"/>
        <v>JPY</v>
      </c>
      <c r="V696" s="7" t="str">
        <f t="shared" si="144"/>
        <v>South Africa</v>
      </c>
      <c r="W696" s="7" t="str">
        <f t="shared" si="145"/>
        <v>India</v>
      </c>
      <c r="X696" s="7" t="str">
        <f t="shared" si="146"/>
        <v>Inter-Transaction</v>
      </c>
      <c r="Y696" s="7">
        <f t="shared" si="147"/>
        <v>10013.549999999999</v>
      </c>
      <c r="Z696" s="7">
        <f t="shared" si="148"/>
        <v>58</v>
      </c>
      <c r="AA696" s="7">
        <f t="shared" si="149"/>
        <v>2021</v>
      </c>
      <c r="AB696" s="7">
        <f t="shared" si="150"/>
        <v>5</v>
      </c>
      <c r="AC696" s="7">
        <f t="shared" si="151"/>
        <v>1</v>
      </c>
      <c r="AD696" s="7" t="str">
        <f t="shared" si="152"/>
        <v>No</v>
      </c>
      <c r="AE696" s="7" t="str">
        <f t="shared" si="153"/>
        <v>Normal</v>
      </c>
    </row>
    <row r="697" spans="1:31">
      <c r="A697" t="s">
        <v>2236</v>
      </c>
      <c r="B697">
        <v>37111336</v>
      </c>
      <c r="C697" t="s">
        <v>423</v>
      </c>
      <c r="D697" t="s">
        <v>2237</v>
      </c>
      <c r="E697">
        <v>0</v>
      </c>
      <c r="F697" t="s">
        <v>45</v>
      </c>
      <c r="G697" t="s">
        <v>35</v>
      </c>
      <c r="H697" t="s">
        <v>74</v>
      </c>
      <c r="I697" t="s">
        <v>3371</v>
      </c>
      <c r="J697">
        <v>13081.38</v>
      </c>
      <c r="K697" t="s">
        <v>27</v>
      </c>
      <c r="L697" t="s">
        <v>28</v>
      </c>
      <c r="M697" s="1">
        <v>44260.606944444444</v>
      </c>
      <c r="N697">
        <v>23</v>
      </c>
      <c r="O697" t="s">
        <v>37</v>
      </c>
      <c r="P697" t="s">
        <v>55</v>
      </c>
      <c r="Q697" t="s">
        <v>2238</v>
      </c>
      <c r="R697" t="str">
        <f t="shared" si="140"/>
        <v>John Rodriguez</v>
      </c>
      <c r="S697" t="str">
        <f t="shared" si="141"/>
        <v xml:space="preserve"> Barbara Davis   </v>
      </c>
      <c r="T697" t="str">
        <f t="shared" si="142"/>
        <v>ZAR</v>
      </c>
      <c r="U697" s="7" t="str">
        <f t="shared" si="143"/>
        <v>EUR</v>
      </c>
      <c r="V697" s="7" t="str">
        <f t="shared" si="144"/>
        <v>South Africa</v>
      </c>
      <c r="W697" s="7" t="str">
        <f t="shared" si="145"/>
        <v>UK</v>
      </c>
      <c r="X697" s="7" t="str">
        <f t="shared" si="146"/>
        <v>Outer-Transaction</v>
      </c>
      <c r="Y697" s="7">
        <f t="shared" si="147"/>
        <v>13081.38</v>
      </c>
      <c r="Z697" s="7">
        <f t="shared" si="148"/>
        <v>23</v>
      </c>
      <c r="AA697" s="7">
        <f t="shared" si="149"/>
        <v>2021</v>
      </c>
      <c r="AB697" s="7">
        <f t="shared" si="150"/>
        <v>3</v>
      </c>
      <c r="AC697" s="7">
        <f t="shared" si="151"/>
        <v>1</v>
      </c>
      <c r="AD697" s="7" t="str">
        <f t="shared" si="152"/>
        <v>No</v>
      </c>
      <c r="AE697" s="7" t="str">
        <f t="shared" si="153"/>
        <v>Normal</v>
      </c>
    </row>
    <row r="698" spans="1:31">
      <c r="A698" t="s">
        <v>2239</v>
      </c>
      <c r="B698">
        <v>50639874</v>
      </c>
      <c r="C698" t="s">
        <v>2240</v>
      </c>
      <c r="D698" t="s">
        <v>2241</v>
      </c>
      <c r="E698" t="s">
        <v>3373</v>
      </c>
      <c r="F698" t="s">
        <v>294</v>
      </c>
      <c r="G698" t="s">
        <v>121</v>
      </c>
      <c r="H698" t="s">
        <v>25</v>
      </c>
      <c r="I698" t="s">
        <v>3371</v>
      </c>
      <c r="J698">
        <v>10304.74</v>
      </c>
      <c r="K698" t="s">
        <v>39</v>
      </c>
      <c r="L698" t="s">
        <v>28</v>
      </c>
      <c r="M698" s="1">
        <v>44410.60833333333</v>
      </c>
      <c r="N698">
        <v>69</v>
      </c>
      <c r="O698" t="s">
        <v>93</v>
      </c>
      <c r="P698" t="s">
        <v>55</v>
      </c>
      <c r="Q698" t="s">
        <v>2242</v>
      </c>
      <c r="R698" t="str">
        <f t="shared" si="140"/>
        <v>William Thomas</v>
      </c>
      <c r="S698" t="str">
        <f t="shared" si="141"/>
        <v>David Nair</v>
      </c>
      <c r="T698" t="str">
        <f t="shared" si="142"/>
        <v>jpy</v>
      </c>
      <c r="U698" s="7" t="str">
        <f t="shared" si="143"/>
        <v>INR</v>
      </c>
      <c r="V698" s="7" t="str">
        <f t="shared" si="144"/>
        <v>USA</v>
      </c>
      <c r="W698" s="7" t="str">
        <f t="shared" si="145"/>
        <v>UK</v>
      </c>
      <c r="X698" s="7" t="str">
        <f t="shared" si="146"/>
        <v>Outer-Transaction</v>
      </c>
      <c r="Y698" s="7">
        <f t="shared" si="147"/>
        <v>10304.74</v>
      </c>
      <c r="Z698" s="7">
        <f t="shared" si="148"/>
        <v>69</v>
      </c>
      <c r="AA698" s="7">
        <f t="shared" si="149"/>
        <v>2021</v>
      </c>
      <c r="AB698" s="7">
        <f t="shared" si="150"/>
        <v>8</v>
      </c>
      <c r="AC698" s="7">
        <f t="shared" si="151"/>
        <v>1</v>
      </c>
      <c r="AD698" s="7" t="str">
        <f t="shared" si="152"/>
        <v>No</v>
      </c>
      <c r="AE698" s="7" t="str">
        <f t="shared" si="153"/>
        <v>Normal</v>
      </c>
    </row>
    <row r="699" spans="1:31">
      <c r="A699" t="s">
        <v>2243</v>
      </c>
      <c r="B699">
        <v>71786427</v>
      </c>
      <c r="C699" t="s">
        <v>861</v>
      </c>
      <c r="D699" t="s">
        <v>2244</v>
      </c>
      <c r="E699" t="s">
        <v>20</v>
      </c>
      <c r="F699" t="s">
        <v>35</v>
      </c>
      <c r="G699" t="s">
        <v>116</v>
      </c>
      <c r="H699" t="s">
        <v>74</v>
      </c>
      <c r="I699" t="s">
        <v>3377</v>
      </c>
      <c r="J699">
        <v>1823.14</v>
      </c>
      <c r="K699" t="s">
        <v>86</v>
      </c>
      <c r="L699" t="s">
        <v>81</v>
      </c>
      <c r="M699" s="1">
        <v>45391.924305555556</v>
      </c>
      <c r="N699">
        <v>43</v>
      </c>
      <c r="O699" t="s">
        <v>68</v>
      </c>
      <c r="P699" t="s">
        <v>23</v>
      </c>
      <c r="Q699" t="s">
        <v>2245</v>
      </c>
      <c r="R699" t="str">
        <f t="shared" si="140"/>
        <v>Jessica Anderson</v>
      </c>
      <c r="S699" t="str">
        <f t="shared" si="141"/>
        <v>Jean-Pierre Velez</v>
      </c>
      <c r="T699" t="str">
        <f t="shared" si="142"/>
        <v>EUR</v>
      </c>
      <c r="U699" s="7" t="str">
        <f t="shared" si="143"/>
        <v>CHF</v>
      </c>
      <c r="V699" s="7" t="str">
        <f t="shared" si="144"/>
        <v>UAE</v>
      </c>
      <c r="W699" s="7" t="str">
        <f t="shared" si="145"/>
        <v>France</v>
      </c>
      <c r="X699" s="7" t="str">
        <f t="shared" si="146"/>
        <v>Inter-Transaction</v>
      </c>
      <c r="Y699" s="7">
        <f t="shared" si="147"/>
        <v>1823.14</v>
      </c>
      <c r="Z699" s="7">
        <f t="shared" si="148"/>
        <v>43</v>
      </c>
      <c r="AA699" s="7">
        <f t="shared" si="149"/>
        <v>2024</v>
      </c>
      <c r="AB699" s="7">
        <f t="shared" si="150"/>
        <v>4</v>
      </c>
      <c r="AC699" s="7">
        <f t="shared" si="151"/>
        <v>1</v>
      </c>
      <c r="AD699" s="7" t="str">
        <f t="shared" si="152"/>
        <v>No</v>
      </c>
      <c r="AE699" s="7" t="str">
        <f t="shared" si="153"/>
        <v>Normal</v>
      </c>
    </row>
    <row r="700" spans="1:31">
      <c r="A700" t="s">
        <v>2246</v>
      </c>
      <c r="C700" t="s">
        <v>2247</v>
      </c>
      <c r="D700" t="s">
        <v>1216</v>
      </c>
      <c r="E700" t="s">
        <v>20</v>
      </c>
      <c r="F700" t="s">
        <v>34</v>
      </c>
      <c r="G700" t="s">
        <v>121</v>
      </c>
      <c r="H700" t="s">
        <v>38</v>
      </c>
      <c r="I700" t="s">
        <v>3377</v>
      </c>
      <c r="J700">
        <v>2252.98</v>
      </c>
      <c r="K700" t="s">
        <v>57</v>
      </c>
      <c r="L700" t="s">
        <v>48</v>
      </c>
      <c r="M700" s="1">
        <v>44995.816666666666</v>
      </c>
      <c r="N700">
        <v>81</v>
      </c>
      <c r="O700" t="s">
        <v>36</v>
      </c>
      <c r="P700" t="s">
        <v>37</v>
      </c>
      <c r="Q700" t="s">
        <v>2248</v>
      </c>
      <c r="R700" t="str">
        <f t="shared" si="140"/>
        <v>Mary Martinez</v>
      </c>
      <c r="S700" t="str">
        <f t="shared" si="141"/>
        <v>Christopher Miller</v>
      </c>
      <c r="T700" t="str">
        <f t="shared" si="142"/>
        <v>CAD</v>
      </c>
      <c r="U700" s="7" t="str">
        <f t="shared" si="143"/>
        <v>INR</v>
      </c>
      <c r="V700" s="7" t="str">
        <f t="shared" si="144"/>
        <v>Germany</v>
      </c>
      <c r="W700" s="7" t="str">
        <f t="shared" si="145"/>
        <v>South Africa</v>
      </c>
      <c r="X700" s="7" t="str">
        <f t="shared" si="146"/>
        <v>Inter-Transaction</v>
      </c>
      <c r="Y700" s="7">
        <f t="shared" si="147"/>
        <v>2252.98</v>
      </c>
      <c r="Z700" s="7">
        <f t="shared" si="148"/>
        <v>81</v>
      </c>
      <c r="AA700" s="7">
        <f t="shared" si="149"/>
        <v>2023</v>
      </c>
      <c r="AB700" s="7">
        <f t="shared" si="150"/>
        <v>3</v>
      </c>
      <c r="AC700" s="7">
        <f t="shared" si="151"/>
        <v>1</v>
      </c>
      <c r="AD700" s="7" t="str">
        <f t="shared" si="152"/>
        <v>No</v>
      </c>
      <c r="AE700" s="7" t="str">
        <f t="shared" si="153"/>
        <v>Normal</v>
      </c>
    </row>
    <row r="701" spans="1:31">
      <c r="A701" t="s">
        <v>2249</v>
      </c>
      <c r="B701">
        <v>87367064</v>
      </c>
      <c r="C701" t="s">
        <v>994</v>
      </c>
      <c r="D701" t="s">
        <v>2250</v>
      </c>
      <c r="E701" t="s">
        <v>20</v>
      </c>
      <c r="F701" t="s">
        <v>160</v>
      </c>
      <c r="G701" t="s">
        <v>21</v>
      </c>
      <c r="H701" t="s">
        <v>103</v>
      </c>
      <c r="I701" t="s">
        <v>3374</v>
      </c>
      <c r="J701">
        <v>5713.63</v>
      </c>
      <c r="K701" t="s">
        <v>86</v>
      </c>
      <c r="L701" t="s">
        <v>28</v>
      </c>
      <c r="M701" s="1">
        <v>45154.088888888888</v>
      </c>
      <c r="N701">
        <v>76</v>
      </c>
      <c r="O701" t="s">
        <v>24</v>
      </c>
      <c r="P701" t="s">
        <v>55</v>
      </c>
      <c r="Q701" t="s">
        <v>2251</v>
      </c>
      <c r="R701" t="str">
        <f t="shared" si="140"/>
        <v>Marta Hernandez</v>
      </c>
      <c r="S701" t="str">
        <f t="shared" si="141"/>
        <v>Michael Jones</v>
      </c>
      <c r="T701" t="str">
        <f t="shared" si="142"/>
        <v>aud</v>
      </c>
      <c r="U701" s="7" t="str">
        <f t="shared" si="143"/>
        <v>GBP</v>
      </c>
      <c r="V701" s="7" t="str">
        <f t="shared" si="144"/>
        <v>Brazil</v>
      </c>
      <c r="W701" s="7" t="str">
        <f t="shared" si="145"/>
        <v>UK</v>
      </c>
      <c r="X701" s="7" t="str">
        <f t="shared" si="146"/>
        <v>External</v>
      </c>
      <c r="Y701" s="7">
        <f t="shared" si="147"/>
        <v>5713.63</v>
      </c>
      <c r="Z701" s="7">
        <f t="shared" si="148"/>
        <v>76</v>
      </c>
      <c r="AA701" s="7">
        <f t="shared" si="149"/>
        <v>2023</v>
      </c>
      <c r="AB701" s="7">
        <f t="shared" si="150"/>
        <v>8</v>
      </c>
      <c r="AC701" s="7">
        <f t="shared" si="151"/>
        <v>1</v>
      </c>
      <c r="AD701" s="7" t="str">
        <f t="shared" si="152"/>
        <v>No</v>
      </c>
      <c r="AE701" s="7" t="str">
        <f t="shared" si="153"/>
        <v>Normal</v>
      </c>
    </row>
    <row r="702" spans="1:31">
      <c r="A702" t="s">
        <v>2252</v>
      </c>
      <c r="B702">
        <v>40717503</v>
      </c>
      <c r="C702" t="s">
        <v>1032</v>
      </c>
      <c r="D702" t="s">
        <v>405</v>
      </c>
      <c r="E702" t="s">
        <v>20</v>
      </c>
      <c r="F702" t="s">
        <v>34</v>
      </c>
      <c r="G702" t="s">
        <v>98</v>
      </c>
      <c r="H702" t="s">
        <v>25</v>
      </c>
      <c r="I702" t="s">
        <v>3378</v>
      </c>
      <c r="J702">
        <v>14123.27</v>
      </c>
      <c r="K702" t="s">
        <v>47</v>
      </c>
      <c r="L702" t="s">
        <v>28</v>
      </c>
      <c r="M702" s="1">
        <v>46189.359722222223</v>
      </c>
      <c r="N702">
        <v>73</v>
      </c>
      <c r="O702" t="s">
        <v>54</v>
      </c>
      <c r="P702" t="s">
        <v>62</v>
      </c>
      <c r="Q702" t="s">
        <v>1836</v>
      </c>
      <c r="R702" t="str">
        <f t="shared" si="140"/>
        <v>Thomas Brown</v>
      </c>
      <c r="S702" t="str">
        <f t="shared" si="141"/>
        <v>Michael Rodriguez</v>
      </c>
      <c r="T702" t="str">
        <f t="shared" si="142"/>
        <v>CAD</v>
      </c>
      <c r="U702" s="7" t="str">
        <f t="shared" si="143"/>
        <v>JPY</v>
      </c>
      <c r="V702" s="7" t="str">
        <f t="shared" si="144"/>
        <v>India</v>
      </c>
      <c r="W702" s="7" t="str">
        <f t="shared" si="145"/>
        <v>Australia</v>
      </c>
      <c r="X702" s="7" t="str">
        <f t="shared" si="146"/>
        <v>Inter-Transaction</v>
      </c>
      <c r="Y702" s="7">
        <f t="shared" si="147"/>
        <v>14123.27</v>
      </c>
      <c r="Z702" s="7">
        <f t="shared" si="148"/>
        <v>73</v>
      </c>
      <c r="AA702" s="7">
        <f t="shared" si="149"/>
        <v>2026</v>
      </c>
      <c r="AB702" s="7">
        <f t="shared" si="150"/>
        <v>6</v>
      </c>
      <c r="AC702" s="7">
        <f t="shared" si="151"/>
        <v>1</v>
      </c>
      <c r="AD702" s="7" t="str">
        <f t="shared" si="152"/>
        <v>No</v>
      </c>
      <c r="AE702" s="7" t="str">
        <f t="shared" si="153"/>
        <v>Normal</v>
      </c>
    </row>
    <row r="703" spans="1:31">
      <c r="A703" t="s">
        <v>2253</v>
      </c>
      <c r="B703">
        <v>32327365</v>
      </c>
      <c r="C703" t="s">
        <v>1002</v>
      </c>
      <c r="D703" t="s">
        <v>1099</v>
      </c>
      <c r="E703" t="s">
        <v>33</v>
      </c>
      <c r="F703" t="s">
        <v>35</v>
      </c>
      <c r="G703" t="s">
        <v>92</v>
      </c>
      <c r="I703" t="s">
        <v>3374</v>
      </c>
      <c r="J703">
        <v>14177.84</v>
      </c>
      <c r="K703" t="s">
        <v>86</v>
      </c>
      <c r="L703" t="s">
        <v>75</v>
      </c>
      <c r="M703" s="1">
        <v>44301.056944444441</v>
      </c>
      <c r="N703">
        <v>76</v>
      </c>
      <c r="O703" t="s">
        <v>54</v>
      </c>
      <c r="P703" t="s">
        <v>127</v>
      </c>
      <c r="Q703" t="s">
        <v>2254</v>
      </c>
      <c r="R703" t="str">
        <f t="shared" si="140"/>
        <v>Nancy Martin</v>
      </c>
      <c r="S703" t="str">
        <f t="shared" si="141"/>
        <v>Mary Anderson</v>
      </c>
      <c r="T703" t="str">
        <f t="shared" si="142"/>
        <v>EUR</v>
      </c>
      <c r="U703" s="7" t="str">
        <f t="shared" si="143"/>
        <v>AUD</v>
      </c>
      <c r="V703" s="7" t="str">
        <f t="shared" si="144"/>
        <v>India</v>
      </c>
      <c r="W703" s="7" t="str">
        <f t="shared" si="145"/>
        <v>Canada</v>
      </c>
      <c r="X703" s="7" t="str">
        <f t="shared" si="146"/>
        <v>External</v>
      </c>
      <c r="Y703" s="7">
        <f t="shared" si="147"/>
        <v>14177.84</v>
      </c>
      <c r="Z703" s="7">
        <f t="shared" si="148"/>
        <v>76</v>
      </c>
      <c r="AA703" s="7">
        <f t="shared" si="149"/>
        <v>2021</v>
      </c>
      <c r="AB703" s="7">
        <f t="shared" si="150"/>
        <v>4</v>
      </c>
      <c r="AC703" s="7">
        <f t="shared" si="151"/>
        <v>2</v>
      </c>
      <c r="AD703" s="7" t="str">
        <f t="shared" si="152"/>
        <v>No</v>
      </c>
      <c r="AE703" s="7" t="str">
        <f t="shared" si="153"/>
        <v>High Risk</v>
      </c>
    </row>
    <row r="704" spans="1:31">
      <c r="A704" t="s">
        <v>2255</v>
      </c>
      <c r="B704">
        <v>14346370</v>
      </c>
      <c r="C704" t="s">
        <v>2061</v>
      </c>
      <c r="D704" t="s">
        <v>18</v>
      </c>
      <c r="E704" t="s">
        <v>20</v>
      </c>
      <c r="F704" t="s">
        <v>92</v>
      </c>
      <c r="G704" t="s">
        <v>44</v>
      </c>
      <c r="H704" t="s">
        <v>38</v>
      </c>
      <c r="I704" t="s">
        <v>3377</v>
      </c>
      <c r="J704">
        <v>5569.61</v>
      </c>
      <c r="K704" t="s">
        <v>27</v>
      </c>
      <c r="L704" t="s">
        <v>75</v>
      </c>
      <c r="M704" s="1">
        <v>45247.956944444442</v>
      </c>
      <c r="N704">
        <v>50</v>
      </c>
      <c r="O704" t="s">
        <v>55</v>
      </c>
      <c r="P704" t="s">
        <v>37</v>
      </c>
      <c r="Q704" t="s">
        <v>2256</v>
      </c>
      <c r="R704" t="str">
        <f t="shared" si="140"/>
        <v>Elizabeth Johnson</v>
      </c>
      <c r="S704" t="str">
        <f t="shared" si="141"/>
        <v>Patricia Smith</v>
      </c>
      <c r="T704" t="str">
        <f t="shared" si="142"/>
        <v>AUD</v>
      </c>
      <c r="U704" s="7" t="str">
        <f t="shared" si="143"/>
        <v>SGD</v>
      </c>
      <c r="V704" s="7" t="str">
        <f t="shared" si="144"/>
        <v>UK</v>
      </c>
      <c r="W704" s="7" t="str">
        <f t="shared" si="145"/>
        <v>South Africa</v>
      </c>
      <c r="X704" s="7" t="str">
        <f t="shared" si="146"/>
        <v>Inter-Transaction</v>
      </c>
      <c r="Y704" s="7">
        <f t="shared" si="147"/>
        <v>5569.61</v>
      </c>
      <c r="Z704" s="7">
        <f t="shared" si="148"/>
        <v>50</v>
      </c>
      <c r="AA704" s="7">
        <f t="shared" si="149"/>
        <v>2023</v>
      </c>
      <c r="AB704" s="7">
        <f t="shared" si="150"/>
        <v>11</v>
      </c>
      <c r="AC704" s="7">
        <f t="shared" si="151"/>
        <v>1</v>
      </c>
      <c r="AD704" s="7" t="str">
        <f t="shared" si="152"/>
        <v>No</v>
      </c>
      <c r="AE704" s="7" t="str">
        <f t="shared" si="153"/>
        <v>High Risk</v>
      </c>
    </row>
    <row r="705" spans="1:31">
      <c r="A705" t="s">
        <v>2257</v>
      </c>
      <c r="B705">
        <v>71974482</v>
      </c>
      <c r="C705" t="s">
        <v>432</v>
      </c>
      <c r="D705" t="s">
        <v>2145</v>
      </c>
      <c r="E705" t="s">
        <v>20</v>
      </c>
      <c r="F705" t="s">
        <v>35</v>
      </c>
      <c r="G705" t="s">
        <v>98</v>
      </c>
      <c r="H705" t="s">
        <v>74</v>
      </c>
      <c r="I705" t="s">
        <v>3377</v>
      </c>
      <c r="J705">
        <v>6745.39</v>
      </c>
      <c r="K705" t="s">
        <v>57</v>
      </c>
      <c r="L705" t="s">
        <v>28</v>
      </c>
      <c r="M705" s="1">
        <v>45496.84375</v>
      </c>
      <c r="N705">
        <v>70</v>
      </c>
      <c r="O705" t="s">
        <v>37</v>
      </c>
      <c r="P705" t="s">
        <v>62</v>
      </c>
      <c r="Q705" t="s">
        <v>2258</v>
      </c>
      <c r="R705" t="str">
        <f t="shared" si="140"/>
        <v>Jessica Smith</v>
      </c>
      <c r="S705" t="str">
        <f t="shared" si="141"/>
        <v>Patricia Johnson</v>
      </c>
      <c r="T705" t="str">
        <f t="shared" si="142"/>
        <v>EUR</v>
      </c>
      <c r="U705" s="7" t="str">
        <f t="shared" si="143"/>
        <v>JPY</v>
      </c>
      <c r="V705" s="7" t="str">
        <f t="shared" si="144"/>
        <v>South Africa</v>
      </c>
      <c r="W705" s="7" t="str">
        <f t="shared" si="145"/>
        <v>Australia</v>
      </c>
      <c r="X705" s="7" t="str">
        <f t="shared" si="146"/>
        <v>Inter-Transaction</v>
      </c>
      <c r="Y705" s="7">
        <f t="shared" si="147"/>
        <v>6745.39</v>
      </c>
      <c r="Z705" s="7">
        <f t="shared" si="148"/>
        <v>70</v>
      </c>
      <c r="AA705" s="7">
        <f t="shared" si="149"/>
        <v>2024</v>
      </c>
      <c r="AB705" s="7">
        <f t="shared" si="150"/>
        <v>7</v>
      </c>
      <c r="AC705" s="7">
        <f t="shared" si="151"/>
        <v>1</v>
      </c>
      <c r="AD705" s="7" t="str">
        <f t="shared" si="152"/>
        <v>No</v>
      </c>
      <c r="AE705" s="7" t="str">
        <f t="shared" si="153"/>
        <v>Normal</v>
      </c>
    </row>
    <row r="706" spans="1:31">
      <c r="A706" t="s">
        <v>2259</v>
      </c>
      <c r="B706">
        <v>29881959</v>
      </c>
      <c r="C706" t="s">
        <v>1549</v>
      </c>
      <c r="D706" t="s">
        <v>2260</v>
      </c>
      <c r="E706" t="s">
        <v>20</v>
      </c>
      <c r="F706" t="s">
        <v>393</v>
      </c>
      <c r="G706" t="s">
        <v>22</v>
      </c>
      <c r="H706" t="s">
        <v>25</v>
      </c>
      <c r="I706" t="s">
        <v>3372</v>
      </c>
      <c r="J706">
        <v>10692.19</v>
      </c>
      <c r="K706" t="s">
        <v>57</v>
      </c>
      <c r="L706" t="s">
        <v>28</v>
      </c>
      <c r="M706" s="1">
        <v>45299.341666666667</v>
      </c>
      <c r="N706">
        <v>39</v>
      </c>
      <c r="O706" t="s">
        <v>62</v>
      </c>
      <c r="P706" t="s">
        <v>37</v>
      </c>
      <c r="Q706" t="s">
        <v>2261</v>
      </c>
      <c r="R706" t="str">
        <f t="shared" ref="R706:R769" si="154">TRIM(C706)</f>
        <v>Christopher Smith</v>
      </c>
      <c r="S706" t="str">
        <f t="shared" ref="S706:S769" si="155">PROPER(D706)</f>
        <v>Zayn Al-Sayed</v>
      </c>
      <c r="T706" t="str">
        <f t="shared" ref="T706:T769" si="156">TRIM(F706)</f>
        <v>cad</v>
      </c>
      <c r="U706" s="7" t="str">
        <f t="shared" ref="U706:U769" si="157">TRIM(G706)</f>
        <v>BRL</v>
      </c>
      <c r="V706" s="7" t="str">
        <f t="shared" ref="V706:V769" si="158">TRIM(O706)</f>
        <v>Australia</v>
      </c>
      <c r="W706" s="7" t="str">
        <f t="shared" ref="W706:W769" si="159">TRIM(P706)</f>
        <v>South Africa</v>
      </c>
      <c r="X706" s="7" t="str">
        <f t="shared" ref="X706:X769" si="160">PROPER(I706)</f>
        <v>Outer-Transaction</v>
      </c>
      <c r="Y706" s="7">
        <f t="shared" ref="Y706:Y769" si="161">IF(J706="",AVERAGE($J:$J),J706)</f>
        <v>10692.19</v>
      </c>
      <c r="Z706" s="7">
        <f t="shared" ref="Z706:Z769" si="162">IF(N706="",AVERAGE($N:$N),N706)</f>
        <v>39</v>
      </c>
      <c r="AA706" s="7">
        <f t="shared" ref="AA706:AA769" si="163">YEAR(M706)</f>
        <v>2024</v>
      </c>
      <c r="AB706" s="7">
        <f t="shared" ref="AB706:AB769" si="164">MONTH(M706)</f>
        <v>1</v>
      </c>
      <c r="AC706" s="7">
        <f t="shared" ref="AC706:AC769" si="165">COUNTIF(A:A,A706)</f>
        <v>1</v>
      </c>
      <c r="AD706" s="7" t="str">
        <f t="shared" ref="AD706:AD769" si="166">IF(C706="YES","Yes","No")</f>
        <v>No</v>
      </c>
      <c r="AE706" s="7" t="str">
        <f t="shared" ref="AE706:AE769" si="167">IF(L706="HIGH","High Risk","Normal")</f>
        <v>Normal</v>
      </c>
    </row>
    <row r="707" spans="1:31">
      <c r="A707" t="s">
        <v>2262</v>
      </c>
      <c r="B707">
        <v>36380976</v>
      </c>
      <c r="C707" t="s">
        <v>1117</v>
      </c>
      <c r="D707" t="s">
        <v>1014</v>
      </c>
      <c r="E707" t="s">
        <v>20</v>
      </c>
      <c r="F707" t="s">
        <v>98</v>
      </c>
      <c r="G707" t="s">
        <v>98</v>
      </c>
      <c r="H707" t="s">
        <v>74</v>
      </c>
      <c r="I707" t="s">
        <v>3377</v>
      </c>
      <c r="J707">
        <v>8423.26</v>
      </c>
      <c r="K707" t="s">
        <v>57</v>
      </c>
      <c r="L707" t="s">
        <v>48</v>
      </c>
      <c r="M707" s="1">
        <v>44639.785416666666</v>
      </c>
      <c r="N707">
        <v>38</v>
      </c>
      <c r="O707" t="s">
        <v>93</v>
      </c>
      <c r="P707" t="s">
        <v>62</v>
      </c>
      <c r="Q707" t="s">
        <v>2263</v>
      </c>
      <c r="R707" t="str">
        <f t="shared" si="154"/>
        <v>John Smith</v>
      </c>
      <c r="S707" t="str">
        <f t="shared" si="155"/>
        <v>Christopher Wilson</v>
      </c>
      <c r="T707" t="str">
        <f t="shared" si="156"/>
        <v>JPY</v>
      </c>
      <c r="U707" s="7" t="str">
        <f t="shared" si="157"/>
        <v>JPY</v>
      </c>
      <c r="V707" s="7" t="str">
        <f t="shared" si="158"/>
        <v>USA</v>
      </c>
      <c r="W707" s="7" t="str">
        <f t="shared" si="159"/>
        <v>Australia</v>
      </c>
      <c r="X707" s="7" t="str">
        <f t="shared" si="160"/>
        <v>Inter-Transaction</v>
      </c>
      <c r="Y707" s="7">
        <f t="shared" si="161"/>
        <v>8423.26</v>
      </c>
      <c r="Z707" s="7">
        <f t="shared" si="162"/>
        <v>38</v>
      </c>
      <c r="AA707" s="7">
        <f t="shared" si="163"/>
        <v>2022</v>
      </c>
      <c r="AB707" s="7">
        <f t="shared" si="164"/>
        <v>3</v>
      </c>
      <c r="AC707" s="7">
        <f t="shared" si="165"/>
        <v>1</v>
      </c>
      <c r="AD707" s="7" t="str">
        <f t="shared" si="166"/>
        <v>No</v>
      </c>
      <c r="AE707" s="7" t="str">
        <f t="shared" si="167"/>
        <v>Normal</v>
      </c>
    </row>
    <row r="708" spans="1:31">
      <c r="A708" t="s">
        <v>2264</v>
      </c>
      <c r="B708">
        <v>68627491</v>
      </c>
      <c r="C708" t="s">
        <v>2265</v>
      </c>
      <c r="D708" t="s">
        <v>679</v>
      </c>
      <c r="E708" t="s">
        <v>20</v>
      </c>
      <c r="F708" t="s">
        <v>98</v>
      </c>
      <c r="G708" t="s">
        <v>121</v>
      </c>
      <c r="H708" t="s">
        <v>56</v>
      </c>
      <c r="I708" t="s">
        <v>3372</v>
      </c>
      <c r="J708">
        <v>6389.2</v>
      </c>
      <c r="K708" t="s">
        <v>57</v>
      </c>
      <c r="L708" t="s">
        <v>75</v>
      </c>
      <c r="M708" s="1">
        <v>44002.692361111112</v>
      </c>
      <c r="N708">
        <v>21</v>
      </c>
      <c r="O708" t="s">
        <v>36</v>
      </c>
      <c r="P708" t="s">
        <v>54</v>
      </c>
      <c r="Q708" t="s">
        <v>2266</v>
      </c>
      <c r="R708" t="str">
        <f t="shared" si="154"/>
        <v>AMIR JONES</v>
      </c>
      <c r="S708" t="str">
        <f t="shared" si="155"/>
        <v>Robert Lopez</v>
      </c>
      <c r="T708" t="str">
        <f t="shared" si="156"/>
        <v>JPY</v>
      </c>
      <c r="U708" s="7" t="str">
        <f t="shared" si="157"/>
        <v>INR</v>
      </c>
      <c r="V708" s="7" t="str">
        <f t="shared" si="158"/>
        <v>Germany</v>
      </c>
      <c r="W708" s="7" t="str">
        <f t="shared" si="159"/>
        <v>India</v>
      </c>
      <c r="X708" s="7" t="str">
        <f t="shared" si="160"/>
        <v>Outer-Transaction</v>
      </c>
      <c r="Y708" s="7">
        <f t="shared" si="161"/>
        <v>6389.2</v>
      </c>
      <c r="Z708" s="7">
        <f t="shared" si="162"/>
        <v>21</v>
      </c>
      <c r="AA708" s="7">
        <f t="shared" si="163"/>
        <v>2020</v>
      </c>
      <c r="AB708" s="7">
        <f t="shared" si="164"/>
        <v>6</v>
      </c>
      <c r="AC708" s="7">
        <f t="shared" si="165"/>
        <v>1</v>
      </c>
      <c r="AD708" s="7" t="str">
        <f t="shared" si="166"/>
        <v>No</v>
      </c>
      <c r="AE708" s="7" t="str">
        <f t="shared" si="167"/>
        <v>High Risk</v>
      </c>
    </row>
    <row r="709" spans="1:31">
      <c r="A709" t="s">
        <v>2267</v>
      </c>
      <c r="B709">
        <v>97926462</v>
      </c>
      <c r="C709" t="s">
        <v>1590</v>
      </c>
      <c r="D709" t="s">
        <v>297</v>
      </c>
      <c r="E709" t="s">
        <v>3375</v>
      </c>
      <c r="F709" t="s">
        <v>98</v>
      </c>
      <c r="G709" t="s">
        <v>35</v>
      </c>
      <c r="H709" t="s">
        <v>38</v>
      </c>
      <c r="I709" t="s">
        <v>3377</v>
      </c>
      <c r="J709">
        <v>4732.55</v>
      </c>
      <c r="K709" t="s">
        <v>86</v>
      </c>
      <c r="L709" t="s">
        <v>75</v>
      </c>
      <c r="M709" s="1">
        <v>43861.125</v>
      </c>
      <c r="N709">
        <v>79</v>
      </c>
      <c r="O709" t="s">
        <v>54</v>
      </c>
      <c r="P709" t="s">
        <v>62</v>
      </c>
      <c r="Q709" t="s">
        <v>2268</v>
      </c>
      <c r="R709" t="str">
        <f t="shared" si="154"/>
        <v>David Jackson</v>
      </c>
      <c r="S709" t="str">
        <f t="shared" si="155"/>
        <v>Elizabeth Moore</v>
      </c>
      <c r="T709" t="str">
        <f t="shared" si="156"/>
        <v>JPY</v>
      </c>
      <c r="U709" s="7" t="str">
        <f t="shared" si="157"/>
        <v>EUR</v>
      </c>
      <c r="V709" s="7" t="str">
        <f t="shared" si="158"/>
        <v>India</v>
      </c>
      <c r="W709" s="7" t="str">
        <f t="shared" si="159"/>
        <v>Australia</v>
      </c>
      <c r="X709" s="7" t="str">
        <f t="shared" si="160"/>
        <v>Inter-Transaction</v>
      </c>
      <c r="Y709" s="7">
        <f t="shared" si="161"/>
        <v>4732.55</v>
      </c>
      <c r="Z709" s="7">
        <f t="shared" si="162"/>
        <v>79</v>
      </c>
      <c r="AA709" s="7">
        <f t="shared" si="163"/>
        <v>2020</v>
      </c>
      <c r="AB709" s="7">
        <f t="shared" si="164"/>
        <v>1</v>
      </c>
      <c r="AC709" s="7">
        <f t="shared" si="165"/>
        <v>1</v>
      </c>
      <c r="AD709" s="7" t="str">
        <f t="shared" si="166"/>
        <v>No</v>
      </c>
      <c r="AE709" s="7" t="str">
        <f t="shared" si="167"/>
        <v>High Risk</v>
      </c>
    </row>
    <row r="710" spans="1:31">
      <c r="A710" t="s">
        <v>2269</v>
      </c>
      <c r="B710">
        <v>63016030</v>
      </c>
      <c r="C710" t="s">
        <v>1995</v>
      </c>
      <c r="D710" t="s">
        <v>1729</v>
      </c>
      <c r="E710" t="s">
        <v>20</v>
      </c>
      <c r="F710" t="s">
        <v>45</v>
      </c>
      <c r="G710" t="s">
        <v>35</v>
      </c>
      <c r="H710" t="s">
        <v>38</v>
      </c>
      <c r="I710" t="s">
        <v>3374</v>
      </c>
      <c r="J710">
        <v>4396.3100000000004</v>
      </c>
      <c r="K710" t="s">
        <v>39</v>
      </c>
      <c r="L710" t="s">
        <v>81</v>
      </c>
      <c r="M710" s="1">
        <v>43877.743055555555</v>
      </c>
      <c r="N710">
        <v>79</v>
      </c>
      <c r="O710" t="s">
        <v>24</v>
      </c>
      <c r="P710" t="s">
        <v>36</v>
      </c>
      <c r="Q710" t="s">
        <v>2270</v>
      </c>
      <c r="R710" t="str">
        <f t="shared" si="154"/>
        <v>Lucas Martin</v>
      </c>
      <c r="S710" t="str">
        <f t="shared" si="155"/>
        <v>Charles Thomas</v>
      </c>
      <c r="T710" t="str">
        <f t="shared" si="156"/>
        <v>ZAR</v>
      </c>
      <c r="U710" s="7" t="str">
        <f t="shared" si="157"/>
        <v>EUR</v>
      </c>
      <c r="V710" s="7" t="str">
        <f t="shared" si="158"/>
        <v>Brazil</v>
      </c>
      <c r="W710" s="7" t="str">
        <f t="shared" si="159"/>
        <v>Germany</v>
      </c>
      <c r="X710" s="7" t="str">
        <f t="shared" si="160"/>
        <v>External</v>
      </c>
      <c r="Y710" s="7">
        <f t="shared" si="161"/>
        <v>4396.3100000000004</v>
      </c>
      <c r="Z710" s="7">
        <f t="shared" si="162"/>
        <v>79</v>
      </c>
      <c r="AA710" s="7">
        <f t="shared" si="163"/>
        <v>2020</v>
      </c>
      <c r="AB710" s="7">
        <f t="shared" si="164"/>
        <v>2</v>
      </c>
      <c r="AC710" s="7">
        <f t="shared" si="165"/>
        <v>1</v>
      </c>
      <c r="AD710" s="7" t="str">
        <f t="shared" si="166"/>
        <v>No</v>
      </c>
      <c r="AE710" s="7" t="str">
        <f t="shared" si="167"/>
        <v>Normal</v>
      </c>
    </row>
    <row r="711" spans="1:31">
      <c r="A711" t="s">
        <v>2271</v>
      </c>
      <c r="C711" t="s">
        <v>2272</v>
      </c>
      <c r="D711" t="s">
        <v>2273</v>
      </c>
      <c r="E711" t="s">
        <v>20</v>
      </c>
      <c r="F711" t="s">
        <v>98</v>
      </c>
      <c r="G711" t="s">
        <v>45</v>
      </c>
      <c r="H711" t="s">
        <v>25</v>
      </c>
      <c r="I711" t="s">
        <v>3377</v>
      </c>
      <c r="J711">
        <v>10675.19</v>
      </c>
      <c r="K711" t="s">
        <v>57</v>
      </c>
      <c r="L711" t="s">
        <v>48</v>
      </c>
      <c r="M711" s="1">
        <v>43960.341666666667</v>
      </c>
      <c r="N711">
        <v>41</v>
      </c>
      <c r="O711" t="s">
        <v>55</v>
      </c>
      <c r="P711" t="s">
        <v>62</v>
      </c>
      <c r="Q711" t="s">
        <v>2274</v>
      </c>
      <c r="R711" t="str">
        <f t="shared" si="154"/>
        <v>Jessica Garcia</v>
      </c>
      <c r="S711" t="str">
        <f t="shared" si="155"/>
        <v>William Al-Sayed</v>
      </c>
      <c r="T711" t="str">
        <f t="shared" si="156"/>
        <v>JPY</v>
      </c>
      <c r="U711" s="7" t="str">
        <f t="shared" si="157"/>
        <v>ZAR</v>
      </c>
      <c r="V711" s="7" t="str">
        <f t="shared" si="158"/>
        <v>UK</v>
      </c>
      <c r="W711" s="7" t="str">
        <f t="shared" si="159"/>
        <v>Australia</v>
      </c>
      <c r="X711" s="7" t="str">
        <f t="shared" si="160"/>
        <v>Inter-Transaction</v>
      </c>
      <c r="Y711" s="7">
        <f t="shared" si="161"/>
        <v>10675.19</v>
      </c>
      <c r="Z711" s="7">
        <f t="shared" si="162"/>
        <v>41</v>
      </c>
      <c r="AA711" s="7">
        <f t="shared" si="163"/>
        <v>2020</v>
      </c>
      <c r="AB711" s="7">
        <f t="shared" si="164"/>
        <v>5</v>
      </c>
      <c r="AC711" s="7">
        <f t="shared" si="165"/>
        <v>1</v>
      </c>
      <c r="AD711" s="7" t="str">
        <f t="shared" si="166"/>
        <v>No</v>
      </c>
      <c r="AE711" s="7" t="str">
        <f t="shared" si="167"/>
        <v>Normal</v>
      </c>
    </row>
    <row r="712" spans="1:31">
      <c r="A712" t="s">
        <v>2275</v>
      </c>
      <c r="B712">
        <v>21948440</v>
      </c>
      <c r="C712" t="s">
        <v>1744</v>
      </c>
      <c r="D712" t="s">
        <v>875</v>
      </c>
      <c r="E712" t="s">
        <v>20</v>
      </c>
      <c r="F712" t="s">
        <v>45</v>
      </c>
      <c r="G712" t="s">
        <v>80</v>
      </c>
      <c r="H712" t="s">
        <v>38</v>
      </c>
      <c r="I712" t="s">
        <v>3377</v>
      </c>
      <c r="J712">
        <v>3535.81</v>
      </c>
      <c r="K712" t="s">
        <v>27</v>
      </c>
      <c r="L712" t="s">
        <v>81</v>
      </c>
      <c r="M712" s="1">
        <v>46230.32916666667</v>
      </c>
      <c r="N712">
        <v>72</v>
      </c>
      <c r="O712" t="s">
        <v>24</v>
      </c>
      <c r="P712" t="s">
        <v>93</v>
      </c>
      <c r="Q712" t="s">
        <v>2276</v>
      </c>
      <c r="R712" t="str">
        <f t="shared" si="154"/>
        <v>Jessica Johnson</v>
      </c>
      <c r="S712" t="str">
        <f t="shared" si="155"/>
        <v>Amir Garcia</v>
      </c>
      <c r="T712" t="str">
        <f t="shared" si="156"/>
        <v>ZAR</v>
      </c>
      <c r="U712" s="7" t="str">
        <f t="shared" si="157"/>
        <v>USD</v>
      </c>
      <c r="V712" s="7" t="str">
        <f t="shared" si="158"/>
        <v>Brazil</v>
      </c>
      <c r="W712" s="7" t="str">
        <f t="shared" si="159"/>
        <v>USA</v>
      </c>
      <c r="X712" s="7" t="str">
        <f t="shared" si="160"/>
        <v>Inter-Transaction</v>
      </c>
      <c r="Y712" s="7">
        <f t="shared" si="161"/>
        <v>3535.81</v>
      </c>
      <c r="Z712" s="7">
        <f t="shared" si="162"/>
        <v>72</v>
      </c>
      <c r="AA712" s="7">
        <f t="shared" si="163"/>
        <v>2026</v>
      </c>
      <c r="AB712" s="7">
        <f t="shared" si="164"/>
        <v>7</v>
      </c>
      <c r="AC712" s="7">
        <f t="shared" si="165"/>
        <v>1</v>
      </c>
      <c r="AD712" s="7" t="str">
        <f t="shared" si="166"/>
        <v>No</v>
      </c>
      <c r="AE712" s="7" t="str">
        <f t="shared" si="167"/>
        <v>Normal</v>
      </c>
    </row>
    <row r="713" spans="1:31">
      <c r="A713" t="s">
        <v>2277</v>
      </c>
      <c r="B713">
        <v>98783194</v>
      </c>
      <c r="C713" t="s">
        <v>2278</v>
      </c>
      <c r="D713" t="s">
        <v>1653</v>
      </c>
      <c r="E713" t="s">
        <v>3373</v>
      </c>
      <c r="F713" t="s">
        <v>98</v>
      </c>
      <c r="G713" t="s">
        <v>92</v>
      </c>
      <c r="I713" t="s">
        <v>3376</v>
      </c>
      <c r="J713">
        <v>7702.05</v>
      </c>
      <c r="K713" t="s">
        <v>47</v>
      </c>
      <c r="L713" t="s">
        <v>81</v>
      </c>
      <c r="M713" s="1">
        <v>44808.509722222225</v>
      </c>
      <c r="N713">
        <v>26</v>
      </c>
      <c r="O713" t="s">
        <v>93</v>
      </c>
      <c r="P713" t="s">
        <v>93</v>
      </c>
      <c r="Q713" t="s">
        <v>2279</v>
      </c>
      <c r="R713" t="str">
        <f t="shared" si="154"/>
        <v>Charles Smith</v>
      </c>
      <c r="S713" t="str">
        <f t="shared" si="155"/>
        <v>Amir Khan</v>
      </c>
      <c r="T713" t="str">
        <f t="shared" si="156"/>
        <v>JPY</v>
      </c>
      <c r="U713" s="7" t="str">
        <f t="shared" si="157"/>
        <v>AUD</v>
      </c>
      <c r="V713" s="7" t="str">
        <f t="shared" si="158"/>
        <v>USA</v>
      </c>
      <c r="W713" s="7" t="str">
        <f t="shared" si="159"/>
        <v>USA</v>
      </c>
      <c r="X713" s="7" t="str">
        <f t="shared" si="160"/>
        <v>Internal</v>
      </c>
      <c r="Y713" s="7">
        <f t="shared" si="161"/>
        <v>7702.05</v>
      </c>
      <c r="Z713" s="7">
        <f t="shared" si="162"/>
        <v>26</v>
      </c>
      <c r="AA713" s="7">
        <f t="shared" si="163"/>
        <v>2022</v>
      </c>
      <c r="AB713" s="7">
        <f t="shared" si="164"/>
        <v>9</v>
      </c>
      <c r="AC713" s="7">
        <f t="shared" si="165"/>
        <v>1</v>
      </c>
      <c r="AD713" s="7" t="str">
        <f t="shared" si="166"/>
        <v>No</v>
      </c>
      <c r="AE713" s="7" t="str">
        <f t="shared" si="167"/>
        <v>Normal</v>
      </c>
    </row>
    <row r="714" spans="1:31">
      <c r="A714" t="s">
        <v>2280</v>
      </c>
      <c r="B714">
        <v>52976267</v>
      </c>
      <c r="C714" t="s">
        <v>2281</v>
      </c>
      <c r="D714" t="s">
        <v>735</v>
      </c>
      <c r="E714" t="s">
        <v>3375</v>
      </c>
      <c r="F714" t="s">
        <v>121</v>
      </c>
      <c r="G714" t="s">
        <v>92</v>
      </c>
      <c r="H714" t="s">
        <v>74</v>
      </c>
      <c r="I714" t="s">
        <v>3376</v>
      </c>
      <c r="J714">
        <v>13365.94</v>
      </c>
      <c r="K714" t="s">
        <v>27</v>
      </c>
      <c r="L714" t="s">
        <v>75</v>
      </c>
      <c r="M714" s="1">
        <v>45476.446527777778</v>
      </c>
      <c r="N714">
        <v>20</v>
      </c>
      <c r="O714" t="s">
        <v>62</v>
      </c>
      <c r="P714" t="s">
        <v>68</v>
      </c>
      <c r="Q714" t="s">
        <v>2282</v>
      </c>
      <c r="R714" t="str">
        <f t="shared" si="154"/>
        <v>Sarah Velez</v>
      </c>
      <c r="S714" t="str">
        <f t="shared" si="155"/>
        <v>Robert Khan</v>
      </c>
      <c r="T714" t="str">
        <f t="shared" si="156"/>
        <v>INR</v>
      </c>
      <c r="U714" s="7" t="str">
        <f t="shared" si="157"/>
        <v>AUD</v>
      </c>
      <c r="V714" s="7" t="str">
        <f t="shared" si="158"/>
        <v>Australia</v>
      </c>
      <c r="W714" s="7" t="str">
        <f t="shared" si="159"/>
        <v>UAE</v>
      </c>
      <c r="X714" s="7" t="str">
        <f t="shared" si="160"/>
        <v>Internal</v>
      </c>
      <c r="Y714" s="7">
        <f t="shared" si="161"/>
        <v>13365.94</v>
      </c>
      <c r="Z714" s="7">
        <f t="shared" si="162"/>
        <v>20</v>
      </c>
      <c r="AA714" s="7">
        <f t="shared" si="163"/>
        <v>2024</v>
      </c>
      <c r="AB714" s="7">
        <f t="shared" si="164"/>
        <v>7</v>
      </c>
      <c r="AC714" s="7">
        <f t="shared" si="165"/>
        <v>1</v>
      </c>
      <c r="AD714" s="7" t="str">
        <f t="shared" si="166"/>
        <v>No</v>
      </c>
      <c r="AE714" s="7" t="str">
        <f t="shared" si="167"/>
        <v>High Risk</v>
      </c>
    </row>
    <row r="715" spans="1:31">
      <c r="A715" t="s">
        <v>2283</v>
      </c>
      <c r="B715">
        <v>99962943</v>
      </c>
      <c r="C715" t="s">
        <v>2284</v>
      </c>
      <c r="D715" t="s">
        <v>2281</v>
      </c>
      <c r="E715" t="s">
        <v>20</v>
      </c>
      <c r="F715" t="s">
        <v>53</v>
      </c>
      <c r="G715" t="s">
        <v>80</v>
      </c>
      <c r="H715" t="s">
        <v>38</v>
      </c>
      <c r="I715" t="s">
        <v>3372</v>
      </c>
      <c r="J715">
        <v>1696.27</v>
      </c>
      <c r="K715" t="s">
        <v>39</v>
      </c>
      <c r="L715" t="s">
        <v>28</v>
      </c>
      <c r="M715" s="1">
        <v>45435.543749999997</v>
      </c>
      <c r="N715">
        <v>48</v>
      </c>
      <c r="O715" t="s">
        <v>55</v>
      </c>
      <c r="P715" t="s">
        <v>36</v>
      </c>
      <c r="Q715" t="s">
        <v>2285</v>
      </c>
      <c r="R715" t="str">
        <f t="shared" si="154"/>
        <v>Priya Malik</v>
      </c>
      <c r="S715" t="str">
        <f t="shared" si="155"/>
        <v>Sarah Velez</v>
      </c>
      <c r="T715" t="str">
        <f t="shared" si="156"/>
        <v>AED</v>
      </c>
      <c r="U715" s="7" t="str">
        <f t="shared" si="157"/>
        <v>USD</v>
      </c>
      <c r="V715" s="7" t="str">
        <f t="shared" si="158"/>
        <v>UK</v>
      </c>
      <c r="W715" s="7" t="str">
        <f t="shared" si="159"/>
        <v>Germany</v>
      </c>
      <c r="X715" s="7" t="str">
        <f t="shared" si="160"/>
        <v>Outer-Transaction</v>
      </c>
      <c r="Y715" s="7">
        <f t="shared" si="161"/>
        <v>1696.27</v>
      </c>
      <c r="Z715" s="7">
        <f t="shared" si="162"/>
        <v>48</v>
      </c>
      <c r="AA715" s="7">
        <f t="shared" si="163"/>
        <v>2024</v>
      </c>
      <c r="AB715" s="7">
        <f t="shared" si="164"/>
        <v>5</v>
      </c>
      <c r="AC715" s="7">
        <f t="shared" si="165"/>
        <v>1</v>
      </c>
      <c r="AD715" s="7" t="str">
        <f t="shared" si="166"/>
        <v>No</v>
      </c>
      <c r="AE715" s="7" t="str">
        <f t="shared" si="167"/>
        <v>Normal</v>
      </c>
    </row>
    <row r="716" spans="1:31">
      <c r="A716" t="s">
        <v>2286</v>
      </c>
      <c r="B716">
        <v>60652004</v>
      </c>
      <c r="C716" t="s">
        <v>259</v>
      </c>
      <c r="D716" t="s">
        <v>2007</v>
      </c>
      <c r="E716" t="s">
        <v>20</v>
      </c>
      <c r="F716" t="s">
        <v>45</v>
      </c>
      <c r="G716" t="s">
        <v>45</v>
      </c>
      <c r="I716" t="s">
        <v>3374</v>
      </c>
      <c r="J716">
        <v>4252.7700000000004</v>
      </c>
      <c r="K716" t="s">
        <v>27</v>
      </c>
      <c r="L716" t="s">
        <v>81</v>
      </c>
      <c r="M716" s="1">
        <v>43888.015972222223</v>
      </c>
      <c r="N716">
        <v>57</v>
      </c>
      <c r="O716" t="s">
        <v>55</v>
      </c>
      <c r="P716" t="s">
        <v>36</v>
      </c>
      <c r="Q716" t="s">
        <v>2287</v>
      </c>
      <c r="R716" t="str">
        <f t="shared" si="154"/>
        <v>Susan Brown</v>
      </c>
      <c r="S716" t="str">
        <f t="shared" si="155"/>
        <v>Jean-Pierre Souza</v>
      </c>
      <c r="T716" t="str">
        <f t="shared" si="156"/>
        <v>ZAR</v>
      </c>
      <c r="U716" s="7" t="str">
        <f t="shared" si="157"/>
        <v>ZAR</v>
      </c>
      <c r="V716" s="7" t="str">
        <f t="shared" si="158"/>
        <v>UK</v>
      </c>
      <c r="W716" s="7" t="str">
        <f t="shared" si="159"/>
        <v>Germany</v>
      </c>
      <c r="X716" s="7" t="str">
        <f t="shared" si="160"/>
        <v>External</v>
      </c>
      <c r="Y716" s="7">
        <f t="shared" si="161"/>
        <v>4252.7700000000004</v>
      </c>
      <c r="Z716" s="7">
        <f t="shared" si="162"/>
        <v>57</v>
      </c>
      <c r="AA716" s="7">
        <f t="shared" si="163"/>
        <v>2020</v>
      </c>
      <c r="AB716" s="7">
        <f t="shared" si="164"/>
        <v>2</v>
      </c>
      <c r="AC716" s="7">
        <f t="shared" si="165"/>
        <v>1</v>
      </c>
      <c r="AD716" s="7" t="str">
        <f t="shared" si="166"/>
        <v>No</v>
      </c>
      <c r="AE716" s="7" t="str">
        <f t="shared" si="167"/>
        <v>Normal</v>
      </c>
    </row>
    <row r="717" spans="1:31">
      <c r="A717" t="s">
        <v>2288</v>
      </c>
      <c r="B717">
        <v>69585481</v>
      </c>
      <c r="C717" t="s">
        <v>1421</v>
      </c>
      <c r="D717" t="s">
        <v>1051</v>
      </c>
      <c r="E717" t="s">
        <v>20</v>
      </c>
      <c r="F717" t="s">
        <v>21</v>
      </c>
      <c r="G717" t="s">
        <v>21</v>
      </c>
      <c r="H717" t="s">
        <v>38</v>
      </c>
      <c r="I717" t="s">
        <v>3376</v>
      </c>
      <c r="J717">
        <v>1884.61</v>
      </c>
      <c r="K717" t="s">
        <v>27</v>
      </c>
      <c r="L717" t="s">
        <v>48</v>
      </c>
      <c r="M717" s="1">
        <v>44960.159722222219</v>
      </c>
      <c r="N717">
        <v>53</v>
      </c>
      <c r="O717" t="s">
        <v>68</v>
      </c>
      <c r="P717" t="s">
        <v>127</v>
      </c>
      <c r="Q717" t="s">
        <v>2289</v>
      </c>
      <c r="R717" t="str">
        <f t="shared" si="154"/>
        <v>John Jones</v>
      </c>
      <c r="S717" t="str">
        <f t="shared" si="155"/>
        <v>Karen Hernandez</v>
      </c>
      <c r="T717" t="str">
        <f t="shared" si="156"/>
        <v>GBP</v>
      </c>
      <c r="U717" s="7" t="str">
        <f t="shared" si="157"/>
        <v>GBP</v>
      </c>
      <c r="V717" s="7" t="str">
        <f t="shared" si="158"/>
        <v>UAE</v>
      </c>
      <c r="W717" s="7" t="str">
        <f t="shared" si="159"/>
        <v>Canada</v>
      </c>
      <c r="X717" s="7" t="str">
        <f t="shared" si="160"/>
        <v>Internal</v>
      </c>
      <c r="Y717" s="7">
        <f t="shared" si="161"/>
        <v>1884.61</v>
      </c>
      <c r="Z717" s="7">
        <f t="shared" si="162"/>
        <v>53</v>
      </c>
      <c r="AA717" s="7">
        <f t="shared" si="163"/>
        <v>2023</v>
      </c>
      <c r="AB717" s="7">
        <f t="shared" si="164"/>
        <v>2</v>
      </c>
      <c r="AC717" s="7">
        <f t="shared" si="165"/>
        <v>1</v>
      </c>
      <c r="AD717" s="7" t="str">
        <f t="shared" si="166"/>
        <v>No</v>
      </c>
      <c r="AE717" s="7" t="str">
        <f t="shared" si="167"/>
        <v>Normal</v>
      </c>
    </row>
    <row r="718" spans="1:31">
      <c r="A718" t="s">
        <v>2290</v>
      </c>
      <c r="B718">
        <v>74360568</v>
      </c>
      <c r="C718" t="s">
        <v>819</v>
      </c>
      <c r="D718" t="s">
        <v>2291</v>
      </c>
      <c r="E718" t="s">
        <v>20</v>
      </c>
      <c r="G718" t="s">
        <v>92</v>
      </c>
      <c r="H718" t="s">
        <v>25</v>
      </c>
      <c r="I718" t="s">
        <v>3376</v>
      </c>
      <c r="J718">
        <v>13441.94</v>
      </c>
      <c r="K718" t="s">
        <v>47</v>
      </c>
      <c r="L718" t="s">
        <v>75</v>
      </c>
      <c r="M718" s="1">
        <v>45184.339583333334</v>
      </c>
      <c r="N718">
        <v>41</v>
      </c>
      <c r="O718" t="s">
        <v>36</v>
      </c>
      <c r="P718" t="s">
        <v>36</v>
      </c>
      <c r="Q718" t="s">
        <v>2292</v>
      </c>
      <c r="R718" t="str">
        <f t="shared" si="154"/>
        <v>Michael Dubois</v>
      </c>
      <c r="S718" t="str">
        <f t="shared" si="155"/>
        <v>Charles Anderson</v>
      </c>
      <c r="T718" t="str">
        <f t="shared" si="156"/>
        <v/>
      </c>
      <c r="U718" s="7" t="str">
        <f t="shared" si="157"/>
        <v>AUD</v>
      </c>
      <c r="V718" s="7" t="str">
        <f t="shared" si="158"/>
        <v>Germany</v>
      </c>
      <c r="W718" s="7" t="str">
        <f t="shared" si="159"/>
        <v>Germany</v>
      </c>
      <c r="X718" s="7" t="str">
        <f t="shared" si="160"/>
        <v>Internal</v>
      </c>
      <c r="Y718" s="7">
        <f t="shared" si="161"/>
        <v>13441.94</v>
      </c>
      <c r="Z718" s="7">
        <f t="shared" si="162"/>
        <v>41</v>
      </c>
      <c r="AA718" s="7">
        <f t="shared" si="163"/>
        <v>2023</v>
      </c>
      <c r="AB718" s="7">
        <f t="shared" si="164"/>
        <v>9</v>
      </c>
      <c r="AC718" s="7">
        <f t="shared" si="165"/>
        <v>1</v>
      </c>
      <c r="AD718" s="7" t="str">
        <f t="shared" si="166"/>
        <v>No</v>
      </c>
      <c r="AE718" s="7" t="str">
        <f t="shared" si="167"/>
        <v>High Risk</v>
      </c>
    </row>
    <row r="719" spans="1:31">
      <c r="A719" t="s">
        <v>2293</v>
      </c>
      <c r="B719">
        <v>43369932</v>
      </c>
      <c r="C719" t="s">
        <v>1309</v>
      </c>
      <c r="D719" t="s">
        <v>1483</v>
      </c>
      <c r="E719" t="s">
        <v>20</v>
      </c>
      <c r="F719" t="s">
        <v>35</v>
      </c>
      <c r="G719" t="s">
        <v>160</v>
      </c>
      <c r="H719" t="s">
        <v>103</v>
      </c>
      <c r="I719" t="s">
        <v>3378</v>
      </c>
      <c r="J719">
        <v>7438.92</v>
      </c>
      <c r="K719" t="s">
        <v>57</v>
      </c>
      <c r="L719" t="s">
        <v>28</v>
      </c>
      <c r="M719" s="1">
        <v>44598.138194444444</v>
      </c>
      <c r="N719">
        <v>23</v>
      </c>
      <c r="O719" t="s">
        <v>55</v>
      </c>
      <c r="P719" t="s">
        <v>127</v>
      </c>
      <c r="Q719" t="s">
        <v>2294</v>
      </c>
      <c r="R719" t="str">
        <f t="shared" si="154"/>
        <v>Mary Souza</v>
      </c>
      <c r="S719" t="str">
        <f t="shared" si="155"/>
        <v>David Hernandez</v>
      </c>
      <c r="T719" t="str">
        <f t="shared" si="156"/>
        <v>EUR</v>
      </c>
      <c r="U719" s="7" t="str">
        <f t="shared" si="157"/>
        <v>aud</v>
      </c>
      <c r="V719" s="7" t="str">
        <f t="shared" si="158"/>
        <v>UK</v>
      </c>
      <c r="W719" s="7" t="str">
        <f t="shared" si="159"/>
        <v>Canada</v>
      </c>
      <c r="X719" s="7" t="str">
        <f t="shared" si="160"/>
        <v>Inter-Transaction</v>
      </c>
      <c r="Y719" s="7">
        <f t="shared" si="161"/>
        <v>7438.92</v>
      </c>
      <c r="Z719" s="7">
        <f t="shared" si="162"/>
        <v>23</v>
      </c>
      <c r="AA719" s="7">
        <f t="shared" si="163"/>
        <v>2022</v>
      </c>
      <c r="AB719" s="7">
        <f t="shared" si="164"/>
        <v>2</v>
      </c>
      <c r="AC719" s="7">
        <f t="shared" si="165"/>
        <v>1</v>
      </c>
      <c r="AD719" s="7" t="str">
        <f t="shared" si="166"/>
        <v>No</v>
      </c>
      <c r="AE719" s="7" t="str">
        <f t="shared" si="167"/>
        <v>Normal</v>
      </c>
    </row>
    <row r="720" spans="1:31">
      <c r="A720" t="s">
        <v>2295</v>
      </c>
      <c r="B720">
        <v>18479821</v>
      </c>
      <c r="C720" t="s">
        <v>2296</v>
      </c>
      <c r="D720" t="s">
        <v>1461</v>
      </c>
      <c r="E720" t="s">
        <v>3373</v>
      </c>
      <c r="F720" t="s">
        <v>22</v>
      </c>
      <c r="G720" t="s">
        <v>35</v>
      </c>
      <c r="I720" t="s">
        <v>3377</v>
      </c>
      <c r="J720">
        <v>8205.1</v>
      </c>
      <c r="K720" t="s">
        <v>86</v>
      </c>
      <c r="L720" t="s">
        <v>81</v>
      </c>
      <c r="M720" s="1">
        <v>44513.363888888889</v>
      </c>
      <c r="N720">
        <v>83</v>
      </c>
      <c r="O720" t="s">
        <v>68</v>
      </c>
      <c r="P720" t="s">
        <v>68</v>
      </c>
      <c r="Q720" t="s">
        <v>2297</v>
      </c>
      <c r="R720" t="str">
        <f t="shared" si="154"/>
        <v>Sarah Dubois</v>
      </c>
      <c r="S720" t="str">
        <f t="shared" si="155"/>
        <v>Fatima Thomas</v>
      </c>
      <c r="T720" t="str">
        <f t="shared" si="156"/>
        <v>BRL</v>
      </c>
      <c r="U720" s="7" t="str">
        <f t="shared" si="157"/>
        <v>EUR</v>
      </c>
      <c r="V720" s="7" t="str">
        <f t="shared" si="158"/>
        <v>UAE</v>
      </c>
      <c r="W720" s="7" t="str">
        <f t="shared" si="159"/>
        <v>UAE</v>
      </c>
      <c r="X720" s="7" t="str">
        <f t="shared" si="160"/>
        <v>Inter-Transaction</v>
      </c>
      <c r="Y720" s="7">
        <f t="shared" si="161"/>
        <v>8205.1</v>
      </c>
      <c r="Z720" s="7">
        <f t="shared" si="162"/>
        <v>83</v>
      </c>
      <c r="AA720" s="7">
        <f t="shared" si="163"/>
        <v>2021</v>
      </c>
      <c r="AB720" s="7">
        <f t="shared" si="164"/>
        <v>11</v>
      </c>
      <c r="AC720" s="7">
        <f t="shared" si="165"/>
        <v>1</v>
      </c>
      <c r="AD720" s="7" t="str">
        <f t="shared" si="166"/>
        <v>No</v>
      </c>
      <c r="AE720" s="7" t="str">
        <f t="shared" si="167"/>
        <v>Normal</v>
      </c>
    </row>
    <row r="721" spans="1:31">
      <c r="A721" t="s">
        <v>2298</v>
      </c>
      <c r="B721">
        <v>53815113</v>
      </c>
      <c r="C721" t="s">
        <v>2299</v>
      </c>
      <c r="D721" t="s">
        <v>2300</v>
      </c>
      <c r="E721" t="s">
        <v>20</v>
      </c>
      <c r="F721" t="s">
        <v>53</v>
      </c>
      <c r="G721" t="s">
        <v>98</v>
      </c>
      <c r="H721" t="s">
        <v>38</v>
      </c>
      <c r="I721" t="s">
        <v>3372</v>
      </c>
      <c r="J721">
        <v>10450.219999999999</v>
      </c>
      <c r="K721" t="s">
        <v>27</v>
      </c>
      <c r="L721" t="s">
        <v>81</v>
      </c>
      <c r="M721" s="1">
        <v>45839.465277777781</v>
      </c>
      <c r="N721">
        <v>21</v>
      </c>
      <c r="O721" t="s">
        <v>68</v>
      </c>
      <c r="P721" t="s">
        <v>68</v>
      </c>
      <c r="Q721" t="s">
        <v>2301</v>
      </c>
      <c r="R721" t="str">
        <f t="shared" si="154"/>
        <v>Nancy Garcia</v>
      </c>
      <c r="S721" t="str">
        <f t="shared" si="155"/>
        <v>Priya Gonzalez</v>
      </c>
      <c r="T721" t="str">
        <f t="shared" si="156"/>
        <v>AED</v>
      </c>
      <c r="U721" s="7" t="str">
        <f t="shared" si="157"/>
        <v>JPY</v>
      </c>
      <c r="V721" s="7" t="str">
        <f t="shared" si="158"/>
        <v>UAE</v>
      </c>
      <c r="W721" s="7" t="str">
        <f t="shared" si="159"/>
        <v>UAE</v>
      </c>
      <c r="X721" s="7" t="str">
        <f t="shared" si="160"/>
        <v>Outer-Transaction</v>
      </c>
      <c r="Y721" s="7">
        <f t="shared" si="161"/>
        <v>10450.219999999999</v>
      </c>
      <c r="Z721" s="7">
        <f t="shared" si="162"/>
        <v>21</v>
      </c>
      <c r="AA721" s="7">
        <f t="shared" si="163"/>
        <v>2025</v>
      </c>
      <c r="AB721" s="7">
        <f t="shared" si="164"/>
        <v>7</v>
      </c>
      <c r="AC721" s="7">
        <f t="shared" si="165"/>
        <v>1</v>
      </c>
      <c r="AD721" s="7" t="str">
        <f t="shared" si="166"/>
        <v>No</v>
      </c>
      <c r="AE721" s="7" t="str">
        <f t="shared" si="167"/>
        <v>Normal</v>
      </c>
    </row>
    <row r="722" spans="1:31">
      <c r="A722" t="s">
        <v>2302</v>
      </c>
      <c r="B722">
        <v>98571165</v>
      </c>
      <c r="C722" t="s">
        <v>1480</v>
      </c>
      <c r="D722" t="s">
        <v>1254</v>
      </c>
      <c r="E722" t="s">
        <v>20</v>
      </c>
      <c r="F722" t="s">
        <v>116</v>
      </c>
      <c r="G722" t="s">
        <v>45</v>
      </c>
      <c r="H722" t="s">
        <v>56</v>
      </c>
      <c r="I722" t="s">
        <v>3374</v>
      </c>
      <c r="J722">
        <v>676.88</v>
      </c>
      <c r="K722" t="s">
        <v>86</v>
      </c>
      <c r="L722" t="s">
        <v>28</v>
      </c>
      <c r="M722" s="1">
        <v>46164.470138888886</v>
      </c>
      <c r="N722">
        <v>23</v>
      </c>
      <c r="O722" t="s">
        <v>93</v>
      </c>
      <c r="P722" t="s">
        <v>54</v>
      </c>
      <c r="Q722" t="s">
        <v>2303</v>
      </c>
      <c r="R722" t="str">
        <f t="shared" si="154"/>
        <v>Mary Brown</v>
      </c>
      <c r="S722" t="str">
        <f t="shared" si="155"/>
        <v>Patricia Martin</v>
      </c>
      <c r="T722" t="str">
        <f t="shared" si="156"/>
        <v>CHF</v>
      </c>
      <c r="U722" s="7" t="str">
        <f t="shared" si="157"/>
        <v>ZAR</v>
      </c>
      <c r="V722" s="7" t="str">
        <f t="shared" si="158"/>
        <v>USA</v>
      </c>
      <c r="W722" s="7" t="str">
        <f t="shared" si="159"/>
        <v>India</v>
      </c>
      <c r="X722" s="7" t="str">
        <f t="shared" si="160"/>
        <v>External</v>
      </c>
      <c r="Y722" s="7">
        <f t="shared" si="161"/>
        <v>676.88</v>
      </c>
      <c r="Z722" s="7">
        <f t="shared" si="162"/>
        <v>23</v>
      </c>
      <c r="AA722" s="7">
        <f t="shared" si="163"/>
        <v>2026</v>
      </c>
      <c r="AB722" s="7">
        <f t="shared" si="164"/>
        <v>5</v>
      </c>
      <c r="AC722" s="7">
        <f t="shared" si="165"/>
        <v>1</v>
      </c>
      <c r="AD722" s="7" t="str">
        <f t="shared" si="166"/>
        <v>No</v>
      </c>
      <c r="AE722" s="7" t="str">
        <f t="shared" si="167"/>
        <v>Normal</v>
      </c>
    </row>
    <row r="723" spans="1:31">
      <c r="A723" t="s">
        <v>2304</v>
      </c>
      <c r="B723">
        <v>37802066</v>
      </c>
      <c r="C723" t="s">
        <v>130</v>
      </c>
      <c r="D723" t="s">
        <v>274</v>
      </c>
      <c r="E723" t="b">
        <v>1</v>
      </c>
      <c r="F723" t="s">
        <v>45</v>
      </c>
      <c r="G723" t="s">
        <v>21</v>
      </c>
      <c r="H723" t="s">
        <v>25</v>
      </c>
      <c r="I723" t="s">
        <v>3377</v>
      </c>
      <c r="J723">
        <v>381.35</v>
      </c>
      <c r="K723" t="s">
        <v>27</v>
      </c>
      <c r="L723" t="s">
        <v>75</v>
      </c>
      <c r="M723" s="1">
        <v>45621.490972222222</v>
      </c>
      <c r="N723">
        <v>68</v>
      </c>
      <c r="O723" t="s">
        <v>127</v>
      </c>
      <c r="P723" t="s">
        <v>93</v>
      </c>
      <c r="Q723" t="s">
        <v>2305</v>
      </c>
      <c r="R723" t="str">
        <f t="shared" si="154"/>
        <v>Jessica Hernandez</v>
      </c>
      <c r="S723" t="str">
        <f t="shared" si="155"/>
        <v>Elizabeth Wilson</v>
      </c>
      <c r="T723" t="str">
        <f t="shared" si="156"/>
        <v>ZAR</v>
      </c>
      <c r="U723" s="7" t="str">
        <f t="shared" si="157"/>
        <v>GBP</v>
      </c>
      <c r="V723" s="7" t="str">
        <f t="shared" si="158"/>
        <v>Canada</v>
      </c>
      <c r="W723" s="7" t="str">
        <f t="shared" si="159"/>
        <v>USA</v>
      </c>
      <c r="X723" s="7" t="str">
        <f t="shared" si="160"/>
        <v>Inter-Transaction</v>
      </c>
      <c r="Y723" s="7">
        <f t="shared" si="161"/>
        <v>381.35</v>
      </c>
      <c r="Z723" s="7">
        <f t="shared" si="162"/>
        <v>68</v>
      </c>
      <c r="AA723" s="7">
        <f t="shared" si="163"/>
        <v>2024</v>
      </c>
      <c r="AB723" s="7">
        <f t="shared" si="164"/>
        <v>11</v>
      </c>
      <c r="AC723" s="7">
        <f t="shared" si="165"/>
        <v>1</v>
      </c>
      <c r="AD723" s="7" t="str">
        <f t="shared" si="166"/>
        <v>No</v>
      </c>
      <c r="AE723" s="7" t="str">
        <f t="shared" si="167"/>
        <v>High Risk</v>
      </c>
    </row>
    <row r="724" spans="1:31">
      <c r="A724" t="s">
        <v>2306</v>
      </c>
      <c r="B724">
        <v>46771858</v>
      </c>
      <c r="C724" t="s">
        <v>1433</v>
      </c>
      <c r="D724" t="s">
        <v>2307</v>
      </c>
      <c r="E724" t="s">
        <v>20</v>
      </c>
      <c r="F724" t="s">
        <v>92</v>
      </c>
      <c r="G724" t="s">
        <v>92</v>
      </c>
      <c r="H724" t="s">
        <v>103</v>
      </c>
      <c r="I724" t="s">
        <v>3378</v>
      </c>
      <c r="J724">
        <v>6359.62</v>
      </c>
      <c r="K724" t="s">
        <v>57</v>
      </c>
      <c r="L724" t="s">
        <v>81</v>
      </c>
      <c r="M724" s="1">
        <v>45308.179861111108</v>
      </c>
      <c r="N724">
        <v>79</v>
      </c>
      <c r="O724" t="s">
        <v>24</v>
      </c>
      <c r="P724" t="s">
        <v>62</v>
      </c>
      <c r="Q724" t="s">
        <v>2308</v>
      </c>
      <c r="R724" t="str">
        <f t="shared" si="154"/>
        <v>Lucas Volkov</v>
      </c>
      <c r="S724" t="str">
        <f t="shared" si="155"/>
        <v xml:space="preserve"> Fatima Malik   </v>
      </c>
      <c r="T724" t="str">
        <f t="shared" si="156"/>
        <v>AUD</v>
      </c>
      <c r="U724" s="7" t="str">
        <f t="shared" si="157"/>
        <v>AUD</v>
      </c>
      <c r="V724" s="7" t="str">
        <f t="shared" si="158"/>
        <v>Brazil</v>
      </c>
      <c r="W724" s="7" t="str">
        <f t="shared" si="159"/>
        <v>Australia</v>
      </c>
      <c r="X724" s="7" t="str">
        <f t="shared" si="160"/>
        <v>Inter-Transaction</v>
      </c>
      <c r="Y724" s="7">
        <f t="shared" si="161"/>
        <v>6359.62</v>
      </c>
      <c r="Z724" s="7">
        <f t="shared" si="162"/>
        <v>79</v>
      </c>
      <c r="AA724" s="7">
        <f t="shared" si="163"/>
        <v>2024</v>
      </c>
      <c r="AB724" s="7">
        <f t="shared" si="164"/>
        <v>1</v>
      </c>
      <c r="AC724" s="7">
        <f t="shared" si="165"/>
        <v>1</v>
      </c>
      <c r="AD724" s="7" t="str">
        <f t="shared" si="166"/>
        <v>No</v>
      </c>
      <c r="AE724" s="7" t="str">
        <f t="shared" si="167"/>
        <v>Normal</v>
      </c>
    </row>
    <row r="725" spans="1:31">
      <c r="A725" t="s">
        <v>2309</v>
      </c>
      <c r="B725">
        <v>77970791</v>
      </c>
      <c r="C725" t="s">
        <v>1995</v>
      </c>
      <c r="D725" t="s">
        <v>1504</v>
      </c>
      <c r="E725" t="s">
        <v>20</v>
      </c>
      <c r="F725" t="s">
        <v>34</v>
      </c>
      <c r="G725" t="s">
        <v>53</v>
      </c>
      <c r="I725" t="s">
        <v>3378</v>
      </c>
      <c r="J725">
        <v>10511.97</v>
      </c>
      <c r="K725" t="s">
        <v>86</v>
      </c>
      <c r="L725" t="s">
        <v>28</v>
      </c>
      <c r="M725" s="1">
        <v>44716.472222222219</v>
      </c>
      <c r="N725">
        <v>74</v>
      </c>
      <c r="O725" t="s">
        <v>62</v>
      </c>
      <c r="P725" t="s">
        <v>62</v>
      </c>
      <c r="Q725" t="s">
        <v>2310</v>
      </c>
      <c r="R725" t="str">
        <f t="shared" si="154"/>
        <v>Lucas Martin</v>
      </c>
      <c r="S725" t="str">
        <f t="shared" si="155"/>
        <v>John Wilson</v>
      </c>
      <c r="T725" t="str">
        <f t="shared" si="156"/>
        <v>CAD</v>
      </c>
      <c r="U725" s="7" t="str">
        <f t="shared" si="157"/>
        <v>AED</v>
      </c>
      <c r="V725" s="7" t="str">
        <f t="shared" si="158"/>
        <v>Australia</v>
      </c>
      <c r="W725" s="7" t="str">
        <f t="shared" si="159"/>
        <v>Australia</v>
      </c>
      <c r="X725" s="7" t="str">
        <f t="shared" si="160"/>
        <v>Inter-Transaction</v>
      </c>
      <c r="Y725" s="7">
        <f t="shared" si="161"/>
        <v>10511.97</v>
      </c>
      <c r="Z725" s="7">
        <f t="shared" si="162"/>
        <v>74</v>
      </c>
      <c r="AA725" s="7">
        <f t="shared" si="163"/>
        <v>2022</v>
      </c>
      <c r="AB725" s="7">
        <f t="shared" si="164"/>
        <v>6</v>
      </c>
      <c r="AC725" s="7">
        <f t="shared" si="165"/>
        <v>1</v>
      </c>
      <c r="AD725" s="7" t="str">
        <f t="shared" si="166"/>
        <v>No</v>
      </c>
      <c r="AE725" s="7" t="str">
        <f t="shared" si="167"/>
        <v>Normal</v>
      </c>
    </row>
    <row r="726" spans="1:31">
      <c r="A726" t="s">
        <v>2311</v>
      </c>
      <c r="B726">
        <v>35063557</v>
      </c>
      <c r="C726" t="s">
        <v>2312</v>
      </c>
      <c r="D726" t="s">
        <v>1042</v>
      </c>
      <c r="E726" t="s">
        <v>20</v>
      </c>
      <c r="F726" t="s">
        <v>44</v>
      </c>
      <c r="G726" t="s">
        <v>92</v>
      </c>
      <c r="H726" t="s">
        <v>103</v>
      </c>
      <c r="I726" t="s">
        <v>3376</v>
      </c>
      <c r="J726">
        <v>1019.31</v>
      </c>
      <c r="K726" t="s">
        <v>86</v>
      </c>
      <c r="L726" t="s">
        <v>28</v>
      </c>
      <c r="M726" s="1">
        <v>44227.422222222223</v>
      </c>
      <c r="N726">
        <v>83</v>
      </c>
      <c r="O726" t="s">
        <v>23</v>
      </c>
      <c r="P726" t="s">
        <v>23</v>
      </c>
      <c r="Q726" t="s">
        <v>2313</v>
      </c>
      <c r="R726" t="str">
        <f t="shared" si="154"/>
        <v>Patricia Garcia</v>
      </c>
      <c r="S726" t="str">
        <f t="shared" si="155"/>
        <v>Michael Martinez</v>
      </c>
      <c r="T726" t="str">
        <f t="shared" si="156"/>
        <v>SGD</v>
      </c>
      <c r="U726" s="7" t="str">
        <f t="shared" si="157"/>
        <v>AUD</v>
      </c>
      <c r="V726" s="7" t="str">
        <f t="shared" si="158"/>
        <v>France</v>
      </c>
      <c r="W726" s="7" t="str">
        <f t="shared" si="159"/>
        <v>France</v>
      </c>
      <c r="X726" s="7" t="str">
        <f t="shared" si="160"/>
        <v>Internal</v>
      </c>
      <c r="Y726" s="7">
        <f t="shared" si="161"/>
        <v>1019.31</v>
      </c>
      <c r="Z726" s="7">
        <f t="shared" si="162"/>
        <v>83</v>
      </c>
      <c r="AA726" s="7">
        <f t="shared" si="163"/>
        <v>2021</v>
      </c>
      <c r="AB726" s="7">
        <f t="shared" si="164"/>
        <v>1</v>
      </c>
      <c r="AC726" s="7">
        <f t="shared" si="165"/>
        <v>1</v>
      </c>
      <c r="AD726" s="7" t="str">
        <f t="shared" si="166"/>
        <v>No</v>
      </c>
      <c r="AE726" s="7" t="str">
        <f t="shared" si="167"/>
        <v>Normal</v>
      </c>
    </row>
    <row r="727" spans="1:31">
      <c r="A727" t="s">
        <v>2314</v>
      </c>
      <c r="B727">
        <v>81592930</v>
      </c>
      <c r="D727" t="s">
        <v>323</v>
      </c>
      <c r="E727" t="b">
        <v>0</v>
      </c>
      <c r="F727" t="s">
        <v>112</v>
      </c>
      <c r="G727" t="s">
        <v>98</v>
      </c>
      <c r="H727" t="s">
        <v>38</v>
      </c>
      <c r="I727" t="s">
        <v>3371</v>
      </c>
      <c r="J727">
        <v>2946.3</v>
      </c>
      <c r="K727" t="s">
        <v>86</v>
      </c>
      <c r="L727" t="s">
        <v>48</v>
      </c>
      <c r="M727" s="1">
        <v>45369.724999999999</v>
      </c>
      <c r="N727">
        <v>25</v>
      </c>
      <c r="O727" t="s">
        <v>24</v>
      </c>
      <c r="P727" t="s">
        <v>23</v>
      </c>
      <c r="Q727" t="s">
        <v>2315</v>
      </c>
      <c r="R727" t="str">
        <f t="shared" si="154"/>
        <v/>
      </c>
      <c r="S727" t="str">
        <f t="shared" si="155"/>
        <v>Sanjay Gonzalez</v>
      </c>
      <c r="T727" t="str">
        <f t="shared" si="156"/>
        <v>usd</v>
      </c>
      <c r="U727" s="7" t="str">
        <f t="shared" si="157"/>
        <v>JPY</v>
      </c>
      <c r="V727" s="7" t="str">
        <f t="shared" si="158"/>
        <v>Brazil</v>
      </c>
      <c r="W727" s="7" t="str">
        <f t="shared" si="159"/>
        <v>France</v>
      </c>
      <c r="X727" s="7" t="str">
        <f t="shared" si="160"/>
        <v>Outer-Transaction</v>
      </c>
      <c r="Y727" s="7">
        <f t="shared" si="161"/>
        <v>2946.3</v>
      </c>
      <c r="Z727" s="7">
        <f t="shared" si="162"/>
        <v>25</v>
      </c>
      <c r="AA727" s="7">
        <f t="shared" si="163"/>
        <v>2024</v>
      </c>
      <c r="AB727" s="7">
        <f t="shared" si="164"/>
        <v>3</v>
      </c>
      <c r="AC727" s="7">
        <f t="shared" si="165"/>
        <v>1</v>
      </c>
      <c r="AD727" s="7" t="str">
        <f t="shared" si="166"/>
        <v>No</v>
      </c>
      <c r="AE727" s="7" t="str">
        <f t="shared" si="167"/>
        <v>Normal</v>
      </c>
    </row>
    <row r="728" spans="1:31">
      <c r="A728" t="s">
        <v>2316</v>
      </c>
      <c r="B728">
        <v>45315666</v>
      </c>
      <c r="C728" t="s">
        <v>640</v>
      </c>
      <c r="D728" t="s">
        <v>1472</v>
      </c>
      <c r="E728" t="s">
        <v>20</v>
      </c>
      <c r="F728" t="s">
        <v>21</v>
      </c>
      <c r="G728" t="s">
        <v>22</v>
      </c>
      <c r="H728" t="s">
        <v>56</v>
      </c>
      <c r="I728" t="s">
        <v>3378</v>
      </c>
      <c r="J728">
        <v>3427.36</v>
      </c>
      <c r="K728" t="s">
        <v>57</v>
      </c>
      <c r="L728" t="s">
        <v>81</v>
      </c>
      <c r="M728" s="1">
        <v>45904.118750000001</v>
      </c>
      <c r="N728">
        <v>43</v>
      </c>
      <c r="O728" t="s">
        <v>55</v>
      </c>
      <c r="P728" t="s">
        <v>24</v>
      </c>
      <c r="Q728" t="s">
        <v>2317</v>
      </c>
      <c r="R728" t="str">
        <f t="shared" si="154"/>
        <v>Zayn Garcia</v>
      </c>
      <c r="S728" t="str">
        <f t="shared" si="155"/>
        <v>Sanjay Silva</v>
      </c>
      <c r="T728" t="str">
        <f t="shared" si="156"/>
        <v>GBP</v>
      </c>
      <c r="U728" s="7" t="str">
        <f t="shared" si="157"/>
        <v>BRL</v>
      </c>
      <c r="V728" s="7" t="str">
        <f t="shared" si="158"/>
        <v>UK</v>
      </c>
      <c r="W728" s="7" t="str">
        <f t="shared" si="159"/>
        <v>Brazil</v>
      </c>
      <c r="X728" s="7" t="str">
        <f t="shared" si="160"/>
        <v>Inter-Transaction</v>
      </c>
      <c r="Y728" s="7">
        <f t="shared" si="161"/>
        <v>3427.36</v>
      </c>
      <c r="Z728" s="7">
        <f t="shared" si="162"/>
        <v>43</v>
      </c>
      <c r="AA728" s="7">
        <f t="shared" si="163"/>
        <v>2025</v>
      </c>
      <c r="AB728" s="7">
        <f t="shared" si="164"/>
        <v>9</v>
      </c>
      <c r="AC728" s="7">
        <f t="shared" si="165"/>
        <v>1</v>
      </c>
      <c r="AD728" s="7" t="str">
        <f t="shared" si="166"/>
        <v>No</v>
      </c>
      <c r="AE728" s="7" t="str">
        <f t="shared" si="167"/>
        <v>Normal</v>
      </c>
    </row>
    <row r="729" spans="1:31">
      <c r="A729" t="s">
        <v>2318</v>
      </c>
      <c r="B729">
        <v>27168689</v>
      </c>
      <c r="C729" t="s">
        <v>1864</v>
      </c>
      <c r="D729" t="s">
        <v>2319</v>
      </c>
      <c r="E729" t="s">
        <v>3375</v>
      </c>
      <c r="F729" t="s">
        <v>98</v>
      </c>
      <c r="G729" t="s">
        <v>34</v>
      </c>
      <c r="I729" t="s">
        <v>3372</v>
      </c>
      <c r="J729">
        <v>3824.43</v>
      </c>
      <c r="K729" t="s">
        <v>57</v>
      </c>
      <c r="L729" t="s">
        <v>75</v>
      </c>
      <c r="M729" s="1">
        <v>44143.675694444442</v>
      </c>
      <c r="N729">
        <v>68</v>
      </c>
      <c r="O729" t="s">
        <v>62</v>
      </c>
      <c r="P729" t="s">
        <v>37</v>
      </c>
      <c r="Q729" t="s">
        <v>2320</v>
      </c>
      <c r="R729" t="str">
        <f t="shared" si="154"/>
        <v>Patricia Velez</v>
      </c>
      <c r="S729" t="str">
        <f t="shared" si="155"/>
        <v xml:space="preserve"> Karen Rostova   </v>
      </c>
      <c r="T729" t="str">
        <f t="shared" si="156"/>
        <v>JPY</v>
      </c>
      <c r="U729" s="7" t="str">
        <f t="shared" si="157"/>
        <v>CAD</v>
      </c>
      <c r="V729" s="7" t="str">
        <f t="shared" si="158"/>
        <v>Australia</v>
      </c>
      <c r="W729" s="7" t="str">
        <f t="shared" si="159"/>
        <v>South Africa</v>
      </c>
      <c r="X729" s="7" t="str">
        <f t="shared" si="160"/>
        <v>Outer-Transaction</v>
      </c>
      <c r="Y729" s="7">
        <f t="shared" si="161"/>
        <v>3824.43</v>
      </c>
      <c r="Z729" s="7">
        <f t="shared" si="162"/>
        <v>68</v>
      </c>
      <c r="AA729" s="7">
        <f t="shared" si="163"/>
        <v>2020</v>
      </c>
      <c r="AB729" s="7">
        <f t="shared" si="164"/>
        <v>11</v>
      </c>
      <c r="AC729" s="7">
        <f t="shared" si="165"/>
        <v>1</v>
      </c>
      <c r="AD729" s="7" t="str">
        <f t="shared" si="166"/>
        <v>No</v>
      </c>
      <c r="AE729" s="7" t="str">
        <f t="shared" si="167"/>
        <v>High Risk</v>
      </c>
    </row>
    <row r="730" spans="1:31">
      <c r="A730" t="s">
        <v>2321</v>
      </c>
      <c r="B730">
        <v>70055642</v>
      </c>
      <c r="C730" t="s">
        <v>2205</v>
      </c>
      <c r="D730" t="s">
        <v>1192</v>
      </c>
      <c r="E730" t="s">
        <v>3375</v>
      </c>
      <c r="F730" t="s">
        <v>22</v>
      </c>
      <c r="G730" t="s">
        <v>44</v>
      </c>
      <c r="H730" t="s">
        <v>56</v>
      </c>
      <c r="I730" t="s">
        <v>3371</v>
      </c>
      <c r="J730">
        <v>3651.01</v>
      </c>
      <c r="K730" t="s">
        <v>57</v>
      </c>
      <c r="L730" t="s">
        <v>48</v>
      </c>
      <c r="M730" s="1">
        <v>46004.011111111111</v>
      </c>
      <c r="N730">
        <v>62</v>
      </c>
      <c r="O730" t="s">
        <v>54</v>
      </c>
      <c r="P730" t="s">
        <v>54</v>
      </c>
      <c r="Q730" t="s">
        <v>2322</v>
      </c>
      <c r="R730" t="str">
        <f t="shared" si="154"/>
        <v>Barbara Dubois</v>
      </c>
      <c r="S730" t="str">
        <f t="shared" si="155"/>
        <v>Karen Martin</v>
      </c>
      <c r="T730" t="str">
        <f t="shared" si="156"/>
        <v>BRL</v>
      </c>
      <c r="U730" s="7" t="str">
        <f t="shared" si="157"/>
        <v>SGD</v>
      </c>
      <c r="V730" s="7" t="str">
        <f t="shared" si="158"/>
        <v>India</v>
      </c>
      <c r="W730" s="7" t="str">
        <f t="shared" si="159"/>
        <v>India</v>
      </c>
      <c r="X730" s="7" t="str">
        <f t="shared" si="160"/>
        <v>Outer-Transaction</v>
      </c>
      <c r="Y730" s="7">
        <f t="shared" si="161"/>
        <v>3651.01</v>
      </c>
      <c r="Z730" s="7">
        <f t="shared" si="162"/>
        <v>62</v>
      </c>
      <c r="AA730" s="7">
        <f t="shared" si="163"/>
        <v>2025</v>
      </c>
      <c r="AB730" s="7">
        <f t="shared" si="164"/>
        <v>12</v>
      </c>
      <c r="AC730" s="7">
        <f t="shared" si="165"/>
        <v>1</v>
      </c>
      <c r="AD730" s="7" t="str">
        <f t="shared" si="166"/>
        <v>No</v>
      </c>
      <c r="AE730" s="7" t="str">
        <f t="shared" si="167"/>
        <v>Normal</v>
      </c>
    </row>
    <row r="731" spans="1:31">
      <c r="A731" t="s">
        <v>2323</v>
      </c>
      <c r="B731">
        <v>57463440</v>
      </c>
      <c r="C731" t="s">
        <v>1404</v>
      </c>
      <c r="D731" t="s">
        <v>578</v>
      </c>
      <c r="E731" t="s">
        <v>20</v>
      </c>
      <c r="G731" t="s">
        <v>116</v>
      </c>
      <c r="H731" t="s">
        <v>74</v>
      </c>
      <c r="I731" t="s">
        <v>3377</v>
      </c>
      <c r="J731">
        <v>5805.33</v>
      </c>
      <c r="K731" t="s">
        <v>47</v>
      </c>
      <c r="L731" t="s">
        <v>75</v>
      </c>
      <c r="M731" s="1">
        <v>45419.294444444444</v>
      </c>
      <c r="N731">
        <v>61</v>
      </c>
      <c r="O731" t="s">
        <v>127</v>
      </c>
      <c r="P731" t="s">
        <v>24</v>
      </c>
      <c r="Q731" t="s">
        <v>2324</v>
      </c>
      <c r="R731" t="str">
        <f t="shared" si="154"/>
        <v>Elena Smith</v>
      </c>
      <c r="S731" t="str">
        <f t="shared" si="155"/>
        <v>Sanjay Moore</v>
      </c>
      <c r="T731" t="str">
        <f t="shared" si="156"/>
        <v/>
      </c>
      <c r="U731" s="7" t="str">
        <f t="shared" si="157"/>
        <v>CHF</v>
      </c>
      <c r="V731" s="7" t="str">
        <f t="shared" si="158"/>
        <v>Canada</v>
      </c>
      <c r="W731" s="7" t="str">
        <f t="shared" si="159"/>
        <v>Brazil</v>
      </c>
      <c r="X731" s="7" t="str">
        <f t="shared" si="160"/>
        <v>Inter-Transaction</v>
      </c>
      <c r="Y731" s="7">
        <f t="shared" si="161"/>
        <v>5805.33</v>
      </c>
      <c r="Z731" s="7">
        <f t="shared" si="162"/>
        <v>61</v>
      </c>
      <c r="AA731" s="7">
        <f t="shared" si="163"/>
        <v>2024</v>
      </c>
      <c r="AB731" s="7">
        <f t="shared" si="164"/>
        <v>5</v>
      </c>
      <c r="AC731" s="7">
        <f t="shared" si="165"/>
        <v>1</v>
      </c>
      <c r="AD731" s="7" t="str">
        <f t="shared" si="166"/>
        <v>No</v>
      </c>
      <c r="AE731" s="7" t="str">
        <f t="shared" si="167"/>
        <v>High Risk</v>
      </c>
    </row>
    <row r="732" spans="1:31">
      <c r="A732" t="s">
        <v>2325</v>
      </c>
      <c r="B732">
        <v>95143591</v>
      </c>
      <c r="C732" t="s">
        <v>146</v>
      </c>
      <c r="D732" t="s">
        <v>2326</v>
      </c>
      <c r="E732" t="s">
        <v>33</v>
      </c>
      <c r="F732" t="s">
        <v>92</v>
      </c>
      <c r="G732" t="s">
        <v>44</v>
      </c>
      <c r="H732" t="s">
        <v>74</v>
      </c>
      <c r="I732" t="s">
        <v>3378</v>
      </c>
      <c r="J732">
        <v>3819</v>
      </c>
      <c r="K732" t="s">
        <v>57</v>
      </c>
      <c r="L732" t="s">
        <v>75</v>
      </c>
      <c r="M732" s="1">
        <v>45052.194444444445</v>
      </c>
      <c r="N732">
        <v>22</v>
      </c>
      <c r="O732" t="s">
        <v>54</v>
      </c>
      <c r="P732" t="s">
        <v>24</v>
      </c>
      <c r="Q732" t="s">
        <v>2327</v>
      </c>
      <c r="R732" t="str">
        <f t="shared" si="154"/>
        <v>Fatima Brown</v>
      </c>
      <c r="S732" t="str">
        <f t="shared" si="155"/>
        <v>Charles Williams</v>
      </c>
      <c r="T732" t="str">
        <f t="shared" si="156"/>
        <v>AUD</v>
      </c>
      <c r="U732" s="7" t="str">
        <f t="shared" si="157"/>
        <v>SGD</v>
      </c>
      <c r="V732" s="7" t="str">
        <f t="shared" si="158"/>
        <v>India</v>
      </c>
      <c r="W732" s="7" t="str">
        <f t="shared" si="159"/>
        <v>Brazil</v>
      </c>
      <c r="X732" s="7" t="str">
        <f t="shared" si="160"/>
        <v>Inter-Transaction</v>
      </c>
      <c r="Y732" s="7">
        <f t="shared" si="161"/>
        <v>3819</v>
      </c>
      <c r="Z732" s="7">
        <f t="shared" si="162"/>
        <v>22</v>
      </c>
      <c r="AA732" s="7">
        <f t="shared" si="163"/>
        <v>2023</v>
      </c>
      <c r="AB732" s="7">
        <f t="shared" si="164"/>
        <v>5</v>
      </c>
      <c r="AC732" s="7">
        <f t="shared" si="165"/>
        <v>1</v>
      </c>
      <c r="AD732" s="7" t="str">
        <f t="shared" si="166"/>
        <v>No</v>
      </c>
      <c r="AE732" s="7" t="str">
        <f t="shared" si="167"/>
        <v>High Risk</v>
      </c>
    </row>
    <row r="733" spans="1:31">
      <c r="A733" t="s">
        <v>2328</v>
      </c>
      <c r="B733">
        <v>39184664</v>
      </c>
      <c r="C733" t="s">
        <v>1511</v>
      </c>
      <c r="D733" t="s">
        <v>547</v>
      </c>
      <c r="E733" t="s">
        <v>20</v>
      </c>
      <c r="F733" t="s">
        <v>45</v>
      </c>
      <c r="G733" t="s">
        <v>45</v>
      </c>
      <c r="H733" t="s">
        <v>25</v>
      </c>
      <c r="I733" t="s">
        <v>3371</v>
      </c>
      <c r="J733">
        <v>8054.1</v>
      </c>
      <c r="K733" t="s">
        <v>27</v>
      </c>
      <c r="L733" t="s">
        <v>75</v>
      </c>
      <c r="M733" s="1">
        <v>44641.095833333333</v>
      </c>
      <c r="N733">
        <v>43</v>
      </c>
      <c r="O733" t="s">
        <v>54</v>
      </c>
      <c r="P733" t="s">
        <v>55</v>
      </c>
      <c r="Q733" t="s">
        <v>2329</v>
      </c>
      <c r="R733" t="str">
        <f t="shared" si="154"/>
        <v>Thomas Rostova</v>
      </c>
      <c r="S733" t="str">
        <f t="shared" si="155"/>
        <v>Lucas Moore</v>
      </c>
      <c r="T733" t="str">
        <f t="shared" si="156"/>
        <v>ZAR</v>
      </c>
      <c r="U733" s="7" t="str">
        <f t="shared" si="157"/>
        <v>ZAR</v>
      </c>
      <c r="V733" s="7" t="str">
        <f t="shared" si="158"/>
        <v>India</v>
      </c>
      <c r="W733" s="7" t="str">
        <f t="shared" si="159"/>
        <v>UK</v>
      </c>
      <c r="X733" s="7" t="str">
        <f t="shared" si="160"/>
        <v>Outer-Transaction</v>
      </c>
      <c r="Y733" s="7">
        <f t="shared" si="161"/>
        <v>8054.1</v>
      </c>
      <c r="Z733" s="7">
        <f t="shared" si="162"/>
        <v>43</v>
      </c>
      <c r="AA733" s="7">
        <f t="shared" si="163"/>
        <v>2022</v>
      </c>
      <c r="AB733" s="7">
        <f t="shared" si="164"/>
        <v>3</v>
      </c>
      <c r="AC733" s="7">
        <f t="shared" si="165"/>
        <v>1</v>
      </c>
      <c r="AD733" s="7" t="str">
        <f t="shared" si="166"/>
        <v>No</v>
      </c>
      <c r="AE733" s="7" t="str">
        <f t="shared" si="167"/>
        <v>High Risk</v>
      </c>
    </row>
    <row r="734" spans="1:31">
      <c r="A734" t="s">
        <v>2330</v>
      </c>
      <c r="B734">
        <v>90376344</v>
      </c>
      <c r="C734" t="s">
        <v>2247</v>
      </c>
      <c r="D734" t="s">
        <v>2331</v>
      </c>
      <c r="E734" t="s">
        <v>20</v>
      </c>
      <c r="F734" t="s">
        <v>21</v>
      </c>
      <c r="G734" t="s">
        <v>44</v>
      </c>
      <c r="H734" t="s">
        <v>25</v>
      </c>
      <c r="I734" t="s">
        <v>3374</v>
      </c>
      <c r="J734">
        <v>14797.57</v>
      </c>
      <c r="K734" t="s">
        <v>27</v>
      </c>
      <c r="L734" t="s">
        <v>81</v>
      </c>
      <c r="M734" s="1">
        <v>46066.922222222223</v>
      </c>
      <c r="N734">
        <v>85</v>
      </c>
      <c r="O734" t="s">
        <v>36</v>
      </c>
      <c r="P734" t="s">
        <v>55</v>
      </c>
      <c r="Q734" t="s">
        <v>2332</v>
      </c>
      <c r="R734" t="str">
        <f t="shared" si="154"/>
        <v>Mary Martinez</v>
      </c>
      <c r="S734" t="str">
        <f t="shared" si="155"/>
        <v>Richard Thomas</v>
      </c>
      <c r="T734" t="str">
        <f t="shared" si="156"/>
        <v>GBP</v>
      </c>
      <c r="U734" s="7" t="str">
        <f t="shared" si="157"/>
        <v>SGD</v>
      </c>
      <c r="V734" s="7" t="str">
        <f t="shared" si="158"/>
        <v>Germany</v>
      </c>
      <c r="W734" s="7" t="str">
        <f t="shared" si="159"/>
        <v>UK</v>
      </c>
      <c r="X734" s="7" t="str">
        <f t="shared" si="160"/>
        <v>External</v>
      </c>
      <c r="Y734" s="7">
        <f t="shared" si="161"/>
        <v>14797.57</v>
      </c>
      <c r="Z734" s="7">
        <f t="shared" si="162"/>
        <v>85</v>
      </c>
      <c r="AA734" s="7">
        <f t="shared" si="163"/>
        <v>2026</v>
      </c>
      <c r="AB734" s="7">
        <f t="shared" si="164"/>
        <v>2</v>
      </c>
      <c r="AC734" s="7">
        <f t="shared" si="165"/>
        <v>1</v>
      </c>
      <c r="AD734" s="7" t="str">
        <f t="shared" si="166"/>
        <v>No</v>
      </c>
      <c r="AE734" s="7" t="str">
        <f t="shared" si="167"/>
        <v>Normal</v>
      </c>
    </row>
    <row r="735" spans="1:31">
      <c r="A735" t="s">
        <v>2333</v>
      </c>
      <c r="B735">
        <v>41979677</v>
      </c>
      <c r="C735" t="s">
        <v>864</v>
      </c>
      <c r="E735" t="b">
        <v>1</v>
      </c>
      <c r="F735" t="s">
        <v>45</v>
      </c>
      <c r="H735" t="s">
        <v>74</v>
      </c>
      <c r="I735" t="s">
        <v>3371</v>
      </c>
      <c r="J735">
        <v>7761.05</v>
      </c>
      <c r="K735" t="s">
        <v>27</v>
      </c>
      <c r="L735" t="s">
        <v>28</v>
      </c>
      <c r="M735" s="1">
        <v>45863.895138888889</v>
      </c>
      <c r="N735">
        <v>36</v>
      </c>
      <c r="O735" t="s">
        <v>24</v>
      </c>
      <c r="P735" t="s">
        <v>24</v>
      </c>
      <c r="Q735" t="s">
        <v>2334</v>
      </c>
      <c r="R735" t="str">
        <f t="shared" si="154"/>
        <v>Christopher Silva</v>
      </c>
      <c r="S735" t="str">
        <f t="shared" si="155"/>
        <v/>
      </c>
      <c r="T735" t="str">
        <f t="shared" si="156"/>
        <v>ZAR</v>
      </c>
      <c r="U735" s="7" t="str">
        <f t="shared" si="157"/>
        <v/>
      </c>
      <c r="V735" s="7" t="str">
        <f t="shared" si="158"/>
        <v>Brazil</v>
      </c>
      <c r="W735" s="7" t="str">
        <f t="shared" si="159"/>
        <v>Brazil</v>
      </c>
      <c r="X735" s="7" t="str">
        <f t="shared" si="160"/>
        <v>Outer-Transaction</v>
      </c>
      <c r="Y735" s="7">
        <f t="shared" si="161"/>
        <v>7761.05</v>
      </c>
      <c r="Z735" s="7">
        <f t="shared" si="162"/>
        <v>36</v>
      </c>
      <c r="AA735" s="7">
        <f t="shared" si="163"/>
        <v>2025</v>
      </c>
      <c r="AB735" s="7">
        <f t="shared" si="164"/>
        <v>7</v>
      </c>
      <c r="AC735" s="7">
        <f t="shared" si="165"/>
        <v>1</v>
      </c>
      <c r="AD735" s="7" t="str">
        <f t="shared" si="166"/>
        <v>No</v>
      </c>
      <c r="AE735" s="7" t="str">
        <f t="shared" si="167"/>
        <v>Normal</v>
      </c>
    </row>
    <row r="736" spans="1:31">
      <c r="A736" t="s">
        <v>2335</v>
      </c>
      <c r="B736">
        <v>80064547</v>
      </c>
      <c r="C736" t="s">
        <v>2336</v>
      </c>
      <c r="D736" t="s">
        <v>847</v>
      </c>
      <c r="E736" t="s">
        <v>20</v>
      </c>
      <c r="F736" t="s">
        <v>80</v>
      </c>
      <c r="G736" t="s">
        <v>98</v>
      </c>
      <c r="I736" t="s">
        <v>3372</v>
      </c>
      <c r="J736">
        <v>1834.32</v>
      </c>
      <c r="K736" t="s">
        <v>27</v>
      </c>
      <c r="L736" t="s">
        <v>28</v>
      </c>
      <c r="M736" s="1">
        <v>45338.71875</v>
      </c>
      <c r="N736">
        <v>37</v>
      </c>
      <c r="O736" t="s">
        <v>23</v>
      </c>
      <c r="P736" t="s">
        <v>36</v>
      </c>
      <c r="Q736" t="s">
        <v>2337</v>
      </c>
      <c r="R736" t="str">
        <f t="shared" si="154"/>
        <v>Joseph Anderson</v>
      </c>
      <c r="S736" t="str">
        <f t="shared" si="155"/>
        <v>Jessica Gonzalez</v>
      </c>
      <c r="T736" t="str">
        <f t="shared" si="156"/>
        <v>USD</v>
      </c>
      <c r="U736" s="7" t="str">
        <f t="shared" si="157"/>
        <v>JPY</v>
      </c>
      <c r="V736" s="7" t="str">
        <f t="shared" si="158"/>
        <v>France</v>
      </c>
      <c r="W736" s="7" t="str">
        <f t="shared" si="159"/>
        <v>Germany</v>
      </c>
      <c r="X736" s="7" t="str">
        <f t="shared" si="160"/>
        <v>Outer-Transaction</v>
      </c>
      <c r="Y736" s="7">
        <f t="shared" si="161"/>
        <v>1834.32</v>
      </c>
      <c r="Z736" s="7">
        <f t="shared" si="162"/>
        <v>37</v>
      </c>
      <c r="AA736" s="7">
        <f t="shared" si="163"/>
        <v>2024</v>
      </c>
      <c r="AB736" s="7">
        <f t="shared" si="164"/>
        <v>2</v>
      </c>
      <c r="AC736" s="7">
        <f t="shared" si="165"/>
        <v>1</v>
      </c>
      <c r="AD736" s="7" t="str">
        <f t="shared" si="166"/>
        <v>No</v>
      </c>
      <c r="AE736" s="7" t="str">
        <f t="shared" si="167"/>
        <v>Normal</v>
      </c>
    </row>
    <row r="737" spans="1:31">
      <c r="A737" t="s">
        <v>2338</v>
      </c>
      <c r="B737">
        <v>52859035</v>
      </c>
      <c r="C737" t="s">
        <v>1966</v>
      </c>
      <c r="E737" t="s">
        <v>20</v>
      </c>
      <c r="F737" t="s">
        <v>80</v>
      </c>
      <c r="G737" t="s">
        <v>44</v>
      </c>
      <c r="H737" t="s">
        <v>103</v>
      </c>
      <c r="I737" t="s">
        <v>3378</v>
      </c>
      <c r="J737">
        <v>6135.93</v>
      </c>
      <c r="K737" t="s">
        <v>27</v>
      </c>
      <c r="L737" t="s">
        <v>75</v>
      </c>
      <c r="M737" s="1">
        <v>44280.000694444447</v>
      </c>
      <c r="N737">
        <v>29</v>
      </c>
      <c r="O737" t="s">
        <v>93</v>
      </c>
      <c r="P737" t="s">
        <v>37</v>
      </c>
      <c r="Q737" t="s">
        <v>2339</v>
      </c>
      <c r="R737" t="str">
        <f t="shared" si="154"/>
        <v>Sanjay Davis</v>
      </c>
      <c r="S737" t="str">
        <f t="shared" si="155"/>
        <v/>
      </c>
      <c r="T737" t="str">
        <f t="shared" si="156"/>
        <v>USD</v>
      </c>
      <c r="U737" s="7" t="str">
        <f t="shared" si="157"/>
        <v>SGD</v>
      </c>
      <c r="V737" s="7" t="str">
        <f t="shared" si="158"/>
        <v>USA</v>
      </c>
      <c r="W737" s="7" t="str">
        <f t="shared" si="159"/>
        <v>South Africa</v>
      </c>
      <c r="X737" s="7" t="str">
        <f t="shared" si="160"/>
        <v>Inter-Transaction</v>
      </c>
      <c r="Y737" s="7">
        <f t="shared" si="161"/>
        <v>6135.93</v>
      </c>
      <c r="Z737" s="7">
        <f t="shared" si="162"/>
        <v>29</v>
      </c>
      <c r="AA737" s="7">
        <f t="shared" si="163"/>
        <v>2021</v>
      </c>
      <c r="AB737" s="7">
        <f t="shared" si="164"/>
        <v>3</v>
      </c>
      <c r="AC737" s="7">
        <f t="shared" si="165"/>
        <v>1</v>
      </c>
      <c r="AD737" s="7" t="str">
        <f t="shared" si="166"/>
        <v>No</v>
      </c>
      <c r="AE737" s="7" t="str">
        <f t="shared" si="167"/>
        <v>High Risk</v>
      </c>
    </row>
    <row r="738" spans="1:31">
      <c r="A738" t="s">
        <v>2340</v>
      </c>
      <c r="B738">
        <v>59668381</v>
      </c>
      <c r="C738" t="s">
        <v>1653</v>
      </c>
      <c r="D738" t="s">
        <v>1483</v>
      </c>
      <c r="E738">
        <v>1</v>
      </c>
      <c r="F738" t="s">
        <v>116</v>
      </c>
      <c r="G738" t="s">
        <v>160</v>
      </c>
      <c r="I738" t="s">
        <v>3372</v>
      </c>
      <c r="J738">
        <v>6337.01</v>
      </c>
      <c r="K738" t="s">
        <v>86</v>
      </c>
      <c r="L738" t="s">
        <v>28</v>
      </c>
      <c r="M738" s="1">
        <v>45725.572916666664</v>
      </c>
      <c r="N738">
        <v>64</v>
      </c>
      <c r="O738" t="s">
        <v>23</v>
      </c>
      <c r="P738" t="s">
        <v>54</v>
      </c>
      <c r="Q738" t="s">
        <v>2341</v>
      </c>
      <c r="R738" t="str">
        <f t="shared" si="154"/>
        <v>Amir Khan</v>
      </c>
      <c r="S738" t="str">
        <f t="shared" si="155"/>
        <v>David Hernandez</v>
      </c>
      <c r="T738" t="str">
        <f t="shared" si="156"/>
        <v>CHF</v>
      </c>
      <c r="U738" s="7" t="str">
        <f t="shared" si="157"/>
        <v>aud</v>
      </c>
      <c r="V738" s="7" t="str">
        <f t="shared" si="158"/>
        <v>France</v>
      </c>
      <c r="W738" s="7" t="str">
        <f t="shared" si="159"/>
        <v>India</v>
      </c>
      <c r="X738" s="7" t="str">
        <f t="shared" si="160"/>
        <v>Outer-Transaction</v>
      </c>
      <c r="Y738" s="7">
        <f t="shared" si="161"/>
        <v>6337.01</v>
      </c>
      <c r="Z738" s="7">
        <f t="shared" si="162"/>
        <v>64</v>
      </c>
      <c r="AA738" s="7">
        <f t="shared" si="163"/>
        <v>2025</v>
      </c>
      <c r="AB738" s="7">
        <f t="shared" si="164"/>
        <v>3</v>
      </c>
      <c r="AC738" s="7">
        <f t="shared" si="165"/>
        <v>1</v>
      </c>
      <c r="AD738" s="7" t="str">
        <f t="shared" si="166"/>
        <v>No</v>
      </c>
      <c r="AE738" s="7" t="str">
        <f t="shared" si="167"/>
        <v>Normal</v>
      </c>
    </row>
    <row r="739" spans="1:31">
      <c r="A739" t="s">
        <v>2342</v>
      </c>
      <c r="B739">
        <v>40171534</v>
      </c>
      <c r="C739" t="s">
        <v>1022</v>
      </c>
      <c r="D739" t="s">
        <v>227</v>
      </c>
      <c r="E739" t="s">
        <v>20</v>
      </c>
      <c r="F739" t="s">
        <v>35</v>
      </c>
      <c r="G739" t="s">
        <v>92</v>
      </c>
      <c r="H739" t="s">
        <v>38</v>
      </c>
      <c r="I739" t="s">
        <v>3376</v>
      </c>
      <c r="J739">
        <v>235.52</v>
      </c>
      <c r="K739" t="s">
        <v>27</v>
      </c>
      <c r="L739" t="s">
        <v>48</v>
      </c>
      <c r="M739" s="1">
        <v>45208.017361111109</v>
      </c>
      <c r="N739">
        <v>18</v>
      </c>
      <c r="O739" t="s">
        <v>54</v>
      </c>
      <c r="P739" t="s">
        <v>24</v>
      </c>
      <c r="Q739" t="s">
        <v>2343</v>
      </c>
      <c r="R739" t="str">
        <f t="shared" si="154"/>
        <v>Barbara Smith</v>
      </c>
      <c r="S739" t="str">
        <f t="shared" si="155"/>
        <v>Lucas Anderson</v>
      </c>
      <c r="T739" t="str">
        <f t="shared" si="156"/>
        <v>EUR</v>
      </c>
      <c r="U739" s="7" t="str">
        <f t="shared" si="157"/>
        <v>AUD</v>
      </c>
      <c r="V739" s="7" t="str">
        <f t="shared" si="158"/>
        <v>India</v>
      </c>
      <c r="W739" s="7" t="str">
        <f t="shared" si="159"/>
        <v>Brazil</v>
      </c>
      <c r="X739" s="7" t="str">
        <f t="shared" si="160"/>
        <v>Internal</v>
      </c>
      <c r="Y739" s="7">
        <f t="shared" si="161"/>
        <v>235.52</v>
      </c>
      <c r="Z739" s="7">
        <f t="shared" si="162"/>
        <v>18</v>
      </c>
      <c r="AA739" s="7">
        <f t="shared" si="163"/>
        <v>2023</v>
      </c>
      <c r="AB739" s="7">
        <f t="shared" si="164"/>
        <v>10</v>
      </c>
      <c r="AC739" s="7">
        <f t="shared" si="165"/>
        <v>1</v>
      </c>
      <c r="AD739" s="7" t="str">
        <f t="shared" si="166"/>
        <v>No</v>
      </c>
      <c r="AE739" s="7" t="str">
        <f t="shared" si="167"/>
        <v>Normal</v>
      </c>
    </row>
    <row r="740" spans="1:31">
      <c r="A740" t="s">
        <v>2344</v>
      </c>
      <c r="B740">
        <v>62132081</v>
      </c>
      <c r="C740" t="s">
        <v>1091</v>
      </c>
      <c r="D740" t="s">
        <v>1924</v>
      </c>
      <c r="E740" t="s">
        <v>20</v>
      </c>
      <c r="F740" t="s">
        <v>98</v>
      </c>
      <c r="G740" t="s">
        <v>92</v>
      </c>
      <c r="I740" t="s">
        <v>3374</v>
      </c>
      <c r="J740">
        <v>9616.17</v>
      </c>
      <c r="K740" t="s">
        <v>27</v>
      </c>
      <c r="L740" t="s">
        <v>28</v>
      </c>
      <c r="M740" s="1">
        <v>44427.634722222225</v>
      </c>
      <c r="N740">
        <v>31</v>
      </c>
      <c r="O740" t="s">
        <v>55</v>
      </c>
      <c r="P740" t="s">
        <v>62</v>
      </c>
      <c r="Q740" t="s">
        <v>2345</v>
      </c>
      <c r="R740" t="str">
        <f t="shared" si="154"/>
        <v>Nancy Anderson</v>
      </c>
      <c r="S740" t="str">
        <f t="shared" si="155"/>
        <v>Lucas Smith</v>
      </c>
      <c r="T740" t="str">
        <f t="shared" si="156"/>
        <v>JPY</v>
      </c>
      <c r="U740" s="7" t="str">
        <f t="shared" si="157"/>
        <v>AUD</v>
      </c>
      <c r="V740" s="7" t="str">
        <f t="shared" si="158"/>
        <v>UK</v>
      </c>
      <c r="W740" s="7" t="str">
        <f t="shared" si="159"/>
        <v>Australia</v>
      </c>
      <c r="X740" s="7" t="str">
        <f t="shared" si="160"/>
        <v>External</v>
      </c>
      <c r="Y740" s="7">
        <f t="shared" si="161"/>
        <v>9616.17</v>
      </c>
      <c r="Z740" s="7">
        <f t="shared" si="162"/>
        <v>31</v>
      </c>
      <c r="AA740" s="7">
        <f t="shared" si="163"/>
        <v>2021</v>
      </c>
      <c r="AB740" s="7">
        <f t="shared" si="164"/>
        <v>8</v>
      </c>
      <c r="AC740" s="7">
        <f t="shared" si="165"/>
        <v>1</v>
      </c>
      <c r="AD740" s="7" t="str">
        <f t="shared" si="166"/>
        <v>No</v>
      </c>
      <c r="AE740" s="7" t="str">
        <f t="shared" si="167"/>
        <v>Normal</v>
      </c>
    </row>
    <row r="741" spans="1:31">
      <c r="A741" t="s">
        <v>2346</v>
      </c>
      <c r="B741">
        <v>13137155</v>
      </c>
      <c r="D741" t="s">
        <v>2214</v>
      </c>
      <c r="E741" t="s">
        <v>20</v>
      </c>
      <c r="F741" t="s">
        <v>35</v>
      </c>
      <c r="G741" t="s">
        <v>21</v>
      </c>
      <c r="H741" t="s">
        <v>38</v>
      </c>
      <c r="I741" t="s">
        <v>3376</v>
      </c>
      <c r="J741">
        <v>8390.43</v>
      </c>
      <c r="K741" t="s">
        <v>47</v>
      </c>
      <c r="L741" t="s">
        <v>81</v>
      </c>
      <c r="M741" s="1">
        <v>45978.613194444442</v>
      </c>
      <c r="N741">
        <v>81</v>
      </c>
      <c r="O741" t="s">
        <v>127</v>
      </c>
      <c r="P741" t="s">
        <v>37</v>
      </c>
      <c r="Q741" t="s">
        <v>2347</v>
      </c>
      <c r="R741" t="str">
        <f t="shared" si="154"/>
        <v/>
      </c>
      <c r="S741" t="str">
        <f t="shared" si="155"/>
        <v>Elizabeth Jones</v>
      </c>
      <c r="T741" t="str">
        <f t="shared" si="156"/>
        <v>EUR</v>
      </c>
      <c r="U741" s="7" t="str">
        <f t="shared" si="157"/>
        <v>GBP</v>
      </c>
      <c r="V741" s="7" t="str">
        <f t="shared" si="158"/>
        <v>Canada</v>
      </c>
      <c r="W741" s="7" t="str">
        <f t="shared" si="159"/>
        <v>South Africa</v>
      </c>
      <c r="X741" s="7" t="str">
        <f t="shared" si="160"/>
        <v>Internal</v>
      </c>
      <c r="Y741" s="7">
        <f t="shared" si="161"/>
        <v>8390.43</v>
      </c>
      <c r="Z741" s="7">
        <f t="shared" si="162"/>
        <v>81</v>
      </c>
      <c r="AA741" s="7">
        <f t="shared" si="163"/>
        <v>2025</v>
      </c>
      <c r="AB741" s="7">
        <f t="shared" si="164"/>
        <v>11</v>
      </c>
      <c r="AC741" s="7">
        <f t="shared" si="165"/>
        <v>1</v>
      </c>
      <c r="AD741" s="7" t="str">
        <f t="shared" si="166"/>
        <v>No</v>
      </c>
      <c r="AE741" s="7" t="str">
        <f t="shared" si="167"/>
        <v>Normal</v>
      </c>
    </row>
    <row r="742" spans="1:31">
      <c r="A742" t="s">
        <v>2348</v>
      </c>
      <c r="B742">
        <v>19776373</v>
      </c>
      <c r="C742" t="s">
        <v>227</v>
      </c>
      <c r="D742" t="s">
        <v>793</v>
      </c>
      <c r="E742" t="s">
        <v>20</v>
      </c>
      <c r="F742" t="s">
        <v>35</v>
      </c>
      <c r="G742" t="s">
        <v>44</v>
      </c>
      <c r="H742" t="s">
        <v>56</v>
      </c>
      <c r="I742" t="s">
        <v>3376</v>
      </c>
      <c r="J742">
        <v>2781.32</v>
      </c>
      <c r="K742" t="s">
        <v>86</v>
      </c>
      <c r="L742" t="s">
        <v>28</v>
      </c>
      <c r="M742" s="1">
        <v>44446.634027777778</v>
      </c>
      <c r="N742">
        <v>55</v>
      </c>
      <c r="O742" t="s">
        <v>37</v>
      </c>
      <c r="P742" t="s">
        <v>55</v>
      </c>
      <c r="Q742" t="s">
        <v>2349</v>
      </c>
      <c r="R742" t="str">
        <f t="shared" si="154"/>
        <v>Lucas Anderson</v>
      </c>
      <c r="S742" t="str">
        <f t="shared" si="155"/>
        <v>Susan Hernandez</v>
      </c>
      <c r="T742" t="str">
        <f t="shared" si="156"/>
        <v>EUR</v>
      </c>
      <c r="U742" s="7" t="str">
        <f t="shared" si="157"/>
        <v>SGD</v>
      </c>
      <c r="V742" s="7" t="str">
        <f t="shared" si="158"/>
        <v>South Africa</v>
      </c>
      <c r="W742" s="7" t="str">
        <f t="shared" si="159"/>
        <v>UK</v>
      </c>
      <c r="X742" s="7" t="str">
        <f t="shared" si="160"/>
        <v>Internal</v>
      </c>
      <c r="Y742" s="7">
        <f t="shared" si="161"/>
        <v>2781.32</v>
      </c>
      <c r="Z742" s="7">
        <f t="shared" si="162"/>
        <v>55</v>
      </c>
      <c r="AA742" s="7">
        <f t="shared" si="163"/>
        <v>2021</v>
      </c>
      <c r="AB742" s="7">
        <f t="shared" si="164"/>
        <v>9</v>
      </c>
      <c r="AC742" s="7">
        <f t="shared" si="165"/>
        <v>1</v>
      </c>
      <c r="AD742" s="7" t="str">
        <f t="shared" si="166"/>
        <v>No</v>
      </c>
      <c r="AE742" s="7" t="str">
        <f t="shared" si="167"/>
        <v>Normal</v>
      </c>
    </row>
    <row r="743" spans="1:31">
      <c r="A743" t="s">
        <v>2350</v>
      </c>
      <c r="C743" t="s">
        <v>980</v>
      </c>
      <c r="D743" t="s">
        <v>2351</v>
      </c>
      <c r="E743" t="s">
        <v>20</v>
      </c>
      <c r="F743" t="s">
        <v>22</v>
      </c>
      <c r="I743" t="s">
        <v>3378</v>
      </c>
      <c r="J743">
        <v>5599</v>
      </c>
      <c r="K743" t="s">
        <v>86</v>
      </c>
      <c r="L743" t="s">
        <v>75</v>
      </c>
      <c r="M743" s="1">
        <v>44778.990277777775</v>
      </c>
      <c r="N743">
        <v>54</v>
      </c>
      <c r="O743" t="s">
        <v>23</v>
      </c>
      <c r="P743" t="s">
        <v>62</v>
      </c>
      <c r="Q743" t="s">
        <v>2352</v>
      </c>
      <c r="R743" t="str">
        <f t="shared" si="154"/>
        <v>Richard Taylor</v>
      </c>
      <c r="S743" t="str">
        <f t="shared" si="155"/>
        <v>Christopher Williams</v>
      </c>
      <c r="T743" t="str">
        <f t="shared" si="156"/>
        <v>BRL</v>
      </c>
      <c r="U743" s="7" t="str">
        <f t="shared" si="157"/>
        <v/>
      </c>
      <c r="V743" s="7" t="str">
        <f t="shared" si="158"/>
        <v>France</v>
      </c>
      <c r="W743" s="7" t="str">
        <f t="shared" si="159"/>
        <v>Australia</v>
      </c>
      <c r="X743" s="7" t="str">
        <f t="shared" si="160"/>
        <v>Inter-Transaction</v>
      </c>
      <c r="Y743" s="7">
        <f t="shared" si="161"/>
        <v>5599</v>
      </c>
      <c r="Z743" s="7">
        <f t="shared" si="162"/>
        <v>54</v>
      </c>
      <c r="AA743" s="7">
        <f t="shared" si="163"/>
        <v>2022</v>
      </c>
      <c r="AB743" s="7">
        <f t="shared" si="164"/>
        <v>8</v>
      </c>
      <c r="AC743" s="7">
        <f t="shared" si="165"/>
        <v>1</v>
      </c>
      <c r="AD743" s="7" t="str">
        <f t="shared" si="166"/>
        <v>No</v>
      </c>
      <c r="AE743" s="7" t="str">
        <f t="shared" si="167"/>
        <v>High Risk</v>
      </c>
    </row>
    <row r="744" spans="1:31">
      <c r="A744" t="s">
        <v>2353</v>
      </c>
      <c r="B744">
        <v>87111120</v>
      </c>
      <c r="C744" t="s">
        <v>2354</v>
      </c>
      <c r="D744" t="s">
        <v>1025</v>
      </c>
      <c r="E744" t="s">
        <v>20</v>
      </c>
      <c r="G744" t="s">
        <v>22</v>
      </c>
      <c r="H744" t="s">
        <v>74</v>
      </c>
      <c r="I744" t="s">
        <v>3378</v>
      </c>
      <c r="J744">
        <v>12715.8</v>
      </c>
      <c r="K744" t="s">
        <v>39</v>
      </c>
      <c r="L744" t="s">
        <v>48</v>
      </c>
      <c r="M744" s="1">
        <v>45412.926388888889</v>
      </c>
      <c r="N744">
        <v>28</v>
      </c>
      <c r="O744" t="s">
        <v>54</v>
      </c>
      <c r="P744" t="s">
        <v>55</v>
      </c>
      <c r="Q744" t="s">
        <v>2355</v>
      </c>
      <c r="R744" t="str">
        <f t="shared" si="154"/>
        <v>John Al-Sayed</v>
      </c>
      <c r="S744" t="str">
        <f t="shared" si="155"/>
        <v>Mary Williams</v>
      </c>
      <c r="T744" t="str">
        <f t="shared" si="156"/>
        <v/>
      </c>
      <c r="U744" s="7" t="str">
        <f t="shared" si="157"/>
        <v>BRL</v>
      </c>
      <c r="V744" s="7" t="str">
        <f t="shared" si="158"/>
        <v>India</v>
      </c>
      <c r="W744" s="7" t="str">
        <f t="shared" si="159"/>
        <v>UK</v>
      </c>
      <c r="X744" s="7" t="str">
        <f t="shared" si="160"/>
        <v>Inter-Transaction</v>
      </c>
      <c r="Y744" s="7">
        <f t="shared" si="161"/>
        <v>12715.8</v>
      </c>
      <c r="Z744" s="7">
        <f t="shared" si="162"/>
        <v>28</v>
      </c>
      <c r="AA744" s="7">
        <f t="shared" si="163"/>
        <v>2024</v>
      </c>
      <c r="AB744" s="7">
        <f t="shared" si="164"/>
        <v>4</v>
      </c>
      <c r="AC744" s="7">
        <f t="shared" si="165"/>
        <v>1</v>
      </c>
      <c r="AD744" s="7" t="str">
        <f t="shared" si="166"/>
        <v>No</v>
      </c>
      <c r="AE744" s="7" t="str">
        <f t="shared" si="167"/>
        <v>Normal</v>
      </c>
    </row>
    <row r="745" spans="1:31">
      <c r="A745" t="s">
        <v>2356</v>
      </c>
      <c r="B745">
        <v>79816122</v>
      </c>
      <c r="C745" t="s">
        <v>2357</v>
      </c>
      <c r="D745" t="s">
        <v>1180</v>
      </c>
      <c r="E745" t="s">
        <v>20</v>
      </c>
      <c r="F745" t="s">
        <v>22</v>
      </c>
      <c r="G745" t="s">
        <v>53</v>
      </c>
      <c r="H745" t="s">
        <v>38</v>
      </c>
      <c r="I745" t="s">
        <v>3378</v>
      </c>
      <c r="J745">
        <v>103.64</v>
      </c>
      <c r="K745" t="s">
        <v>86</v>
      </c>
      <c r="L745" t="s">
        <v>28</v>
      </c>
      <c r="M745" s="1">
        <v>44386.754861111112</v>
      </c>
      <c r="N745">
        <v>20</v>
      </c>
      <c r="O745" t="s">
        <v>127</v>
      </c>
      <c r="P745" t="s">
        <v>55</v>
      </c>
      <c r="Q745" t="s">
        <v>2358</v>
      </c>
      <c r="R745" t="str">
        <f t="shared" si="154"/>
        <v>Sanjay Souza</v>
      </c>
      <c r="S745" t="str">
        <f t="shared" si="155"/>
        <v>Amir Taylor</v>
      </c>
      <c r="T745" t="str">
        <f t="shared" si="156"/>
        <v>BRL</v>
      </c>
      <c r="U745" s="7" t="str">
        <f t="shared" si="157"/>
        <v>AED</v>
      </c>
      <c r="V745" s="7" t="str">
        <f t="shared" si="158"/>
        <v>Canada</v>
      </c>
      <c r="W745" s="7" t="str">
        <f t="shared" si="159"/>
        <v>UK</v>
      </c>
      <c r="X745" s="7" t="str">
        <f t="shared" si="160"/>
        <v>Inter-Transaction</v>
      </c>
      <c r="Y745" s="7">
        <f t="shared" si="161"/>
        <v>103.64</v>
      </c>
      <c r="Z745" s="7">
        <f t="shared" si="162"/>
        <v>20</v>
      </c>
      <c r="AA745" s="7">
        <f t="shared" si="163"/>
        <v>2021</v>
      </c>
      <c r="AB745" s="7">
        <f t="shared" si="164"/>
        <v>7</v>
      </c>
      <c r="AC745" s="7">
        <f t="shared" si="165"/>
        <v>1</v>
      </c>
      <c r="AD745" s="7" t="str">
        <f t="shared" si="166"/>
        <v>No</v>
      </c>
      <c r="AE745" s="7" t="str">
        <f t="shared" si="167"/>
        <v>Normal</v>
      </c>
    </row>
    <row r="746" spans="1:31">
      <c r="A746" t="s">
        <v>2359</v>
      </c>
      <c r="B746">
        <v>72253115</v>
      </c>
      <c r="C746" t="s">
        <v>1479</v>
      </c>
      <c r="D746" t="s">
        <v>2360</v>
      </c>
      <c r="E746" t="s">
        <v>20</v>
      </c>
      <c r="F746" t="s">
        <v>34</v>
      </c>
      <c r="G746" t="s">
        <v>91</v>
      </c>
      <c r="I746" t="s">
        <v>3377</v>
      </c>
      <c r="J746">
        <v>12314.02</v>
      </c>
      <c r="K746" t="s">
        <v>47</v>
      </c>
      <c r="L746" t="s">
        <v>48</v>
      </c>
      <c r="M746" s="1">
        <v>44108.042361111111</v>
      </c>
      <c r="N746">
        <v>50</v>
      </c>
      <c r="O746" t="s">
        <v>62</v>
      </c>
      <c r="P746" t="s">
        <v>37</v>
      </c>
      <c r="Q746" t="s">
        <v>2361</v>
      </c>
      <c r="R746" t="str">
        <f t="shared" si="154"/>
        <v>Carlos Silva</v>
      </c>
      <c r="S746" t="str">
        <f t="shared" si="155"/>
        <v>Patricia Khan</v>
      </c>
      <c r="T746" t="str">
        <f t="shared" si="156"/>
        <v>CAD</v>
      </c>
      <c r="U746" s="7" t="str">
        <f t="shared" si="157"/>
        <v>gbp</v>
      </c>
      <c r="V746" s="7" t="str">
        <f t="shared" si="158"/>
        <v>Australia</v>
      </c>
      <c r="W746" s="7" t="str">
        <f t="shared" si="159"/>
        <v>South Africa</v>
      </c>
      <c r="X746" s="7" t="str">
        <f t="shared" si="160"/>
        <v>Inter-Transaction</v>
      </c>
      <c r="Y746" s="7">
        <f t="shared" si="161"/>
        <v>12314.02</v>
      </c>
      <c r="Z746" s="7">
        <f t="shared" si="162"/>
        <v>50</v>
      </c>
      <c r="AA746" s="7">
        <f t="shared" si="163"/>
        <v>2020</v>
      </c>
      <c r="AB746" s="7">
        <f t="shared" si="164"/>
        <v>10</v>
      </c>
      <c r="AC746" s="7">
        <f t="shared" si="165"/>
        <v>1</v>
      </c>
      <c r="AD746" s="7" t="str">
        <f t="shared" si="166"/>
        <v>No</v>
      </c>
      <c r="AE746" s="7" t="str">
        <f t="shared" si="167"/>
        <v>Normal</v>
      </c>
    </row>
    <row r="747" spans="1:31">
      <c r="A747" t="s">
        <v>2362</v>
      </c>
      <c r="B747">
        <v>97730855</v>
      </c>
      <c r="C747" t="s">
        <v>2363</v>
      </c>
      <c r="D747" t="s">
        <v>247</v>
      </c>
      <c r="E747" t="s">
        <v>3375</v>
      </c>
      <c r="F747" t="s">
        <v>98</v>
      </c>
      <c r="G747" t="s">
        <v>22</v>
      </c>
      <c r="H747" t="s">
        <v>56</v>
      </c>
      <c r="I747" t="s">
        <v>3372</v>
      </c>
      <c r="J747">
        <v>8900.5400000000009</v>
      </c>
      <c r="K747" t="s">
        <v>27</v>
      </c>
      <c r="L747" t="s">
        <v>48</v>
      </c>
      <c r="M747" s="1">
        <v>45844.398611111108</v>
      </c>
      <c r="N747">
        <v>23</v>
      </c>
      <c r="O747" t="s">
        <v>24</v>
      </c>
      <c r="P747" t="s">
        <v>55</v>
      </c>
      <c r="Q747" t="s">
        <v>2364</v>
      </c>
      <c r="R747" t="str">
        <f t="shared" si="154"/>
        <v>Robert Volkov</v>
      </c>
      <c r="S747" t="str">
        <f t="shared" si="155"/>
        <v>Charles Jackson</v>
      </c>
      <c r="T747" t="str">
        <f t="shared" si="156"/>
        <v>JPY</v>
      </c>
      <c r="U747" s="7" t="str">
        <f t="shared" si="157"/>
        <v>BRL</v>
      </c>
      <c r="V747" s="7" t="str">
        <f t="shared" si="158"/>
        <v>Brazil</v>
      </c>
      <c r="W747" s="7" t="str">
        <f t="shared" si="159"/>
        <v>UK</v>
      </c>
      <c r="X747" s="7" t="str">
        <f t="shared" si="160"/>
        <v>Outer-Transaction</v>
      </c>
      <c r="Y747" s="7">
        <f t="shared" si="161"/>
        <v>8900.5400000000009</v>
      </c>
      <c r="Z747" s="7">
        <f t="shared" si="162"/>
        <v>23</v>
      </c>
      <c r="AA747" s="7">
        <f t="shared" si="163"/>
        <v>2025</v>
      </c>
      <c r="AB747" s="7">
        <f t="shared" si="164"/>
        <v>7</v>
      </c>
      <c r="AC747" s="7">
        <f t="shared" si="165"/>
        <v>1</v>
      </c>
      <c r="AD747" s="7" t="str">
        <f t="shared" si="166"/>
        <v>No</v>
      </c>
      <c r="AE747" s="7" t="str">
        <f t="shared" si="167"/>
        <v>Normal</v>
      </c>
    </row>
    <row r="748" spans="1:31">
      <c r="A748" t="s">
        <v>2365</v>
      </c>
      <c r="B748">
        <v>93806250</v>
      </c>
      <c r="C748" t="s">
        <v>2366</v>
      </c>
      <c r="D748" t="s">
        <v>96</v>
      </c>
      <c r="E748" t="s">
        <v>20</v>
      </c>
      <c r="F748" t="s">
        <v>44</v>
      </c>
      <c r="G748" t="s">
        <v>121</v>
      </c>
      <c r="H748" t="s">
        <v>25</v>
      </c>
      <c r="I748" t="s">
        <v>3377</v>
      </c>
      <c r="J748">
        <v>3874.68</v>
      </c>
      <c r="K748" t="s">
        <v>86</v>
      </c>
      <c r="L748" t="s">
        <v>48</v>
      </c>
      <c r="M748" s="1">
        <v>44321.95</v>
      </c>
      <c r="N748">
        <v>67</v>
      </c>
      <c r="O748" t="s">
        <v>68</v>
      </c>
      <c r="P748" t="s">
        <v>68</v>
      </c>
      <c r="Q748" t="s">
        <v>2367</v>
      </c>
      <c r="R748" t="str">
        <f t="shared" si="154"/>
        <v>Lucas Al-Sayed</v>
      </c>
      <c r="S748" t="str">
        <f t="shared" si="155"/>
        <v>Charles Souza</v>
      </c>
      <c r="T748" t="str">
        <f t="shared" si="156"/>
        <v>SGD</v>
      </c>
      <c r="U748" s="7" t="str">
        <f t="shared" si="157"/>
        <v>INR</v>
      </c>
      <c r="V748" s="7" t="str">
        <f t="shared" si="158"/>
        <v>UAE</v>
      </c>
      <c r="W748" s="7" t="str">
        <f t="shared" si="159"/>
        <v>UAE</v>
      </c>
      <c r="X748" s="7" t="str">
        <f t="shared" si="160"/>
        <v>Inter-Transaction</v>
      </c>
      <c r="Y748" s="7">
        <f t="shared" si="161"/>
        <v>3874.68</v>
      </c>
      <c r="Z748" s="7">
        <f t="shared" si="162"/>
        <v>67</v>
      </c>
      <c r="AA748" s="7">
        <f t="shared" si="163"/>
        <v>2021</v>
      </c>
      <c r="AB748" s="7">
        <f t="shared" si="164"/>
        <v>5</v>
      </c>
      <c r="AC748" s="7">
        <f t="shared" si="165"/>
        <v>1</v>
      </c>
      <c r="AD748" s="7" t="str">
        <f t="shared" si="166"/>
        <v>No</v>
      </c>
      <c r="AE748" s="7" t="str">
        <f t="shared" si="167"/>
        <v>Normal</v>
      </c>
    </row>
    <row r="749" spans="1:31">
      <c r="A749" t="s">
        <v>2368</v>
      </c>
      <c r="B749">
        <v>58310738</v>
      </c>
      <c r="C749" t="s">
        <v>142</v>
      </c>
      <c r="D749" t="s">
        <v>66</v>
      </c>
      <c r="E749" t="s">
        <v>3373</v>
      </c>
      <c r="F749" t="s">
        <v>121</v>
      </c>
      <c r="G749" t="s">
        <v>34</v>
      </c>
      <c r="H749" t="s">
        <v>38</v>
      </c>
      <c r="I749" t="s">
        <v>3372</v>
      </c>
      <c r="J749">
        <v>593.38</v>
      </c>
      <c r="K749" t="s">
        <v>39</v>
      </c>
      <c r="L749" t="s">
        <v>81</v>
      </c>
      <c r="M749" s="1">
        <v>44085.310416666667</v>
      </c>
      <c r="N749">
        <v>27</v>
      </c>
      <c r="O749" t="s">
        <v>36</v>
      </c>
      <c r="P749" t="s">
        <v>93</v>
      </c>
      <c r="Q749" t="s">
        <v>2369</v>
      </c>
      <c r="R749" t="str">
        <f t="shared" si="154"/>
        <v>Thomas Rodriguez</v>
      </c>
      <c r="S749" t="str">
        <f t="shared" si="155"/>
        <v>Charles Dubois</v>
      </c>
      <c r="T749" t="str">
        <f t="shared" si="156"/>
        <v>INR</v>
      </c>
      <c r="U749" s="7" t="str">
        <f t="shared" si="157"/>
        <v>CAD</v>
      </c>
      <c r="V749" s="7" t="str">
        <f t="shared" si="158"/>
        <v>Germany</v>
      </c>
      <c r="W749" s="7" t="str">
        <f t="shared" si="159"/>
        <v>USA</v>
      </c>
      <c r="X749" s="7" t="str">
        <f t="shared" si="160"/>
        <v>Outer-Transaction</v>
      </c>
      <c r="Y749" s="7">
        <f t="shared" si="161"/>
        <v>593.38</v>
      </c>
      <c r="Z749" s="7">
        <f t="shared" si="162"/>
        <v>27</v>
      </c>
      <c r="AA749" s="7">
        <f t="shared" si="163"/>
        <v>2020</v>
      </c>
      <c r="AB749" s="7">
        <f t="shared" si="164"/>
        <v>9</v>
      </c>
      <c r="AC749" s="7">
        <f t="shared" si="165"/>
        <v>1</v>
      </c>
      <c r="AD749" s="7" t="str">
        <f t="shared" si="166"/>
        <v>No</v>
      </c>
      <c r="AE749" s="7" t="str">
        <f t="shared" si="167"/>
        <v>Normal</v>
      </c>
    </row>
    <row r="750" spans="1:31">
      <c r="A750" t="s">
        <v>2370</v>
      </c>
      <c r="B750">
        <v>50753834</v>
      </c>
      <c r="C750" t="s">
        <v>2371</v>
      </c>
      <c r="D750" t="s">
        <v>457</v>
      </c>
      <c r="E750" t="s">
        <v>20</v>
      </c>
      <c r="F750" t="s">
        <v>45</v>
      </c>
      <c r="G750" t="s">
        <v>176</v>
      </c>
      <c r="H750" t="s">
        <v>56</v>
      </c>
      <c r="I750" t="s">
        <v>3378</v>
      </c>
      <c r="J750">
        <v>10573.27</v>
      </c>
      <c r="K750" t="s">
        <v>39</v>
      </c>
      <c r="L750" t="s">
        <v>75</v>
      </c>
      <c r="M750" s="1">
        <v>46259.918749999997</v>
      </c>
      <c r="N750">
        <v>22</v>
      </c>
      <c r="O750" t="s">
        <v>127</v>
      </c>
      <c r="P750" t="s">
        <v>68</v>
      </c>
      <c r="Q750" t="s">
        <v>2372</v>
      </c>
      <c r="R750" t="str">
        <f t="shared" si="154"/>
        <v>Linda Hernandez</v>
      </c>
      <c r="S750" t="str">
        <f t="shared" si="155"/>
        <v>Lucas Davis</v>
      </c>
      <c r="T750" t="str">
        <f t="shared" si="156"/>
        <v>ZAR</v>
      </c>
      <c r="U750" s="7" t="str">
        <f t="shared" si="157"/>
        <v>aed</v>
      </c>
      <c r="V750" s="7" t="str">
        <f t="shared" si="158"/>
        <v>Canada</v>
      </c>
      <c r="W750" s="7" t="str">
        <f t="shared" si="159"/>
        <v>UAE</v>
      </c>
      <c r="X750" s="7" t="str">
        <f t="shared" si="160"/>
        <v>Inter-Transaction</v>
      </c>
      <c r="Y750" s="7">
        <f t="shared" si="161"/>
        <v>10573.27</v>
      </c>
      <c r="Z750" s="7">
        <f t="shared" si="162"/>
        <v>22</v>
      </c>
      <c r="AA750" s="7">
        <f t="shared" si="163"/>
        <v>2026</v>
      </c>
      <c r="AB750" s="7">
        <f t="shared" si="164"/>
        <v>8</v>
      </c>
      <c r="AC750" s="7">
        <f t="shared" si="165"/>
        <v>1</v>
      </c>
      <c r="AD750" s="7" t="str">
        <f t="shared" si="166"/>
        <v>No</v>
      </c>
      <c r="AE750" s="7" t="str">
        <f t="shared" si="167"/>
        <v>High Risk</v>
      </c>
    </row>
    <row r="751" spans="1:31">
      <c r="A751" t="s">
        <v>2373</v>
      </c>
      <c r="B751">
        <v>89734272</v>
      </c>
      <c r="C751" t="s">
        <v>2374</v>
      </c>
      <c r="E751">
        <v>0</v>
      </c>
      <c r="F751" t="s">
        <v>393</v>
      </c>
      <c r="G751" t="s">
        <v>35</v>
      </c>
      <c r="H751" t="s">
        <v>25</v>
      </c>
      <c r="I751" t="s">
        <v>3371</v>
      </c>
      <c r="J751">
        <v>1504.95</v>
      </c>
      <c r="K751" t="s">
        <v>86</v>
      </c>
      <c r="L751" t="s">
        <v>28</v>
      </c>
      <c r="M751" s="1">
        <v>44722.577777777777</v>
      </c>
      <c r="N751">
        <v>40</v>
      </c>
      <c r="O751" t="s">
        <v>55</v>
      </c>
      <c r="P751" t="s">
        <v>93</v>
      </c>
      <c r="Q751" t="s">
        <v>2375</v>
      </c>
      <c r="R751" t="str">
        <f t="shared" si="154"/>
        <v>MARY MOORE</v>
      </c>
      <c r="S751" t="str">
        <f t="shared" si="155"/>
        <v/>
      </c>
      <c r="T751" t="str">
        <f t="shared" si="156"/>
        <v>cad</v>
      </c>
      <c r="U751" s="7" t="str">
        <f t="shared" si="157"/>
        <v>EUR</v>
      </c>
      <c r="V751" s="7" t="str">
        <f t="shared" si="158"/>
        <v>UK</v>
      </c>
      <c r="W751" s="7" t="str">
        <f t="shared" si="159"/>
        <v>USA</v>
      </c>
      <c r="X751" s="7" t="str">
        <f t="shared" si="160"/>
        <v>Outer-Transaction</v>
      </c>
      <c r="Y751" s="7">
        <f t="shared" si="161"/>
        <v>1504.95</v>
      </c>
      <c r="Z751" s="7">
        <f t="shared" si="162"/>
        <v>40</v>
      </c>
      <c r="AA751" s="7">
        <f t="shared" si="163"/>
        <v>2022</v>
      </c>
      <c r="AB751" s="7">
        <f t="shared" si="164"/>
        <v>6</v>
      </c>
      <c r="AC751" s="7">
        <f t="shared" si="165"/>
        <v>1</v>
      </c>
      <c r="AD751" s="7" t="str">
        <f t="shared" si="166"/>
        <v>No</v>
      </c>
      <c r="AE751" s="7" t="str">
        <f t="shared" si="167"/>
        <v>Normal</v>
      </c>
    </row>
    <row r="752" spans="1:31">
      <c r="A752" t="s">
        <v>2376</v>
      </c>
      <c r="B752">
        <v>62219432</v>
      </c>
      <c r="C752" t="s">
        <v>2377</v>
      </c>
      <c r="D752" t="s">
        <v>1418</v>
      </c>
      <c r="E752" t="s">
        <v>20</v>
      </c>
      <c r="F752" t="s">
        <v>80</v>
      </c>
      <c r="I752" t="s">
        <v>3377</v>
      </c>
      <c r="J752">
        <v>10241.99</v>
      </c>
      <c r="K752" t="s">
        <v>86</v>
      </c>
      <c r="L752" t="s">
        <v>28</v>
      </c>
      <c r="M752" s="1">
        <v>44372.394444444442</v>
      </c>
      <c r="N752">
        <v>27</v>
      </c>
      <c r="O752" t="s">
        <v>55</v>
      </c>
      <c r="P752" t="s">
        <v>23</v>
      </c>
      <c r="Q752" t="s">
        <v>2378</v>
      </c>
      <c r="R752" t="str">
        <f t="shared" si="154"/>
        <v>Mary Velez</v>
      </c>
      <c r="S752" t="str">
        <f t="shared" si="155"/>
        <v>Elena Garcia</v>
      </c>
      <c r="T752" t="str">
        <f t="shared" si="156"/>
        <v>USD</v>
      </c>
      <c r="U752" s="7" t="str">
        <f t="shared" si="157"/>
        <v/>
      </c>
      <c r="V752" s="7" t="str">
        <f t="shared" si="158"/>
        <v>UK</v>
      </c>
      <c r="W752" s="7" t="str">
        <f t="shared" si="159"/>
        <v>France</v>
      </c>
      <c r="X752" s="7" t="str">
        <f t="shared" si="160"/>
        <v>Inter-Transaction</v>
      </c>
      <c r="Y752" s="7">
        <f t="shared" si="161"/>
        <v>10241.99</v>
      </c>
      <c r="Z752" s="7">
        <f t="shared" si="162"/>
        <v>27</v>
      </c>
      <c r="AA752" s="7">
        <f t="shared" si="163"/>
        <v>2021</v>
      </c>
      <c r="AB752" s="7">
        <f t="shared" si="164"/>
        <v>6</v>
      </c>
      <c r="AC752" s="7">
        <f t="shared" si="165"/>
        <v>1</v>
      </c>
      <c r="AD752" s="7" t="str">
        <f t="shared" si="166"/>
        <v>No</v>
      </c>
      <c r="AE752" s="7" t="str">
        <f t="shared" si="167"/>
        <v>Normal</v>
      </c>
    </row>
    <row r="753" spans="1:31">
      <c r="A753" t="s">
        <v>2379</v>
      </c>
      <c r="B753">
        <v>66060162</v>
      </c>
      <c r="C753" t="s">
        <v>1039</v>
      </c>
      <c r="D753" t="s">
        <v>491</v>
      </c>
      <c r="E753" t="s">
        <v>20</v>
      </c>
      <c r="F753" t="s">
        <v>34</v>
      </c>
      <c r="G753" t="s">
        <v>35</v>
      </c>
      <c r="I753" t="s">
        <v>3374</v>
      </c>
      <c r="J753">
        <v>10299.040000000001</v>
      </c>
      <c r="K753" t="s">
        <v>57</v>
      </c>
      <c r="L753" t="s">
        <v>81</v>
      </c>
      <c r="M753" s="1">
        <v>45118.002083333333</v>
      </c>
      <c r="N753">
        <v>61</v>
      </c>
      <c r="O753" t="s">
        <v>127</v>
      </c>
      <c r="P753" t="s">
        <v>23</v>
      </c>
      <c r="Q753" t="s">
        <v>2380</v>
      </c>
      <c r="R753" t="str">
        <f t="shared" si="154"/>
        <v>Jean-Pierre Silva</v>
      </c>
      <c r="S753" t="str">
        <f t="shared" si="155"/>
        <v>Elena Souza</v>
      </c>
      <c r="T753" t="str">
        <f t="shared" si="156"/>
        <v>CAD</v>
      </c>
      <c r="U753" s="7" t="str">
        <f t="shared" si="157"/>
        <v>EUR</v>
      </c>
      <c r="V753" s="7" t="str">
        <f t="shared" si="158"/>
        <v>Canada</v>
      </c>
      <c r="W753" s="7" t="str">
        <f t="shared" si="159"/>
        <v>France</v>
      </c>
      <c r="X753" s="7" t="str">
        <f t="shared" si="160"/>
        <v>External</v>
      </c>
      <c r="Y753" s="7">
        <f t="shared" si="161"/>
        <v>10299.040000000001</v>
      </c>
      <c r="Z753" s="7">
        <f t="shared" si="162"/>
        <v>61</v>
      </c>
      <c r="AA753" s="7">
        <f t="shared" si="163"/>
        <v>2023</v>
      </c>
      <c r="AB753" s="7">
        <f t="shared" si="164"/>
        <v>7</v>
      </c>
      <c r="AC753" s="7">
        <f t="shared" si="165"/>
        <v>1</v>
      </c>
      <c r="AD753" s="7" t="str">
        <f t="shared" si="166"/>
        <v>No</v>
      </c>
      <c r="AE753" s="7" t="str">
        <f t="shared" si="167"/>
        <v>Normal</v>
      </c>
    </row>
    <row r="754" spans="1:31">
      <c r="A754" t="s">
        <v>2381</v>
      </c>
      <c r="B754">
        <v>72236168</v>
      </c>
      <c r="C754" t="s">
        <v>151</v>
      </c>
      <c r="D754" t="s">
        <v>1309</v>
      </c>
      <c r="E754" t="s">
        <v>20</v>
      </c>
      <c r="F754" t="s">
        <v>22</v>
      </c>
      <c r="G754" t="s">
        <v>116</v>
      </c>
      <c r="H754" t="s">
        <v>25</v>
      </c>
      <c r="I754" t="s">
        <v>3377</v>
      </c>
      <c r="J754">
        <v>14738.68</v>
      </c>
      <c r="K754" t="s">
        <v>57</v>
      </c>
      <c r="L754" t="s">
        <v>48</v>
      </c>
      <c r="M754" s="1">
        <v>45464.033333333333</v>
      </c>
      <c r="N754">
        <v>19</v>
      </c>
      <c r="O754" t="s">
        <v>55</v>
      </c>
      <c r="P754" t="s">
        <v>55</v>
      </c>
      <c r="Q754" t="s">
        <v>2382</v>
      </c>
      <c r="R754" t="str">
        <f t="shared" si="154"/>
        <v>Nancy Moore</v>
      </c>
      <c r="S754" t="str">
        <f t="shared" si="155"/>
        <v>Mary Souza</v>
      </c>
      <c r="T754" t="str">
        <f t="shared" si="156"/>
        <v>BRL</v>
      </c>
      <c r="U754" s="7" t="str">
        <f t="shared" si="157"/>
        <v>CHF</v>
      </c>
      <c r="V754" s="7" t="str">
        <f t="shared" si="158"/>
        <v>UK</v>
      </c>
      <c r="W754" s="7" t="str">
        <f t="shared" si="159"/>
        <v>UK</v>
      </c>
      <c r="X754" s="7" t="str">
        <f t="shared" si="160"/>
        <v>Inter-Transaction</v>
      </c>
      <c r="Y754" s="7">
        <f t="shared" si="161"/>
        <v>14738.68</v>
      </c>
      <c r="Z754" s="7">
        <f t="shared" si="162"/>
        <v>19</v>
      </c>
      <c r="AA754" s="7">
        <f t="shared" si="163"/>
        <v>2024</v>
      </c>
      <c r="AB754" s="7">
        <f t="shared" si="164"/>
        <v>6</v>
      </c>
      <c r="AC754" s="7">
        <f t="shared" si="165"/>
        <v>1</v>
      </c>
      <c r="AD754" s="7" t="str">
        <f t="shared" si="166"/>
        <v>No</v>
      </c>
      <c r="AE754" s="7" t="str">
        <f t="shared" si="167"/>
        <v>Normal</v>
      </c>
    </row>
    <row r="755" spans="1:31">
      <c r="A755" t="s">
        <v>2383</v>
      </c>
      <c r="B755">
        <v>38791442</v>
      </c>
      <c r="C755" t="s">
        <v>1744</v>
      </c>
      <c r="D755" t="s">
        <v>2384</v>
      </c>
      <c r="E755" t="s">
        <v>20</v>
      </c>
      <c r="F755" t="s">
        <v>176</v>
      </c>
      <c r="G755" t="s">
        <v>35</v>
      </c>
      <c r="I755" t="s">
        <v>3378</v>
      </c>
      <c r="J755">
        <v>13208.7</v>
      </c>
      <c r="K755" t="s">
        <v>27</v>
      </c>
      <c r="L755" t="s">
        <v>48</v>
      </c>
      <c r="M755" s="1">
        <v>44655.693055555559</v>
      </c>
      <c r="N755">
        <v>30</v>
      </c>
      <c r="O755" t="s">
        <v>24</v>
      </c>
      <c r="P755" t="s">
        <v>54</v>
      </c>
      <c r="Q755" t="s">
        <v>2385</v>
      </c>
      <c r="R755" t="str">
        <f t="shared" si="154"/>
        <v>Jessica Johnson</v>
      </c>
      <c r="S755" t="str">
        <f t="shared" si="155"/>
        <v>Charles Martin</v>
      </c>
      <c r="T755" t="str">
        <f t="shared" si="156"/>
        <v>aed</v>
      </c>
      <c r="U755" s="7" t="str">
        <f t="shared" si="157"/>
        <v>EUR</v>
      </c>
      <c r="V755" s="7" t="str">
        <f t="shared" si="158"/>
        <v>Brazil</v>
      </c>
      <c r="W755" s="7" t="str">
        <f t="shared" si="159"/>
        <v>India</v>
      </c>
      <c r="X755" s="7" t="str">
        <f t="shared" si="160"/>
        <v>Inter-Transaction</v>
      </c>
      <c r="Y755" s="7">
        <f t="shared" si="161"/>
        <v>13208.7</v>
      </c>
      <c r="Z755" s="7">
        <f t="shared" si="162"/>
        <v>30</v>
      </c>
      <c r="AA755" s="7">
        <f t="shared" si="163"/>
        <v>2022</v>
      </c>
      <c r="AB755" s="7">
        <f t="shared" si="164"/>
        <v>4</v>
      </c>
      <c r="AC755" s="7">
        <f t="shared" si="165"/>
        <v>1</v>
      </c>
      <c r="AD755" s="7" t="str">
        <f t="shared" si="166"/>
        <v>No</v>
      </c>
      <c r="AE755" s="7" t="str">
        <f t="shared" si="167"/>
        <v>Normal</v>
      </c>
    </row>
    <row r="756" spans="1:31">
      <c r="A756" t="s">
        <v>2386</v>
      </c>
      <c r="B756">
        <v>14463768</v>
      </c>
      <c r="C756" t="s">
        <v>2387</v>
      </c>
      <c r="D756" t="s">
        <v>456</v>
      </c>
      <c r="E756">
        <v>1</v>
      </c>
      <c r="F756" t="s">
        <v>112</v>
      </c>
      <c r="G756" t="s">
        <v>45</v>
      </c>
      <c r="H756" t="s">
        <v>25</v>
      </c>
      <c r="I756" t="s">
        <v>3376</v>
      </c>
      <c r="J756">
        <v>5808.99</v>
      </c>
      <c r="K756" t="s">
        <v>39</v>
      </c>
      <c r="L756" t="s">
        <v>81</v>
      </c>
      <c r="M756" s="1">
        <v>45183.938194444447</v>
      </c>
      <c r="N756">
        <v>57</v>
      </c>
      <c r="O756" t="s">
        <v>55</v>
      </c>
      <c r="P756" t="s">
        <v>54</v>
      </c>
      <c r="Q756" t="s">
        <v>2388</v>
      </c>
      <c r="R756" t="str">
        <f t="shared" si="154"/>
        <v>Mary Wilson</v>
      </c>
      <c r="S756" t="str">
        <f t="shared" si="155"/>
        <v>Sarah Jackson</v>
      </c>
      <c r="T756" t="str">
        <f t="shared" si="156"/>
        <v>usd</v>
      </c>
      <c r="U756" s="7" t="str">
        <f t="shared" si="157"/>
        <v>ZAR</v>
      </c>
      <c r="V756" s="7" t="str">
        <f t="shared" si="158"/>
        <v>UK</v>
      </c>
      <c r="W756" s="7" t="str">
        <f t="shared" si="159"/>
        <v>India</v>
      </c>
      <c r="X756" s="7" t="str">
        <f t="shared" si="160"/>
        <v>Internal</v>
      </c>
      <c r="Y756" s="7">
        <f t="shared" si="161"/>
        <v>5808.99</v>
      </c>
      <c r="Z756" s="7">
        <f t="shared" si="162"/>
        <v>57</v>
      </c>
      <c r="AA756" s="7">
        <f t="shared" si="163"/>
        <v>2023</v>
      </c>
      <c r="AB756" s="7">
        <f t="shared" si="164"/>
        <v>9</v>
      </c>
      <c r="AC756" s="7">
        <f t="shared" si="165"/>
        <v>1</v>
      </c>
      <c r="AD756" s="7" t="str">
        <f t="shared" si="166"/>
        <v>No</v>
      </c>
      <c r="AE756" s="7" t="str">
        <f t="shared" si="167"/>
        <v>Normal</v>
      </c>
    </row>
    <row r="757" spans="1:31">
      <c r="A757" t="s">
        <v>2389</v>
      </c>
      <c r="B757">
        <v>39233152</v>
      </c>
      <c r="C757" t="s">
        <v>2390</v>
      </c>
      <c r="D757" t="s">
        <v>1978</v>
      </c>
      <c r="E757" t="s">
        <v>20</v>
      </c>
      <c r="F757" t="s">
        <v>116</v>
      </c>
      <c r="G757" t="s">
        <v>22</v>
      </c>
      <c r="H757" t="s">
        <v>56</v>
      </c>
      <c r="I757" t="s">
        <v>3371</v>
      </c>
      <c r="J757">
        <v>5019.2700000000004</v>
      </c>
      <c r="K757" t="s">
        <v>86</v>
      </c>
      <c r="L757" t="s">
        <v>48</v>
      </c>
      <c r="M757" s="1">
        <v>44111.801388888889</v>
      </c>
      <c r="N757">
        <v>19</v>
      </c>
      <c r="O757" t="s">
        <v>23</v>
      </c>
      <c r="P757" t="s">
        <v>93</v>
      </c>
      <c r="Q757" t="s">
        <v>2391</v>
      </c>
      <c r="R757" t="str">
        <f t="shared" si="154"/>
        <v>MARTA MILLER</v>
      </c>
      <c r="S757" t="str">
        <f t="shared" si="155"/>
        <v>Christopher Malik</v>
      </c>
      <c r="T757" t="str">
        <f t="shared" si="156"/>
        <v>CHF</v>
      </c>
      <c r="U757" s="7" t="str">
        <f t="shared" si="157"/>
        <v>BRL</v>
      </c>
      <c r="V757" s="7" t="str">
        <f t="shared" si="158"/>
        <v>France</v>
      </c>
      <c r="W757" s="7" t="str">
        <f t="shared" si="159"/>
        <v>USA</v>
      </c>
      <c r="X757" s="7" t="str">
        <f t="shared" si="160"/>
        <v>Outer-Transaction</v>
      </c>
      <c r="Y757" s="7">
        <f t="shared" si="161"/>
        <v>5019.2700000000004</v>
      </c>
      <c r="Z757" s="7">
        <f t="shared" si="162"/>
        <v>19</v>
      </c>
      <c r="AA757" s="7">
        <f t="shared" si="163"/>
        <v>2020</v>
      </c>
      <c r="AB757" s="7">
        <f t="shared" si="164"/>
        <v>10</v>
      </c>
      <c r="AC757" s="7">
        <f t="shared" si="165"/>
        <v>1</v>
      </c>
      <c r="AD757" s="7" t="str">
        <f t="shared" si="166"/>
        <v>No</v>
      </c>
      <c r="AE757" s="7" t="str">
        <f t="shared" si="167"/>
        <v>Normal</v>
      </c>
    </row>
    <row r="758" spans="1:31">
      <c r="A758" t="s">
        <v>2392</v>
      </c>
      <c r="C758" t="s">
        <v>1405</v>
      </c>
      <c r="D758" t="s">
        <v>1850</v>
      </c>
      <c r="E758" t="s">
        <v>20</v>
      </c>
      <c r="F758" t="s">
        <v>116</v>
      </c>
      <c r="G758" t="s">
        <v>80</v>
      </c>
      <c r="H758" t="s">
        <v>74</v>
      </c>
      <c r="I758" t="s">
        <v>3378</v>
      </c>
      <c r="J758">
        <v>4972.1400000000003</v>
      </c>
      <c r="K758" t="s">
        <v>86</v>
      </c>
      <c r="L758" t="s">
        <v>28</v>
      </c>
      <c r="M758" s="1">
        <v>45129.540972222225</v>
      </c>
      <c r="N758">
        <v>82</v>
      </c>
      <c r="O758" t="s">
        <v>68</v>
      </c>
      <c r="P758" t="s">
        <v>62</v>
      </c>
      <c r="Q758" t="s">
        <v>2393</v>
      </c>
      <c r="R758" t="str">
        <f t="shared" si="154"/>
        <v>Barbara Brown</v>
      </c>
      <c r="S758" t="str">
        <f t="shared" si="155"/>
        <v>Thomas Moore</v>
      </c>
      <c r="T758" t="str">
        <f t="shared" si="156"/>
        <v>CHF</v>
      </c>
      <c r="U758" s="7" t="str">
        <f t="shared" si="157"/>
        <v>USD</v>
      </c>
      <c r="V758" s="7" t="str">
        <f t="shared" si="158"/>
        <v>UAE</v>
      </c>
      <c r="W758" s="7" t="str">
        <f t="shared" si="159"/>
        <v>Australia</v>
      </c>
      <c r="X758" s="7" t="str">
        <f t="shared" si="160"/>
        <v>Inter-Transaction</v>
      </c>
      <c r="Y758" s="7">
        <f t="shared" si="161"/>
        <v>4972.1400000000003</v>
      </c>
      <c r="Z758" s="7">
        <f t="shared" si="162"/>
        <v>82</v>
      </c>
      <c r="AA758" s="7">
        <f t="shared" si="163"/>
        <v>2023</v>
      </c>
      <c r="AB758" s="7">
        <f t="shared" si="164"/>
        <v>7</v>
      </c>
      <c r="AC758" s="7">
        <f t="shared" si="165"/>
        <v>1</v>
      </c>
      <c r="AD758" s="7" t="str">
        <f t="shared" si="166"/>
        <v>No</v>
      </c>
      <c r="AE758" s="7" t="str">
        <f t="shared" si="167"/>
        <v>Normal</v>
      </c>
    </row>
    <row r="759" spans="1:31">
      <c r="A759" t="s">
        <v>2394</v>
      </c>
      <c r="B759">
        <v>10754115</v>
      </c>
      <c r="C759" t="s">
        <v>342</v>
      </c>
      <c r="D759" t="s">
        <v>431</v>
      </c>
      <c r="E759">
        <v>0</v>
      </c>
      <c r="F759" t="s">
        <v>98</v>
      </c>
      <c r="G759" t="s">
        <v>53</v>
      </c>
      <c r="H759" t="s">
        <v>74</v>
      </c>
      <c r="I759" t="s">
        <v>3371</v>
      </c>
      <c r="J759">
        <v>9247.83</v>
      </c>
      <c r="K759" t="s">
        <v>86</v>
      </c>
      <c r="L759" t="s">
        <v>75</v>
      </c>
      <c r="M759" s="1">
        <v>44603.082638888889</v>
      </c>
      <c r="N759">
        <v>80</v>
      </c>
      <c r="O759" t="s">
        <v>55</v>
      </c>
      <c r="P759" t="s">
        <v>37</v>
      </c>
      <c r="Q759" t="s">
        <v>2395</v>
      </c>
      <c r="R759" t="str">
        <f t="shared" si="154"/>
        <v>Sanjay Dubois</v>
      </c>
      <c r="S759" t="str">
        <f t="shared" si="155"/>
        <v>Karen Moore</v>
      </c>
      <c r="T759" t="str">
        <f t="shared" si="156"/>
        <v>JPY</v>
      </c>
      <c r="U759" s="7" t="str">
        <f t="shared" si="157"/>
        <v>AED</v>
      </c>
      <c r="V759" s="7" t="str">
        <f t="shared" si="158"/>
        <v>UK</v>
      </c>
      <c r="W759" s="7" t="str">
        <f t="shared" si="159"/>
        <v>South Africa</v>
      </c>
      <c r="X759" s="7" t="str">
        <f t="shared" si="160"/>
        <v>Outer-Transaction</v>
      </c>
      <c r="Y759" s="7">
        <f t="shared" si="161"/>
        <v>9247.83</v>
      </c>
      <c r="Z759" s="7">
        <f t="shared" si="162"/>
        <v>80</v>
      </c>
      <c r="AA759" s="7">
        <f t="shared" si="163"/>
        <v>2022</v>
      </c>
      <c r="AB759" s="7">
        <f t="shared" si="164"/>
        <v>2</v>
      </c>
      <c r="AC759" s="7">
        <f t="shared" si="165"/>
        <v>1</v>
      </c>
      <c r="AD759" s="7" t="str">
        <f t="shared" si="166"/>
        <v>No</v>
      </c>
      <c r="AE759" s="7" t="str">
        <f t="shared" si="167"/>
        <v>High Risk</v>
      </c>
    </row>
    <row r="760" spans="1:31">
      <c r="A760" t="s">
        <v>2396</v>
      </c>
      <c r="B760">
        <v>34973630</v>
      </c>
      <c r="C760" t="s">
        <v>1821</v>
      </c>
      <c r="D760" t="s">
        <v>868</v>
      </c>
      <c r="E760" t="s">
        <v>20</v>
      </c>
      <c r="F760" t="s">
        <v>92</v>
      </c>
      <c r="G760" t="s">
        <v>53</v>
      </c>
      <c r="H760" t="s">
        <v>74</v>
      </c>
      <c r="I760" t="s">
        <v>3377</v>
      </c>
      <c r="J760">
        <v>13272.32</v>
      </c>
      <c r="K760" t="s">
        <v>47</v>
      </c>
      <c r="L760" t="s">
        <v>81</v>
      </c>
      <c r="M760" s="1">
        <v>44158.765972222223</v>
      </c>
      <c r="N760">
        <v>34</v>
      </c>
      <c r="O760" t="s">
        <v>68</v>
      </c>
      <c r="P760" t="s">
        <v>55</v>
      </c>
      <c r="Q760" t="s">
        <v>2397</v>
      </c>
      <c r="R760" t="str">
        <f t="shared" si="154"/>
        <v>Robert Garcia</v>
      </c>
      <c r="S760" t="str">
        <f t="shared" si="155"/>
        <v>Christopher Al-Sayed</v>
      </c>
      <c r="T760" t="str">
        <f t="shared" si="156"/>
        <v>AUD</v>
      </c>
      <c r="U760" s="7" t="str">
        <f t="shared" si="157"/>
        <v>AED</v>
      </c>
      <c r="V760" s="7" t="str">
        <f t="shared" si="158"/>
        <v>UAE</v>
      </c>
      <c r="W760" s="7" t="str">
        <f t="shared" si="159"/>
        <v>UK</v>
      </c>
      <c r="X760" s="7" t="str">
        <f t="shared" si="160"/>
        <v>Inter-Transaction</v>
      </c>
      <c r="Y760" s="7">
        <f t="shared" si="161"/>
        <v>13272.32</v>
      </c>
      <c r="Z760" s="7">
        <f t="shared" si="162"/>
        <v>34</v>
      </c>
      <c r="AA760" s="7">
        <f t="shared" si="163"/>
        <v>2020</v>
      </c>
      <c r="AB760" s="7">
        <f t="shared" si="164"/>
        <v>11</v>
      </c>
      <c r="AC760" s="7">
        <f t="shared" si="165"/>
        <v>1</v>
      </c>
      <c r="AD760" s="7" t="str">
        <f t="shared" si="166"/>
        <v>No</v>
      </c>
      <c r="AE760" s="7" t="str">
        <f t="shared" si="167"/>
        <v>Normal</v>
      </c>
    </row>
    <row r="761" spans="1:31">
      <c r="A761" t="s">
        <v>2398</v>
      </c>
      <c r="B761">
        <v>69715838</v>
      </c>
      <c r="C761" t="s">
        <v>569</v>
      </c>
      <c r="D761" t="s">
        <v>2399</v>
      </c>
      <c r="E761" t="s">
        <v>3375</v>
      </c>
      <c r="F761" t="s">
        <v>121</v>
      </c>
      <c r="G761" t="s">
        <v>22</v>
      </c>
      <c r="I761" t="s">
        <v>3376</v>
      </c>
      <c r="J761">
        <v>10886.1</v>
      </c>
      <c r="K761" t="s">
        <v>47</v>
      </c>
      <c r="L761" t="s">
        <v>28</v>
      </c>
      <c r="M761" s="1">
        <v>46089.515972222223</v>
      </c>
      <c r="N761">
        <v>26</v>
      </c>
      <c r="O761" t="s">
        <v>54</v>
      </c>
      <c r="P761" t="s">
        <v>37</v>
      </c>
      <c r="Q761" t="s">
        <v>2400</v>
      </c>
      <c r="R761" t="str">
        <f t="shared" si="154"/>
        <v>Patricia Williams</v>
      </c>
      <c r="S761" t="str">
        <f t="shared" si="155"/>
        <v>Lucas Lopez</v>
      </c>
      <c r="T761" t="str">
        <f t="shared" si="156"/>
        <v>INR</v>
      </c>
      <c r="U761" s="7" t="str">
        <f t="shared" si="157"/>
        <v>BRL</v>
      </c>
      <c r="V761" s="7" t="str">
        <f t="shared" si="158"/>
        <v>India</v>
      </c>
      <c r="W761" s="7" t="str">
        <f t="shared" si="159"/>
        <v>South Africa</v>
      </c>
      <c r="X761" s="7" t="str">
        <f t="shared" si="160"/>
        <v>Internal</v>
      </c>
      <c r="Y761" s="7">
        <f t="shared" si="161"/>
        <v>10886.1</v>
      </c>
      <c r="Z761" s="7">
        <f t="shared" si="162"/>
        <v>26</v>
      </c>
      <c r="AA761" s="7">
        <f t="shared" si="163"/>
        <v>2026</v>
      </c>
      <c r="AB761" s="7">
        <f t="shared" si="164"/>
        <v>3</v>
      </c>
      <c r="AC761" s="7">
        <f t="shared" si="165"/>
        <v>1</v>
      </c>
      <c r="AD761" s="7" t="str">
        <f t="shared" si="166"/>
        <v>No</v>
      </c>
      <c r="AE761" s="7" t="str">
        <f t="shared" si="167"/>
        <v>Normal</v>
      </c>
    </row>
    <row r="762" spans="1:31">
      <c r="A762" t="s">
        <v>2401</v>
      </c>
      <c r="B762">
        <v>24282914</v>
      </c>
      <c r="C762" t="s">
        <v>966</v>
      </c>
      <c r="D762" t="s">
        <v>2402</v>
      </c>
      <c r="E762" t="s">
        <v>20</v>
      </c>
      <c r="F762" t="s">
        <v>34</v>
      </c>
      <c r="G762" t="s">
        <v>34</v>
      </c>
      <c r="I762" t="s">
        <v>3372</v>
      </c>
      <c r="J762">
        <v>2520.52</v>
      </c>
      <c r="K762" t="s">
        <v>86</v>
      </c>
      <c r="L762" t="s">
        <v>81</v>
      </c>
      <c r="M762" s="1">
        <v>44753.456944444442</v>
      </c>
      <c r="N762">
        <v>32</v>
      </c>
      <c r="O762" t="s">
        <v>93</v>
      </c>
      <c r="P762" t="s">
        <v>68</v>
      </c>
      <c r="Q762" t="s">
        <v>2403</v>
      </c>
      <c r="R762" t="str">
        <f t="shared" si="154"/>
        <v>Jean-Pierre Brown</v>
      </c>
      <c r="S762" t="str">
        <f t="shared" si="155"/>
        <v>Charles Wilson</v>
      </c>
      <c r="T762" t="str">
        <f t="shared" si="156"/>
        <v>CAD</v>
      </c>
      <c r="U762" s="7" t="str">
        <f t="shared" si="157"/>
        <v>CAD</v>
      </c>
      <c r="V762" s="7" t="str">
        <f t="shared" si="158"/>
        <v>USA</v>
      </c>
      <c r="W762" s="7" t="str">
        <f t="shared" si="159"/>
        <v>UAE</v>
      </c>
      <c r="X762" s="7" t="str">
        <f t="shared" si="160"/>
        <v>Outer-Transaction</v>
      </c>
      <c r="Y762" s="7">
        <f t="shared" si="161"/>
        <v>2520.52</v>
      </c>
      <c r="Z762" s="7">
        <f t="shared" si="162"/>
        <v>32</v>
      </c>
      <c r="AA762" s="7">
        <f t="shared" si="163"/>
        <v>2022</v>
      </c>
      <c r="AB762" s="7">
        <f t="shared" si="164"/>
        <v>7</v>
      </c>
      <c r="AC762" s="7">
        <f t="shared" si="165"/>
        <v>1</v>
      </c>
      <c r="AD762" s="7" t="str">
        <f t="shared" si="166"/>
        <v>No</v>
      </c>
      <c r="AE762" s="7" t="str">
        <f t="shared" si="167"/>
        <v>Normal</v>
      </c>
    </row>
    <row r="763" spans="1:31">
      <c r="A763" t="s">
        <v>2404</v>
      </c>
      <c r="B763">
        <v>38983946</v>
      </c>
      <c r="D763" t="s">
        <v>2405</v>
      </c>
      <c r="E763">
        <v>1</v>
      </c>
      <c r="F763" t="s">
        <v>98</v>
      </c>
      <c r="G763" t="s">
        <v>116</v>
      </c>
      <c r="H763" t="s">
        <v>25</v>
      </c>
      <c r="I763" t="s">
        <v>3374</v>
      </c>
      <c r="J763">
        <v>1448.66</v>
      </c>
      <c r="K763" t="s">
        <v>27</v>
      </c>
      <c r="L763" t="s">
        <v>48</v>
      </c>
      <c r="M763" s="1">
        <v>44382.884722222225</v>
      </c>
      <c r="N763">
        <v>41</v>
      </c>
      <c r="O763" t="s">
        <v>24</v>
      </c>
      <c r="P763" t="s">
        <v>54</v>
      </c>
      <c r="Q763" t="s">
        <v>2406</v>
      </c>
      <c r="R763" t="str">
        <f t="shared" si="154"/>
        <v/>
      </c>
      <c r="S763" t="str">
        <f t="shared" si="155"/>
        <v>Joseph Martin</v>
      </c>
      <c r="T763" t="str">
        <f t="shared" si="156"/>
        <v>JPY</v>
      </c>
      <c r="U763" s="7" t="str">
        <f t="shared" si="157"/>
        <v>CHF</v>
      </c>
      <c r="V763" s="7" t="str">
        <f t="shared" si="158"/>
        <v>Brazil</v>
      </c>
      <c r="W763" s="7" t="str">
        <f t="shared" si="159"/>
        <v>India</v>
      </c>
      <c r="X763" s="7" t="str">
        <f t="shared" si="160"/>
        <v>External</v>
      </c>
      <c r="Y763" s="7">
        <f t="shared" si="161"/>
        <v>1448.66</v>
      </c>
      <c r="Z763" s="7">
        <f t="shared" si="162"/>
        <v>41</v>
      </c>
      <c r="AA763" s="7">
        <f t="shared" si="163"/>
        <v>2021</v>
      </c>
      <c r="AB763" s="7">
        <f t="shared" si="164"/>
        <v>7</v>
      </c>
      <c r="AC763" s="7">
        <f t="shared" si="165"/>
        <v>1</v>
      </c>
      <c r="AD763" s="7" t="str">
        <f t="shared" si="166"/>
        <v>No</v>
      </c>
      <c r="AE763" s="7" t="str">
        <f t="shared" si="167"/>
        <v>Normal</v>
      </c>
    </row>
    <row r="764" spans="1:31">
      <c r="A764" t="s">
        <v>2407</v>
      </c>
      <c r="B764">
        <v>40687335</v>
      </c>
      <c r="C764" t="s">
        <v>256</v>
      </c>
      <c r="D764" t="s">
        <v>2408</v>
      </c>
      <c r="E764" t="s">
        <v>20</v>
      </c>
      <c r="F764" t="s">
        <v>53</v>
      </c>
      <c r="G764" t="s">
        <v>53</v>
      </c>
      <c r="H764" t="s">
        <v>38</v>
      </c>
      <c r="I764" t="s">
        <v>3374</v>
      </c>
      <c r="J764">
        <v>1654.5</v>
      </c>
      <c r="K764" t="s">
        <v>39</v>
      </c>
      <c r="L764" t="s">
        <v>75</v>
      </c>
      <c r="M764" s="1">
        <v>45904.402777777781</v>
      </c>
      <c r="N764">
        <v>55</v>
      </c>
      <c r="O764" t="s">
        <v>93</v>
      </c>
      <c r="P764" t="s">
        <v>36</v>
      </c>
      <c r="Q764" t="s">
        <v>2409</v>
      </c>
      <c r="R764" t="str">
        <f t="shared" si="154"/>
        <v>Michael Velez</v>
      </c>
      <c r="S764" t="str">
        <f t="shared" si="155"/>
        <v>Michael Johnson</v>
      </c>
      <c r="T764" t="str">
        <f t="shared" si="156"/>
        <v>AED</v>
      </c>
      <c r="U764" s="7" t="str">
        <f t="shared" si="157"/>
        <v>AED</v>
      </c>
      <c r="V764" s="7" t="str">
        <f t="shared" si="158"/>
        <v>USA</v>
      </c>
      <c r="W764" s="7" t="str">
        <f t="shared" si="159"/>
        <v>Germany</v>
      </c>
      <c r="X764" s="7" t="str">
        <f t="shared" si="160"/>
        <v>External</v>
      </c>
      <c r="Y764" s="7">
        <f t="shared" si="161"/>
        <v>1654.5</v>
      </c>
      <c r="Z764" s="7">
        <f t="shared" si="162"/>
        <v>55</v>
      </c>
      <c r="AA764" s="7">
        <f t="shared" si="163"/>
        <v>2025</v>
      </c>
      <c r="AB764" s="7">
        <f t="shared" si="164"/>
        <v>9</v>
      </c>
      <c r="AC764" s="7">
        <f t="shared" si="165"/>
        <v>1</v>
      </c>
      <c r="AD764" s="7" t="str">
        <f t="shared" si="166"/>
        <v>No</v>
      </c>
      <c r="AE764" s="7" t="str">
        <f t="shared" si="167"/>
        <v>High Risk</v>
      </c>
    </row>
    <row r="765" spans="1:31">
      <c r="A765" t="s">
        <v>2410</v>
      </c>
      <c r="B765">
        <v>47178071</v>
      </c>
      <c r="C765" t="s">
        <v>236</v>
      </c>
      <c r="D765" t="s">
        <v>1604</v>
      </c>
      <c r="E765" t="s">
        <v>20</v>
      </c>
      <c r="F765" t="s">
        <v>21</v>
      </c>
      <c r="G765" t="s">
        <v>21</v>
      </c>
      <c r="H765" t="s">
        <v>74</v>
      </c>
      <c r="I765" t="s">
        <v>3378</v>
      </c>
      <c r="J765">
        <v>10770.61</v>
      </c>
      <c r="K765" t="s">
        <v>86</v>
      </c>
      <c r="L765" t="s">
        <v>48</v>
      </c>
      <c r="M765" s="1">
        <v>45905.368750000001</v>
      </c>
      <c r="N765">
        <v>52</v>
      </c>
      <c r="O765" t="s">
        <v>54</v>
      </c>
      <c r="P765" t="s">
        <v>68</v>
      </c>
      <c r="Q765" t="s">
        <v>2411</v>
      </c>
      <c r="R765" t="str">
        <f t="shared" si="154"/>
        <v>Priya Rostova</v>
      </c>
      <c r="S765" t="str">
        <f t="shared" si="155"/>
        <v>Elena Jones</v>
      </c>
      <c r="T765" t="str">
        <f t="shared" si="156"/>
        <v>GBP</v>
      </c>
      <c r="U765" s="7" t="str">
        <f t="shared" si="157"/>
        <v>GBP</v>
      </c>
      <c r="V765" s="7" t="str">
        <f t="shared" si="158"/>
        <v>India</v>
      </c>
      <c r="W765" s="7" t="str">
        <f t="shared" si="159"/>
        <v>UAE</v>
      </c>
      <c r="X765" s="7" t="str">
        <f t="shared" si="160"/>
        <v>Inter-Transaction</v>
      </c>
      <c r="Y765" s="7">
        <f t="shared" si="161"/>
        <v>10770.61</v>
      </c>
      <c r="Z765" s="7">
        <f t="shared" si="162"/>
        <v>52</v>
      </c>
      <c r="AA765" s="7">
        <f t="shared" si="163"/>
        <v>2025</v>
      </c>
      <c r="AB765" s="7">
        <f t="shared" si="164"/>
        <v>9</v>
      </c>
      <c r="AC765" s="7">
        <f t="shared" si="165"/>
        <v>1</v>
      </c>
      <c r="AD765" s="7" t="str">
        <f t="shared" si="166"/>
        <v>No</v>
      </c>
      <c r="AE765" s="7" t="str">
        <f t="shared" si="167"/>
        <v>Normal</v>
      </c>
    </row>
    <row r="766" spans="1:31">
      <c r="A766" t="s">
        <v>2412</v>
      </c>
      <c r="B766">
        <v>56229195</v>
      </c>
      <c r="C766" t="s">
        <v>2413</v>
      </c>
      <c r="D766" t="s">
        <v>1135</v>
      </c>
      <c r="E766">
        <v>0</v>
      </c>
      <c r="F766" t="s">
        <v>44</v>
      </c>
      <c r="G766" t="s">
        <v>44</v>
      </c>
      <c r="H766" t="s">
        <v>25</v>
      </c>
      <c r="I766" t="s">
        <v>3374</v>
      </c>
      <c r="J766">
        <v>353.54</v>
      </c>
      <c r="K766" t="s">
        <v>47</v>
      </c>
      <c r="L766" t="s">
        <v>28</v>
      </c>
      <c r="M766" s="1">
        <v>44532.011111111111</v>
      </c>
      <c r="N766">
        <v>66</v>
      </c>
      <c r="O766" t="s">
        <v>24</v>
      </c>
      <c r="P766" t="s">
        <v>68</v>
      </c>
      <c r="Q766" t="s">
        <v>2414</v>
      </c>
      <c r="R766" t="str">
        <f t="shared" si="154"/>
        <v>Elena Silva</v>
      </c>
      <c r="S766" t="str">
        <f t="shared" si="155"/>
        <v>Nancy Davis</v>
      </c>
      <c r="T766" t="str">
        <f t="shared" si="156"/>
        <v>SGD</v>
      </c>
      <c r="U766" s="7" t="str">
        <f t="shared" si="157"/>
        <v>SGD</v>
      </c>
      <c r="V766" s="7" t="str">
        <f t="shared" si="158"/>
        <v>Brazil</v>
      </c>
      <c r="W766" s="7" t="str">
        <f t="shared" si="159"/>
        <v>UAE</v>
      </c>
      <c r="X766" s="7" t="str">
        <f t="shared" si="160"/>
        <v>External</v>
      </c>
      <c r="Y766" s="7">
        <f t="shared" si="161"/>
        <v>353.54</v>
      </c>
      <c r="Z766" s="7">
        <f t="shared" si="162"/>
        <v>66</v>
      </c>
      <c r="AA766" s="7">
        <f t="shared" si="163"/>
        <v>2021</v>
      </c>
      <c r="AB766" s="7">
        <f t="shared" si="164"/>
        <v>12</v>
      </c>
      <c r="AC766" s="7">
        <f t="shared" si="165"/>
        <v>1</v>
      </c>
      <c r="AD766" s="7" t="str">
        <f t="shared" si="166"/>
        <v>No</v>
      </c>
      <c r="AE766" s="7" t="str">
        <f t="shared" si="167"/>
        <v>Normal</v>
      </c>
    </row>
    <row r="767" spans="1:31">
      <c r="A767" t="s">
        <v>2415</v>
      </c>
      <c r="C767" t="s">
        <v>868</v>
      </c>
      <c r="D767" t="s">
        <v>1029</v>
      </c>
      <c r="E767" t="s">
        <v>20</v>
      </c>
      <c r="F767" t="s">
        <v>80</v>
      </c>
      <c r="G767" t="s">
        <v>53</v>
      </c>
      <c r="H767" t="s">
        <v>56</v>
      </c>
      <c r="I767" t="s">
        <v>3371</v>
      </c>
      <c r="J767">
        <v>2271.0300000000002</v>
      </c>
      <c r="K767" t="s">
        <v>86</v>
      </c>
      <c r="L767" t="s">
        <v>48</v>
      </c>
      <c r="M767" s="1">
        <v>45750.464583333334</v>
      </c>
      <c r="N767">
        <v>79</v>
      </c>
      <c r="O767" t="s">
        <v>127</v>
      </c>
      <c r="P767" t="s">
        <v>93</v>
      </c>
      <c r="Q767" t="s">
        <v>2416</v>
      </c>
      <c r="R767" t="str">
        <f t="shared" si="154"/>
        <v>Christopher Al-Sayed</v>
      </c>
      <c r="S767" t="str">
        <f t="shared" si="155"/>
        <v>Charles Miller</v>
      </c>
      <c r="T767" t="str">
        <f t="shared" si="156"/>
        <v>USD</v>
      </c>
      <c r="U767" s="7" t="str">
        <f t="shared" si="157"/>
        <v>AED</v>
      </c>
      <c r="V767" s="7" t="str">
        <f t="shared" si="158"/>
        <v>Canada</v>
      </c>
      <c r="W767" s="7" t="str">
        <f t="shared" si="159"/>
        <v>USA</v>
      </c>
      <c r="X767" s="7" t="str">
        <f t="shared" si="160"/>
        <v>Outer-Transaction</v>
      </c>
      <c r="Y767" s="7">
        <f t="shared" si="161"/>
        <v>2271.0300000000002</v>
      </c>
      <c r="Z767" s="7">
        <f t="shared" si="162"/>
        <v>79</v>
      </c>
      <c r="AA767" s="7">
        <f t="shared" si="163"/>
        <v>2025</v>
      </c>
      <c r="AB767" s="7">
        <f t="shared" si="164"/>
        <v>4</v>
      </c>
      <c r="AC767" s="7">
        <f t="shared" si="165"/>
        <v>1</v>
      </c>
      <c r="AD767" s="7" t="str">
        <f t="shared" si="166"/>
        <v>No</v>
      </c>
      <c r="AE767" s="7" t="str">
        <f t="shared" si="167"/>
        <v>Normal</v>
      </c>
    </row>
    <row r="768" spans="1:31">
      <c r="A768" t="s">
        <v>2417</v>
      </c>
      <c r="B768">
        <v>62781957</v>
      </c>
      <c r="C768" t="s">
        <v>2418</v>
      </c>
      <c r="D768" t="s">
        <v>1808</v>
      </c>
      <c r="E768" t="s">
        <v>20</v>
      </c>
      <c r="F768" t="s">
        <v>121</v>
      </c>
      <c r="G768" t="s">
        <v>22</v>
      </c>
      <c r="H768" t="s">
        <v>25</v>
      </c>
      <c r="I768" t="s">
        <v>3378</v>
      </c>
      <c r="J768">
        <v>8722.39</v>
      </c>
      <c r="K768" t="s">
        <v>57</v>
      </c>
      <c r="L768" t="s">
        <v>75</v>
      </c>
      <c r="M768" s="1">
        <v>46291.186111111114</v>
      </c>
      <c r="N768">
        <v>77</v>
      </c>
      <c r="O768" t="s">
        <v>127</v>
      </c>
      <c r="P768" t="s">
        <v>127</v>
      </c>
      <c r="Q768" t="s">
        <v>2419</v>
      </c>
      <c r="R768" t="str">
        <f t="shared" si="154"/>
        <v>Thomas Dubois</v>
      </c>
      <c r="S768" t="str">
        <f t="shared" si="155"/>
        <v>Carlos Volkov</v>
      </c>
      <c r="T768" t="str">
        <f t="shared" si="156"/>
        <v>INR</v>
      </c>
      <c r="U768" s="7" t="str">
        <f t="shared" si="157"/>
        <v>BRL</v>
      </c>
      <c r="V768" s="7" t="str">
        <f t="shared" si="158"/>
        <v>Canada</v>
      </c>
      <c r="W768" s="7" t="str">
        <f t="shared" si="159"/>
        <v>Canada</v>
      </c>
      <c r="X768" s="7" t="str">
        <f t="shared" si="160"/>
        <v>Inter-Transaction</v>
      </c>
      <c r="Y768" s="7">
        <f t="shared" si="161"/>
        <v>8722.39</v>
      </c>
      <c r="Z768" s="7">
        <f t="shared" si="162"/>
        <v>77</v>
      </c>
      <c r="AA768" s="7">
        <f t="shared" si="163"/>
        <v>2026</v>
      </c>
      <c r="AB768" s="7">
        <f t="shared" si="164"/>
        <v>9</v>
      </c>
      <c r="AC768" s="7">
        <f t="shared" si="165"/>
        <v>1</v>
      </c>
      <c r="AD768" s="7" t="str">
        <f t="shared" si="166"/>
        <v>No</v>
      </c>
      <c r="AE768" s="7" t="str">
        <f t="shared" si="167"/>
        <v>High Risk</v>
      </c>
    </row>
    <row r="769" spans="1:31">
      <c r="A769" t="s">
        <v>2420</v>
      </c>
      <c r="B769">
        <v>56142700</v>
      </c>
      <c r="C769" t="s">
        <v>2421</v>
      </c>
      <c r="D769" t="s">
        <v>1455</v>
      </c>
      <c r="E769" t="s">
        <v>20</v>
      </c>
      <c r="F769" t="s">
        <v>44</v>
      </c>
      <c r="G769" t="s">
        <v>121</v>
      </c>
      <c r="H769" t="s">
        <v>103</v>
      </c>
      <c r="I769" t="s">
        <v>3371</v>
      </c>
      <c r="J769">
        <v>3843.34</v>
      </c>
      <c r="K769" t="s">
        <v>39</v>
      </c>
      <c r="L769" t="s">
        <v>48</v>
      </c>
      <c r="M769" s="1">
        <v>43997.740277777775</v>
      </c>
      <c r="N769">
        <v>67</v>
      </c>
      <c r="O769" t="s">
        <v>68</v>
      </c>
      <c r="P769" t="s">
        <v>68</v>
      </c>
      <c r="Q769" t="s">
        <v>2422</v>
      </c>
      <c r="R769" t="str">
        <f t="shared" si="154"/>
        <v>John Martinez</v>
      </c>
      <c r="S769" t="str">
        <f t="shared" si="155"/>
        <v>Sanjay Martin</v>
      </c>
      <c r="T769" t="str">
        <f t="shared" si="156"/>
        <v>SGD</v>
      </c>
      <c r="U769" s="7" t="str">
        <f t="shared" si="157"/>
        <v>INR</v>
      </c>
      <c r="V769" s="7" t="str">
        <f t="shared" si="158"/>
        <v>UAE</v>
      </c>
      <c r="W769" s="7" t="str">
        <f t="shared" si="159"/>
        <v>UAE</v>
      </c>
      <c r="X769" s="7" t="str">
        <f t="shared" si="160"/>
        <v>Outer-Transaction</v>
      </c>
      <c r="Y769" s="7">
        <f t="shared" si="161"/>
        <v>3843.34</v>
      </c>
      <c r="Z769" s="7">
        <f t="shared" si="162"/>
        <v>67</v>
      </c>
      <c r="AA769" s="7">
        <f t="shared" si="163"/>
        <v>2020</v>
      </c>
      <c r="AB769" s="7">
        <f t="shared" si="164"/>
        <v>6</v>
      </c>
      <c r="AC769" s="7">
        <f t="shared" si="165"/>
        <v>1</v>
      </c>
      <c r="AD769" s="7" t="str">
        <f t="shared" si="166"/>
        <v>No</v>
      </c>
      <c r="AE769" s="7" t="str">
        <f t="shared" si="167"/>
        <v>Normal</v>
      </c>
    </row>
    <row r="770" spans="1:31">
      <c r="A770" t="s">
        <v>2423</v>
      </c>
      <c r="B770">
        <v>15273520</v>
      </c>
      <c r="C770" t="s">
        <v>682</v>
      </c>
      <c r="D770" t="s">
        <v>1958</v>
      </c>
      <c r="E770">
        <v>1</v>
      </c>
      <c r="F770" t="s">
        <v>116</v>
      </c>
      <c r="G770" t="s">
        <v>35</v>
      </c>
      <c r="I770" t="s">
        <v>3377</v>
      </c>
      <c r="J770">
        <v>9873.64</v>
      </c>
      <c r="K770" t="s">
        <v>27</v>
      </c>
      <c r="L770" t="s">
        <v>81</v>
      </c>
      <c r="M770" s="1">
        <v>43999.234722222223</v>
      </c>
      <c r="N770">
        <v>26</v>
      </c>
      <c r="O770" t="s">
        <v>54</v>
      </c>
      <c r="P770" t="s">
        <v>55</v>
      </c>
      <c r="Q770" t="s">
        <v>2424</v>
      </c>
      <c r="R770" t="str">
        <f t="shared" ref="R770:R833" si="168">TRIM(C770)</f>
        <v>Karen Al-Sayed</v>
      </c>
      <c r="S770" t="str">
        <f t="shared" ref="S770:S833" si="169">PROPER(D770)</f>
        <v>Sarah Martin</v>
      </c>
      <c r="T770" t="str">
        <f t="shared" ref="T770:T833" si="170">TRIM(F770)</f>
        <v>CHF</v>
      </c>
      <c r="U770" s="7" t="str">
        <f t="shared" ref="U770:U833" si="171">TRIM(G770)</f>
        <v>EUR</v>
      </c>
      <c r="V770" s="7" t="str">
        <f t="shared" ref="V770:V833" si="172">TRIM(O770)</f>
        <v>India</v>
      </c>
      <c r="W770" s="7" t="str">
        <f t="shared" ref="W770:W833" si="173">TRIM(P770)</f>
        <v>UK</v>
      </c>
      <c r="X770" s="7" t="str">
        <f t="shared" ref="X770:X833" si="174">PROPER(I770)</f>
        <v>Inter-Transaction</v>
      </c>
      <c r="Y770" s="7">
        <f t="shared" ref="Y770:Y833" si="175">IF(J770="",AVERAGE($J:$J),J770)</f>
        <v>9873.64</v>
      </c>
      <c r="Z770" s="7">
        <f t="shared" ref="Z770:Z833" si="176">IF(N770="",AVERAGE($N:$N),N770)</f>
        <v>26</v>
      </c>
      <c r="AA770" s="7">
        <f t="shared" ref="AA770:AA833" si="177">YEAR(M770)</f>
        <v>2020</v>
      </c>
      <c r="AB770" s="7">
        <f t="shared" ref="AB770:AB833" si="178">MONTH(M770)</f>
        <v>6</v>
      </c>
      <c r="AC770" s="7">
        <f t="shared" ref="AC770:AC833" si="179">COUNTIF(A:A,A770)</f>
        <v>1</v>
      </c>
      <c r="AD770" s="7" t="str">
        <f t="shared" ref="AD770:AD833" si="180">IF(C770="YES","Yes","No")</f>
        <v>No</v>
      </c>
      <c r="AE770" s="7" t="str">
        <f t="shared" ref="AE770:AE833" si="181">IF(L770="HIGH","High Risk","Normal")</f>
        <v>Normal</v>
      </c>
    </row>
    <row r="771" spans="1:31">
      <c r="A771" t="s">
        <v>2425</v>
      </c>
      <c r="B771">
        <v>71865387</v>
      </c>
      <c r="C771" t="s">
        <v>2224</v>
      </c>
      <c r="D771" t="s">
        <v>1505</v>
      </c>
      <c r="E771" t="s">
        <v>20</v>
      </c>
      <c r="F771" t="s">
        <v>98</v>
      </c>
      <c r="G771" t="s">
        <v>121</v>
      </c>
      <c r="H771" t="s">
        <v>74</v>
      </c>
      <c r="I771" t="s">
        <v>3377</v>
      </c>
      <c r="J771">
        <v>1189.5</v>
      </c>
      <c r="K771" t="s">
        <v>57</v>
      </c>
      <c r="L771" t="s">
        <v>81</v>
      </c>
      <c r="M771" s="1">
        <v>44059.670138888891</v>
      </c>
      <c r="N771">
        <v>51</v>
      </c>
      <c r="O771" t="s">
        <v>68</v>
      </c>
      <c r="P771" t="s">
        <v>24</v>
      </c>
      <c r="Q771" t="s">
        <v>2426</v>
      </c>
      <c r="R771" t="str">
        <f t="shared" si="168"/>
        <v>Linda Volkov</v>
      </c>
      <c r="S771" t="str">
        <f t="shared" si="169"/>
        <v>Susan Velez</v>
      </c>
      <c r="T771" t="str">
        <f t="shared" si="170"/>
        <v>JPY</v>
      </c>
      <c r="U771" s="7" t="str">
        <f t="shared" si="171"/>
        <v>INR</v>
      </c>
      <c r="V771" s="7" t="str">
        <f t="shared" si="172"/>
        <v>UAE</v>
      </c>
      <c r="W771" s="7" t="str">
        <f t="shared" si="173"/>
        <v>Brazil</v>
      </c>
      <c r="X771" s="7" t="str">
        <f t="shared" si="174"/>
        <v>Inter-Transaction</v>
      </c>
      <c r="Y771" s="7">
        <f t="shared" si="175"/>
        <v>1189.5</v>
      </c>
      <c r="Z771" s="7">
        <f t="shared" si="176"/>
        <v>51</v>
      </c>
      <c r="AA771" s="7">
        <f t="shared" si="177"/>
        <v>2020</v>
      </c>
      <c r="AB771" s="7">
        <f t="shared" si="178"/>
        <v>8</v>
      </c>
      <c r="AC771" s="7">
        <f t="shared" si="179"/>
        <v>1</v>
      </c>
      <c r="AD771" s="7" t="str">
        <f t="shared" si="180"/>
        <v>No</v>
      </c>
      <c r="AE771" s="7" t="str">
        <f t="shared" si="181"/>
        <v>Normal</v>
      </c>
    </row>
    <row r="772" spans="1:31">
      <c r="A772" t="s">
        <v>2427</v>
      </c>
      <c r="B772">
        <v>46045914</v>
      </c>
      <c r="C772" t="s">
        <v>1001</v>
      </c>
      <c r="D772" t="s">
        <v>227</v>
      </c>
      <c r="E772" t="s">
        <v>20</v>
      </c>
      <c r="F772" t="s">
        <v>22</v>
      </c>
      <c r="G772" t="s">
        <v>22</v>
      </c>
      <c r="H772" t="s">
        <v>74</v>
      </c>
      <c r="I772" t="s">
        <v>3378</v>
      </c>
      <c r="J772">
        <v>14506.14</v>
      </c>
      <c r="K772" t="s">
        <v>39</v>
      </c>
      <c r="L772" t="s">
        <v>75</v>
      </c>
      <c r="M772" s="1">
        <v>45833.299305555556</v>
      </c>
      <c r="N772">
        <v>52</v>
      </c>
      <c r="O772" t="s">
        <v>36</v>
      </c>
      <c r="P772" t="s">
        <v>24</v>
      </c>
      <c r="Q772" t="s">
        <v>2428</v>
      </c>
      <c r="R772" t="str">
        <f t="shared" si="168"/>
        <v>Sarah Hernandez</v>
      </c>
      <c r="S772" t="str">
        <f t="shared" si="169"/>
        <v>Lucas Anderson</v>
      </c>
      <c r="T772" t="str">
        <f t="shared" si="170"/>
        <v>BRL</v>
      </c>
      <c r="U772" s="7" t="str">
        <f t="shared" si="171"/>
        <v>BRL</v>
      </c>
      <c r="V772" s="7" t="str">
        <f t="shared" si="172"/>
        <v>Germany</v>
      </c>
      <c r="W772" s="7" t="str">
        <f t="shared" si="173"/>
        <v>Brazil</v>
      </c>
      <c r="X772" s="7" t="str">
        <f t="shared" si="174"/>
        <v>Inter-Transaction</v>
      </c>
      <c r="Y772" s="7">
        <f t="shared" si="175"/>
        <v>14506.14</v>
      </c>
      <c r="Z772" s="7">
        <f t="shared" si="176"/>
        <v>52</v>
      </c>
      <c r="AA772" s="7">
        <f t="shared" si="177"/>
        <v>2025</v>
      </c>
      <c r="AB772" s="7">
        <f t="shared" si="178"/>
        <v>6</v>
      </c>
      <c r="AC772" s="7">
        <f t="shared" si="179"/>
        <v>1</v>
      </c>
      <c r="AD772" s="7" t="str">
        <f t="shared" si="180"/>
        <v>No</v>
      </c>
      <c r="AE772" s="7" t="str">
        <f t="shared" si="181"/>
        <v>High Risk</v>
      </c>
    </row>
    <row r="773" spans="1:31">
      <c r="A773" t="s">
        <v>2429</v>
      </c>
      <c r="B773">
        <v>47628906</v>
      </c>
      <c r="C773" t="s">
        <v>212</v>
      </c>
      <c r="D773" t="s">
        <v>2371</v>
      </c>
      <c r="E773" t="s">
        <v>20</v>
      </c>
      <c r="F773" t="s">
        <v>556</v>
      </c>
      <c r="G773" t="s">
        <v>98</v>
      </c>
      <c r="H773" t="s">
        <v>103</v>
      </c>
      <c r="I773" t="s">
        <v>3376</v>
      </c>
      <c r="J773">
        <v>1322.2</v>
      </c>
      <c r="K773" t="s">
        <v>57</v>
      </c>
      <c r="L773" t="s">
        <v>48</v>
      </c>
      <c r="M773" s="1">
        <v>44197.842361111114</v>
      </c>
      <c r="N773">
        <v>18</v>
      </c>
      <c r="O773" t="s">
        <v>55</v>
      </c>
      <c r="P773" t="s">
        <v>55</v>
      </c>
      <c r="Q773" t="s">
        <v>2430</v>
      </c>
      <c r="R773" t="str">
        <f t="shared" si="168"/>
        <v>Michael Williams</v>
      </c>
      <c r="S773" t="str">
        <f t="shared" si="169"/>
        <v>Linda Hernandez</v>
      </c>
      <c r="T773" t="str">
        <f t="shared" si="170"/>
        <v>$</v>
      </c>
      <c r="U773" s="7" t="str">
        <f t="shared" si="171"/>
        <v>JPY</v>
      </c>
      <c r="V773" s="7" t="str">
        <f t="shared" si="172"/>
        <v>UK</v>
      </c>
      <c r="W773" s="7" t="str">
        <f t="shared" si="173"/>
        <v>UK</v>
      </c>
      <c r="X773" s="7" t="str">
        <f t="shared" si="174"/>
        <v>Internal</v>
      </c>
      <c r="Y773" s="7">
        <f t="shared" si="175"/>
        <v>1322.2</v>
      </c>
      <c r="Z773" s="7">
        <f t="shared" si="176"/>
        <v>18</v>
      </c>
      <c r="AA773" s="7">
        <f t="shared" si="177"/>
        <v>2021</v>
      </c>
      <c r="AB773" s="7">
        <f t="shared" si="178"/>
        <v>1</v>
      </c>
      <c r="AC773" s="7">
        <f t="shared" si="179"/>
        <v>1</v>
      </c>
      <c r="AD773" s="7" t="str">
        <f t="shared" si="180"/>
        <v>No</v>
      </c>
      <c r="AE773" s="7" t="str">
        <f t="shared" si="181"/>
        <v>Normal</v>
      </c>
    </row>
    <row r="774" spans="1:31">
      <c r="A774" t="s">
        <v>2431</v>
      </c>
      <c r="B774">
        <v>42149055</v>
      </c>
      <c r="C774" t="s">
        <v>1917</v>
      </c>
      <c r="D774" t="s">
        <v>2432</v>
      </c>
      <c r="E774" t="s">
        <v>20</v>
      </c>
      <c r="F774" t="s">
        <v>34</v>
      </c>
      <c r="G774" t="s">
        <v>22</v>
      </c>
      <c r="H774" t="s">
        <v>25</v>
      </c>
      <c r="I774" t="s">
        <v>3374</v>
      </c>
      <c r="J774">
        <v>14305.32</v>
      </c>
      <c r="K774" t="s">
        <v>27</v>
      </c>
      <c r="L774" t="s">
        <v>48</v>
      </c>
      <c r="M774" s="1">
        <v>44358.495833333334</v>
      </c>
      <c r="N774">
        <v>57</v>
      </c>
      <c r="O774" t="s">
        <v>37</v>
      </c>
      <c r="P774" t="s">
        <v>127</v>
      </c>
      <c r="Q774" t="s">
        <v>2433</v>
      </c>
      <c r="R774" t="str">
        <f t="shared" si="168"/>
        <v>John Anderson</v>
      </c>
      <c r="S774" t="str">
        <f t="shared" si="169"/>
        <v>Zayn Rodriguez</v>
      </c>
      <c r="T774" t="str">
        <f t="shared" si="170"/>
        <v>CAD</v>
      </c>
      <c r="U774" s="7" t="str">
        <f t="shared" si="171"/>
        <v>BRL</v>
      </c>
      <c r="V774" s="7" t="str">
        <f t="shared" si="172"/>
        <v>South Africa</v>
      </c>
      <c r="W774" s="7" t="str">
        <f t="shared" si="173"/>
        <v>Canada</v>
      </c>
      <c r="X774" s="7" t="str">
        <f t="shared" si="174"/>
        <v>External</v>
      </c>
      <c r="Y774" s="7">
        <f t="shared" si="175"/>
        <v>14305.32</v>
      </c>
      <c r="Z774" s="7">
        <f t="shared" si="176"/>
        <v>57</v>
      </c>
      <c r="AA774" s="7">
        <f t="shared" si="177"/>
        <v>2021</v>
      </c>
      <c r="AB774" s="7">
        <f t="shared" si="178"/>
        <v>6</v>
      </c>
      <c r="AC774" s="7">
        <f t="shared" si="179"/>
        <v>1</v>
      </c>
      <c r="AD774" s="7" t="str">
        <f t="shared" si="180"/>
        <v>No</v>
      </c>
      <c r="AE774" s="7" t="str">
        <f t="shared" si="181"/>
        <v>Normal</v>
      </c>
    </row>
    <row r="775" spans="1:31">
      <c r="A775" t="s">
        <v>2434</v>
      </c>
      <c r="B775">
        <v>86043905</v>
      </c>
      <c r="C775" t="s">
        <v>521</v>
      </c>
      <c r="D775" t="s">
        <v>2435</v>
      </c>
      <c r="E775" t="s">
        <v>20</v>
      </c>
      <c r="F775" t="s">
        <v>35</v>
      </c>
      <c r="G775" t="s">
        <v>45</v>
      </c>
      <c r="H775" t="s">
        <v>38</v>
      </c>
      <c r="I775" t="s">
        <v>3378</v>
      </c>
      <c r="J775">
        <v>13797.09</v>
      </c>
      <c r="K775" t="s">
        <v>47</v>
      </c>
      <c r="L775" t="s">
        <v>28</v>
      </c>
      <c r="M775" s="1">
        <v>44621.411805555559</v>
      </c>
      <c r="N775">
        <v>81</v>
      </c>
      <c r="O775" t="s">
        <v>36</v>
      </c>
      <c r="P775" t="s">
        <v>127</v>
      </c>
      <c r="Q775" t="s">
        <v>2436</v>
      </c>
      <c r="R775" t="str">
        <f t="shared" si="168"/>
        <v>Jessica Davis</v>
      </c>
      <c r="S775" t="str">
        <f t="shared" si="169"/>
        <v>Marta Dubois</v>
      </c>
      <c r="T775" t="str">
        <f t="shared" si="170"/>
        <v>EUR</v>
      </c>
      <c r="U775" s="7" t="str">
        <f t="shared" si="171"/>
        <v>ZAR</v>
      </c>
      <c r="V775" s="7" t="str">
        <f t="shared" si="172"/>
        <v>Germany</v>
      </c>
      <c r="W775" s="7" t="str">
        <f t="shared" si="173"/>
        <v>Canada</v>
      </c>
      <c r="X775" s="7" t="str">
        <f t="shared" si="174"/>
        <v>Inter-Transaction</v>
      </c>
      <c r="Y775" s="7">
        <f t="shared" si="175"/>
        <v>13797.09</v>
      </c>
      <c r="Z775" s="7">
        <f t="shared" si="176"/>
        <v>81</v>
      </c>
      <c r="AA775" s="7">
        <f t="shared" si="177"/>
        <v>2022</v>
      </c>
      <c r="AB775" s="7">
        <f t="shared" si="178"/>
        <v>3</v>
      </c>
      <c r="AC775" s="7">
        <f t="shared" si="179"/>
        <v>1</v>
      </c>
      <c r="AD775" s="7" t="str">
        <f t="shared" si="180"/>
        <v>No</v>
      </c>
      <c r="AE775" s="7" t="str">
        <f t="shared" si="181"/>
        <v>Normal</v>
      </c>
    </row>
    <row r="776" spans="1:31">
      <c r="A776" t="s">
        <v>2437</v>
      </c>
      <c r="B776">
        <v>98307414</v>
      </c>
      <c r="C776" t="s">
        <v>1096</v>
      </c>
      <c r="D776" t="s">
        <v>2438</v>
      </c>
      <c r="E776" t="s">
        <v>20</v>
      </c>
      <c r="F776" t="s">
        <v>98</v>
      </c>
      <c r="G776" t="s">
        <v>44</v>
      </c>
      <c r="H776" t="s">
        <v>56</v>
      </c>
      <c r="I776" t="s">
        <v>3371</v>
      </c>
      <c r="J776">
        <v>9645.81</v>
      </c>
      <c r="K776" t="s">
        <v>47</v>
      </c>
      <c r="L776" t="s">
        <v>28</v>
      </c>
      <c r="M776" s="1">
        <v>44354.801388888889</v>
      </c>
      <c r="N776">
        <v>39</v>
      </c>
      <c r="O776" t="s">
        <v>55</v>
      </c>
      <c r="P776" t="s">
        <v>93</v>
      </c>
      <c r="Q776" t="s">
        <v>2439</v>
      </c>
      <c r="R776" t="str">
        <f t="shared" si="168"/>
        <v>David Al-Sayed</v>
      </c>
      <c r="S776" t="str">
        <f t="shared" si="169"/>
        <v xml:space="preserve"> Carlos Garcia   </v>
      </c>
      <c r="T776" t="str">
        <f t="shared" si="170"/>
        <v>JPY</v>
      </c>
      <c r="U776" s="7" t="str">
        <f t="shared" si="171"/>
        <v>SGD</v>
      </c>
      <c r="V776" s="7" t="str">
        <f t="shared" si="172"/>
        <v>UK</v>
      </c>
      <c r="W776" s="7" t="str">
        <f t="shared" si="173"/>
        <v>USA</v>
      </c>
      <c r="X776" s="7" t="str">
        <f t="shared" si="174"/>
        <v>Outer-Transaction</v>
      </c>
      <c r="Y776" s="7">
        <f t="shared" si="175"/>
        <v>9645.81</v>
      </c>
      <c r="Z776" s="7">
        <f t="shared" si="176"/>
        <v>39</v>
      </c>
      <c r="AA776" s="7">
        <f t="shared" si="177"/>
        <v>2021</v>
      </c>
      <c r="AB776" s="7">
        <f t="shared" si="178"/>
        <v>6</v>
      </c>
      <c r="AC776" s="7">
        <f t="shared" si="179"/>
        <v>1</v>
      </c>
      <c r="AD776" s="7" t="str">
        <f t="shared" si="180"/>
        <v>No</v>
      </c>
      <c r="AE776" s="7" t="str">
        <f t="shared" si="181"/>
        <v>Normal</v>
      </c>
    </row>
    <row r="777" spans="1:31">
      <c r="A777" t="s">
        <v>2440</v>
      </c>
      <c r="B777">
        <v>53474974</v>
      </c>
      <c r="C777" t="s">
        <v>976</v>
      </c>
      <c r="D777" t="s">
        <v>742</v>
      </c>
      <c r="E777" t="s">
        <v>20</v>
      </c>
      <c r="F777" t="s">
        <v>53</v>
      </c>
      <c r="G777" t="s">
        <v>80</v>
      </c>
      <c r="H777" t="s">
        <v>56</v>
      </c>
      <c r="I777" t="s">
        <v>3376</v>
      </c>
      <c r="J777">
        <v>952.6</v>
      </c>
      <c r="K777" t="s">
        <v>57</v>
      </c>
      <c r="L777" t="s">
        <v>75</v>
      </c>
      <c r="M777" s="1">
        <v>44926.289583333331</v>
      </c>
      <c r="N777">
        <v>77</v>
      </c>
      <c r="O777" t="s">
        <v>24</v>
      </c>
      <c r="P777" t="s">
        <v>54</v>
      </c>
      <c r="Q777" t="s">
        <v>2441</v>
      </c>
      <c r="R777" t="str">
        <f t="shared" si="168"/>
        <v>Jessica Miller</v>
      </c>
      <c r="S777" t="str">
        <f t="shared" si="169"/>
        <v>William Anderson</v>
      </c>
      <c r="T777" t="str">
        <f t="shared" si="170"/>
        <v>AED</v>
      </c>
      <c r="U777" s="7" t="str">
        <f t="shared" si="171"/>
        <v>USD</v>
      </c>
      <c r="V777" s="7" t="str">
        <f t="shared" si="172"/>
        <v>Brazil</v>
      </c>
      <c r="W777" s="7" t="str">
        <f t="shared" si="173"/>
        <v>India</v>
      </c>
      <c r="X777" s="7" t="str">
        <f t="shared" si="174"/>
        <v>Internal</v>
      </c>
      <c r="Y777" s="7">
        <f t="shared" si="175"/>
        <v>952.6</v>
      </c>
      <c r="Z777" s="7">
        <f t="shared" si="176"/>
        <v>77</v>
      </c>
      <c r="AA777" s="7">
        <f t="shared" si="177"/>
        <v>2022</v>
      </c>
      <c r="AB777" s="7">
        <f t="shared" si="178"/>
        <v>12</v>
      </c>
      <c r="AC777" s="7">
        <f t="shared" si="179"/>
        <v>1</v>
      </c>
      <c r="AD777" s="7" t="str">
        <f t="shared" si="180"/>
        <v>No</v>
      </c>
      <c r="AE777" s="7" t="str">
        <f t="shared" si="181"/>
        <v>High Risk</v>
      </c>
    </row>
    <row r="778" spans="1:31">
      <c r="A778" t="s">
        <v>2442</v>
      </c>
      <c r="B778">
        <v>72158202</v>
      </c>
      <c r="C778" t="s">
        <v>886</v>
      </c>
      <c r="D778" t="s">
        <v>787</v>
      </c>
      <c r="E778" t="s">
        <v>20</v>
      </c>
      <c r="F778" t="s">
        <v>116</v>
      </c>
      <c r="G778" t="s">
        <v>53</v>
      </c>
      <c r="H778" t="s">
        <v>56</v>
      </c>
      <c r="I778" t="s">
        <v>3376</v>
      </c>
      <c r="J778">
        <v>12093.78</v>
      </c>
      <c r="K778" t="s">
        <v>86</v>
      </c>
      <c r="L778" t="s">
        <v>81</v>
      </c>
      <c r="M778" s="1">
        <v>45499.339583333334</v>
      </c>
      <c r="N778">
        <v>81</v>
      </c>
      <c r="O778" t="s">
        <v>68</v>
      </c>
      <c r="P778" t="s">
        <v>37</v>
      </c>
      <c r="Q778" t="s">
        <v>2443</v>
      </c>
      <c r="R778" t="str">
        <f t="shared" si="168"/>
        <v>Marta Malik</v>
      </c>
      <c r="S778" t="str">
        <f t="shared" si="169"/>
        <v>William Brown</v>
      </c>
      <c r="T778" t="str">
        <f t="shared" si="170"/>
        <v>CHF</v>
      </c>
      <c r="U778" s="7" t="str">
        <f t="shared" si="171"/>
        <v>AED</v>
      </c>
      <c r="V778" s="7" t="str">
        <f t="shared" si="172"/>
        <v>UAE</v>
      </c>
      <c r="W778" s="7" t="str">
        <f t="shared" si="173"/>
        <v>South Africa</v>
      </c>
      <c r="X778" s="7" t="str">
        <f t="shared" si="174"/>
        <v>Internal</v>
      </c>
      <c r="Y778" s="7">
        <f t="shared" si="175"/>
        <v>12093.78</v>
      </c>
      <c r="Z778" s="7">
        <f t="shared" si="176"/>
        <v>81</v>
      </c>
      <c r="AA778" s="7">
        <f t="shared" si="177"/>
        <v>2024</v>
      </c>
      <c r="AB778" s="7">
        <f t="shared" si="178"/>
        <v>7</v>
      </c>
      <c r="AC778" s="7">
        <f t="shared" si="179"/>
        <v>1</v>
      </c>
      <c r="AD778" s="7" t="str">
        <f t="shared" si="180"/>
        <v>No</v>
      </c>
      <c r="AE778" s="7" t="str">
        <f t="shared" si="181"/>
        <v>Normal</v>
      </c>
    </row>
    <row r="779" spans="1:31">
      <c r="A779" t="s">
        <v>2444</v>
      </c>
      <c r="B779">
        <v>13595556</v>
      </c>
      <c r="C779" t="s">
        <v>1126</v>
      </c>
      <c r="D779" t="s">
        <v>1265</v>
      </c>
      <c r="E779" t="s">
        <v>33</v>
      </c>
      <c r="F779" t="s">
        <v>44</v>
      </c>
      <c r="G779" t="s">
        <v>121</v>
      </c>
      <c r="I779" t="s">
        <v>3374</v>
      </c>
      <c r="J779">
        <v>3206</v>
      </c>
      <c r="K779" t="s">
        <v>47</v>
      </c>
      <c r="L779" t="s">
        <v>48</v>
      </c>
      <c r="M779" s="1">
        <v>45984.407638888886</v>
      </c>
      <c r="N779">
        <v>28</v>
      </c>
      <c r="O779" t="s">
        <v>24</v>
      </c>
      <c r="P779" t="s">
        <v>127</v>
      </c>
      <c r="Q779" t="s">
        <v>2445</v>
      </c>
      <c r="R779" t="str">
        <f t="shared" si="168"/>
        <v>Nancy Nair</v>
      </c>
      <c r="S779" t="str">
        <f t="shared" si="169"/>
        <v>Linda Jackson</v>
      </c>
      <c r="T779" t="str">
        <f t="shared" si="170"/>
        <v>SGD</v>
      </c>
      <c r="U779" s="7" t="str">
        <f t="shared" si="171"/>
        <v>INR</v>
      </c>
      <c r="V779" s="7" t="str">
        <f t="shared" si="172"/>
        <v>Brazil</v>
      </c>
      <c r="W779" s="7" t="str">
        <f t="shared" si="173"/>
        <v>Canada</v>
      </c>
      <c r="X779" s="7" t="str">
        <f t="shared" si="174"/>
        <v>External</v>
      </c>
      <c r="Y779" s="7">
        <f t="shared" si="175"/>
        <v>3206</v>
      </c>
      <c r="Z779" s="7">
        <f t="shared" si="176"/>
        <v>28</v>
      </c>
      <c r="AA779" s="7">
        <f t="shared" si="177"/>
        <v>2025</v>
      </c>
      <c r="AB779" s="7">
        <f t="shared" si="178"/>
        <v>11</v>
      </c>
      <c r="AC779" s="7">
        <f t="shared" si="179"/>
        <v>1</v>
      </c>
      <c r="AD779" s="7" t="str">
        <f t="shared" si="180"/>
        <v>No</v>
      </c>
      <c r="AE779" s="7" t="str">
        <f t="shared" si="181"/>
        <v>Normal</v>
      </c>
    </row>
    <row r="780" spans="1:31">
      <c r="A780" t="s">
        <v>2446</v>
      </c>
      <c r="B780">
        <v>33395000</v>
      </c>
      <c r="C780" t="s">
        <v>2421</v>
      </c>
      <c r="D780" t="s">
        <v>829</v>
      </c>
      <c r="E780" t="s">
        <v>20</v>
      </c>
      <c r="F780" t="s">
        <v>22</v>
      </c>
      <c r="G780" t="s">
        <v>121</v>
      </c>
      <c r="H780" t="s">
        <v>25</v>
      </c>
      <c r="I780" t="s">
        <v>3372</v>
      </c>
      <c r="J780">
        <v>5962.47</v>
      </c>
      <c r="K780" t="s">
        <v>86</v>
      </c>
      <c r="L780" t="s">
        <v>81</v>
      </c>
      <c r="M780" s="1">
        <v>45739.268750000003</v>
      </c>
      <c r="N780">
        <v>31</v>
      </c>
      <c r="O780" t="s">
        <v>24</v>
      </c>
      <c r="P780" t="s">
        <v>36</v>
      </c>
      <c r="Q780" t="s">
        <v>2447</v>
      </c>
      <c r="R780" t="str">
        <f t="shared" si="168"/>
        <v>John Martinez</v>
      </c>
      <c r="S780" t="str">
        <f t="shared" si="169"/>
        <v>Susan Malik</v>
      </c>
      <c r="T780" t="str">
        <f t="shared" si="170"/>
        <v>BRL</v>
      </c>
      <c r="U780" s="7" t="str">
        <f t="shared" si="171"/>
        <v>INR</v>
      </c>
      <c r="V780" s="7" t="str">
        <f t="shared" si="172"/>
        <v>Brazil</v>
      </c>
      <c r="W780" s="7" t="str">
        <f t="shared" si="173"/>
        <v>Germany</v>
      </c>
      <c r="X780" s="7" t="str">
        <f t="shared" si="174"/>
        <v>Outer-Transaction</v>
      </c>
      <c r="Y780" s="7">
        <f t="shared" si="175"/>
        <v>5962.47</v>
      </c>
      <c r="Z780" s="7">
        <f t="shared" si="176"/>
        <v>31</v>
      </c>
      <c r="AA780" s="7">
        <f t="shared" si="177"/>
        <v>2025</v>
      </c>
      <c r="AB780" s="7">
        <f t="shared" si="178"/>
        <v>3</v>
      </c>
      <c r="AC780" s="7">
        <f t="shared" si="179"/>
        <v>1</v>
      </c>
      <c r="AD780" s="7" t="str">
        <f t="shared" si="180"/>
        <v>No</v>
      </c>
      <c r="AE780" s="7" t="str">
        <f t="shared" si="181"/>
        <v>Normal</v>
      </c>
    </row>
    <row r="781" spans="1:31">
      <c r="A781" t="s">
        <v>2448</v>
      </c>
      <c r="B781">
        <v>36830566</v>
      </c>
      <c r="C781" t="s">
        <v>1519</v>
      </c>
      <c r="D781" t="s">
        <v>18</v>
      </c>
      <c r="E781" t="s">
        <v>20</v>
      </c>
      <c r="F781" t="s">
        <v>21</v>
      </c>
      <c r="G781" t="s">
        <v>92</v>
      </c>
      <c r="H781" t="s">
        <v>38</v>
      </c>
      <c r="I781" t="s">
        <v>3374</v>
      </c>
      <c r="J781">
        <v>8407.7099999999991</v>
      </c>
      <c r="K781" t="s">
        <v>47</v>
      </c>
      <c r="L781" t="s">
        <v>28</v>
      </c>
      <c r="M781" s="1">
        <v>45136.20416666667</v>
      </c>
      <c r="N781">
        <v>77</v>
      </c>
      <c r="O781" t="s">
        <v>55</v>
      </c>
      <c r="P781" t="s">
        <v>93</v>
      </c>
      <c r="Q781" t="s">
        <v>2449</v>
      </c>
      <c r="R781" t="str">
        <f t="shared" si="168"/>
        <v>Joseph Johnson</v>
      </c>
      <c r="S781" t="str">
        <f t="shared" si="169"/>
        <v>Patricia Smith</v>
      </c>
      <c r="T781" t="str">
        <f t="shared" si="170"/>
        <v>GBP</v>
      </c>
      <c r="U781" s="7" t="str">
        <f t="shared" si="171"/>
        <v>AUD</v>
      </c>
      <c r="V781" s="7" t="str">
        <f t="shared" si="172"/>
        <v>UK</v>
      </c>
      <c r="W781" s="7" t="str">
        <f t="shared" si="173"/>
        <v>USA</v>
      </c>
      <c r="X781" s="7" t="str">
        <f t="shared" si="174"/>
        <v>External</v>
      </c>
      <c r="Y781" s="7">
        <f t="shared" si="175"/>
        <v>8407.7099999999991</v>
      </c>
      <c r="Z781" s="7">
        <f t="shared" si="176"/>
        <v>77</v>
      </c>
      <c r="AA781" s="7">
        <f t="shared" si="177"/>
        <v>2023</v>
      </c>
      <c r="AB781" s="7">
        <f t="shared" si="178"/>
        <v>7</v>
      </c>
      <c r="AC781" s="7">
        <f t="shared" si="179"/>
        <v>1</v>
      </c>
      <c r="AD781" s="7" t="str">
        <f t="shared" si="180"/>
        <v>No</v>
      </c>
      <c r="AE781" s="7" t="str">
        <f t="shared" si="181"/>
        <v>Normal</v>
      </c>
    </row>
    <row r="782" spans="1:31">
      <c r="A782" t="s">
        <v>2450</v>
      </c>
      <c r="B782">
        <v>74220011</v>
      </c>
      <c r="C782" t="s">
        <v>2451</v>
      </c>
      <c r="D782" t="s">
        <v>2418</v>
      </c>
      <c r="E782" t="s">
        <v>20</v>
      </c>
      <c r="F782" t="s">
        <v>21</v>
      </c>
      <c r="G782" t="s">
        <v>121</v>
      </c>
      <c r="H782" t="s">
        <v>74</v>
      </c>
      <c r="I782" t="s">
        <v>3374</v>
      </c>
      <c r="J782">
        <v>7630.29</v>
      </c>
      <c r="K782" t="s">
        <v>86</v>
      </c>
      <c r="L782" t="s">
        <v>75</v>
      </c>
      <c r="M782" s="1">
        <v>43963.117361111108</v>
      </c>
      <c r="N782">
        <v>47</v>
      </c>
      <c r="O782" t="s">
        <v>54</v>
      </c>
      <c r="P782" t="s">
        <v>23</v>
      </c>
      <c r="Q782" t="s">
        <v>2452</v>
      </c>
      <c r="R782" t="str">
        <f t="shared" si="168"/>
        <v>William Hernandez</v>
      </c>
      <c r="S782" t="str">
        <f t="shared" si="169"/>
        <v>Thomas Dubois</v>
      </c>
      <c r="T782" t="str">
        <f t="shared" si="170"/>
        <v>GBP</v>
      </c>
      <c r="U782" s="7" t="str">
        <f t="shared" si="171"/>
        <v>INR</v>
      </c>
      <c r="V782" s="7" t="str">
        <f t="shared" si="172"/>
        <v>India</v>
      </c>
      <c r="W782" s="7" t="str">
        <f t="shared" si="173"/>
        <v>France</v>
      </c>
      <c r="X782" s="7" t="str">
        <f t="shared" si="174"/>
        <v>External</v>
      </c>
      <c r="Y782" s="7">
        <f t="shared" si="175"/>
        <v>7630.29</v>
      </c>
      <c r="Z782" s="7">
        <f t="shared" si="176"/>
        <v>47</v>
      </c>
      <c r="AA782" s="7">
        <f t="shared" si="177"/>
        <v>2020</v>
      </c>
      <c r="AB782" s="7">
        <f t="shared" si="178"/>
        <v>5</v>
      </c>
      <c r="AC782" s="7">
        <f t="shared" si="179"/>
        <v>1</v>
      </c>
      <c r="AD782" s="7" t="str">
        <f t="shared" si="180"/>
        <v>No</v>
      </c>
      <c r="AE782" s="7" t="str">
        <f t="shared" si="181"/>
        <v>High Risk</v>
      </c>
    </row>
    <row r="783" spans="1:31">
      <c r="A783" t="s">
        <v>2453</v>
      </c>
      <c r="B783">
        <v>94736386</v>
      </c>
      <c r="C783" t="s">
        <v>640</v>
      </c>
      <c r="D783" t="s">
        <v>2152</v>
      </c>
      <c r="E783">
        <v>1</v>
      </c>
      <c r="F783" t="s">
        <v>92</v>
      </c>
      <c r="G783" t="s">
        <v>80</v>
      </c>
      <c r="I783" t="s">
        <v>3377</v>
      </c>
      <c r="J783">
        <v>13504.27</v>
      </c>
      <c r="K783" t="s">
        <v>47</v>
      </c>
      <c r="L783" t="s">
        <v>81</v>
      </c>
      <c r="M783" s="1">
        <v>46147.426388888889</v>
      </c>
      <c r="N783">
        <v>52</v>
      </c>
      <c r="O783" t="s">
        <v>55</v>
      </c>
      <c r="P783" t="s">
        <v>62</v>
      </c>
      <c r="Q783" t="s">
        <v>2454</v>
      </c>
      <c r="R783" t="str">
        <f t="shared" si="168"/>
        <v>Zayn Garcia</v>
      </c>
      <c r="S783" t="str">
        <f t="shared" si="169"/>
        <v>Linda Al-Sayed</v>
      </c>
      <c r="T783" t="str">
        <f t="shared" si="170"/>
        <v>AUD</v>
      </c>
      <c r="U783" s="7" t="str">
        <f t="shared" si="171"/>
        <v>USD</v>
      </c>
      <c r="V783" s="7" t="str">
        <f t="shared" si="172"/>
        <v>UK</v>
      </c>
      <c r="W783" s="7" t="str">
        <f t="shared" si="173"/>
        <v>Australia</v>
      </c>
      <c r="X783" s="7" t="str">
        <f t="shared" si="174"/>
        <v>Inter-Transaction</v>
      </c>
      <c r="Y783" s="7">
        <f t="shared" si="175"/>
        <v>13504.27</v>
      </c>
      <c r="Z783" s="7">
        <f t="shared" si="176"/>
        <v>52</v>
      </c>
      <c r="AA783" s="7">
        <f t="shared" si="177"/>
        <v>2026</v>
      </c>
      <c r="AB783" s="7">
        <f t="shared" si="178"/>
        <v>5</v>
      </c>
      <c r="AC783" s="7">
        <f t="shared" si="179"/>
        <v>1</v>
      </c>
      <c r="AD783" s="7" t="str">
        <f t="shared" si="180"/>
        <v>No</v>
      </c>
      <c r="AE783" s="7" t="str">
        <f t="shared" si="181"/>
        <v>Normal</v>
      </c>
    </row>
    <row r="784" spans="1:31">
      <c r="A784" t="s">
        <v>2455</v>
      </c>
      <c r="B784">
        <v>41717630</v>
      </c>
      <c r="C784" t="s">
        <v>2456</v>
      </c>
      <c r="D784" t="s">
        <v>994</v>
      </c>
      <c r="E784" t="s">
        <v>20</v>
      </c>
      <c r="F784" t="s">
        <v>98</v>
      </c>
      <c r="G784" t="s">
        <v>53</v>
      </c>
      <c r="H784" t="s">
        <v>74</v>
      </c>
      <c r="I784" t="s">
        <v>3372</v>
      </c>
      <c r="J784">
        <v>2625.98</v>
      </c>
      <c r="K784" t="s">
        <v>86</v>
      </c>
      <c r="L784" t="s">
        <v>75</v>
      </c>
      <c r="M784" s="1">
        <v>45473.868750000001</v>
      </c>
      <c r="N784">
        <v>54</v>
      </c>
      <c r="O784" t="s">
        <v>62</v>
      </c>
      <c r="P784" t="s">
        <v>23</v>
      </c>
      <c r="Q784" t="s">
        <v>2457</v>
      </c>
      <c r="R784" t="str">
        <f t="shared" si="168"/>
        <v>JOHN THOMAS</v>
      </c>
      <c r="S784" t="str">
        <f t="shared" si="169"/>
        <v>Marta Hernandez</v>
      </c>
      <c r="T784" t="str">
        <f t="shared" si="170"/>
        <v>JPY</v>
      </c>
      <c r="U784" s="7" t="str">
        <f t="shared" si="171"/>
        <v>AED</v>
      </c>
      <c r="V784" s="7" t="str">
        <f t="shared" si="172"/>
        <v>Australia</v>
      </c>
      <c r="W784" s="7" t="str">
        <f t="shared" si="173"/>
        <v>France</v>
      </c>
      <c r="X784" s="7" t="str">
        <f t="shared" si="174"/>
        <v>Outer-Transaction</v>
      </c>
      <c r="Y784" s="7">
        <f t="shared" si="175"/>
        <v>2625.98</v>
      </c>
      <c r="Z784" s="7">
        <f t="shared" si="176"/>
        <v>54</v>
      </c>
      <c r="AA784" s="7">
        <f t="shared" si="177"/>
        <v>2024</v>
      </c>
      <c r="AB784" s="7">
        <f t="shared" si="178"/>
        <v>6</v>
      </c>
      <c r="AC784" s="7">
        <f t="shared" si="179"/>
        <v>2</v>
      </c>
      <c r="AD784" s="7" t="str">
        <f t="shared" si="180"/>
        <v>No</v>
      </c>
      <c r="AE784" s="7" t="str">
        <f t="shared" si="181"/>
        <v>High Risk</v>
      </c>
    </row>
    <row r="785" spans="1:31">
      <c r="A785" t="s">
        <v>2458</v>
      </c>
      <c r="B785">
        <v>16044217</v>
      </c>
      <c r="C785" t="s">
        <v>793</v>
      </c>
      <c r="D785" t="s">
        <v>1590</v>
      </c>
      <c r="E785" t="s">
        <v>20</v>
      </c>
      <c r="F785" t="s">
        <v>21</v>
      </c>
      <c r="G785" t="s">
        <v>45</v>
      </c>
      <c r="H785" t="s">
        <v>38</v>
      </c>
      <c r="I785" t="s">
        <v>3374</v>
      </c>
      <c r="J785">
        <v>5139.8900000000003</v>
      </c>
      <c r="K785" t="s">
        <v>39</v>
      </c>
      <c r="L785" t="s">
        <v>75</v>
      </c>
      <c r="M785" s="1">
        <v>45719.204861111109</v>
      </c>
      <c r="N785">
        <v>22</v>
      </c>
      <c r="O785" t="s">
        <v>127</v>
      </c>
      <c r="P785" t="s">
        <v>93</v>
      </c>
      <c r="Q785" t="s">
        <v>2459</v>
      </c>
      <c r="R785" t="str">
        <f t="shared" si="168"/>
        <v>Susan Hernandez</v>
      </c>
      <c r="S785" t="str">
        <f t="shared" si="169"/>
        <v>David Jackson</v>
      </c>
      <c r="T785" t="str">
        <f t="shared" si="170"/>
        <v>GBP</v>
      </c>
      <c r="U785" s="7" t="str">
        <f t="shared" si="171"/>
        <v>ZAR</v>
      </c>
      <c r="V785" s="7" t="str">
        <f t="shared" si="172"/>
        <v>Canada</v>
      </c>
      <c r="W785" s="7" t="str">
        <f t="shared" si="173"/>
        <v>USA</v>
      </c>
      <c r="X785" s="7" t="str">
        <f t="shared" si="174"/>
        <v>External</v>
      </c>
      <c r="Y785" s="7">
        <f t="shared" si="175"/>
        <v>5139.8900000000003</v>
      </c>
      <c r="Z785" s="7">
        <f t="shared" si="176"/>
        <v>22</v>
      </c>
      <c r="AA785" s="7">
        <f t="shared" si="177"/>
        <v>2025</v>
      </c>
      <c r="AB785" s="7">
        <f t="shared" si="178"/>
        <v>3</v>
      </c>
      <c r="AC785" s="7">
        <f t="shared" si="179"/>
        <v>1</v>
      </c>
      <c r="AD785" s="7" t="str">
        <f t="shared" si="180"/>
        <v>No</v>
      </c>
      <c r="AE785" s="7" t="str">
        <f t="shared" si="181"/>
        <v>High Risk</v>
      </c>
    </row>
    <row r="786" spans="1:31">
      <c r="A786" t="s">
        <v>2460</v>
      </c>
      <c r="B786">
        <v>76659389</v>
      </c>
      <c r="C786" t="s">
        <v>2461</v>
      </c>
      <c r="D786" t="s">
        <v>286</v>
      </c>
      <c r="E786" t="s">
        <v>20</v>
      </c>
      <c r="F786" t="s">
        <v>112</v>
      </c>
      <c r="G786" t="s">
        <v>21</v>
      </c>
      <c r="I786" t="s">
        <v>3372</v>
      </c>
      <c r="J786">
        <v>1450.45</v>
      </c>
      <c r="K786" t="s">
        <v>86</v>
      </c>
      <c r="L786" t="s">
        <v>48</v>
      </c>
      <c r="M786" s="1">
        <v>45601.460416666669</v>
      </c>
      <c r="N786">
        <v>43</v>
      </c>
      <c r="O786" t="s">
        <v>127</v>
      </c>
      <c r="P786" t="s">
        <v>68</v>
      </c>
      <c r="Q786" t="s">
        <v>2462</v>
      </c>
      <c r="R786" t="str">
        <f t="shared" si="168"/>
        <v>Susan Silva</v>
      </c>
      <c r="S786" t="str">
        <f t="shared" si="169"/>
        <v>Linda Johnson</v>
      </c>
      <c r="T786" t="str">
        <f t="shared" si="170"/>
        <v>usd</v>
      </c>
      <c r="U786" s="7" t="str">
        <f t="shared" si="171"/>
        <v>GBP</v>
      </c>
      <c r="V786" s="7" t="str">
        <f t="shared" si="172"/>
        <v>Canada</v>
      </c>
      <c r="W786" s="7" t="str">
        <f t="shared" si="173"/>
        <v>UAE</v>
      </c>
      <c r="X786" s="7" t="str">
        <f t="shared" si="174"/>
        <v>Outer-Transaction</v>
      </c>
      <c r="Y786" s="7">
        <f t="shared" si="175"/>
        <v>1450.45</v>
      </c>
      <c r="Z786" s="7">
        <f t="shared" si="176"/>
        <v>43</v>
      </c>
      <c r="AA786" s="7">
        <f t="shared" si="177"/>
        <v>2024</v>
      </c>
      <c r="AB786" s="7">
        <f t="shared" si="178"/>
        <v>11</v>
      </c>
      <c r="AC786" s="7">
        <f t="shared" si="179"/>
        <v>1</v>
      </c>
      <c r="AD786" s="7" t="str">
        <f t="shared" si="180"/>
        <v>No</v>
      </c>
      <c r="AE786" s="7" t="str">
        <f t="shared" si="181"/>
        <v>Normal</v>
      </c>
    </row>
    <row r="787" spans="1:31">
      <c r="A787" t="s">
        <v>2463</v>
      </c>
      <c r="B787">
        <v>96874609</v>
      </c>
      <c r="C787" t="s">
        <v>2004</v>
      </c>
      <c r="D787" t="s">
        <v>228</v>
      </c>
      <c r="E787">
        <v>1</v>
      </c>
      <c r="F787" t="s">
        <v>686</v>
      </c>
      <c r="G787" t="s">
        <v>121</v>
      </c>
      <c r="H787" t="s">
        <v>74</v>
      </c>
      <c r="I787" t="s">
        <v>3371</v>
      </c>
      <c r="J787">
        <v>6573.36</v>
      </c>
      <c r="K787" t="s">
        <v>39</v>
      </c>
      <c r="L787" t="s">
        <v>28</v>
      </c>
      <c r="M787" s="1">
        <v>43848.588888888888</v>
      </c>
      <c r="N787">
        <v>79</v>
      </c>
      <c r="O787" t="s">
        <v>36</v>
      </c>
      <c r="P787" t="s">
        <v>37</v>
      </c>
      <c r="Q787" t="s">
        <v>2464</v>
      </c>
      <c r="R787" t="str">
        <f t="shared" si="168"/>
        <v>Thomas Gonzalez</v>
      </c>
      <c r="S787" t="str">
        <f t="shared" si="169"/>
        <v>Mary Jackson</v>
      </c>
      <c r="T787" t="str">
        <f t="shared" si="170"/>
        <v>sgd</v>
      </c>
      <c r="U787" s="7" t="str">
        <f t="shared" si="171"/>
        <v>INR</v>
      </c>
      <c r="V787" s="7" t="str">
        <f t="shared" si="172"/>
        <v>Germany</v>
      </c>
      <c r="W787" s="7" t="str">
        <f t="shared" si="173"/>
        <v>South Africa</v>
      </c>
      <c r="X787" s="7" t="str">
        <f t="shared" si="174"/>
        <v>Outer-Transaction</v>
      </c>
      <c r="Y787" s="7">
        <f t="shared" si="175"/>
        <v>6573.36</v>
      </c>
      <c r="Z787" s="7">
        <f t="shared" si="176"/>
        <v>79</v>
      </c>
      <c r="AA787" s="7">
        <f t="shared" si="177"/>
        <v>2020</v>
      </c>
      <c r="AB787" s="7">
        <f t="shared" si="178"/>
        <v>1</v>
      </c>
      <c r="AC787" s="7">
        <f t="shared" si="179"/>
        <v>1</v>
      </c>
      <c r="AD787" s="7" t="str">
        <f t="shared" si="180"/>
        <v>No</v>
      </c>
      <c r="AE787" s="7" t="str">
        <f t="shared" si="181"/>
        <v>Normal</v>
      </c>
    </row>
    <row r="788" spans="1:31">
      <c r="A788" t="s">
        <v>2465</v>
      </c>
      <c r="B788">
        <v>95550709</v>
      </c>
      <c r="C788" t="s">
        <v>1272</v>
      </c>
      <c r="D788" t="s">
        <v>412</v>
      </c>
      <c r="E788" t="s">
        <v>20</v>
      </c>
      <c r="F788" t="s">
        <v>22</v>
      </c>
      <c r="G788" t="s">
        <v>22</v>
      </c>
      <c r="H788" t="s">
        <v>74</v>
      </c>
      <c r="I788" t="s">
        <v>3377</v>
      </c>
      <c r="J788">
        <v>14307.66</v>
      </c>
      <c r="K788" t="s">
        <v>27</v>
      </c>
      <c r="L788" t="s">
        <v>75</v>
      </c>
      <c r="M788" s="1">
        <v>45608.27847222222</v>
      </c>
      <c r="N788">
        <v>21</v>
      </c>
      <c r="O788" t="s">
        <v>127</v>
      </c>
      <c r="P788" t="s">
        <v>62</v>
      </c>
      <c r="Q788" t="s">
        <v>2466</v>
      </c>
      <c r="R788" t="str">
        <f t="shared" si="168"/>
        <v>Priya Miller</v>
      </c>
      <c r="S788" t="str">
        <f t="shared" si="169"/>
        <v>Sanjay Velez</v>
      </c>
      <c r="T788" t="str">
        <f t="shared" si="170"/>
        <v>BRL</v>
      </c>
      <c r="U788" s="7" t="str">
        <f t="shared" si="171"/>
        <v>BRL</v>
      </c>
      <c r="V788" s="7" t="str">
        <f t="shared" si="172"/>
        <v>Canada</v>
      </c>
      <c r="W788" s="7" t="str">
        <f t="shared" si="173"/>
        <v>Australia</v>
      </c>
      <c r="X788" s="7" t="str">
        <f t="shared" si="174"/>
        <v>Inter-Transaction</v>
      </c>
      <c r="Y788" s="7">
        <f t="shared" si="175"/>
        <v>14307.66</v>
      </c>
      <c r="Z788" s="7">
        <f t="shared" si="176"/>
        <v>21</v>
      </c>
      <c r="AA788" s="7">
        <f t="shared" si="177"/>
        <v>2024</v>
      </c>
      <c r="AB788" s="7">
        <f t="shared" si="178"/>
        <v>11</v>
      </c>
      <c r="AC788" s="7">
        <f t="shared" si="179"/>
        <v>1</v>
      </c>
      <c r="AD788" s="7" t="str">
        <f t="shared" si="180"/>
        <v>No</v>
      </c>
      <c r="AE788" s="7" t="str">
        <f t="shared" si="181"/>
        <v>High Risk</v>
      </c>
    </row>
    <row r="789" spans="1:31">
      <c r="A789" t="s">
        <v>2467</v>
      </c>
      <c r="B789">
        <v>60752545</v>
      </c>
      <c r="C789" t="s">
        <v>2062</v>
      </c>
      <c r="D789" t="s">
        <v>1575</v>
      </c>
      <c r="E789" t="s">
        <v>20</v>
      </c>
      <c r="F789" t="s">
        <v>176</v>
      </c>
      <c r="G789" t="s">
        <v>44</v>
      </c>
      <c r="H789" t="s">
        <v>103</v>
      </c>
      <c r="I789" t="s">
        <v>3378</v>
      </c>
      <c r="J789">
        <v>8175.89</v>
      </c>
      <c r="K789" t="s">
        <v>39</v>
      </c>
      <c r="L789" t="s">
        <v>81</v>
      </c>
      <c r="M789" s="1">
        <v>43947.947222222225</v>
      </c>
      <c r="N789">
        <v>59</v>
      </c>
      <c r="O789" t="s">
        <v>55</v>
      </c>
      <c r="P789" t="s">
        <v>23</v>
      </c>
      <c r="Q789" t="s">
        <v>2468</v>
      </c>
      <c r="R789" t="str">
        <f t="shared" si="168"/>
        <v>David Martinez</v>
      </c>
      <c r="S789" t="str">
        <f t="shared" si="169"/>
        <v>Christopher Nair</v>
      </c>
      <c r="T789" t="str">
        <f t="shared" si="170"/>
        <v>aed</v>
      </c>
      <c r="U789" s="7" t="str">
        <f t="shared" si="171"/>
        <v>SGD</v>
      </c>
      <c r="V789" s="7" t="str">
        <f t="shared" si="172"/>
        <v>UK</v>
      </c>
      <c r="W789" s="7" t="str">
        <f t="shared" si="173"/>
        <v>France</v>
      </c>
      <c r="X789" s="7" t="str">
        <f t="shared" si="174"/>
        <v>Inter-Transaction</v>
      </c>
      <c r="Y789" s="7">
        <f t="shared" si="175"/>
        <v>8175.89</v>
      </c>
      <c r="Z789" s="7">
        <f t="shared" si="176"/>
        <v>59</v>
      </c>
      <c r="AA789" s="7">
        <f t="shared" si="177"/>
        <v>2020</v>
      </c>
      <c r="AB789" s="7">
        <f t="shared" si="178"/>
        <v>4</v>
      </c>
      <c r="AC789" s="7">
        <f t="shared" si="179"/>
        <v>1</v>
      </c>
      <c r="AD789" s="7" t="str">
        <f t="shared" si="180"/>
        <v>No</v>
      </c>
      <c r="AE789" s="7" t="str">
        <f t="shared" si="181"/>
        <v>Normal</v>
      </c>
    </row>
    <row r="790" spans="1:31">
      <c r="A790" t="s">
        <v>2469</v>
      </c>
      <c r="B790">
        <v>56648543</v>
      </c>
      <c r="C790" t="s">
        <v>2470</v>
      </c>
      <c r="D790" t="s">
        <v>2471</v>
      </c>
      <c r="E790" t="s">
        <v>3373</v>
      </c>
      <c r="F790" t="s">
        <v>80</v>
      </c>
      <c r="G790" t="s">
        <v>80</v>
      </c>
      <c r="I790" t="s">
        <v>3372</v>
      </c>
      <c r="J790">
        <v>14626.02</v>
      </c>
      <c r="K790" t="s">
        <v>27</v>
      </c>
      <c r="L790" t="s">
        <v>81</v>
      </c>
      <c r="M790" s="1">
        <v>44628.321527777778</v>
      </c>
      <c r="N790">
        <v>35</v>
      </c>
      <c r="O790" t="s">
        <v>23</v>
      </c>
      <c r="P790" t="s">
        <v>62</v>
      </c>
      <c r="Q790" t="s">
        <v>2472</v>
      </c>
      <c r="R790" t="str">
        <f t="shared" si="168"/>
        <v>Jessica Rostova</v>
      </c>
      <c r="S790" t="str">
        <f t="shared" si="169"/>
        <v xml:space="preserve"> Mary Rodriguez   </v>
      </c>
      <c r="T790" t="str">
        <f t="shared" si="170"/>
        <v>USD</v>
      </c>
      <c r="U790" s="7" t="str">
        <f t="shared" si="171"/>
        <v>USD</v>
      </c>
      <c r="V790" s="7" t="str">
        <f t="shared" si="172"/>
        <v>France</v>
      </c>
      <c r="W790" s="7" t="str">
        <f t="shared" si="173"/>
        <v>Australia</v>
      </c>
      <c r="X790" s="7" t="str">
        <f t="shared" si="174"/>
        <v>Outer-Transaction</v>
      </c>
      <c r="Y790" s="7">
        <f t="shared" si="175"/>
        <v>14626.02</v>
      </c>
      <c r="Z790" s="7">
        <f t="shared" si="176"/>
        <v>35</v>
      </c>
      <c r="AA790" s="7">
        <f t="shared" si="177"/>
        <v>2022</v>
      </c>
      <c r="AB790" s="7">
        <f t="shared" si="178"/>
        <v>3</v>
      </c>
      <c r="AC790" s="7">
        <f t="shared" si="179"/>
        <v>1</v>
      </c>
      <c r="AD790" s="7" t="str">
        <f t="shared" si="180"/>
        <v>No</v>
      </c>
      <c r="AE790" s="7" t="str">
        <f t="shared" si="181"/>
        <v>Normal</v>
      </c>
    </row>
    <row r="791" spans="1:31">
      <c r="A791" t="s">
        <v>2473</v>
      </c>
      <c r="B791">
        <v>53096805</v>
      </c>
      <c r="C791" t="s">
        <v>1878</v>
      </c>
      <c r="D791" t="s">
        <v>913</v>
      </c>
      <c r="E791" t="s">
        <v>20</v>
      </c>
      <c r="F791" t="s">
        <v>22</v>
      </c>
      <c r="G791" t="s">
        <v>80</v>
      </c>
      <c r="H791" t="s">
        <v>74</v>
      </c>
      <c r="I791" t="s">
        <v>3372</v>
      </c>
      <c r="J791">
        <v>4502.6499999999996</v>
      </c>
      <c r="K791" t="s">
        <v>86</v>
      </c>
      <c r="L791" t="s">
        <v>75</v>
      </c>
      <c r="M791" s="1">
        <v>45542.890972222223</v>
      </c>
      <c r="N791">
        <v>57</v>
      </c>
      <c r="O791" t="s">
        <v>68</v>
      </c>
      <c r="P791" t="s">
        <v>36</v>
      </c>
      <c r="Q791" t="s">
        <v>2474</v>
      </c>
      <c r="R791" t="str">
        <f t="shared" si="168"/>
        <v>William Johnson</v>
      </c>
      <c r="S791" t="str">
        <f t="shared" si="169"/>
        <v>Elena Lopez</v>
      </c>
      <c r="T791" t="str">
        <f t="shared" si="170"/>
        <v>BRL</v>
      </c>
      <c r="U791" s="7" t="str">
        <f t="shared" si="171"/>
        <v>USD</v>
      </c>
      <c r="V791" s="7" t="str">
        <f t="shared" si="172"/>
        <v>UAE</v>
      </c>
      <c r="W791" s="7" t="str">
        <f t="shared" si="173"/>
        <v>Germany</v>
      </c>
      <c r="X791" s="7" t="str">
        <f t="shared" si="174"/>
        <v>Outer-Transaction</v>
      </c>
      <c r="Y791" s="7">
        <f t="shared" si="175"/>
        <v>4502.6499999999996</v>
      </c>
      <c r="Z791" s="7">
        <f t="shared" si="176"/>
        <v>57</v>
      </c>
      <c r="AA791" s="7">
        <f t="shared" si="177"/>
        <v>2024</v>
      </c>
      <c r="AB791" s="7">
        <f t="shared" si="178"/>
        <v>9</v>
      </c>
      <c r="AC791" s="7">
        <f t="shared" si="179"/>
        <v>1</v>
      </c>
      <c r="AD791" s="7" t="str">
        <f t="shared" si="180"/>
        <v>No</v>
      </c>
      <c r="AE791" s="7" t="str">
        <f t="shared" si="181"/>
        <v>High Risk</v>
      </c>
    </row>
    <row r="792" spans="1:31">
      <c r="A792" t="s">
        <v>2475</v>
      </c>
      <c r="B792">
        <v>98242667</v>
      </c>
      <c r="C792" t="s">
        <v>521</v>
      </c>
      <c r="D792" t="s">
        <v>2476</v>
      </c>
      <c r="E792" t="s">
        <v>3375</v>
      </c>
      <c r="F792" t="s">
        <v>53</v>
      </c>
      <c r="G792" t="s">
        <v>22</v>
      </c>
      <c r="H792" t="s">
        <v>25</v>
      </c>
      <c r="I792" t="s">
        <v>3372</v>
      </c>
      <c r="J792">
        <v>8545.09</v>
      </c>
      <c r="K792" t="s">
        <v>27</v>
      </c>
      <c r="L792" t="s">
        <v>48</v>
      </c>
      <c r="M792" s="1">
        <v>44583.789583333331</v>
      </c>
      <c r="N792">
        <v>56</v>
      </c>
      <c r="O792" t="s">
        <v>55</v>
      </c>
      <c r="P792" t="s">
        <v>36</v>
      </c>
      <c r="Q792" t="s">
        <v>2477</v>
      </c>
      <c r="R792" t="str">
        <f t="shared" si="168"/>
        <v>Jessica Davis</v>
      </c>
      <c r="S792" t="str">
        <f t="shared" si="169"/>
        <v>Barbara Hernandez</v>
      </c>
      <c r="T792" t="str">
        <f t="shared" si="170"/>
        <v>AED</v>
      </c>
      <c r="U792" s="7" t="str">
        <f t="shared" si="171"/>
        <v>BRL</v>
      </c>
      <c r="V792" s="7" t="str">
        <f t="shared" si="172"/>
        <v>UK</v>
      </c>
      <c r="W792" s="7" t="str">
        <f t="shared" si="173"/>
        <v>Germany</v>
      </c>
      <c r="X792" s="7" t="str">
        <f t="shared" si="174"/>
        <v>Outer-Transaction</v>
      </c>
      <c r="Y792" s="7">
        <f t="shared" si="175"/>
        <v>8545.09</v>
      </c>
      <c r="Z792" s="7">
        <f t="shared" si="176"/>
        <v>56</v>
      </c>
      <c r="AA792" s="7">
        <f t="shared" si="177"/>
        <v>2022</v>
      </c>
      <c r="AB792" s="7">
        <f t="shared" si="178"/>
        <v>1</v>
      </c>
      <c r="AC792" s="7">
        <f t="shared" si="179"/>
        <v>1</v>
      </c>
      <c r="AD792" s="7" t="str">
        <f t="shared" si="180"/>
        <v>No</v>
      </c>
      <c r="AE792" s="7" t="str">
        <f t="shared" si="181"/>
        <v>Normal</v>
      </c>
    </row>
    <row r="793" spans="1:31">
      <c r="A793" t="s">
        <v>2478</v>
      </c>
      <c r="B793">
        <v>12305350</v>
      </c>
      <c r="D793" t="s">
        <v>2479</v>
      </c>
      <c r="E793" t="s">
        <v>20</v>
      </c>
      <c r="F793" t="s">
        <v>98</v>
      </c>
      <c r="G793" t="s">
        <v>21</v>
      </c>
      <c r="H793" t="s">
        <v>56</v>
      </c>
      <c r="I793" t="s">
        <v>3374</v>
      </c>
      <c r="J793">
        <v>14028.34</v>
      </c>
      <c r="K793" t="s">
        <v>27</v>
      </c>
      <c r="L793" t="s">
        <v>75</v>
      </c>
      <c r="M793" s="1">
        <v>46300.010416666664</v>
      </c>
      <c r="N793">
        <v>31</v>
      </c>
      <c r="O793" t="s">
        <v>55</v>
      </c>
      <c r="P793" t="s">
        <v>36</v>
      </c>
      <c r="Q793" t="s">
        <v>2480</v>
      </c>
      <c r="R793" t="str">
        <f t="shared" si="168"/>
        <v/>
      </c>
      <c r="S793" t="str">
        <f t="shared" si="169"/>
        <v>Marta Khan</v>
      </c>
      <c r="T793" t="str">
        <f t="shared" si="170"/>
        <v>JPY</v>
      </c>
      <c r="U793" s="7" t="str">
        <f t="shared" si="171"/>
        <v>GBP</v>
      </c>
      <c r="V793" s="7" t="str">
        <f t="shared" si="172"/>
        <v>UK</v>
      </c>
      <c r="W793" s="7" t="str">
        <f t="shared" si="173"/>
        <v>Germany</v>
      </c>
      <c r="X793" s="7" t="str">
        <f t="shared" si="174"/>
        <v>External</v>
      </c>
      <c r="Y793" s="7">
        <f t="shared" si="175"/>
        <v>14028.34</v>
      </c>
      <c r="Z793" s="7">
        <f t="shared" si="176"/>
        <v>31</v>
      </c>
      <c r="AA793" s="7">
        <f t="shared" si="177"/>
        <v>2026</v>
      </c>
      <c r="AB793" s="7">
        <f t="shared" si="178"/>
        <v>10</v>
      </c>
      <c r="AC793" s="7">
        <f t="shared" si="179"/>
        <v>1</v>
      </c>
      <c r="AD793" s="7" t="str">
        <f t="shared" si="180"/>
        <v>No</v>
      </c>
      <c r="AE793" s="7" t="str">
        <f t="shared" si="181"/>
        <v>High Risk</v>
      </c>
    </row>
    <row r="794" spans="1:31">
      <c r="A794" t="s">
        <v>2481</v>
      </c>
      <c r="B794">
        <v>25454302</v>
      </c>
      <c r="C794" t="s">
        <v>771</v>
      </c>
      <c r="D794" t="s">
        <v>848</v>
      </c>
      <c r="E794" t="s">
        <v>20</v>
      </c>
      <c r="F794" t="s">
        <v>53</v>
      </c>
      <c r="G794" t="s">
        <v>98</v>
      </c>
      <c r="H794" t="s">
        <v>38</v>
      </c>
      <c r="I794" t="s">
        <v>3371</v>
      </c>
      <c r="J794">
        <v>12888.56</v>
      </c>
      <c r="K794" t="s">
        <v>47</v>
      </c>
      <c r="L794" t="s">
        <v>28</v>
      </c>
      <c r="M794" s="1">
        <v>45223.908333333333</v>
      </c>
      <c r="N794">
        <v>49</v>
      </c>
      <c r="O794" t="s">
        <v>37</v>
      </c>
      <c r="P794" t="s">
        <v>93</v>
      </c>
      <c r="Q794" t="s">
        <v>2482</v>
      </c>
      <c r="R794" t="str">
        <f t="shared" si="168"/>
        <v>Zayn Thomas</v>
      </c>
      <c r="S794" t="str">
        <f t="shared" si="169"/>
        <v>Jean-Pierre Johnson</v>
      </c>
      <c r="T794" t="str">
        <f t="shared" si="170"/>
        <v>AED</v>
      </c>
      <c r="U794" s="7" t="str">
        <f t="shared" si="171"/>
        <v>JPY</v>
      </c>
      <c r="V794" s="7" t="str">
        <f t="shared" si="172"/>
        <v>South Africa</v>
      </c>
      <c r="W794" s="7" t="str">
        <f t="shared" si="173"/>
        <v>USA</v>
      </c>
      <c r="X794" s="7" t="str">
        <f t="shared" si="174"/>
        <v>Outer-Transaction</v>
      </c>
      <c r="Y794" s="7">
        <f t="shared" si="175"/>
        <v>12888.56</v>
      </c>
      <c r="Z794" s="7">
        <f t="shared" si="176"/>
        <v>49</v>
      </c>
      <c r="AA794" s="7">
        <f t="shared" si="177"/>
        <v>2023</v>
      </c>
      <c r="AB794" s="7">
        <f t="shared" si="178"/>
        <v>10</v>
      </c>
      <c r="AC794" s="7">
        <f t="shared" si="179"/>
        <v>1</v>
      </c>
      <c r="AD794" s="7" t="str">
        <f t="shared" si="180"/>
        <v>No</v>
      </c>
      <c r="AE794" s="7" t="str">
        <f t="shared" si="181"/>
        <v>Normal</v>
      </c>
    </row>
    <row r="795" spans="1:31">
      <c r="A795" t="s">
        <v>2483</v>
      </c>
      <c r="B795">
        <v>39990423</v>
      </c>
      <c r="C795" t="s">
        <v>690</v>
      </c>
      <c r="D795" t="s">
        <v>783</v>
      </c>
      <c r="E795" t="s">
        <v>20</v>
      </c>
      <c r="F795" t="s">
        <v>22</v>
      </c>
      <c r="G795" t="s">
        <v>34</v>
      </c>
      <c r="I795" t="s">
        <v>3378</v>
      </c>
      <c r="J795">
        <v>7936.19</v>
      </c>
      <c r="K795" t="s">
        <v>27</v>
      </c>
      <c r="L795" t="s">
        <v>81</v>
      </c>
      <c r="M795" s="1">
        <v>45928.737500000003</v>
      </c>
      <c r="N795">
        <v>68</v>
      </c>
      <c r="O795" t="s">
        <v>68</v>
      </c>
      <c r="P795" t="s">
        <v>37</v>
      </c>
      <c r="Q795" t="s">
        <v>2484</v>
      </c>
      <c r="R795" t="str">
        <f t="shared" si="168"/>
        <v>Christopher Johnson</v>
      </c>
      <c r="S795" t="str">
        <f t="shared" si="169"/>
        <v>Amir Smith</v>
      </c>
      <c r="T795" t="str">
        <f t="shared" si="170"/>
        <v>BRL</v>
      </c>
      <c r="U795" s="7" t="str">
        <f t="shared" si="171"/>
        <v>CAD</v>
      </c>
      <c r="V795" s="7" t="str">
        <f t="shared" si="172"/>
        <v>UAE</v>
      </c>
      <c r="W795" s="7" t="str">
        <f t="shared" si="173"/>
        <v>South Africa</v>
      </c>
      <c r="X795" s="7" t="str">
        <f t="shared" si="174"/>
        <v>Inter-Transaction</v>
      </c>
      <c r="Y795" s="7">
        <f t="shared" si="175"/>
        <v>7936.19</v>
      </c>
      <c r="Z795" s="7">
        <f t="shared" si="176"/>
        <v>68</v>
      </c>
      <c r="AA795" s="7">
        <f t="shared" si="177"/>
        <v>2025</v>
      </c>
      <c r="AB795" s="7">
        <f t="shared" si="178"/>
        <v>9</v>
      </c>
      <c r="AC795" s="7">
        <f t="shared" si="179"/>
        <v>1</v>
      </c>
      <c r="AD795" s="7" t="str">
        <f t="shared" si="180"/>
        <v>No</v>
      </c>
      <c r="AE795" s="7" t="str">
        <f t="shared" si="181"/>
        <v>Normal</v>
      </c>
    </row>
    <row r="796" spans="1:31">
      <c r="A796" t="s">
        <v>2485</v>
      </c>
      <c r="B796">
        <v>20587268</v>
      </c>
      <c r="C796" t="s">
        <v>1059</v>
      </c>
      <c r="D796" t="s">
        <v>1130</v>
      </c>
      <c r="E796">
        <v>1</v>
      </c>
      <c r="F796" t="s">
        <v>53</v>
      </c>
      <c r="G796" t="s">
        <v>22</v>
      </c>
      <c r="H796" t="s">
        <v>25</v>
      </c>
      <c r="I796" t="s">
        <v>3377</v>
      </c>
      <c r="J796">
        <v>3350.11</v>
      </c>
      <c r="K796" t="s">
        <v>27</v>
      </c>
      <c r="L796" t="s">
        <v>75</v>
      </c>
      <c r="M796" s="1">
        <v>44508.712500000001</v>
      </c>
      <c r="N796">
        <v>55</v>
      </c>
      <c r="O796" t="s">
        <v>62</v>
      </c>
      <c r="P796" t="s">
        <v>93</v>
      </c>
      <c r="Q796" t="s">
        <v>2486</v>
      </c>
      <c r="R796" t="str">
        <f t="shared" si="168"/>
        <v>Priya Jackson</v>
      </c>
      <c r="S796" t="str">
        <f t="shared" si="169"/>
        <v>Nancy Miller</v>
      </c>
      <c r="T796" t="str">
        <f t="shared" si="170"/>
        <v>AED</v>
      </c>
      <c r="U796" s="7" t="str">
        <f t="shared" si="171"/>
        <v>BRL</v>
      </c>
      <c r="V796" s="7" t="str">
        <f t="shared" si="172"/>
        <v>Australia</v>
      </c>
      <c r="W796" s="7" t="str">
        <f t="shared" si="173"/>
        <v>USA</v>
      </c>
      <c r="X796" s="7" t="str">
        <f t="shared" si="174"/>
        <v>Inter-Transaction</v>
      </c>
      <c r="Y796" s="7">
        <f t="shared" si="175"/>
        <v>3350.11</v>
      </c>
      <c r="Z796" s="7">
        <f t="shared" si="176"/>
        <v>55</v>
      </c>
      <c r="AA796" s="7">
        <f t="shared" si="177"/>
        <v>2021</v>
      </c>
      <c r="AB796" s="7">
        <f t="shared" si="178"/>
        <v>11</v>
      </c>
      <c r="AC796" s="7">
        <f t="shared" si="179"/>
        <v>1</v>
      </c>
      <c r="AD796" s="7" t="str">
        <f t="shared" si="180"/>
        <v>No</v>
      </c>
      <c r="AE796" s="7" t="str">
        <f t="shared" si="181"/>
        <v>High Risk</v>
      </c>
    </row>
    <row r="797" spans="1:31">
      <c r="A797" t="s">
        <v>2487</v>
      </c>
      <c r="B797">
        <v>43374719</v>
      </c>
      <c r="C797" t="s">
        <v>1861</v>
      </c>
      <c r="D797" t="s">
        <v>2488</v>
      </c>
      <c r="E797" t="s">
        <v>20</v>
      </c>
      <c r="F797" t="s">
        <v>92</v>
      </c>
      <c r="G797" t="s">
        <v>121</v>
      </c>
      <c r="H797" t="s">
        <v>38</v>
      </c>
      <c r="I797" t="s">
        <v>3374</v>
      </c>
      <c r="J797">
        <v>10400.27</v>
      </c>
      <c r="K797" t="s">
        <v>39</v>
      </c>
      <c r="L797" t="s">
        <v>28</v>
      </c>
      <c r="M797" s="1">
        <v>43936.725694444445</v>
      </c>
      <c r="N797">
        <v>40</v>
      </c>
      <c r="O797" t="s">
        <v>127</v>
      </c>
      <c r="P797" t="s">
        <v>24</v>
      </c>
      <c r="Q797" t="s">
        <v>2489</v>
      </c>
      <c r="R797" t="str">
        <f t="shared" si="168"/>
        <v>William Martinez</v>
      </c>
      <c r="S797" t="str">
        <f t="shared" si="169"/>
        <v>Thomas Martinez</v>
      </c>
      <c r="T797" t="str">
        <f t="shared" si="170"/>
        <v>AUD</v>
      </c>
      <c r="U797" s="7" t="str">
        <f t="shared" si="171"/>
        <v>INR</v>
      </c>
      <c r="V797" s="7" t="str">
        <f t="shared" si="172"/>
        <v>Canada</v>
      </c>
      <c r="W797" s="7" t="str">
        <f t="shared" si="173"/>
        <v>Brazil</v>
      </c>
      <c r="X797" s="7" t="str">
        <f t="shared" si="174"/>
        <v>External</v>
      </c>
      <c r="Y797" s="7">
        <f t="shared" si="175"/>
        <v>10400.27</v>
      </c>
      <c r="Z797" s="7">
        <f t="shared" si="176"/>
        <v>40</v>
      </c>
      <c r="AA797" s="7">
        <f t="shared" si="177"/>
        <v>2020</v>
      </c>
      <c r="AB797" s="7">
        <f t="shared" si="178"/>
        <v>4</v>
      </c>
      <c r="AC797" s="7">
        <f t="shared" si="179"/>
        <v>1</v>
      </c>
      <c r="AD797" s="7" t="str">
        <f t="shared" si="180"/>
        <v>No</v>
      </c>
      <c r="AE797" s="7" t="str">
        <f t="shared" si="181"/>
        <v>Normal</v>
      </c>
    </row>
    <row r="798" spans="1:31">
      <c r="A798" t="s">
        <v>2490</v>
      </c>
      <c r="B798">
        <v>61194546</v>
      </c>
      <c r="C798" t="s">
        <v>563</v>
      </c>
      <c r="D798" t="s">
        <v>719</v>
      </c>
      <c r="E798" t="s">
        <v>3373</v>
      </c>
      <c r="F798" t="s">
        <v>45</v>
      </c>
      <c r="G798" t="s">
        <v>35</v>
      </c>
      <c r="H798" t="s">
        <v>74</v>
      </c>
      <c r="I798" t="s">
        <v>3377</v>
      </c>
      <c r="J798">
        <v>4538.45</v>
      </c>
      <c r="K798" t="s">
        <v>57</v>
      </c>
      <c r="L798" t="s">
        <v>28</v>
      </c>
      <c r="M798" s="1">
        <v>44488.295138888891</v>
      </c>
      <c r="N798">
        <v>80</v>
      </c>
      <c r="O798" t="s">
        <v>68</v>
      </c>
      <c r="P798" t="s">
        <v>68</v>
      </c>
      <c r="Q798" t="s">
        <v>2491</v>
      </c>
      <c r="R798" t="str">
        <f t="shared" si="168"/>
        <v>Jean-Pierre Jackson</v>
      </c>
      <c r="S798" t="str">
        <f t="shared" si="169"/>
        <v>Mary Jones</v>
      </c>
      <c r="T798" t="str">
        <f t="shared" si="170"/>
        <v>ZAR</v>
      </c>
      <c r="U798" s="7" t="str">
        <f t="shared" si="171"/>
        <v>EUR</v>
      </c>
      <c r="V798" s="7" t="str">
        <f t="shared" si="172"/>
        <v>UAE</v>
      </c>
      <c r="W798" s="7" t="str">
        <f t="shared" si="173"/>
        <v>UAE</v>
      </c>
      <c r="X798" s="7" t="str">
        <f t="shared" si="174"/>
        <v>Inter-Transaction</v>
      </c>
      <c r="Y798" s="7">
        <f t="shared" si="175"/>
        <v>4538.45</v>
      </c>
      <c r="Z798" s="7">
        <f t="shared" si="176"/>
        <v>80</v>
      </c>
      <c r="AA798" s="7">
        <f t="shared" si="177"/>
        <v>2021</v>
      </c>
      <c r="AB798" s="7">
        <f t="shared" si="178"/>
        <v>10</v>
      </c>
      <c r="AC798" s="7">
        <f t="shared" si="179"/>
        <v>1</v>
      </c>
      <c r="AD798" s="7" t="str">
        <f t="shared" si="180"/>
        <v>No</v>
      </c>
      <c r="AE798" s="7" t="str">
        <f t="shared" si="181"/>
        <v>Normal</v>
      </c>
    </row>
    <row r="799" spans="1:31">
      <c r="A799" t="s">
        <v>2492</v>
      </c>
      <c r="B799">
        <v>47625379</v>
      </c>
      <c r="C799" t="s">
        <v>847</v>
      </c>
      <c r="D799" t="s">
        <v>570</v>
      </c>
      <c r="E799" t="s">
        <v>20</v>
      </c>
      <c r="F799" t="s">
        <v>34</v>
      </c>
      <c r="G799" t="s">
        <v>22</v>
      </c>
      <c r="H799" t="s">
        <v>74</v>
      </c>
      <c r="I799" t="s">
        <v>3376</v>
      </c>
      <c r="J799">
        <v>11900.19</v>
      </c>
      <c r="K799" t="s">
        <v>86</v>
      </c>
      <c r="L799" t="s">
        <v>48</v>
      </c>
      <c r="M799" s="1">
        <v>45777.265277777777</v>
      </c>
      <c r="N799">
        <v>32</v>
      </c>
      <c r="O799" t="s">
        <v>127</v>
      </c>
      <c r="P799" t="s">
        <v>68</v>
      </c>
      <c r="Q799" t="s">
        <v>2493</v>
      </c>
      <c r="R799" t="str">
        <f t="shared" si="168"/>
        <v>Jessica Gonzalez</v>
      </c>
      <c r="S799" t="str">
        <f t="shared" si="169"/>
        <v>Richard Garcia</v>
      </c>
      <c r="T799" t="str">
        <f t="shared" si="170"/>
        <v>CAD</v>
      </c>
      <c r="U799" s="7" t="str">
        <f t="shared" si="171"/>
        <v>BRL</v>
      </c>
      <c r="V799" s="7" t="str">
        <f t="shared" si="172"/>
        <v>Canada</v>
      </c>
      <c r="W799" s="7" t="str">
        <f t="shared" si="173"/>
        <v>UAE</v>
      </c>
      <c r="X799" s="7" t="str">
        <f t="shared" si="174"/>
        <v>Internal</v>
      </c>
      <c r="Y799" s="7">
        <f t="shared" si="175"/>
        <v>11900.19</v>
      </c>
      <c r="Z799" s="7">
        <f t="shared" si="176"/>
        <v>32</v>
      </c>
      <c r="AA799" s="7">
        <f t="shared" si="177"/>
        <v>2025</v>
      </c>
      <c r="AB799" s="7">
        <f t="shared" si="178"/>
        <v>4</v>
      </c>
      <c r="AC799" s="7">
        <f t="shared" si="179"/>
        <v>1</v>
      </c>
      <c r="AD799" s="7" t="str">
        <f t="shared" si="180"/>
        <v>No</v>
      </c>
      <c r="AE799" s="7" t="str">
        <f t="shared" si="181"/>
        <v>Normal</v>
      </c>
    </row>
    <row r="800" spans="1:31">
      <c r="A800" t="s">
        <v>2494</v>
      </c>
      <c r="B800">
        <v>44042835</v>
      </c>
      <c r="C800" t="s">
        <v>861</v>
      </c>
      <c r="D800" t="s">
        <v>1176</v>
      </c>
      <c r="E800" t="s">
        <v>33</v>
      </c>
      <c r="F800" t="s">
        <v>35</v>
      </c>
      <c r="G800" t="s">
        <v>45</v>
      </c>
      <c r="H800" t="s">
        <v>56</v>
      </c>
      <c r="I800" t="s">
        <v>3371</v>
      </c>
      <c r="J800">
        <v>11640.83</v>
      </c>
      <c r="K800" t="s">
        <v>27</v>
      </c>
      <c r="L800" t="s">
        <v>75</v>
      </c>
      <c r="M800" s="1">
        <v>45279.90347222222</v>
      </c>
      <c r="N800">
        <v>42</v>
      </c>
      <c r="O800" t="s">
        <v>36</v>
      </c>
      <c r="P800" t="s">
        <v>36</v>
      </c>
      <c r="Q800" t="s">
        <v>2495</v>
      </c>
      <c r="R800" t="str">
        <f t="shared" si="168"/>
        <v>Jessica Anderson</v>
      </c>
      <c r="S800" t="str">
        <f t="shared" si="169"/>
        <v>Thomas Williams</v>
      </c>
      <c r="T800" t="str">
        <f t="shared" si="170"/>
        <v>EUR</v>
      </c>
      <c r="U800" s="7" t="str">
        <f t="shared" si="171"/>
        <v>ZAR</v>
      </c>
      <c r="V800" s="7" t="str">
        <f t="shared" si="172"/>
        <v>Germany</v>
      </c>
      <c r="W800" s="7" t="str">
        <f t="shared" si="173"/>
        <v>Germany</v>
      </c>
      <c r="X800" s="7" t="str">
        <f t="shared" si="174"/>
        <v>Outer-Transaction</v>
      </c>
      <c r="Y800" s="7">
        <f t="shared" si="175"/>
        <v>11640.83</v>
      </c>
      <c r="Z800" s="7">
        <f t="shared" si="176"/>
        <v>42</v>
      </c>
      <c r="AA800" s="7">
        <f t="shared" si="177"/>
        <v>2023</v>
      </c>
      <c r="AB800" s="7">
        <f t="shared" si="178"/>
        <v>12</v>
      </c>
      <c r="AC800" s="7">
        <f t="shared" si="179"/>
        <v>1</v>
      </c>
      <c r="AD800" s="7" t="str">
        <f t="shared" si="180"/>
        <v>No</v>
      </c>
      <c r="AE800" s="7" t="str">
        <f t="shared" si="181"/>
        <v>High Risk</v>
      </c>
    </row>
    <row r="801" spans="1:31">
      <c r="A801" t="s">
        <v>2496</v>
      </c>
      <c r="B801">
        <v>40981524</v>
      </c>
      <c r="C801" t="s">
        <v>644</v>
      </c>
      <c r="D801" t="s">
        <v>916</v>
      </c>
      <c r="E801" t="s">
        <v>20</v>
      </c>
      <c r="F801" t="s">
        <v>44</v>
      </c>
      <c r="G801" t="s">
        <v>21</v>
      </c>
      <c r="H801" t="s">
        <v>74</v>
      </c>
      <c r="I801" t="s">
        <v>3376</v>
      </c>
      <c r="J801">
        <v>4447.12</v>
      </c>
      <c r="K801" t="s">
        <v>86</v>
      </c>
      <c r="L801" t="s">
        <v>28</v>
      </c>
      <c r="M801" s="1">
        <v>44926.455555555556</v>
      </c>
      <c r="N801">
        <v>34</v>
      </c>
      <c r="O801" t="s">
        <v>68</v>
      </c>
      <c r="P801" t="s">
        <v>24</v>
      </c>
      <c r="Q801" t="s">
        <v>2497</v>
      </c>
      <c r="R801" t="str">
        <f t="shared" si="168"/>
        <v>Fatima Jackson</v>
      </c>
      <c r="S801" t="str">
        <f t="shared" si="169"/>
        <v>Karen Dubois</v>
      </c>
      <c r="T801" t="str">
        <f t="shared" si="170"/>
        <v>SGD</v>
      </c>
      <c r="U801" s="7" t="str">
        <f t="shared" si="171"/>
        <v>GBP</v>
      </c>
      <c r="V801" s="7" t="str">
        <f t="shared" si="172"/>
        <v>UAE</v>
      </c>
      <c r="W801" s="7" t="str">
        <f t="shared" si="173"/>
        <v>Brazil</v>
      </c>
      <c r="X801" s="7" t="str">
        <f t="shared" si="174"/>
        <v>Internal</v>
      </c>
      <c r="Y801" s="7">
        <f t="shared" si="175"/>
        <v>4447.12</v>
      </c>
      <c r="Z801" s="7">
        <f t="shared" si="176"/>
        <v>34</v>
      </c>
      <c r="AA801" s="7">
        <f t="shared" si="177"/>
        <v>2022</v>
      </c>
      <c r="AB801" s="7">
        <f t="shared" si="178"/>
        <v>12</v>
      </c>
      <c r="AC801" s="7">
        <f t="shared" si="179"/>
        <v>1</v>
      </c>
      <c r="AD801" s="7" t="str">
        <f t="shared" si="180"/>
        <v>No</v>
      </c>
      <c r="AE801" s="7" t="str">
        <f t="shared" si="181"/>
        <v>Normal</v>
      </c>
    </row>
    <row r="802" spans="1:31">
      <c r="A802" t="s">
        <v>2498</v>
      </c>
      <c r="B802">
        <v>65510726</v>
      </c>
      <c r="C802" t="s">
        <v>304</v>
      </c>
      <c r="D802" t="s">
        <v>219</v>
      </c>
      <c r="E802" t="s">
        <v>3373</v>
      </c>
      <c r="F802" t="s">
        <v>44</v>
      </c>
      <c r="G802" t="s">
        <v>22</v>
      </c>
      <c r="H802" t="s">
        <v>103</v>
      </c>
      <c r="I802" t="s">
        <v>3378</v>
      </c>
      <c r="J802">
        <v>6214.66</v>
      </c>
      <c r="K802" t="s">
        <v>27</v>
      </c>
      <c r="L802" t="s">
        <v>48</v>
      </c>
      <c r="M802" s="1">
        <v>44818.505555555559</v>
      </c>
      <c r="N802">
        <v>83</v>
      </c>
      <c r="O802" t="s">
        <v>127</v>
      </c>
      <c r="P802" t="s">
        <v>127</v>
      </c>
      <c r="Q802" t="s">
        <v>2499</v>
      </c>
      <c r="R802" t="str">
        <f t="shared" si="168"/>
        <v>Priya Khan</v>
      </c>
      <c r="S802" t="str">
        <f t="shared" si="169"/>
        <v>David Velez</v>
      </c>
      <c r="T802" t="str">
        <f t="shared" si="170"/>
        <v>SGD</v>
      </c>
      <c r="U802" s="7" t="str">
        <f t="shared" si="171"/>
        <v>BRL</v>
      </c>
      <c r="V802" s="7" t="str">
        <f t="shared" si="172"/>
        <v>Canada</v>
      </c>
      <c r="W802" s="7" t="str">
        <f t="shared" si="173"/>
        <v>Canada</v>
      </c>
      <c r="X802" s="7" t="str">
        <f t="shared" si="174"/>
        <v>Inter-Transaction</v>
      </c>
      <c r="Y802" s="7">
        <f t="shared" si="175"/>
        <v>6214.66</v>
      </c>
      <c r="Z802" s="7">
        <f t="shared" si="176"/>
        <v>83</v>
      </c>
      <c r="AA802" s="7">
        <f t="shared" si="177"/>
        <v>2022</v>
      </c>
      <c r="AB802" s="7">
        <f t="shared" si="178"/>
        <v>9</v>
      </c>
      <c r="AC802" s="7">
        <f t="shared" si="179"/>
        <v>1</v>
      </c>
      <c r="AD802" s="7" t="str">
        <f t="shared" si="180"/>
        <v>No</v>
      </c>
      <c r="AE802" s="7" t="str">
        <f t="shared" si="181"/>
        <v>Normal</v>
      </c>
    </row>
    <row r="803" spans="1:31">
      <c r="A803" t="s">
        <v>2500</v>
      </c>
      <c r="B803">
        <v>94412523</v>
      </c>
      <c r="C803" t="s">
        <v>983</v>
      </c>
      <c r="D803" t="s">
        <v>843</v>
      </c>
      <c r="E803">
        <v>0</v>
      </c>
      <c r="F803" t="s">
        <v>21</v>
      </c>
      <c r="G803" t="s">
        <v>21</v>
      </c>
      <c r="H803" t="s">
        <v>56</v>
      </c>
      <c r="I803" t="s">
        <v>3376</v>
      </c>
      <c r="J803">
        <v>4233.3900000000003</v>
      </c>
      <c r="K803" t="s">
        <v>57</v>
      </c>
      <c r="L803" t="s">
        <v>48</v>
      </c>
      <c r="M803" s="1">
        <v>45639.255555555559</v>
      </c>
      <c r="N803">
        <v>70</v>
      </c>
      <c r="O803" t="s">
        <v>62</v>
      </c>
      <c r="P803" t="s">
        <v>127</v>
      </c>
      <c r="Q803" t="s">
        <v>2501</v>
      </c>
      <c r="R803" t="str">
        <f t="shared" si="168"/>
        <v>Michael Hernandez</v>
      </c>
      <c r="S803" t="str">
        <f t="shared" si="169"/>
        <v>Charles Malik</v>
      </c>
      <c r="T803" t="str">
        <f t="shared" si="170"/>
        <v>GBP</v>
      </c>
      <c r="U803" s="7" t="str">
        <f t="shared" si="171"/>
        <v>GBP</v>
      </c>
      <c r="V803" s="7" t="str">
        <f t="shared" si="172"/>
        <v>Australia</v>
      </c>
      <c r="W803" s="7" t="str">
        <f t="shared" si="173"/>
        <v>Canada</v>
      </c>
      <c r="X803" s="7" t="str">
        <f t="shared" si="174"/>
        <v>Internal</v>
      </c>
      <c r="Y803" s="7">
        <f t="shared" si="175"/>
        <v>4233.3900000000003</v>
      </c>
      <c r="Z803" s="7">
        <f t="shared" si="176"/>
        <v>70</v>
      </c>
      <c r="AA803" s="7">
        <f t="shared" si="177"/>
        <v>2024</v>
      </c>
      <c r="AB803" s="7">
        <f t="shared" si="178"/>
        <v>12</v>
      </c>
      <c r="AC803" s="7">
        <f t="shared" si="179"/>
        <v>1</v>
      </c>
      <c r="AD803" s="7" t="str">
        <f t="shared" si="180"/>
        <v>No</v>
      </c>
      <c r="AE803" s="7" t="str">
        <f t="shared" si="181"/>
        <v>Normal</v>
      </c>
    </row>
    <row r="804" spans="1:31">
      <c r="A804" t="s">
        <v>2502</v>
      </c>
      <c r="B804">
        <v>21536372</v>
      </c>
      <c r="C804" t="s">
        <v>1480</v>
      </c>
      <c r="D804" t="s">
        <v>2291</v>
      </c>
      <c r="E804">
        <v>1</v>
      </c>
      <c r="F804" t="s">
        <v>80</v>
      </c>
      <c r="G804" t="s">
        <v>121</v>
      </c>
      <c r="H804" t="s">
        <v>25</v>
      </c>
      <c r="I804" t="s">
        <v>3374</v>
      </c>
      <c r="J804">
        <v>13745.8</v>
      </c>
      <c r="K804" t="s">
        <v>86</v>
      </c>
      <c r="L804" t="s">
        <v>81</v>
      </c>
      <c r="M804" s="1">
        <v>45613.539583333331</v>
      </c>
      <c r="N804">
        <v>68</v>
      </c>
      <c r="O804" t="s">
        <v>93</v>
      </c>
      <c r="P804" t="s">
        <v>36</v>
      </c>
      <c r="Q804" t="s">
        <v>2503</v>
      </c>
      <c r="R804" t="str">
        <f t="shared" si="168"/>
        <v>Mary Brown</v>
      </c>
      <c r="S804" t="str">
        <f t="shared" si="169"/>
        <v>Charles Anderson</v>
      </c>
      <c r="T804" t="str">
        <f t="shared" si="170"/>
        <v>USD</v>
      </c>
      <c r="U804" s="7" t="str">
        <f t="shared" si="171"/>
        <v>INR</v>
      </c>
      <c r="V804" s="7" t="str">
        <f t="shared" si="172"/>
        <v>USA</v>
      </c>
      <c r="W804" s="7" t="str">
        <f t="shared" si="173"/>
        <v>Germany</v>
      </c>
      <c r="X804" s="7" t="str">
        <f t="shared" si="174"/>
        <v>External</v>
      </c>
      <c r="Y804" s="7">
        <f t="shared" si="175"/>
        <v>13745.8</v>
      </c>
      <c r="Z804" s="7">
        <f t="shared" si="176"/>
        <v>68</v>
      </c>
      <c r="AA804" s="7">
        <f t="shared" si="177"/>
        <v>2024</v>
      </c>
      <c r="AB804" s="7">
        <f t="shared" si="178"/>
        <v>11</v>
      </c>
      <c r="AC804" s="7">
        <f t="shared" si="179"/>
        <v>1</v>
      </c>
      <c r="AD804" s="7" t="str">
        <f t="shared" si="180"/>
        <v>No</v>
      </c>
      <c r="AE804" s="7" t="str">
        <f t="shared" si="181"/>
        <v>Normal</v>
      </c>
    </row>
    <row r="805" spans="1:31">
      <c r="A805" t="s">
        <v>2504</v>
      </c>
      <c r="C805" t="s">
        <v>2505</v>
      </c>
      <c r="D805" t="s">
        <v>913</v>
      </c>
      <c r="E805" t="s">
        <v>20</v>
      </c>
      <c r="F805" t="s">
        <v>34</v>
      </c>
      <c r="G805" t="s">
        <v>22</v>
      </c>
      <c r="H805" t="s">
        <v>56</v>
      </c>
      <c r="I805" t="s">
        <v>3372</v>
      </c>
      <c r="J805">
        <v>11229.09</v>
      </c>
      <c r="K805" t="s">
        <v>47</v>
      </c>
      <c r="L805" t="s">
        <v>48</v>
      </c>
      <c r="M805" s="1">
        <v>44276.106944444444</v>
      </c>
      <c r="N805">
        <v>56</v>
      </c>
      <c r="O805" t="s">
        <v>24</v>
      </c>
      <c r="P805" t="s">
        <v>23</v>
      </c>
      <c r="Q805" t="s">
        <v>2506</v>
      </c>
      <c r="R805" t="str">
        <f t="shared" si="168"/>
        <v>Nancy Rodriguez</v>
      </c>
      <c r="S805" t="str">
        <f t="shared" si="169"/>
        <v>Elena Lopez</v>
      </c>
      <c r="T805" t="str">
        <f t="shared" si="170"/>
        <v>CAD</v>
      </c>
      <c r="U805" s="7" t="str">
        <f t="shared" si="171"/>
        <v>BRL</v>
      </c>
      <c r="V805" s="7" t="str">
        <f t="shared" si="172"/>
        <v>Brazil</v>
      </c>
      <c r="W805" s="7" t="str">
        <f t="shared" si="173"/>
        <v>France</v>
      </c>
      <c r="X805" s="7" t="str">
        <f t="shared" si="174"/>
        <v>Outer-Transaction</v>
      </c>
      <c r="Y805" s="7">
        <f t="shared" si="175"/>
        <v>11229.09</v>
      </c>
      <c r="Z805" s="7">
        <f t="shared" si="176"/>
        <v>56</v>
      </c>
      <c r="AA805" s="7">
        <f t="shared" si="177"/>
        <v>2021</v>
      </c>
      <c r="AB805" s="7">
        <f t="shared" si="178"/>
        <v>3</v>
      </c>
      <c r="AC805" s="7">
        <f t="shared" si="179"/>
        <v>1</v>
      </c>
      <c r="AD805" s="7" t="str">
        <f t="shared" si="180"/>
        <v>No</v>
      </c>
      <c r="AE805" s="7" t="str">
        <f t="shared" si="181"/>
        <v>Normal</v>
      </c>
    </row>
    <row r="806" spans="1:31">
      <c r="A806" t="s">
        <v>2507</v>
      </c>
      <c r="B806">
        <v>44986948</v>
      </c>
      <c r="C806" t="s">
        <v>618</v>
      </c>
      <c r="D806" t="s">
        <v>323</v>
      </c>
      <c r="E806" t="s">
        <v>3375</v>
      </c>
      <c r="F806" t="s">
        <v>121</v>
      </c>
      <c r="G806" t="s">
        <v>121</v>
      </c>
      <c r="H806" t="s">
        <v>103</v>
      </c>
      <c r="I806" t="s">
        <v>3378</v>
      </c>
      <c r="J806">
        <v>6647.85</v>
      </c>
      <c r="K806" t="s">
        <v>86</v>
      </c>
      <c r="L806" t="s">
        <v>75</v>
      </c>
      <c r="M806" s="1">
        <v>45779.013888888891</v>
      </c>
      <c r="N806">
        <v>68</v>
      </c>
      <c r="O806" t="s">
        <v>24</v>
      </c>
      <c r="P806" t="s">
        <v>93</v>
      </c>
      <c r="Q806" t="s">
        <v>2508</v>
      </c>
      <c r="R806" t="str">
        <f t="shared" si="168"/>
        <v>Christopher Volkov</v>
      </c>
      <c r="S806" t="str">
        <f t="shared" si="169"/>
        <v>Sanjay Gonzalez</v>
      </c>
      <c r="T806" t="str">
        <f t="shared" si="170"/>
        <v>INR</v>
      </c>
      <c r="U806" s="7" t="str">
        <f t="shared" si="171"/>
        <v>INR</v>
      </c>
      <c r="V806" s="7" t="str">
        <f t="shared" si="172"/>
        <v>Brazil</v>
      </c>
      <c r="W806" s="7" t="str">
        <f t="shared" si="173"/>
        <v>USA</v>
      </c>
      <c r="X806" s="7" t="str">
        <f t="shared" si="174"/>
        <v>Inter-Transaction</v>
      </c>
      <c r="Y806" s="7">
        <f t="shared" si="175"/>
        <v>6647.85</v>
      </c>
      <c r="Z806" s="7">
        <f t="shared" si="176"/>
        <v>68</v>
      </c>
      <c r="AA806" s="7">
        <f t="shared" si="177"/>
        <v>2025</v>
      </c>
      <c r="AB806" s="7">
        <f t="shared" si="178"/>
        <v>5</v>
      </c>
      <c r="AC806" s="7">
        <f t="shared" si="179"/>
        <v>1</v>
      </c>
      <c r="AD806" s="7" t="str">
        <f t="shared" si="180"/>
        <v>No</v>
      </c>
      <c r="AE806" s="7" t="str">
        <f t="shared" si="181"/>
        <v>High Risk</v>
      </c>
    </row>
    <row r="807" spans="1:31">
      <c r="A807" t="s">
        <v>2509</v>
      </c>
      <c r="B807">
        <v>60223068</v>
      </c>
      <c r="C807" t="s">
        <v>1164</v>
      </c>
      <c r="D807" t="s">
        <v>1618</v>
      </c>
      <c r="E807" t="s">
        <v>20</v>
      </c>
      <c r="F807" t="s">
        <v>34</v>
      </c>
      <c r="G807" t="s">
        <v>35</v>
      </c>
      <c r="H807" t="s">
        <v>38</v>
      </c>
      <c r="I807" t="s">
        <v>3374</v>
      </c>
      <c r="J807">
        <v>13557.57</v>
      </c>
      <c r="K807" t="s">
        <v>39</v>
      </c>
      <c r="L807" t="s">
        <v>81</v>
      </c>
      <c r="M807" s="1">
        <v>45948.814583333333</v>
      </c>
      <c r="N807">
        <v>23</v>
      </c>
      <c r="O807" t="s">
        <v>62</v>
      </c>
      <c r="P807" t="s">
        <v>36</v>
      </c>
      <c r="Q807" t="s">
        <v>2510</v>
      </c>
      <c r="R807" t="str">
        <f t="shared" si="168"/>
        <v>Nancy Velez</v>
      </c>
      <c r="S807" t="str">
        <f t="shared" si="169"/>
        <v>Joseph Dubois</v>
      </c>
      <c r="T807" t="str">
        <f t="shared" si="170"/>
        <v>CAD</v>
      </c>
      <c r="U807" s="7" t="str">
        <f t="shared" si="171"/>
        <v>EUR</v>
      </c>
      <c r="V807" s="7" t="str">
        <f t="shared" si="172"/>
        <v>Australia</v>
      </c>
      <c r="W807" s="7" t="str">
        <f t="shared" si="173"/>
        <v>Germany</v>
      </c>
      <c r="X807" s="7" t="str">
        <f t="shared" si="174"/>
        <v>External</v>
      </c>
      <c r="Y807" s="7">
        <f t="shared" si="175"/>
        <v>13557.57</v>
      </c>
      <c r="Z807" s="7">
        <f t="shared" si="176"/>
        <v>23</v>
      </c>
      <c r="AA807" s="7">
        <f t="shared" si="177"/>
        <v>2025</v>
      </c>
      <c r="AB807" s="7">
        <f t="shared" si="178"/>
        <v>10</v>
      </c>
      <c r="AC807" s="7">
        <f t="shared" si="179"/>
        <v>1</v>
      </c>
      <c r="AD807" s="7" t="str">
        <f t="shared" si="180"/>
        <v>No</v>
      </c>
      <c r="AE807" s="7" t="str">
        <f t="shared" si="181"/>
        <v>Normal</v>
      </c>
    </row>
    <row r="808" spans="1:31">
      <c r="A808" t="s">
        <v>2511</v>
      </c>
      <c r="B808">
        <v>32883633</v>
      </c>
      <c r="C808" t="s">
        <v>2196</v>
      </c>
      <c r="D808" t="s">
        <v>2512</v>
      </c>
      <c r="E808" t="s">
        <v>20</v>
      </c>
      <c r="F808" t="s">
        <v>92</v>
      </c>
      <c r="G808" t="s">
        <v>35</v>
      </c>
      <c r="I808" t="s">
        <v>3378</v>
      </c>
      <c r="J808">
        <v>8594.84</v>
      </c>
      <c r="K808" t="s">
        <v>47</v>
      </c>
      <c r="L808" t="s">
        <v>48</v>
      </c>
      <c r="M808" s="1">
        <v>45828.093055555553</v>
      </c>
      <c r="N808">
        <v>84</v>
      </c>
      <c r="O808" t="s">
        <v>37</v>
      </c>
      <c r="P808" t="s">
        <v>54</v>
      </c>
      <c r="Q808" t="s">
        <v>2513</v>
      </c>
      <c r="R808" t="str">
        <f t="shared" si="168"/>
        <v>Linda Souza</v>
      </c>
      <c r="S808" t="str">
        <f t="shared" si="169"/>
        <v>Susan Jackson</v>
      </c>
      <c r="T808" t="str">
        <f t="shared" si="170"/>
        <v>AUD</v>
      </c>
      <c r="U808" s="7" t="str">
        <f t="shared" si="171"/>
        <v>EUR</v>
      </c>
      <c r="V808" s="7" t="str">
        <f t="shared" si="172"/>
        <v>South Africa</v>
      </c>
      <c r="W808" s="7" t="str">
        <f t="shared" si="173"/>
        <v>India</v>
      </c>
      <c r="X808" s="7" t="str">
        <f t="shared" si="174"/>
        <v>Inter-Transaction</v>
      </c>
      <c r="Y808" s="7">
        <f t="shared" si="175"/>
        <v>8594.84</v>
      </c>
      <c r="Z808" s="7">
        <f t="shared" si="176"/>
        <v>84</v>
      </c>
      <c r="AA808" s="7">
        <f t="shared" si="177"/>
        <v>2025</v>
      </c>
      <c r="AB808" s="7">
        <f t="shared" si="178"/>
        <v>6</v>
      </c>
      <c r="AC808" s="7">
        <f t="shared" si="179"/>
        <v>1</v>
      </c>
      <c r="AD808" s="7" t="str">
        <f t="shared" si="180"/>
        <v>No</v>
      </c>
      <c r="AE808" s="7" t="str">
        <f t="shared" si="181"/>
        <v>Normal</v>
      </c>
    </row>
    <row r="809" spans="1:31">
      <c r="A809" t="s">
        <v>2514</v>
      </c>
      <c r="B809">
        <v>52386580</v>
      </c>
      <c r="C809" t="s">
        <v>2244</v>
      </c>
      <c r="D809" t="s">
        <v>2515</v>
      </c>
      <c r="E809" t="s">
        <v>20</v>
      </c>
      <c r="F809" t="s">
        <v>92</v>
      </c>
      <c r="G809" t="s">
        <v>121</v>
      </c>
      <c r="I809" t="s">
        <v>3378</v>
      </c>
      <c r="J809">
        <v>9964.56</v>
      </c>
      <c r="K809" t="s">
        <v>47</v>
      </c>
      <c r="L809" t="s">
        <v>28</v>
      </c>
      <c r="M809" s="1">
        <v>46028.979861111111</v>
      </c>
      <c r="N809">
        <v>24</v>
      </c>
      <c r="O809" t="s">
        <v>93</v>
      </c>
      <c r="P809" t="s">
        <v>62</v>
      </c>
      <c r="Q809" t="s">
        <v>2516</v>
      </c>
      <c r="R809" t="str">
        <f t="shared" si="168"/>
        <v>Jean-Pierre Velez</v>
      </c>
      <c r="S809" t="str">
        <f t="shared" si="169"/>
        <v>Elena Jackson</v>
      </c>
      <c r="T809" t="str">
        <f t="shared" si="170"/>
        <v>AUD</v>
      </c>
      <c r="U809" s="7" t="str">
        <f t="shared" si="171"/>
        <v>INR</v>
      </c>
      <c r="V809" s="7" t="str">
        <f t="shared" si="172"/>
        <v>USA</v>
      </c>
      <c r="W809" s="7" t="str">
        <f t="shared" si="173"/>
        <v>Australia</v>
      </c>
      <c r="X809" s="7" t="str">
        <f t="shared" si="174"/>
        <v>Inter-Transaction</v>
      </c>
      <c r="Y809" s="7">
        <f t="shared" si="175"/>
        <v>9964.56</v>
      </c>
      <c r="Z809" s="7">
        <f t="shared" si="176"/>
        <v>24</v>
      </c>
      <c r="AA809" s="7">
        <f t="shared" si="177"/>
        <v>2026</v>
      </c>
      <c r="AB809" s="7">
        <f t="shared" si="178"/>
        <v>1</v>
      </c>
      <c r="AC809" s="7">
        <f t="shared" si="179"/>
        <v>1</v>
      </c>
      <c r="AD809" s="7" t="str">
        <f t="shared" si="180"/>
        <v>No</v>
      </c>
      <c r="AE809" s="7" t="str">
        <f t="shared" si="181"/>
        <v>Normal</v>
      </c>
    </row>
    <row r="810" spans="1:31">
      <c r="A810" t="s">
        <v>2517</v>
      </c>
      <c r="B810">
        <v>37482786</v>
      </c>
      <c r="C810" t="s">
        <v>146</v>
      </c>
      <c r="D810" t="s">
        <v>155</v>
      </c>
      <c r="E810" t="s">
        <v>20</v>
      </c>
      <c r="F810" t="s">
        <v>80</v>
      </c>
      <c r="G810" t="s">
        <v>80</v>
      </c>
      <c r="I810" t="s">
        <v>3377</v>
      </c>
      <c r="J810">
        <v>2659.94</v>
      </c>
      <c r="K810" t="s">
        <v>47</v>
      </c>
      <c r="L810" t="s">
        <v>28</v>
      </c>
      <c r="M810" s="1">
        <v>44604.238888888889</v>
      </c>
      <c r="N810">
        <v>68</v>
      </c>
      <c r="O810" t="s">
        <v>36</v>
      </c>
      <c r="P810" t="s">
        <v>68</v>
      </c>
      <c r="Q810" t="s">
        <v>2518</v>
      </c>
      <c r="R810" t="str">
        <f t="shared" si="168"/>
        <v>Fatima Brown</v>
      </c>
      <c r="S810" t="str">
        <f t="shared" si="169"/>
        <v>Elizabeth Nair</v>
      </c>
      <c r="T810" t="str">
        <f t="shared" si="170"/>
        <v>USD</v>
      </c>
      <c r="U810" s="7" t="str">
        <f t="shared" si="171"/>
        <v>USD</v>
      </c>
      <c r="V810" s="7" t="str">
        <f t="shared" si="172"/>
        <v>Germany</v>
      </c>
      <c r="W810" s="7" t="str">
        <f t="shared" si="173"/>
        <v>UAE</v>
      </c>
      <c r="X810" s="7" t="str">
        <f t="shared" si="174"/>
        <v>Inter-Transaction</v>
      </c>
      <c r="Y810" s="7">
        <f t="shared" si="175"/>
        <v>2659.94</v>
      </c>
      <c r="Z810" s="7">
        <f t="shared" si="176"/>
        <v>68</v>
      </c>
      <c r="AA810" s="7">
        <f t="shared" si="177"/>
        <v>2022</v>
      </c>
      <c r="AB810" s="7">
        <f t="shared" si="178"/>
        <v>2</v>
      </c>
      <c r="AC810" s="7">
        <f t="shared" si="179"/>
        <v>1</v>
      </c>
      <c r="AD810" s="7" t="str">
        <f t="shared" si="180"/>
        <v>No</v>
      </c>
      <c r="AE810" s="7" t="str">
        <f t="shared" si="181"/>
        <v>Normal</v>
      </c>
    </row>
    <row r="811" spans="1:31">
      <c r="A811" t="s">
        <v>2519</v>
      </c>
      <c r="B811">
        <v>68443796</v>
      </c>
      <c r="C811" t="s">
        <v>2137</v>
      </c>
      <c r="D811" t="s">
        <v>1905</v>
      </c>
      <c r="E811" t="b">
        <v>0</v>
      </c>
      <c r="F811" t="s">
        <v>53</v>
      </c>
      <c r="G811" t="s">
        <v>80</v>
      </c>
      <c r="H811" t="s">
        <v>56</v>
      </c>
      <c r="I811" t="s">
        <v>3378</v>
      </c>
      <c r="J811">
        <v>14832.44</v>
      </c>
      <c r="K811" t="s">
        <v>47</v>
      </c>
      <c r="L811" t="s">
        <v>28</v>
      </c>
      <c r="M811" s="1">
        <v>45392.855555555558</v>
      </c>
      <c r="N811">
        <v>59</v>
      </c>
      <c r="O811" t="s">
        <v>62</v>
      </c>
      <c r="P811" t="s">
        <v>127</v>
      </c>
      <c r="Q811" t="s">
        <v>2520</v>
      </c>
      <c r="R811" t="str">
        <f t="shared" si="168"/>
        <v>Karen Wilson</v>
      </c>
      <c r="S811" t="str">
        <f t="shared" si="169"/>
        <v>Karen Thomas</v>
      </c>
      <c r="T811" t="str">
        <f t="shared" si="170"/>
        <v>AED</v>
      </c>
      <c r="U811" s="7" t="str">
        <f t="shared" si="171"/>
        <v>USD</v>
      </c>
      <c r="V811" s="7" t="str">
        <f t="shared" si="172"/>
        <v>Australia</v>
      </c>
      <c r="W811" s="7" t="str">
        <f t="shared" si="173"/>
        <v>Canada</v>
      </c>
      <c r="X811" s="7" t="str">
        <f t="shared" si="174"/>
        <v>Inter-Transaction</v>
      </c>
      <c r="Y811" s="7">
        <f t="shared" si="175"/>
        <v>14832.44</v>
      </c>
      <c r="Z811" s="7">
        <f t="shared" si="176"/>
        <v>59</v>
      </c>
      <c r="AA811" s="7">
        <f t="shared" si="177"/>
        <v>2024</v>
      </c>
      <c r="AB811" s="7">
        <f t="shared" si="178"/>
        <v>4</v>
      </c>
      <c r="AC811" s="7">
        <f t="shared" si="179"/>
        <v>1</v>
      </c>
      <c r="AD811" s="7" t="str">
        <f t="shared" si="180"/>
        <v>No</v>
      </c>
      <c r="AE811" s="7" t="str">
        <f t="shared" si="181"/>
        <v>Normal</v>
      </c>
    </row>
    <row r="812" spans="1:31">
      <c r="A812" t="s">
        <v>2521</v>
      </c>
      <c r="B812">
        <v>52101199</v>
      </c>
      <c r="C812" t="s">
        <v>929</v>
      </c>
      <c r="D812" t="s">
        <v>689</v>
      </c>
      <c r="E812">
        <v>1</v>
      </c>
      <c r="F812" t="s">
        <v>45</v>
      </c>
      <c r="G812" t="s">
        <v>92</v>
      </c>
      <c r="H812" t="s">
        <v>56</v>
      </c>
      <c r="I812" t="s">
        <v>3374</v>
      </c>
      <c r="J812">
        <v>1948.22</v>
      </c>
      <c r="K812" t="s">
        <v>57</v>
      </c>
      <c r="L812" t="s">
        <v>48</v>
      </c>
      <c r="M812" s="1">
        <v>45506.804166666669</v>
      </c>
      <c r="N812">
        <v>81</v>
      </c>
      <c r="O812" t="s">
        <v>24</v>
      </c>
      <c r="P812" t="s">
        <v>55</v>
      </c>
      <c r="Q812" t="s">
        <v>2522</v>
      </c>
      <c r="R812" t="str">
        <f t="shared" si="168"/>
        <v>Charles Hernandez</v>
      </c>
      <c r="S812" t="str">
        <f t="shared" si="169"/>
        <v>Jean-Pierre Al-Sayed</v>
      </c>
      <c r="T812" t="str">
        <f t="shared" si="170"/>
        <v>ZAR</v>
      </c>
      <c r="U812" s="7" t="str">
        <f t="shared" si="171"/>
        <v>AUD</v>
      </c>
      <c r="V812" s="7" t="str">
        <f t="shared" si="172"/>
        <v>Brazil</v>
      </c>
      <c r="W812" s="7" t="str">
        <f t="shared" si="173"/>
        <v>UK</v>
      </c>
      <c r="X812" s="7" t="str">
        <f t="shared" si="174"/>
        <v>External</v>
      </c>
      <c r="Y812" s="7">
        <f t="shared" si="175"/>
        <v>1948.22</v>
      </c>
      <c r="Z812" s="7">
        <f t="shared" si="176"/>
        <v>81</v>
      </c>
      <c r="AA812" s="7">
        <f t="shared" si="177"/>
        <v>2024</v>
      </c>
      <c r="AB812" s="7">
        <f t="shared" si="178"/>
        <v>8</v>
      </c>
      <c r="AC812" s="7">
        <f t="shared" si="179"/>
        <v>1</v>
      </c>
      <c r="AD812" s="7" t="str">
        <f t="shared" si="180"/>
        <v>No</v>
      </c>
      <c r="AE812" s="7" t="str">
        <f t="shared" si="181"/>
        <v>Normal</v>
      </c>
    </row>
    <row r="813" spans="1:31">
      <c r="A813" t="s">
        <v>2523</v>
      </c>
      <c r="B813">
        <v>18585082</v>
      </c>
      <c r="C813" t="s">
        <v>2247</v>
      </c>
      <c r="D813" t="s">
        <v>383</v>
      </c>
      <c r="E813" t="s">
        <v>20</v>
      </c>
      <c r="F813" t="s">
        <v>121</v>
      </c>
      <c r="G813" t="s">
        <v>35</v>
      </c>
      <c r="I813" t="s">
        <v>3377</v>
      </c>
      <c r="J813">
        <v>1359.81</v>
      </c>
      <c r="K813" t="s">
        <v>27</v>
      </c>
      <c r="L813" t="s">
        <v>81</v>
      </c>
      <c r="M813" s="1">
        <v>44953.018750000003</v>
      </c>
      <c r="N813">
        <v>32</v>
      </c>
      <c r="O813" t="s">
        <v>24</v>
      </c>
      <c r="P813" t="s">
        <v>127</v>
      </c>
      <c r="Q813" t="s">
        <v>2524</v>
      </c>
      <c r="R813" t="str">
        <f t="shared" si="168"/>
        <v>Mary Martinez</v>
      </c>
      <c r="S813" t="str">
        <f t="shared" si="169"/>
        <v>Linda Martin</v>
      </c>
      <c r="T813" t="str">
        <f t="shared" si="170"/>
        <v>INR</v>
      </c>
      <c r="U813" s="7" t="str">
        <f t="shared" si="171"/>
        <v>EUR</v>
      </c>
      <c r="V813" s="7" t="str">
        <f t="shared" si="172"/>
        <v>Brazil</v>
      </c>
      <c r="W813" s="7" t="str">
        <f t="shared" si="173"/>
        <v>Canada</v>
      </c>
      <c r="X813" s="7" t="str">
        <f t="shared" si="174"/>
        <v>Inter-Transaction</v>
      </c>
      <c r="Y813" s="7">
        <f t="shared" si="175"/>
        <v>1359.81</v>
      </c>
      <c r="Z813" s="7">
        <f t="shared" si="176"/>
        <v>32</v>
      </c>
      <c r="AA813" s="7">
        <f t="shared" si="177"/>
        <v>2023</v>
      </c>
      <c r="AB813" s="7">
        <f t="shared" si="178"/>
        <v>1</v>
      </c>
      <c r="AC813" s="7">
        <f t="shared" si="179"/>
        <v>1</v>
      </c>
      <c r="AD813" s="7" t="str">
        <f t="shared" si="180"/>
        <v>No</v>
      </c>
      <c r="AE813" s="7" t="str">
        <f t="shared" si="181"/>
        <v>Normal</v>
      </c>
    </row>
    <row r="814" spans="1:31">
      <c r="A814" t="s">
        <v>2525</v>
      </c>
      <c r="B814">
        <v>36731136</v>
      </c>
      <c r="C814" t="s">
        <v>998</v>
      </c>
      <c r="D814" t="s">
        <v>2526</v>
      </c>
      <c r="E814" t="s">
        <v>20</v>
      </c>
      <c r="F814" t="s">
        <v>92</v>
      </c>
      <c r="G814" t="s">
        <v>92</v>
      </c>
      <c r="H814" t="s">
        <v>103</v>
      </c>
      <c r="I814" t="s">
        <v>3371</v>
      </c>
      <c r="J814">
        <v>11222.46</v>
      </c>
      <c r="K814" t="s">
        <v>27</v>
      </c>
      <c r="L814" t="s">
        <v>75</v>
      </c>
      <c r="M814" s="1">
        <v>45132.870138888888</v>
      </c>
      <c r="N814">
        <v>46</v>
      </c>
      <c r="O814" t="s">
        <v>24</v>
      </c>
      <c r="P814" t="s">
        <v>68</v>
      </c>
      <c r="Q814" t="s">
        <v>2527</v>
      </c>
      <c r="R814" t="str">
        <f t="shared" si="168"/>
        <v>Patricia Al-Sayed</v>
      </c>
      <c r="S814" t="str">
        <f t="shared" si="169"/>
        <v xml:space="preserve"> Karen Smith   </v>
      </c>
      <c r="T814" t="str">
        <f t="shared" si="170"/>
        <v>AUD</v>
      </c>
      <c r="U814" s="7" t="str">
        <f t="shared" si="171"/>
        <v>AUD</v>
      </c>
      <c r="V814" s="7" t="str">
        <f t="shared" si="172"/>
        <v>Brazil</v>
      </c>
      <c r="W814" s="7" t="str">
        <f t="shared" si="173"/>
        <v>UAE</v>
      </c>
      <c r="X814" s="7" t="str">
        <f t="shared" si="174"/>
        <v>Outer-Transaction</v>
      </c>
      <c r="Y814" s="7">
        <f t="shared" si="175"/>
        <v>11222.46</v>
      </c>
      <c r="Z814" s="7">
        <f t="shared" si="176"/>
        <v>46</v>
      </c>
      <c r="AA814" s="7">
        <f t="shared" si="177"/>
        <v>2023</v>
      </c>
      <c r="AB814" s="7">
        <f t="shared" si="178"/>
        <v>7</v>
      </c>
      <c r="AC814" s="7">
        <f t="shared" si="179"/>
        <v>1</v>
      </c>
      <c r="AD814" s="7" t="str">
        <f t="shared" si="180"/>
        <v>No</v>
      </c>
      <c r="AE814" s="7" t="str">
        <f t="shared" si="181"/>
        <v>High Risk</v>
      </c>
    </row>
    <row r="815" spans="1:31">
      <c r="A815" t="s">
        <v>2528</v>
      </c>
      <c r="B815">
        <v>81062939</v>
      </c>
      <c r="C815" t="s">
        <v>2529</v>
      </c>
      <c r="D815" t="s">
        <v>111</v>
      </c>
      <c r="E815" t="s">
        <v>20</v>
      </c>
      <c r="F815" t="s">
        <v>34</v>
      </c>
      <c r="G815" t="s">
        <v>98</v>
      </c>
      <c r="H815" t="s">
        <v>38</v>
      </c>
      <c r="I815" t="s">
        <v>3376</v>
      </c>
      <c r="J815">
        <v>946.09</v>
      </c>
      <c r="K815" t="s">
        <v>39</v>
      </c>
      <c r="L815" t="s">
        <v>81</v>
      </c>
      <c r="M815" s="1">
        <v>45417.051388888889</v>
      </c>
      <c r="N815">
        <v>50</v>
      </c>
      <c r="O815" t="s">
        <v>54</v>
      </c>
      <c r="P815" t="s">
        <v>62</v>
      </c>
      <c r="Q815" t="s">
        <v>2530</v>
      </c>
      <c r="R815" t="str">
        <f t="shared" si="168"/>
        <v>Carlos Davis</v>
      </c>
      <c r="S815" t="str">
        <f t="shared" si="169"/>
        <v>Karen Rostova</v>
      </c>
      <c r="T815" t="str">
        <f t="shared" si="170"/>
        <v>CAD</v>
      </c>
      <c r="U815" s="7" t="str">
        <f t="shared" si="171"/>
        <v>JPY</v>
      </c>
      <c r="V815" s="7" t="str">
        <f t="shared" si="172"/>
        <v>India</v>
      </c>
      <c r="W815" s="7" t="str">
        <f t="shared" si="173"/>
        <v>Australia</v>
      </c>
      <c r="X815" s="7" t="str">
        <f t="shared" si="174"/>
        <v>Internal</v>
      </c>
      <c r="Y815" s="7">
        <f t="shared" si="175"/>
        <v>946.09</v>
      </c>
      <c r="Z815" s="7">
        <f t="shared" si="176"/>
        <v>50</v>
      </c>
      <c r="AA815" s="7">
        <f t="shared" si="177"/>
        <v>2024</v>
      </c>
      <c r="AB815" s="7">
        <f t="shared" si="178"/>
        <v>5</v>
      </c>
      <c r="AC815" s="7">
        <f t="shared" si="179"/>
        <v>1</v>
      </c>
      <c r="AD815" s="7" t="str">
        <f t="shared" si="180"/>
        <v>No</v>
      </c>
      <c r="AE815" s="7" t="str">
        <f t="shared" si="181"/>
        <v>Normal</v>
      </c>
    </row>
    <row r="816" spans="1:31">
      <c r="A816" t="s">
        <v>2531</v>
      </c>
      <c r="B816">
        <v>37757450</v>
      </c>
      <c r="C816" t="s">
        <v>115</v>
      </c>
      <c r="D816" t="s">
        <v>2384</v>
      </c>
      <c r="E816" t="s">
        <v>3373</v>
      </c>
      <c r="F816" t="s">
        <v>45</v>
      </c>
      <c r="G816" t="s">
        <v>121</v>
      </c>
      <c r="H816" t="s">
        <v>25</v>
      </c>
      <c r="I816" t="s">
        <v>3374</v>
      </c>
      <c r="J816">
        <v>14452.49</v>
      </c>
      <c r="K816" t="s">
        <v>39</v>
      </c>
      <c r="L816" t="s">
        <v>48</v>
      </c>
      <c r="M816" s="1">
        <v>45517.554166666669</v>
      </c>
      <c r="N816">
        <v>44</v>
      </c>
      <c r="O816" t="s">
        <v>62</v>
      </c>
      <c r="P816" t="s">
        <v>68</v>
      </c>
      <c r="Q816" t="s">
        <v>2532</v>
      </c>
      <c r="R816" t="str">
        <f t="shared" si="168"/>
        <v>Carlos Malik</v>
      </c>
      <c r="S816" t="str">
        <f t="shared" si="169"/>
        <v>Charles Martin</v>
      </c>
      <c r="T816" t="str">
        <f t="shared" si="170"/>
        <v>ZAR</v>
      </c>
      <c r="U816" s="7" t="str">
        <f t="shared" si="171"/>
        <v>INR</v>
      </c>
      <c r="V816" s="7" t="str">
        <f t="shared" si="172"/>
        <v>Australia</v>
      </c>
      <c r="W816" s="7" t="str">
        <f t="shared" si="173"/>
        <v>UAE</v>
      </c>
      <c r="X816" s="7" t="str">
        <f t="shared" si="174"/>
        <v>External</v>
      </c>
      <c r="Y816" s="7">
        <f t="shared" si="175"/>
        <v>14452.49</v>
      </c>
      <c r="Z816" s="7">
        <f t="shared" si="176"/>
        <v>44</v>
      </c>
      <c r="AA816" s="7">
        <f t="shared" si="177"/>
        <v>2024</v>
      </c>
      <c r="AB816" s="7">
        <f t="shared" si="178"/>
        <v>8</v>
      </c>
      <c r="AC816" s="7">
        <f t="shared" si="179"/>
        <v>1</v>
      </c>
      <c r="AD816" s="7" t="str">
        <f t="shared" si="180"/>
        <v>No</v>
      </c>
      <c r="AE816" s="7" t="str">
        <f t="shared" si="181"/>
        <v>Normal</v>
      </c>
    </row>
    <row r="817" spans="1:31">
      <c r="A817" t="s">
        <v>2533</v>
      </c>
      <c r="B817">
        <v>99096950</v>
      </c>
      <c r="C817" t="s">
        <v>1261</v>
      </c>
      <c r="D817" t="s">
        <v>1284</v>
      </c>
      <c r="E817">
        <v>0</v>
      </c>
      <c r="F817" t="s">
        <v>22</v>
      </c>
      <c r="G817" t="s">
        <v>116</v>
      </c>
      <c r="H817" t="s">
        <v>74</v>
      </c>
      <c r="I817" t="s">
        <v>3372</v>
      </c>
      <c r="J817">
        <v>11060.23</v>
      </c>
      <c r="K817" t="s">
        <v>86</v>
      </c>
      <c r="L817" t="s">
        <v>81</v>
      </c>
      <c r="M817" s="1">
        <v>44774.426388888889</v>
      </c>
      <c r="N817">
        <v>53</v>
      </c>
      <c r="O817" t="s">
        <v>55</v>
      </c>
      <c r="P817" t="s">
        <v>55</v>
      </c>
      <c r="Q817" t="s">
        <v>2534</v>
      </c>
      <c r="R817" t="str">
        <f t="shared" si="168"/>
        <v>Charles Silva</v>
      </c>
      <c r="S817" t="str">
        <f t="shared" si="169"/>
        <v>Linda Miller</v>
      </c>
      <c r="T817" t="str">
        <f t="shared" si="170"/>
        <v>BRL</v>
      </c>
      <c r="U817" s="7" t="str">
        <f t="shared" si="171"/>
        <v>CHF</v>
      </c>
      <c r="V817" s="7" t="str">
        <f t="shared" si="172"/>
        <v>UK</v>
      </c>
      <c r="W817" s="7" t="str">
        <f t="shared" si="173"/>
        <v>UK</v>
      </c>
      <c r="X817" s="7" t="str">
        <f t="shared" si="174"/>
        <v>Outer-Transaction</v>
      </c>
      <c r="Y817" s="7">
        <f t="shared" si="175"/>
        <v>11060.23</v>
      </c>
      <c r="Z817" s="7">
        <f t="shared" si="176"/>
        <v>53</v>
      </c>
      <c r="AA817" s="7">
        <f t="shared" si="177"/>
        <v>2022</v>
      </c>
      <c r="AB817" s="7">
        <f t="shared" si="178"/>
        <v>8</v>
      </c>
      <c r="AC817" s="7">
        <f t="shared" si="179"/>
        <v>1</v>
      </c>
      <c r="AD817" s="7" t="str">
        <f t="shared" si="180"/>
        <v>No</v>
      </c>
      <c r="AE817" s="7" t="str">
        <f t="shared" si="181"/>
        <v>Normal</v>
      </c>
    </row>
    <row r="818" spans="1:31">
      <c r="A818" t="s">
        <v>2535</v>
      </c>
      <c r="B818">
        <v>15831593</v>
      </c>
      <c r="C818" t="s">
        <v>1087</v>
      </c>
      <c r="D818" t="s">
        <v>1652</v>
      </c>
      <c r="E818" t="s">
        <v>20</v>
      </c>
      <c r="F818" t="s">
        <v>1084</v>
      </c>
      <c r="G818" t="s">
        <v>21</v>
      </c>
      <c r="H818" t="s">
        <v>103</v>
      </c>
      <c r="I818" t="s">
        <v>3371</v>
      </c>
      <c r="J818">
        <v>11557.16</v>
      </c>
      <c r="K818" t="s">
        <v>27</v>
      </c>
      <c r="L818" t="s">
        <v>48</v>
      </c>
      <c r="M818" s="1">
        <v>44285.243750000001</v>
      </c>
      <c r="N818">
        <v>46</v>
      </c>
      <c r="O818" t="s">
        <v>36</v>
      </c>
      <c r="P818" t="s">
        <v>36</v>
      </c>
      <c r="Q818" t="s">
        <v>2536</v>
      </c>
      <c r="R818" t="str">
        <f t="shared" si="168"/>
        <v>Jessica Dubois</v>
      </c>
      <c r="S818" t="str">
        <f t="shared" si="169"/>
        <v>Sanjay Al-Sayed</v>
      </c>
      <c r="T818" t="str">
        <f t="shared" si="170"/>
        <v>chf</v>
      </c>
      <c r="U818" s="7" t="str">
        <f t="shared" si="171"/>
        <v>GBP</v>
      </c>
      <c r="V818" s="7" t="str">
        <f t="shared" si="172"/>
        <v>Germany</v>
      </c>
      <c r="W818" s="7" t="str">
        <f t="shared" si="173"/>
        <v>Germany</v>
      </c>
      <c r="X818" s="7" t="str">
        <f t="shared" si="174"/>
        <v>Outer-Transaction</v>
      </c>
      <c r="Y818" s="7">
        <f t="shared" si="175"/>
        <v>11557.16</v>
      </c>
      <c r="Z818" s="7">
        <f t="shared" si="176"/>
        <v>46</v>
      </c>
      <c r="AA818" s="7">
        <f t="shared" si="177"/>
        <v>2021</v>
      </c>
      <c r="AB818" s="7">
        <f t="shared" si="178"/>
        <v>3</v>
      </c>
      <c r="AC818" s="7">
        <f t="shared" si="179"/>
        <v>1</v>
      </c>
      <c r="AD818" s="7" t="str">
        <f t="shared" si="180"/>
        <v>No</v>
      </c>
      <c r="AE818" s="7" t="str">
        <f t="shared" si="181"/>
        <v>Normal</v>
      </c>
    </row>
    <row r="819" spans="1:31">
      <c r="A819" t="s">
        <v>2537</v>
      </c>
      <c r="B819">
        <v>87786608</v>
      </c>
      <c r="C819" t="s">
        <v>589</v>
      </c>
      <c r="D819" t="s">
        <v>1966</v>
      </c>
      <c r="E819" t="s">
        <v>20</v>
      </c>
      <c r="F819" t="s">
        <v>53</v>
      </c>
      <c r="G819" t="s">
        <v>34</v>
      </c>
      <c r="H819" t="s">
        <v>74</v>
      </c>
      <c r="I819" t="s">
        <v>3374</v>
      </c>
      <c r="J819">
        <v>5867.93</v>
      </c>
      <c r="K819" t="s">
        <v>57</v>
      </c>
      <c r="L819" t="s">
        <v>81</v>
      </c>
      <c r="M819" s="1">
        <v>44958.35833333333</v>
      </c>
      <c r="N819">
        <v>55</v>
      </c>
      <c r="O819" t="s">
        <v>24</v>
      </c>
      <c r="P819" t="s">
        <v>24</v>
      </c>
      <c r="Q819" t="s">
        <v>2538</v>
      </c>
      <c r="R819" t="str">
        <f t="shared" si="168"/>
        <v>Zayn Moore</v>
      </c>
      <c r="S819" t="str">
        <f t="shared" si="169"/>
        <v>Sanjay Davis</v>
      </c>
      <c r="T819" t="str">
        <f t="shared" si="170"/>
        <v>AED</v>
      </c>
      <c r="U819" s="7" t="str">
        <f t="shared" si="171"/>
        <v>CAD</v>
      </c>
      <c r="V819" s="7" t="str">
        <f t="shared" si="172"/>
        <v>Brazil</v>
      </c>
      <c r="W819" s="7" t="str">
        <f t="shared" si="173"/>
        <v>Brazil</v>
      </c>
      <c r="X819" s="7" t="str">
        <f t="shared" si="174"/>
        <v>External</v>
      </c>
      <c r="Y819" s="7">
        <f t="shared" si="175"/>
        <v>5867.93</v>
      </c>
      <c r="Z819" s="7">
        <f t="shared" si="176"/>
        <v>55</v>
      </c>
      <c r="AA819" s="7">
        <f t="shared" si="177"/>
        <v>2023</v>
      </c>
      <c r="AB819" s="7">
        <f t="shared" si="178"/>
        <v>2</v>
      </c>
      <c r="AC819" s="7">
        <f t="shared" si="179"/>
        <v>1</v>
      </c>
      <c r="AD819" s="7" t="str">
        <f t="shared" si="180"/>
        <v>No</v>
      </c>
      <c r="AE819" s="7" t="str">
        <f t="shared" si="181"/>
        <v>Normal</v>
      </c>
    </row>
    <row r="820" spans="1:31">
      <c r="A820" t="s">
        <v>2539</v>
      </c>
      <c r="B820">
        <v>89614817</v>
      </c>
      <c r="C820" t="s">
        <v>618</v>
      </c>
      <c r="D820" t="s">
        <v>2371</v>
      </c>
      <c r="E820" t="s">
        <v>20</v>
      </c>
      <c r="F820" t="s">
        <v>116</v>
      </c>
      <c r="G820" t="s">
        <v>176</v>
      </c>
      <c r="H820" t="s">
        <v>74</v>
      </c>
      <c r="I820" t="s">
        <v>3376</v>
      </c>
      <c r="J820">
        <v>12926.18</v>
      </c>
      <c r="K820" t="s">
        <v>86</v>
      </c>
      <c r="L820" t="s">
        <v>81</v>
      </c>
      <c r="M820" s="1">
        <v>44776.814583333333</v>
      </c>
      <c r="N820">
        <v>74</v>
      </c>
      <c r="O820" t="s">
        <v>127</v>
      </c>
      <c r="P820" t="s">
        <v>55</v>
      </c>
      <c r="Q820" t="s">
        <v>2540</v>
      </c>
      <c r="R820" t="str">
        <f t="shared" si="168"/>
        <v>Christopher Volkov</v>
      </c>
      <c r="S820" t="str">
        <f t="shared" si="169"/>
        <v>Linda Hernandez</v>
      </c>
      <c r="T820" t="str">
        <f t="shared" si="170"/>
        <v>CHF</v>
      </c>
      <c r="U820" s="7" t="str">
        <f t="shared" si="171"/>
        <v>aed</v>
      </c>
      <c r="V820" s="7" t="str">
        <f t="shared" si="172"/>
        <v>Canada</v>
      </c>
      <c r="W820" s="7" t="str">
        <f t="shared" si="173"/>
        <v>UK</v>
      </c>
      <c r="X820" s="7" t="str">
        <f t="shared" si="174"/>
        <v>Internal</v>
      </c>
      <c r="Y820" s="7">
        <f t="shared" si="175"/>
        <v>12926.18</v>
      </c>
      <c r="Z820" s="7">
        <f t="shared" si="176"/>
        <v>74</v>
      </c>
      <c r="AA820" s="7">
        <f t="shared" si="177"/>
        <v>2022</v>
      </c>
      <c r="AB820" s="7">
        <f t="shared" si="178"/>
        <v>8</v>
      </c>
      <c r="AC820" s="7">
        <f t="shared" si="179"/>
        <v>1</v>
      </c>
      <c r="AD820" s="7" t="str">
        <f t="shared" si="180"/>
        <v>No</v>
      </c>
      <c r="AE820" s="7" t="str">
        <f t="shared" si="181"/>
        <v>Normal</v>
      </c>
    </row>
    <row r="821" spans="1:31">
      <c r="A821" t="s">
        <v>2541</v>
      </c>
      <c r="B821">
        <v>87053633</v>
      </c>
      <c r="C821" t="s">
        <v>473</v>
      </c>
      <c r="D821" t="s">
        <v>350</v>
      </c>
      <c r="E821" t="s">
        <v>20</v>
      </c>
      <c r="F821" t="s">
        <v>98</v>
      </c>
      <c r="G821" t="s">
        <v>116</v>
      </c>
      <c r="H821" t="s">
        <v>38</v>
      </c>
      <c r="I821" t="s">
        <v>3378</v>
      </c>
      <c r="J821">
        <v>6090.37</v>
      </c>
      <c r="K821" t="s">
        <v>86</v>
      </c>
      <c r="L821" t="s">
        <v>48</v>
      </c>
      <c r="M821" s="1">
        <v>44431.225694444445</v>
      </c>
      <c r="N821">
        <v>44</v>
      </c>
      <c r="O821" t="s">
        <v>62</v>
      </c>
      <c r="P821" t="s">
        <v>68</v>
      </c>
      <c r="Q821" t="s">
        <v>2542</v>
      </c>
      <c r="R821" t="str">
        <f t="shared" si="168"/>
        <v>Nancy Gonzalez</v>
      </c>
      <c r="S821" t="str">
        <f t="shared" si="169"/>
        <v>Sarah Smith</v>
      </c>
      <c r="T821" t="str">
        <f t="shared" si="170"/>
        <v>JPY</v>
      </c>
      <c r="U821" s="7" t="str">
        <f t="shared" si="171"/>
        <v>CHF</v>
      </c>
      <c r="V821" s="7" t="str">
        <f t="shared" si="172"/>
        <v>Australia</v>
      </c>
      <c r="W821" s="7" t="str">
        <f t="shared" si="173"/>
        <v>UAE</v>
      </c>
      <c r="X821" s="7" t="str">
        <f t="shared" si="174"/>
        <v>Inter-Transaction</v>
      </c>
      <c r="Y821" s="7">
        <f t="shared" si="175"/>
        <v>6090.37</v>
      </c>
      <c r="Z821" s="7">
        <f t="shared" si="176"/>
        <v>44</v>
      </c>
      <c r="AA821" s="7">
        <f t="shared" si="177"/>
        <v>2021</v>
      </c>
      <c r="AB821" s="7">
        <f t="shared" si="178"/>
        <v>8</v>
      </c>
      <c r="AC821" s="7">
        <f t="shared" si="179"/>
        <v>1</v>
      </c>
      <c r="AD821" s="7" t="str">
        <f t="shared" si="180"/>
        <v>No</v>
      </c>
      <c r="AE821" s="7" t="str">
        <f t="shared" si="181"/>
        <v>Normal</v>
      </c>
    </row>
    <row r="822" spans="1:31">
      <c r="A822" t="s">
        <v>2543</v>
      </c>
      <c r="B822">
        <v>88050960</v>
      </c>
      <c r="C822" t="s">
        <v>1593</v>
      </c>
      <c r="D822" t="s">
        <v>900</v>
      </c>
      <c r="E822" t="b">
        <v>0</v>
      </c>
      <c r="F822" t="s">
        <v>53</v>
      </c>
      <c r="G822" t="s">
        <v>116</v>
      </c>
      <c r="I822" t="s">
        <v>3376</v>
      </c>
      <c r="J822">
        <v>12094.99</v>
      </c>
      <c r="K822" t="s">
        <v>86</v>
      </c>
      <c r="L822" t="s">
        <v>75</v>
      </c>
      <c r="M822" s="1">
        <v>44555.727083333331</v>
      </c>
      <c r="N822">
        <v>72</v>
      </c>
      <c r="O822" t="s">
        <v>54</v>
      </c>
      <c r="P822" t="s">
        <v>68</v>
      </c>
      <c r="Q822" t="s">
        <v>2544</v>
      </c>
      <c r="R822" t="str">
        <f t="shared" si="168"/>
        <v>Karen Silva</v>
      </c>
      <c r="S822" t="str">
        <f t="shared" si="169"/>
        <v>Karen Brown</v>
      </c>
      <c r="T822" t="str">
        <f t="shared" si="170"/>
        <v>AED</v>
      </c>
      <c r="U822" s="7" t="str">
        <f t="shared" si="171"/>
        <v>CHF</v>
      </c>
      <c r="V822" s="7" t="str">
        <f t="shared" si="172"/>
        <v>India</v>
      </c>
      <c r="W822" s="7" t="str">
        <f t="shared" si="173"/>
        <v>UAE</v>
      </c>
      <c r="X822" s="7" t="str">
        <f t="shared" si="174"/>
        <v>Internal</v>
      </c>
      <c r="Y822" s="7">
        <f t="shared" si="175"/>
        <v>12094.99</v>
      </c>
      <c r="Z822" s="7">
        <f t="shared" si="176"/>
        <v>72</v>
      </c>
      <c r="AA822" s="7">
        <f t="shared" si="177"/>
        <v>2021</v>
      </c>
      <c r="AB822" s="7">
        <f t="shared" si="178"/>
        <v>12</v>
      </c>
      <c r="AC822" s="7">
        <f t="shared" si="179"/>
        <v>1</v>
      </c>
      <c r="AD822" s="7" t="str">
        <f t="shared" si="180"/>
        <v>No</v>
      </c>
      <c r="AE822" s="7" t="str">
        <f t="shared" si="181"/>
        <v>High Risk</v>
      </c>
    </row>
    <row r="823" spans="1:31">
      <c r="A823" t="s">
        <v>2545</v>
      </c>
      <c r="B823">
        <v>84205887</v>
      </c>
      <c r="C823" t="s">
        <v>1469</v>
      </c>
      <c r="D823" t="s">
        <v>2546</v>
      </c>
      <c r="E823" t="s">
        <v>3375</v>
      </c>
      <c r="F823" t="s">
        <v>21</v>
      </c>
      <c r="G823" t="s">
        <v>53</v>
      </c>
      <c r="H823" t="s">
        <v>38</v>
      </c>
      <c r="I823" t="s">
        <v>3376</v>
      </c>
      <c r="J823">
        <v>8337.61</v>
      </c>
      <c r="K823" t="s">
        <v>86</v>
      </c>
      <c r="L823" t="s">
        <v>75</v>
      </c>
      <c r="M823" s="1">
        <v>46111.951388888891</v>
      </c>
      <c r="N823">
        <v>50</v>
      </c>
      <c r="O823" t="s">
        <v>62</v>
      </c>
      <c r="P823" t="s">
        <v>54</v>
      </c>
      <c r="Q823" t="s">
        <v>2547</v>
      </c>
      <c r="R823" t="str">
        <f t="shared" si="168"/>
        <v>Nancy Volkov</v>
      </c>
      <c r="S823" t="str">
        <f t="shared" si="169"/>
        <v xml:space="preserve"> Mary Smith   </v>
      </c>
      <c r="T823" t="str">
        <f t="shared" si="170"/>
        <v>GBP</v>
      </c>
      <c r="U823" s="7" t="str">
        <f t="shared" si="171"/>
        <v>AED</v>
      </c>
      <c r="V823" s="7" t="str">
        <f t="shared" si="172"/>
        <v>Australia</v>
      </c>
      <c r="W823" s="7" t="str">
        <f t="shared" si="173"/>
        <v>India</v>
      </c>
      <c r="X823" s="7" t="str">
        <f t="shared" si="174"/>
        <v>Internal</v>
      </c>
      <c r="Y823" s="7">
        <f t="shared" si="175"/>
        <v>8337.61</v>
      </c>
      <c r="Z823" s="7">
        <f t="shared" si="176"/>
        <v>50</v>
      </c>
      <c r="AA823" s="7">
        <f t="shared" si="177"/>
        <v>2026</v>
      </c>
      <c r="AB823" s="7">
        <f t="shared" si="178"/>
        <v>3</v>
      </c>
      <c r="AC823" s="7">
        <f t="shared" si="179"/>
        <v>1</v>
      </c>
      <c r="AD823" s="7" t="str">
        <f t="shared" si="180"/>
        <v>No</v>
      </c>
      <c r="AE823" s="7" t="str">
        <f t="shared" si="181"/>
        <v>High Risk</v>
      </c>
    </row>
    <row r="824" spans="1:31">
      <c r="A824" t="s">
        <v>2548</v>
      </c>
      <c r="C824" t="s">
        <v>2549</v>
      </c>
      <c r="D824" t="s">
        <v>2550</v>
      </c>
      <c r="E824" t="s">
        <v>20</v>
      </c>
      <c r="F824" t="s">
        <v>21</v>
      </c>
      <c r="G824" t="s">
        <v>686</v>
      </c>
      <c r="I824" t="s">
        <v>3372</v>
      </c>
      <c r="J824">
        <v>11398.99</v>
      </c>
      <c r="K824" t="s">
        <v>39</v>
      </c>
      <c r="L824" t="s">
        <v>28</v>
      </c>
      <c r="M824" s="1">
        <v>45248.354861111111</v>
      </c>
      <c r="N824">
        <v>85</v>
      </c>
      <c r="O824" t="s">
        <v>36</v>
      </c>
      <c r="P824" t="s">
        <v>54</v>
      </c>
      <c r="Q824" t="s">
        <v>2551</v>
      </c>
      <c r="R824" t="str">
        <f t="shared" si="168"/>
        <v>Karen Lopez</v>
      </c>
      <c r="S824" t="str">
        <f t="shared" si="169"/>
        <v>Jessica Malik</v>
      </c>
      <c r="T824" t="str">
        <f t="shared" si="170"/>
        <v>GBP</v>
      </c>
      <c r="U824" s="7" t="str">
        <f t="shared" si="171"/>
        <v>sgd</v>
      </c>
      <c r="V824" s="7" t="str">
        <f t="shared" si="172"/>
        <v>Germany</v>
      </c>
      <c r="W824" s="7" t="str">
        <f t="shared" si="173"/>
        <v>India</v>
      </c>
      <c r="X824" s="7" t="str">
        <f t="shared" si="174"/>
        <v>Outer-Transaction</v>
      </c>
      <c r="Y824" s="7">
        <f t="shared" si="175"/>
        <v>11398.99</v>
      </c>
      <c r="Z824" s="7">
        <f t="shared" si="176"/>
        <v>85</v>
      </c>
      <c r="AA824" s="7">
        <f t="shared" si="177"/>
        <v>2023</v>
      </c>
      <c r="AB824" s="7">
        <f t="shared" si="178"/>
        <v>11</v>
      </c>
      <c r="AC824" s="7">
        <f t="shared" si="179"/>
        <v>1</v>
      </c>
      <c r="AD824" s="7" t="str">
        <f t="shared" si="180"/>
        <v>No</v>
      </c>
      <c r="AE824" s="7" t="str">
        <f t="shared" si="181"/>
        <v>Normal</v>
      </c>
    </row>
    <row r="825" spans="1:31">
      <c r="A825" t="s">
        <v>2552</v>
      </c>
      <c r="B825">
        <v>35713686</v>
      </c>
      <c r="C825" t="s">
        <v>235</v>
      </c>
      <c r="D825" t="s">
        <v>1045</v>
      </c>
      <c r="E825" t="s">
        <v>3375</v>
      </c>
      <c r="F825" t="s">
        <v>53</v>
      </c>
      <c r="G825" t="s">
        <v>92</v>
      </c>
      <c r="I825" t="s">
        <v>3377</v>
      </c>
      <c r="J825">
        <v>7966.98</v>
      </c>
      <c r="K825" t="s">
        <v>47</v>
      </c>
      <c r="L825" t="s">
        <v>81</v>
      </c>
      <c r="M825" s="1">
        <v>45355.871527777781</v>
      </c>
      <c r="N825">
        <v>83</v>
      </c>
      <c r="O825" t="s">
        <v>54</v>
      </c>
      <c r="P825" t="s">
        <v>37</v>
      </c>
      <c r="Q825" t="s">
        <v>2553</v>
      </c>
      <c r="R825" t="str">
        <f t="shared" si="168"/>
        <v>Amir Anderson</v>
      </c>
      <c r="S825" t="str">
        <f t="shared" si="169"/>
        <v>Karen Velez</v>
      </c>
      <c r="T825" t="str">
        <f t="shared" si="170"/>
        <v>AED</v>
      </c>
      <c r="U825" s="7" t="str">
        <f t="shared" si="171"/>
        <v>AUD</v>
      </c>
      <c r="V825" s="7" t="str">
        <f t="shared" si="172"/>
        <v>India</v>
      </c>
      <c r="W825" s="7" t="str">
        <f t="shared" si="173"/>
        <v>South Africa</v>
      </c>
      <c r="X825" s="7" t="str">
        <f t="shared" si="174"/>
        <v>Inter-Transaction</v>
      </c>
      <c r="Y825" s="7">
        <f t="shared" si="175"/>
        <v>7966.98</v>
      </c>
      <c r="Z825" s="7">
        <f t="shared" si="176"/>
        <v>83</v>
      </c>
      <c r="AA825" s="7">
        <f t="shared" si="177"/>
        <v>2024</v>
      </c>
      <c r="AB825" s="7">
        <f t="shared" si="178"/>
        <v>3</v>
      </c>
      <c r="AC825" s="7">
        <f t="shared" si="179"/>
        <v>1</v>
      </c>
      <c r="AD825" s="7" t="str">
        <f t="shared" si="180"/>
        <v>No</v>
      </c>
      <c r="AE825" s="7" t="str">
        <f t="shared" si="181"/>
        <v>Normal</v>
      </c>
    </row>
    <row r="826" spans="1:31">
      <c r="A826" t="s">
        <v>2554</v>
      </c>
      <c r="B826">
        <v>49678304</v>
      </c>
      <c r="C826" t="s">
        <v>592</v>
      </c>
      <c r="D826" t="s">
        <v>357</v>
      </c>
      <c r="E826" t="s">
        <v>20</v>
      </c>
      <c r="F826" t="s">
        <v>80</v>
      </c>
      <c r="G826" t="s">
        <v>92</v>
      </c>
      <c r="H826" t="s">
        <v>103</v>
      </c>
      <c r="I826" t="s">
        <v>3371</v>
      </c>
      <c r="J826">
        <v>4520.24</v>
      </c>
      <c r="K826" t="s">
        <v>86</v>
      </c>
      <c r="L826" t="s">
        <v>81</v>
      </c>
      <c r="M826" s="1">
        <v>44081.217361111114</v>
      </c>
      <c r="N826">
        <v>27</v>
      </c>
      <c r="O826" t="s">
        <v>36</v>
      </c>
      <c r="P826" t="s">
        <v>54</v>
      </c>
      <c r="Q826" t="s">
        <v>2555</v>
      </c>
      <c r="R826" t="str">
        <f t="shared" si="168"/>
        <v>Barbara Rodriguez</v>
      </c>
      <c r="S826" t="str">
        <f t="shared" si="169"/>
        <v>Michael Martin</v>
      </c>
      <c r="T826" t="str">
        <f t="shared" si="170"/>
        <v>USD</v>
      </c>
      <c r="U826" s="7" t="str">
        <f t="shared" si="171"/>
        <v>AUD</v>
      </c>
      <c r="V826" s="7" t="str">
        <f t="shared" si="172"/>
        <v>Germany</v>
      </c>
      <c r="W826" s="7" t="str">
        <f t="shared" si="173"/>
        <v>India</v>
      </c>
      <c r="X826" s="7" t="str">
        <f t="shared" si="174"/>
        <v>Outer-Transaction</v>
      </c>
      <c r="Y826" s="7">
        <f t="shared" si="175"/>
        <v>4520.24</v>
      </c>
      <c r="Z826" s="7">
        <f t="shared" si="176"/>
        <v>27</v>
      </c>
      <c r="AA826" s="7">
        <f t="shared" si="177"/>
        <v>2020</v>
      </c>
      <c r="AB826" s="7">
        <f t="shared" si="178"/>
        <v>9</v>
      </c>
      <c r="AC826" s="7">
        <f t="shared" si="179"/>
        <v>1</v>
      </c>
      <c r="AD826" s="7" t="str">
        <f t="shared" si="180"/>
        <v>No</v>
      </c>
      <c r="AE826" s="7" t="str">
        <f t="shared" si="181"/>
        <v>Normal</v>
      </c>
    </row>
    <row r="827" spans="1:31">
      <c r="A827" t="s">
        <v>2556</v>
      </c>
      <c r="B827">
        <v>33925710</v>
      </c>
      <c r="C827" t="s">
        <v>2557</v>
      </c>
      <c r="D827" t="s">
        <v>2558</v>
      </c>
      <c r="E827" t="s">
        <v>20</v>
      </c>
      <c r="F827" t="s">
        <v>34</v>
      </c>
      <c r="G827" t="s">
        <v>121</v>
      </c>
      <c r="H827" t="s">
        <v>56</v>
      </c>
      <c r="I827" t="s">
        <v>3378</v>
      </c>
      <c r="J827">
        <v>7211.2</v>
      </c>
      <c r="K827" t="s">
        <v>39</v>
      </c>
      <c r="L827" t="s">
        <v>75</v>
      </c>
      <c r="M827" s="1">
        <v>45375.966666666667</v>
      </c>
      <c r="N827">
        <v>22</v>
      </c>
      <c r="O827" t="s">
        <v>62</v>
      </c>
      <c r="P827" t="s">
        <v>93</v>
      </c>
      <c r="Q827" t="s">
        <v>2559</v>
      </c>
      <c r="R827" t="str">
        <f t="shared" si="168"/>
        <v>Linda Malik</v>
      </c>
      <c r="S827" t="str">
        <f t="shared" si="169"/>
        <v xml:space="preserve"> Linda Brown   </v>
      </c>
      <c r="T827" t="str">
        <f t="shared" si="170"/>
        <v>CAD</v>
      </c>
      <c r="U827" s="7" t="str">
        <f t="shared" si="171"/>
        <v>INR</v>
      </c>
      <c r="V827" s="7" t="str">
        <f t="shared" si="172"/>
        <v>Australia</v>
      </c>
      <c r="W827" s="7" t="str">
        <f t="shared" si="173"/>
        <v>USA</v>
      </c>
      <c r="X827" s="7" t="str">
        <f t="shared" si="174"/>
        <v>Inter-Transaction</v>
      </c>
      <c r="Y827" s="7">
        <f t="shared" si="175"/>
        <v>7211.2</v>
      </c>
      <c r="Z827" s="7">
        <f t="shared" si="176"/>
        <v>22</v>
      </c>
      <c r="AA827" s="7">
        <f t="shared" si="177"/>
        <v>2024</v>
      </c>
      <c r="AB827" s="7">
        <f t="shared" si="178"/>
        <v>3</v>
      </c>
      <c r="AC827" s="7">
        <f t="shared" si="179"/>
        <v>1</v>
      </c>
      <c r="AD827" s="7" t="str">
        <f t="shared" si="180"/>
        <v>No</v>
      </c>
      <c r="AE827" s="7" t="str">
        <f t="shared" si="181"/>
        <v>High Risk</v>
      </c>
    </row>
    <row r="828" spans="1:31">
      <c r="A828" t="s">
        <v>2560</v>
      </c>
      <c r="B828">
        <v>41106335</v>
      </c>
      <c r="C828" t="s">
        <v>187</v>
      </c>
      <c r="D828" t="s">
        <v>809</v>
      </c>
      <c r="E828" t="s">
        <v>20</v>
      </c>
      <c r="F828" t="s">
        <v>35</v>
      </c>
      <c r="G828" t="s">
        <v>21</v>
      </c>
      <c r="H828" t="s">
        <v>38</v>
      </c>
      <c r="I828" t="s">
        <v>3377</v>
      </c>
      <c r="J828">
        <v>59.83</v>
      </c>
      <c r="K828" t="s">
        <v>47</v>
      </c>
      <c r="L828" t="s">
        <v>81</v>
      </c>
      <c r="M828" s="1">
        <v>43909.424305555556</v>
      </c>
      <c r="N828">
        <v>55</v>
      </c>
      <c r="O828" t="s">
        <v>55</v>
      </c>
      <c r="P828" t="s">
        <v>24</v>
      </c>
      <c r="Q828" t="s">
        <v>2561</v>
      </c>
      <c r="R828" t="str">
        <f t="shared" si="168"/>
        <v>Karen Davis</v>
      </c>
      <c r="S828" t="str">
        <f t="shared" si="169"/>
        <v>Richard Smith</v>
      </c>
      <c r="T828" t="str">
        <f t="shared" si="170"/>
        <v>EUR</v>
      </c>
      <c r="U828" s="7" t="str">
        <f t="shared" si="171"/>
        <v>GBP</v>
      </c>
      <c r="V828" s="7" t="str">
        <f t="shared" si="172"/>
        <v>UK</v>
      </c>
      <c r="W828" s="7" t="str">
        <f t="shared" si="173"/>
        <v>Brazil</v>
      </c>
      <c r="X828" s="7" t="str">
        <f t="shared" si="174"/>
        <v>Inter-Transaction</v>
      </c>
      <c r="Y828" s="7">
        <f t="shared" si="175"/>
        <v>59.83</v>
      </c>
      <c r="Z828" s="7">
        <f t="shared" si="176"/>
        <v>55</v>
      </c>
      <c r="AA828" s="7">
        <f t="shared" si="177"/>
        <v>2020</v>
      </c>
      <c r="AB828" s="7">
        <f t="shared" si="178"/>
        <v>3</v>
      </c>
      <c r="AC828" s="7">
        <f t="shared" si="179"/>
        <v>1</v>
      </c>
      <c r="AD828" s="7" t="str">
        <f t="shared" si="180"/>
        <v>No</v>
      </c>
      <c r="AE828" s="7" t="str">
        <f t="shared" si="181"/>
        <v>Normal</v>
      </c>
    </row>
    <row r="829" spans="1:31">
      <c r="A829" t="s">
        <v>2562</v>
      </c>
      <c r="B829">
        <v>95911762</v>
      </c>
      <c r="C829" t="s">
        <v>939</v>
      </c>
      <c r="D829" t="s">
        <v>1476</v>
      </c>
      <c r="E829" t="s">
        <v>20</v>
      </c>
      <c r="F829" t="s">
        <v>53</v>
      </c>
      <c r="G829" t="s">
        <v>98</v>
      </c>
      <c r="H829" t="s">
        <v>103</v>
      </c>
      <c r="I829" t="s">
        <v>3376</v>
      </c>
      <c r="J829">
        <v>4877.6099999999997</v>
      </c>
      <c r="K829" t="s">
        <v>47</v>
      </c>
      <c r="L829" t="s">
        <v>75</v>
      </c>
      <c r="M829" s="1">
        <v>44728.762499999997</v>
      </c>
      <c r="N829">
        <v>30</v>
      </c>
      <c r="O829" t="s">
        <v>36</v>
      </c>
      <c r="P829" t="s">
        <v>62</v>
      </c>
      <c r="Q829" t="s">
        <v>2563</v>
      </c>
      <c r="R829" t="str">
        <f t="shared" si="168"/>
        <v>Michael Nair</v>
      </c>
      <c r="S829" t="str">
        <f t="shared" si="169"/>
        <v>Thomas Thomas</v>
      </c>
      <c r="T829" t="str">
        <f t="shared" si="170"/>
        <v>AED</v>
      </c>
      <c r="U829" s="7" t="str">
        <f t="shared" si="171"/>
        <v>JPY</v>
      </c>
      <c r="V829" s="7" t="str">
        <f t="shared" si="172"/>
        <v>Germany</v>
      </c>
      <c r="W829" s="7" t="str">
        <f t="shared" si="173"/>
        <v>Australia</v>
      </c>
      <c r="X829" s="7" t="str">
        <f t="shared" si="174"/>
        <v>Internal</v>
      </c>
      <c r="Y829" s="7">
        <f t="shared" si="175"/>
        <v>4877.6099999999997</v>
      </c>
      <c r="Z829" s="7">
        <f t="shared" si="176"/>
        <v>30</v>
      </c>
      <c r="AA829" s="7">
        <f t="shared" si="177"/>
        <v>2022</v>
      </c>
      <c r="AB829" s="7">
        <f t="shared" si="178"/>
        <v>6</v>
      </c>
      <c r="AC829" s="7">
        <f t="shared" si="179"/>
        <v>1</v>
      </c>
      <c r="AD829" s="7" t="str">
        <f t="shared" si="180"/>
        <v>No</v>
      </c>
      <c r="AE829" s="7" t="str">
        <f t="shared" si="181"/>
        <v>High Risk</v>
      </c>
    </row>
    <row r="830" spans="1:31">
      <c r="A830" t="s">
        <v>2564</v>
      </c>
      <c r="B830">
        <v>59424791</v>
      </c>
      <c r="C830" t="s">
        <v>960</v>
      </c>
      <c r="D830" t="s">
        <v>1176</v>
      </c>
      <c r="E830" t="s">
        <v>20</v>
      </c>
      <c r="F830" t="s">
        <v>556</v>
      </c>
      <c r="G830" t="s">
        <v>98</v>
      </c>
      <c r="H830" t="s">
        <v>103</v>
      </c>
      <c r="I830" t="s">
        <v>3378</v>
      </c>
      <c r="J830">
        <v>7079.52</v>
      </c>
      <c r="K830" t="s">
        <v>57</v>
      </c>
      <c r="L830" t="s">
        <v>48</v>
      </c>
      <c r="M830" s="1">
        <v>44611.851388888892</v>
      </c>
      <c r="N830">
        <v>48</v>
      </c>
      <c r="O830" t="s">
        <v>54</v>
      </c>
      <c r="P830" t="s">
        <v>55</v>
      </c>
      <c r="Q830" t="s">
        <v>2565</v>
      </c>
      <c r="R830" t="str">
        <f t="shared" si="168"/>
        <v>Nancy Williams</v>
      </c>
      <c r="S830" t="str">
        <f t="shared" si="169"/>
        <v>Thomas Williams</v>
      </c>
      <c r="T830" t="str">
        <f t="shared" si="170"/>
        <v>$</v>
      </c>
      <c r="U830" s="7" t="str">
        <f t="shared" si="171"/>
        <v>JPY</v>
      </c>
      <c r="V830" s="7" t="str">
        <f t="shared" si="172"/>
        <v>India</v>
      </c>
      <c r="W830" s="7" t="str">
        <f t="shared" si="173"/>
        <v>UK</v>
      </c>
      <c r="X830" s="7" t="str">
        <f t="shared" si="174"/>
        <v>Inter-Transaction</v>
      </c>
      <c r="Y830" s="7">
        <f t="shared" si="175"/>
        <v>7079.52</v>
      </c>
      <c r="Z830" s="7">
        <f t="shared" si="176"/>
        <v>48</v>
      </c>
      <c r="AA830" s="7">
        <f t="shared" si="177"/>
        <v>2022</v>
      </c>
      <c r="AB830" s="7">
        <f t="shared" si="178"/>
        <v>2</v>
      </c>
      <c r="AC830" s="7">
        <f t="shared" si="179"/>
        <v>1</v>
      </c>
      <c r="AD830" s="7" t="str">
        <f t="shared" si="180"/>
        <v>No</v>
      </c>
      <c r="AE830" s="7" t="str">
        <f t="shared" si="181"/>
        <v>Normal</v>
      </c>
    </row>
    <row r="831" spans="1:31">
      <c r="A831" t="s">
        <v>2566</v>
      </c>
      <c r="B831">
        <v>71907135</v>
      </c>
      <c r="C831" t="s">
        <v>1314</v>
      </c>
      <c r="D831" t="s">
        <v>2134</v>
      </c>
      <c r="E831" t="s">
        <v>33</v>
      </c>
      <c r="F831" t="s">
        <v>116</v>
      </c>
      <c r="G831" t="s">
        <v>44</v>
      </c>
      <c r="H831" t="s">
        <v>56</v>
      </c>
      <c r="I831" t="s">
        <v>3376</v>
      </c>
      <c r="J831">
        <v>8019.39</v>
      </c>
      <c r="K831" t="s">
        <v>47</v>
      </c>
      <c r="L831" t="s">
        <v>48</v>
      </c>
      <c r="M831" s="1">
        <v>44056.765972222223</v>
      </c>
      <c r="N831">
        <v>64</v>
      </c>
      <c r="O831" t="s">
        <v>54</v>
      </c>
      <c r="P831" t="s">
        <v>68</v>
      </c>
      <c r="Q831" t="s">
        <v>2567</v>
      </c>
      <c r="R831" t="str">
        <f t="shared" si="168"/>
        <v>Patricia Lopez</v>
      </c>
      <c r="S831" t="str">
        <f t="shared" si="169"/>
        <v>Christopher Martinez</v>
      </c>
      <c r="T831" t="str">
        <f t="shared" si="170"/>
        <v>CHF</v>
      </c>
      <c r="U831" s="7" t="str">
        <f t="shared" si="171"/>
        <v>SGD</v>
      </c>
      <c r="V831" s="7" t="str">
        <f t="shared" si="172"/>
        <v>India</v>
      </c>
      <c r="W831" s="7" t="str">
        <f t="shared" si="173"/>
        <v>UAE</v>
      </c>
      <c r="X831" s="7" t="str">
        <f t="shared" si="174"/>
        <v>Internal</v>
      </c>
      <c r="Y831" s="7">
        <f t="shared" si="175"/>
        <v>8019.39</v>
      </c>
      <c r="Z831" s="7">
        <f t="shared" si="176"/>
        <v>64</v>
      </c>
      <c r="AA831" s="7">
        <f t="shared" si="177"/>
        <v>2020</v>
      </c>
      <c r="AB831" s="7">
        <f t="shared" si="178"/>
        <v>8</v>
      </c>
      <c r="AC831" s="7">
        <f t="shared" si="179"/>
        <v>1</v>
      </c>
      <c r="AD831" s="7" t="str">
        <f t="shared" si="180"/>
        <v>No</v>
      </c>
      <c r="AE831" s="7" t="str">
        <f t="shared" si="181"/>
        <v>Normal</v>
      </c>
    </row>
    <row r="832" spans="1:31">
      <c r="A832" t="s">
        <v>2568</v>
      </c>
      <c r="B832">
        <v>90648127</v>
      </c>
      <c r="C832" t="s">
        <v>2569</v>
      </c>
      <c r="D832" t="s">
        <v>885</v>
      </c>
      <c r="E832" t="s">
        <v>20</v>
      </c>
      <c r="F832" t="s">
        <v>98</v>
      </c>
      <c r="G832" t="s">
        <v>98</v>
      </c>
      <c r="H832" t="s">
        <v>38</v>
      </c>
      <c r="I832" t="s">
        <v>3372</v>
      </c>
      <c r="J832">
        <v>2952.53</v>
      </c>
      <c r="K832" t="s">
        <v>57</v>
      </c>
      <c r="L832" t="s">
        <v>81</v>
      </c>
      <c r="M832" s="1">
        <v>44905.518750000003</v>
      </c>
      <c r="N832">
        <v>69</v>
      </c>
      <c r="O832" t="s">
        <v>36</v>
      </c>
      <c r="P832" t="s">
        <v>37</v>
      </c>
      <c r="Q832" t="s">
        <v>2570</v>
      </c>
      <c r="R832" t="str">
        <f t="shared" si="168"/>
        <v>Linda Wilson</v>
      </c>
      <c r="S832" t="str">
        <f t="shared" si="169"/>
        <v>Priya Johnson</v>
      </c>
      <c r="T832" t="str">
        <f t="shared" si="170"/>
        <v>JPY</v>
      </c>
      <c r="U832" s="7" t="str">
        <f t="shared" si="171"/>
        <v>JPY</v>
      </c>
      <c r="V832" s="7" t="str">
        <f t="shared" si="172"/>
        <v>Germany</v>
      </c>
      <c r="W832" s="7" t="str">
        <f t="shared" si="173"/>
        <v>South Africa</v>
      </c>
      <c r="X832" s="7" t="str">
        <f t="shared" si="174"/>
        <v>Outer-Transaction</v>
      </c>
      <c r="Y832" s="7">
        <f t="shared" si="175"/>
        <v>2952.53</v>
      </c>
      <c r="Z832" s="7">
        <f t="shared" si="176"/>
        <v>69</v>
      </c>
      <c r="AA832" s="7">
        <f t="shared" si="177"/>
        <v>2022</v>
      </c>
      <c r="AB832" s="7">
        <f t="shared" si="178"/>
        <v>12</v>
      </c>
      <c r="AC832" s="7">
        <f t="shared" si="179"/>
        <v>1</v>
      </c>
      <c r="AD832" s="7" t="str">
        <f t="shared" si="180"/>
        <v>No</v>
      </c>
      <c r="AE832" s="7" t="str">
        <f t="shared" si="181"/>
        <v>Normal</v>
      </c>
    </row>
    <row r="833" spans="1:31">
      <c r="A833" t="s">
        <v>2571</v>
      </c>
      <c r="B833">
        <v>53947932</v>
      </c>
      <c r="C833" t="s">
        <v>802</v>
      </c>
      <c r="D833" t="s">
        <v>757</v>
      </c>
      <c r="E833" t="s">
        <v>3375</v>
      </c>
      <c r="F833" t="s">
        <v>98</v>
      </c>
      <c r="G833" t="s">
        <v>80</v>
      </c>
      <c r="H833" t="s">
        <v>103</v>
      </c>
      <c r="I833" t="s">
        <v>3378</v>
      </c>
      <c r="J833">
        <v>13041.65</v>
      </c>
      <c r="K833" t="s">
        <v>39</v>
      </c>
      <c r="L833" t="s">
        <v>28</v>
      </c>
      <c r="M833" s="1">
        <v>45040.579861111109</v>
      </c>
      <c r="N833">
        <v>73</v>
      </c>
      <c r="O833" t="s">
        <v>23</v>
      </c>
      <c r="P833" t="s">
        <v>37</v>
      </c>
      <c r="Q833" t="s">
        <v>2572</v>
      </c>
      <c r="R833" t="str">
        <f t="shared" si="168"/>
        <v>Fatima Davis</v>
      </c>
      <c r="S833" t="str">
        <f t="shared" si="169"/>
        <v>Sarah Silva</v>
      </c>
      <c r="T833" t="str">
        <f t="shared" si="170"/>
        <v>JPY</v>
      </c>
      <c r="U833" s="7" t="str">
        <f t="shared" si="171"/>
        <v>USD</v>
      </c>
      <c r="V833" s="7" t="str">
        <f t="shared" si="172"/>
        <v>France</v>
      </c>
      <c r="W833" s="7" t="str">
        <f t="shared" si="173"/>
        <v>South Africa</v>
      </c>
      <c r="X833" s="7" t="str">
        <f t="shared" si="174"/>
        <v>Inter-Transaction</v>
      </c>
      <c r="Y833" s="7">
        <f t="shared" si="175"/>
        <v>13041.65</v>
      </c>
      <c r="Z833" s="7">
        <f t="shared" si="176"/>
        <v>73</v>
      </c>
      <c r="AA833" s="7">
        <f t="shared" si="177"/>
        <v>2023</v>
      </c>
      <c r="AB833" s="7">
        <f t="shared" si="178"/>
        <v>4</v>
      </c>
      <c r="AC833" s="7">
        <f t="shared" si="179"/>
        <v>1</v>
      </c>
      <c r="AD833" s="7" t="str">
        <f t="shared" si="180"/>
        <v>No</v>
      </c>
      <c r="AE833" s="7" t="str">
        <f t="shared" si="181"/>
        <v>Normal</v>
      </c>
    </row>
    <row r="834" spans="1:31">
      <c r="A834" t="s">
        <v>2573</v>
      </c>
      <c r="B834">
        <v>38172320</v>
      </c>
      <c r="C834" t="s">
        <v>2574</v>
      </c>
      <c r="D834" t="s">
        <v>700</v>
      </c>
      <c r="E834" t="s">
        <v>20</v>
      </c>
      <c r="F834" t="s">
        <v>53</v>
      </c>
      <c r="G834" t="s">
        <v>92</v>
      </c>
      <c r="H834" t="s">
        <v>38</v>
      </c>
      <c r="I834" t="s">
        <v>3376</v>
      </c>
      <c r="J834">
        <v>11856.55</v>
      </c>
      <c r="K834" t="s">
        <v>86</v>
      </c>
      <c r="L834" t="s">
        <v>28</v>
      </c>
      <c r="M834" s="1">
        <v>44888.738194444442</v>
      </c>
      <c r="N834">
        <v>32</v>
      </c>
      <c r="O834" t="s">
        <v>62</v>
      </c>
      <c r="P834" t="s">
        <v>62</v>
      </c>
      <c r="Q834" t="s">
        <v>2575</v>
      </c>
      <c r="R834" t="str">
        <f t="shared" ref="R834:R897" si="182">TRIM(C834)</f>
        <v>Amir Gonzalez</v>
      </c>
      <c r="S834" t="str">
        <f t="shared" ref="S834:S897" si="183">PROPER(D834)</f>
        <v>Michael Jackson</v>
      </c>
      <c r="T834" t="str">
        <f t="shared" ref="T834:T897" si="184">TRIM(F834)</f>
        <v>AED</v>
      </c>
      <c r="U834" s="7" t="str">
        <f t="shared" ref="U834:U897" si="185">TRIM(G834)</f>
        <v>AUD</v>
      </c>
      <c r="V834" s="7" t="str">
        <f t="shared" ref="V834:V897" si="186">TRIM(O834)</f>
        <v>Australia</v>
      </c>
      <c r="W834" s="7" t="str">
        <f t="shared" ref="W834:W897" si="187">TRIM(P834)</f>
        <v>Australia</v>
      </c>
      <c r="X834" s="7" t="str">
        <f t="shared" ref="X834:X897" si="188">PROPER(I834)</f>
        <v>Internal</v>
      </c>
      <c r="Y834" s="7">
        <f t="shared" ref="Y834:Y897" si="189">IF(J834="",AVERAGE($J:$J),J834)</f>
        <v>11856.55</v>
      </c>
      <c r="Z834" s="7">
        <f t="shared" ref="Z834:Z897" si="190">IF(N834="",AVERAGE($N:$N),N834)</f>
        <v>32</v>
      </c>
      <c r="AA834" s="7">
        <f t="shared" ref="AA834:AA897" si="191">YEAR(M834)</f>
        <v>2022</v>
      </c>
      <c r="AB834" s="7">
        <f t="shared" ref="AB834:AB897" si="192">MONTH(M834)</f>
        <v>11</v>
      </c>
      <c r="AC834" s="7">
        <f t="shared" ref="AC834:AC897" si="193">COUNTIF(A:A,A834)</f>
        <v>1</v>
      </c>
      <c r="AD834" s="7" t="str">
        <f t="shared" ref="AD834:AD897" si="194">IF(C834="YES","Yes","No")</f>
        <v>No</v>
      </c>
      <c r="AE834" s="7" t="str">
        <f t="shared" ref="AE834:AE897" si="195">IF(L834="HIGH","High Risk","Normal")</f>
        <v>Normal</v>
      </c>
    </row>
    <row r="835" spans="1:31">
      <c r="A835" t="s">
        <v>2576</v>
      </c>
      <c r="B835">
        <v>55685117</v>
      </c>
      <c r="C835" t="s">
        <v>2577</v>
      </c>
      <c r="D835" t="s">
        <v>331</v>
      </c>
      <c r="E835" t="s">
        <v>20</v>
      </c>
      <c r="F835" t="s">
        <v>92</v>
      </c>
      <c r="G835" t="s">
        <v>45</v>
      </c>
      <c r="H835" t="s">
        <v>38</v>
      </c>
      <c r="I835" t="s">
        <v>3376</v>
      </c>
      <c r="J835">
        <v>4470.1400000000003</v>
      </c>
      <c r="K835" t="s">
        <v>27</v>
      </c>
      <c r="L835" t="s">
        <v>81</v>
      </c>
      <c r="M835" s="1">
        <v>44633.15347222222</v>
      </c>
      <c r="N835">
        <v>46</v>
      </c>
      <c r="O835" t="s">
        <v>23</v>
      </c>
      <c r="P835" t="s">
        <v>24</v>
      </c>
      <c r="Q835" t="s">
        <v>2578</v>
      </c>
      <c r="R835" t="str">
        <f t="shared" si="182"/>
        <v>Linda Brown</v>
      </c>
      <c r="S835" t="str">
        <f t="shared" si="183"/>
        <v>Elena Williams</v>
      </c>
      <c r="T835" t="str">
        <f t="shared" si="184"/>
        <v>AUD</v>
      </c>
      <c r="U835" s="7" t="str">
        <f t="shared" si="185"/>
        <v>ZAR</v>
      </c>
      <c r="V835" s="7" t="str">
        <f t="shared" si="186"/>
        <v>France</v>
      </c>
      <c r="W835" s="7" t="str">
        <f t="shared" si="187"/>
        <v>Brazil</v>
      </c>
      <c r="X835" s="7" t="str">
        <f t="shared" si="188"/>
        <v>Internal</v>
      </c>
      <c r="Y835" s="7">
        <f t="shared" si="189"/>
        <v>4470.1400000000003</v>
      </c>
      <c r="Z835" s="7">
        <f t="shared" si="190"/>
        <v>46</v>
      </c>
      <c r="AA835" s="7">
        <f t="shared" si="191"/>
        <v>2022</v>
      </c>
      <c r="AB835" s="7">
        <f t="shared" si="192"/>
        <v>3</v>
      </c>
      <c r="AC835" s="7">
        <f t="shared" si="193"/>
        <v>1</v>
      </c>
      <c r="AD835" s="7" t="str">
        <f t="shared" si="194"/>
        <v>No</v>
      </c>
      <c r="AE835" s="7" t="str">
        <f t="shared" si="195"/>
        <v>Normal</v>
      </c>
    </row>
    <row r="836" spans="1:31">
      <c r="A836" t="s">
        <v>2579</v>
      </c>
      <c r="B836">
        <v>56778834</v>
      </c>
      <c r="C836" t="s">
        <v>174</v>
      </c>
      <c r="D836" t="s">
        <v>408</v>
      </c>
      <c r="E836" t="s">
        <v>33</v>
      </c>
      <c r="F836" t="s">
        <v>116</v>
      </c>
      <c r="G836" t="s">
        <v>80</v>
      </c>
      <c r="I836" t="s">
        <v>3374</v>
      </c>
      <c r="J836">
        <v>12687.47</v>
      </c>
      <c r="K836" t="s">
        <v>86</v>
      </c>
      <c r="L836" t="s">
        <v>48</v>
      </c>
      <c r="M836" s="1">
        <v>44572.668749999997</v>
      </c>
      <c r="N836">
        <v>25</v>
      </c>
      <c r="O836" t="s">
        <v>37</v>
      </c>
      <c r="P836" t="s">
        <v>55</v>
      </c>
      <c r="Q836" t="s">
        <v>2580</v>
      </c>
      <c r="R836" t="str">
        <f t="shared" si="182"/>
        <v>Jean-Pierre Taylor</v>
      </c>
      <c r="S836" t="str">
        <f t="shared" si="183"/>
        <v>Michael Taylor</v>
      </c>
      <c r="T836" t="str">
        <f t="shared" si="184"/>
        <v>CHF</v>
      </c>
      <c r="U836" s="7" t="str">
        <f t="shared" si="185"/>
        <v>USD</v>
      </c>
      <c r="V836" s="7" t="str">
        <f t="shared" si="186"/>
        <v>South Africa</v>
      </c>
      <c r="W836" s="7" t="str">
        <f t="shared" si="187"/>
        <v>UK</v>
      </c>
      <c r="X836" s="7" t="str">
        <f t="shared" si="188"/>
        <v>External</v>
      </c>
      <c r="Y836" s="7">
        <f t="shared" si="189"/>
        <v>12687.47</v>
      </c>
      <c r="Z836" s="7">
        <f t="shared" si="190"/>
        <v>25</v>
      </c>
      <c r="AA836" s="7">
        <f t="shared" si="191"/>
        <v>2022</v>
      </c>
      <c r="AB836" s="7">
        <f t="shared" si="192"/>
        <v>1</v>
      </c>
      <c r="AC836" s="7">
        <f t="shared" si="193"/>
        <v>1</v>
      </c>
      <c r="AD836" s="7" t="str">
        <f t="shared" si="194"/>
        <v>No</v>
      </c>
      <c r="AE836" s="7" t="str">
        <f t="shared" si="195"/>
        <v>Normal</v>
      </c>
    </row>
    <row r="837" spans="1:31">
      <c r="A837" t="s">
        <v>2581</v>
      </c>
      <c r="B837">
        <v>87926745</v>
      </c>
      <c r="C837" t="s">
        <v>1361</v>
      </c>
      <c r="D837" t="s">
        <v>1986</v>
      </c>
      <c r="E837">
        <v>0</v>
      </c>
      <c r="F837" t="s">
        <v>35</v>
      </c>
      <c r="G837" t="s">
        <v>53</v>
      </c>
      <c r="H837" t="s">
        <v>56</v>
      </c>
      <c r="I837" t="s">
        <v>3376</v>
      </c>
      <c r="J837">
        <v>1581.12</v>
      </c>
      <c r="K837" t="s">
        <v>47</v>
      </c>
      <c r="L837" t="s">
        <v>48</v>
      </c>
      <c r="M837" s="1">
        <v>46009.488888888889</v>
      </c>
      <c r="N837">
        <v>22</v>
      </c>
      <c r="O837" t="s">
        <v>62</v>
      </c>
      <c r="P837" t="s">
        <v>127</v>
      </c>
      <c r="Q837" t="s">
        <v>2582</v>
      </c>
      <c r="R837" t="str">
        <f t="shared" si="182"/>
        <v>Charles Martinez</v>
      </c>
      <c r="S837" t="str">
        <f t="shared" si="183"/>
        <v>Priya Rodriguez</v>
      </c>
      <c r="T837" t="str">
        <f t="shared" si="184"/>
        <v>EUR</v>
      </c>
      <c r="U837" s="7" t="str">
        <f t="shared" si="185"/>
        <v>AED</v>
      </c>
      <c r="V837" s="7" t="str">
        <f t="shared" si="186"/>
        <v>Australia</v>
      </c>
      <c r="W837" s="7" t="str">
        <f t="shared" si="187"/>
        <v>Canada</v>
      </c>
      <c r="X837" s="7" t="str">
        <f t="shared" si="188"/>
        <v>Internal</v>
      </c>
      <c r="Y837" s="7">
        <f t="shared" si="189"/>
        <v>1581.12</v>
      </c>
      <c r="Z837" s="7">
        <f t="shared" si="190"/>
        <v>22</v>
      </c>
      <c r="AA837" s="7">
        <f t="shared" si="191"/>
        <v>2025</v>
      </c>
      <c r="AB837" s="7">
        <f t="shared" si="192"/>
        <v>12</v>
      </c>
      <c r="AC837" s="7">
        <f t="shared" si="193"/>
        <v>1</v>
      </c>
      <c r="AD837" s="7" t="str">
        <f t="shared" si="194"/>
        <v>No</v>
      </c>
      <c r="AE837" s="7" t="str">
        <f t="shared" si="195"/>
        <v>Normal</v>
      </c>
    </row>
    <row r="838" spans="1:31">
      <c r="A838" t="s">
        <v>2583</v>
      </c>
      <c r="B838">
        <v>75992723</v>
      </c>
      <c r="C838" t="s">
        <v>106</v>
      </c>
      <c r="D838" t="s">
        <v>854</v>
      </c>
      <c r="E838">
        <v>1</v>
      </c>
      <c r="F838" t="s">
        <v>393</v>
      </c>
      <c r="G838" t="s">
        <v>116</v>
      </c>
      <c r="I838" t="s">
        <v>3376</v>
      </c>
      <c r="J838">
        <v>9457.82</v>
      </c>
      <c r="K838" t="s">
        <v>47</v>
      </c>
      <c r="L838" t="s">
        <v>28</v>
      </c>
      <c r="M838" s="1">
        <v>44534.131249999999</v>
      </c>
      <c r="N838">
        <v>46</v>
      </c>
      <c r="O838" t="s">
        <v>36</v>
      </c>
      <c r="P838" t="s">
        <v>54</v>
      </c>
      <c r="Q838" t="s">
        <v>2584</v>
      </c>
      <c r="R838" t="str">
        <f t="shared" si="182"/>
        <v>Amir Moore</v>
      </c>
      <c r="S838" t="str">
        <f t="shared" si="183"/>
        <v>Robert Rodriguez</v>
      </c>
      <c r="T838" t="str">
        <f t="shared" si="184"/>
        <v>cad</v>
      </c>
      <c r="U838" s="7" t="str">
        <f t="shared" si="185"/>
        <v>CHF</v>
      </c>
      <c r="V838" s="7" t="str">
        <f t="shared" si="186"/>
        <v>Germany</v>
      </c>
      <c r="W838" s="7" t="str">
        <f t="shared" si="187"/>
        <v>India</v>
      </c>
      <c r="X838" s="7" t="str">
        <f t="shared" si="188"/>
        <v>Internal</v>
      </c>
      <c r="Y838" s="7">
        <f t="shared" si="189"/>
        <v>9457.82</v>
      </c>
      <c r="Z838" s="7">
        <f t="shared" si="190"/>
        <v>46</v>
      </c>
      <c r="AA838" s="7">
        <f t="shared" si="191"/>
        <v>2021</v>
      </c>
      <c r="AB838" s="7">
        <f t="shared" si="192"/>
        <v>12</v>
      </c>
      <c r="AC838" s="7">
        <f t="shared" si="193"/>
        <v>1</v>
      </c>
      <c r="AD838" s="7" t="str">
        <f t="shared" si="194"/>
        <v>No</v>
      </c>
      <c r="AE838" s="7" t="str">
        <f t="shared" si="195"/>
        <v>Normal</v>
      </c>
    </row>
    <row r="839" spans="1:31">
      <c r="A839" t="s">
        <v>2585</v>
      </c>
      <c r="B839">
        <v>60152980</v>
      </c>
      <c r="C839" t="s">
        <v>511</v>
      </c>
      <c r="E839" t="s">
        <v>20</v>
      </c>
      <c r="F839" t="s">
        <v>98</v>
      </c>
      <c r="G839" t="s">
        <v>98</v>
      </c>
      <c r="I839" t="s">
        <v>3378</v>
      </c>
      <c r="J839">
        <v>2935.43</v>
      </c>
      <c r="K839" t="s">
        <v>39</v>
      </c>
      <c r="L839" t="s">
        <v>28</v>
      </c>
      <c r="M839" s="1">
        <v>46375.115277777775</v>
      </c>
      <c r="N839">
        <v>64</v>
      </c>
      <c r="O839" t="s">
        <v>93</v>
      </c>
      <c r="P839" t="s">
        <v>36</v>
      </c>
      <c r="Q839" t="s">
        <v>2586</v>
      </c>
      <c r="R839" t="str">
        <f t="shared" si="182"/>
        <v>Robert Nair</v>
      </c>
      <c r="S839" t="str">
        <f t="shared" si="183"/>
        <v/>
      </c>
      <c r="T839" t="str">
        <f t="shared" si="184"/>
        <v>JPY</v>
      </c>
      <c r="U839" s="7" t="str">
        <f t="shared" si="185"/>
        <v>JPY</v>
      </c>
      <c r="V839" s="7" t="str">
        <f t="shared" si="186"/>
        <v>USA</v>
      </c>
      <c r="W839" s="7" t="str">
        <f t="shared" si="187"/>
        <v>Germany</v>
      </c>
      <c r="X839" s="7" t="str">
        <f t="shared" si="188"/>
        <v>Inter-Transaction</v>
      </c>
      <c r="Y839" s="7">
        <f t="shared" si="189"/>
        <v>2935.43</v>
      </c>
      <c r="Z839" s="7">
        <f t="shared" si="190"/>
        <v>64</v>
      </c>
      <c r="AA839" s="7">
        <f t="shared" si="191"/>
        <v>2026</v>
      </c>
      <c r="AB839" s="7">
        <f t="shared" si="192"/>
        <v>12</v>
      </c>
      <c r="AC839" s="7">
        <f t="shared" si="193"/>
        <v>1</v>
      </c>
      <c r="AD839" s="7" t="str">
        <f t="shared" si="194"/>
        <v>No</v>
      </c>
      <c r="AE839" s="7" t="str">
        <f t="shared" si="195"/>
        <v>Normal</v>
      </c>
    </row>
    <row r="840" spans="1:31">
      <c r="A840" t="s">
        <v>2587</v>
      </c>
      <c r="B840">
        <v>73660887</v>
      </c>
      <c r="C840" t="s">
        <v>1306</v>
      </c>
      <c r="D840" t="s">
        <v>2588</v>
      </c>
      <c r="E840" t="s">
        <v>20</v>
      </c>
      <c r="F840" t="s">
        <v>35</v>
      </c>
      <c r="G840" t="s">
        <v>126</v>
      </c>
      <c r="H840" t="s">
        <v>25</v>
      </c>
      <c r="I840" t="s">
        <v>3376</v>
      </c>
      <c r="J840">
        <v>10760.51</v>
      </c>
      <c r="K840" t="s">
        <v>86</v>
      </c>
      <c r="L840" t="s">
        <v>75</v>
      </c>
      <c r="M840" s="1">
        <v>45257.080555555556</v>
      </c>
      <c r="N840">
        <v>85</v>
      </c>
      <c r="O840" t="s">
        <v>36</v>
      </c>
      <c r="P840" t="s">
        <v>37</v>
      </c>
      <c r="Q840" t="s">
        <v>2589</v>
      </c>
      <c r="R840" t="str">
        <f t="shared" si="182"/>
        <v>Barbara Jones</v>
      </c>
      <c r="S840" t="str">
        <f t="shared" si="183"/>
        <v>Sanjay Malik</v>
      </c>
      <c r="T840" t="str">
        <f t="shared" si="184"/>
        <v>EUR</v>
      </c>
      <c r="U840" s="7" t="str">
        <f t="shared" si="185"/>
        <v>inr</v>
      </c>
      <c r="V840" s="7" t="str">
        <f t="shared" si="186"/>
        <v>Germany</v>
      </c>
      <c r="W840" s="7" t="str">
        <f t="shared" si="187"/>
        <v>South Africa</v>
      </c>
      <c r="X840" s="7" t="str">
        <f t="shared" si="188"/>
        <v>Internal</v>
      </c>
      <c r="Y840" s="7">
        <f t="shared" si="189"/>
        <v>10760.51</v>
      </c>
      <c r="Z840" s="7">
        <f t="shared" si="190"/>
        <v>85</v>
      </c>
      <c r="AA840" s="7">
        <f t="shared" si="191"/>
        <v>2023</v>
      </c>
      <c r="AB840" s="7">
        <f t="shared" si="192"/>
        <v>11</v>
      </c>
      <c r="AC840" s="7">
        <f t="shared" si="193"/>
        <v>1</v>
      </c>
      <c r="AD840" s="7" t="str">
        <f t="shared" si="194"/>
        <v>No</v>
      </c>
      <c r="AE840" s="7" t="str">
        <f t="shared" si="195"/>
        <v>High Risk</v>
      </c>
    </row>
    <row r="841" spans="1:31">
      <c r="A841" t="s">
        <v>2590</v>
      </c>
      <c r="B841">
        <v>81260169</v>
      </c>
      <c r="C841" t="s">
        <v>89</v>
      </c>
      <c r="D841" t="s">
        <v>1618</v>
      </c>
      <c r="E841" t="s">
        <v>20</v>
      </c>
      <c r="F841" t="s">
        <v>44</v>
      </c>
      <c r="G841" t="s">
        <v>35</v>
      </c>
      <c r="H841" t="s">
        <v>103</v>
      </c>
      <c r="I841" t="s">
        <v>3371</v>
      </c>
      <c r="J841">
        <v>11979.2</v>
      </c>
      <c r="K841" t="s">
        <v>86</v>
      </c>
      <c r="L841" t="s">
        <v>28</v>
      </c>
      <c r="M841" s="1">
        <v>46201.670138888891</v>
      </c>
      <c r="N841">
        <v>62</v>
      </c>
      <c r="O841" t="s">
        <v>23</v>
      </c>
      <c r="P841" t="s">
        <v>54</v>
      </c>
      <c r="Q841" t="s">
        <v>2591</v>
      </c>
      <c r="R841" t="str">
        <f t="shared" si="182"/>
        <v>Sarah Miller</v>
      </c>
      <c r="S841" t="str">
        <f t="shared" si="183"/>
        <v>Joseph Dubois</v>
      </c>
      <c r="T841" t="str">
        <f t="shared" si="184"/>
        <v>SGD</v>
      </c>
      <c r="U841" s="7" t="str">
        <f t="shared" si="185"/>
        <v>EUR</v>
      </c>
      <c r="V841" s="7" t="str">
        <f t="shared" si="186"/>
        <v>France</v>
      </c>
      <c r="W841" s="7" t="str">
        <f t="shared" si="187"/>
        <v>India</v>
      </c>
      <c r="X841" s="7" t="str">
        <f t="shared" si="188"/>
        <v>Outer-Transaction</v>
      </c>
      <c r="Y841" s="7">
        <f t="shared" si="189"/>
        <v>11979.2</v>
      </c>
      <c r="Z841" s="7">
        <f t="shared" si="190"/>
        <v>62</v>
      </c>
      <c r="AA841" s="7">
        <f t="shared" si="191"/>
        <v>2026</v>
      </c>
      <c r="AB841" s="7">
        <f t="shared" si="192"/>
        <v>6</v>
      </c>
      <c r="AC841" s="7">
        <f t="shared" si="193"/>
        <v>1</v>
      </c>
      <c r="AD841" s="7" t="str">
        <f t="shared" si="194"/>
        <v>No</v>
      </c>
      <c r="AE841" s="7" t="str">
        <f t="shared" si="195"/>
        <v>Normal</v>
      </c>
    </row>
    <row r="842" spans="1:31">
      <c r="A842" t="s">
        <v>2592</v>
      </c>
      <c r="B842">
        <v>70446666</v>
      </c>
      <c r="C842" t="s">
        <v>550</v>
      </c>
      <c r="D842" t="s">
        <v>511</v>
      </c>
      <c r="E842" t="s">
        <v>20</v>
      </c>
      <c r="F842" t="s">
        <v>92</v>
      </c>
      <c r="G842" t="s">
        <v>92</v>
      </c>
      <c r="H842" t="s">
        <v>25</v>
      </c>
      <c r="I842" t="s">
        <v>3372</v>
      </c>
      <c r="J842">
        <v>4359.76</v>
      </c>
      <c r="K842" t="s">
        <v>39</v>
      </c>
      <c r="L842" t="s">
        <v>28</v>
      </c>
      <c r="M842" s="1">
        <v>44445.31527777778</v>
      </c>
      <c r="N842">
        <v>19</v>
      </c>
      <c r="O842" t="s">
        <v>55</v>
      </c>
      <c r="P842" t="s">
        <v>54</v>
      </c>
      <c r="Q842" t="s">
        <v>2593</v>
      </c>
      <c r="R842" t="str">
        <f t="shared" si="182"/>
        <v>Marta Davis</v>
      </c>
      <c r="S842" t="str">
        <f t="shared" si="183"/>
        <v>Robert Nair</v>
      </c>
      <c r="T842" t="str">
        <f t="shared" si="184"/>
        <v>AUD</v>
      </c>
      <c r="U842" s="7" t="str">
        <f t="shared" si="185"/>
        <v>AUD</v>
      </c>
      <c r="V842" s="7" t="str">
        <f t="shared" si="186"/>
        <v>UK</v>
      </c>
      <c r="W842" s="7" t="str">
        <f t="shared" si="187"/>
        <v>India</v>
      </c>
      <c r="X842" s="7" t="str">
        <f t="shared" si="188"/>
        <v>Outer-Transaction</v>
      </c>
      <c r="Y842" s="7">
        <f t="shared" si="189"/>
        <v>4359.76</v>
      </c>
      <c r="Z842" s="7">
        <f t="shared" si="190"/>
        <v>19</v>
      </c>
      <c r="AA842" s="7">
        <f t="shared" si="191"/>
        <v>2021</v>
      </c>
      <c r="AB842" s="7">
        <f t="shared" si="192"/>
        <v>9</v>
      </c>
      <c r="AC842" s="7">
        <f t="shared" si="193"/>
        <v>1</v>
      </c>
      <c r="AD842" s="7" t="str">
        <f t="shared" si="194"/>
        <v>No</v>
      </c>
      <c r="AE842" s="7" t="str">
        <f t="shared" si="195"/>
        <v>Normal</v>
      </c>
    </row>
    <row r="843" spans="1:31">
      <c r="A843" t="s">
        <v>2594</v>
      </c>
      <c r="B843">
        <v>97262584</v>
      </c>
      <c r="C843" t="s">
        <v>2595</v>
      </c>
      <c r="D843" t="s">
        <v>2596</v>
      </c>
      <c r="E843">
        <v>0</v>
      </c>
      <c r="F843" t="s">
        <v>53</v>
      </c>
      <c r="G843" t="s">
        <v>21</v>
      </c>
      <c r="H843" t="s">
        <v>56</v>
      </c>
      <c r="I843" t="s">
        <v>3377</v>
      </c>
      <c r="J843">
        <v>534.08000000000004</v>
      </c>
      <c r="K843" t="s">
        <v>86</v>
      </c>
      <c r="L843" t="s">
        <v>81</v>
      </c>
      <c r="M843" s="1">
        <v>44159.745138888888</v>
      </c>
      <c r="N843">
        <v>44</v>
      </c>
      <c r="O843" t="s">
        <v>36</v>
      </c>
      <c r="P843" t="s">
        <v>93</v>
      </c>
      <c r="Q843" t="s">
        <v>2597</v>
      </c>
      <c r="R843" t="str">
        <f t="shared" si="182"/>
        <v>JOSEPH WILSON</v>
      </c>
      <c r="S843" t="str">
        <f t="shared" si="183"/>
        <v>John Hernandez</v>
      </c>
      <c r="T843" t="str">
        <f t="shared" si="184"/>
        <v>AED</v>
      </c>
      <c r="U843" s="7" t="str">
        <f t="shared" si="185"/>
        <v>GBP</v>
      </c>
      <c r="V843" s="7" t="str">
        <f t="shared" si="186"/>
        <v>Germany</v>
      </c>
      <c r="W843" s="7" t="str">
        <f t="shared" si="187"/>
        <v>USA</v>
      </c>
      <c r="X843" s="7" t="str">
        <f t="shared" si="188"/>
        <v>Inter-Transaction</v>
      </c>
      <c r="Y843" s="7">
        <f t="shared" si="189"/>
        <v>534.08000000000004</v>
      </c>
      <c r="Z843" s="7">
        <f t="shared" si="190"/>
        <v>44</v>
      </c>
      <c r="AA843" s="7">
        <f t="shared" si="191"/>
        <v>2020</v>
      </c>
      <c r="AB843" s="7">
        <f t="shared" si="192"/>
        <v>11</v>
      </c>
      <c r="AC843" s="7">
        <f t="shared" si="193"/>
        <v>1</v>
      </c>
      <c r="AD843" s="7" t="str">
        <f t="shared" si="194"/>
        <v>No</v>
      </c>
      <c r="AE843" s="7" t="str">
        <f t="shared" si="195"/>
        <v>Normal</v>
      </c>
    </row>
    <row r="844" spans="1:31">
      <c r="A844" t="s">
        <v>2598</v>
      </c>
      <c r="B844">
        <v>60104145</v>
      </c>
      <c r="C844" t="s">
        <v>2145</v>
      </c>
      <c r="D844" t="s">
        <v>2599</v>
      </c>
      <c r="E844" t="s">
        <v>20</v>
      </c>
      <c r="F844" t="s">
        <v>80</v>
      </c>
      <c r="G844" t="s">
        <v>21</v>
      </c>
      <c r="H844" t="s">
        <v>74</v>
      </c>
      <c r="I844" t="s">
        <v>3376</v>
      </c>
      <c r="J844">
        <v>13086.71</v>
      </c>
      <c r="K844" t="s">
        <v>57</v>
      </c>
      <c r="L844" t="s">
        <v>75</v>
      </c>
      <c r="M844" s="1">
        <v>45226.032638888886</v>
      </c>
      <c r="N844">
        <v>53</v>
      </c>
      <c r="O844" t="s">
        <v>36</v>
      </c>
      <c r="P844" t="s">
        <v>24</v>
      </c>
      <c r="Q844" t="s">
        <v>2600</v>
      </c>
      <c r="R844" t="str">
        <f t="shared" si="182"/>
        <v>Patricia Johnson</v>
      </c>
      <c r="S844" t="str">
        <f t="shared" si="183"/>
        <v>William Velez</v>
      </c>
      <c r="T844" t="str">
        <f t="shared" si="184"/>
        <v>USD</v>
      </c>
      <c r="U844" s="7" t="str">
        <f t="shared" si="185"/>
        <v>GBP</v>
      </c>
      <c r="V844" s="7" t="str">
        <f t="shared" si="186"/>
        <v>Germany</v>
      </c>
      <c r="W844" s="7" t="str">
        <f t="shared" si="187"/>
        <v>Brazil</v>
      </c>
      <c r="X844" s="7" t="str">
        <f t="shared" si="188"/>
        <v>Internal</v>
      </c>
      <c r="Y844" s="7">
        <f t="shared" si="189"/>
        <v>13086.71</v>
      </c>
      <c r="Z844" s="7">
        <f t="shared" si="190"/>
        <v>53</v>
      </c>
      <c r="AA844" s="7">
        <f t="shared" si="191"/>
        <v>2023</v>
      </c>
      <c r="AB844" s="7">
        <f t="shared" si="192"/>
        <v>10</v>
      </c>
      <c r="AC844" s="7">
        <f t="shared" si="193"/>
        <v>1</v>
      </c>
      <c r="AD844" s="7" t="str">
        <f t="shared" si="194"/>
        <v>No</v>
      </c>
      <c r="AE844" s="7" t="str">
        <f t="shared" si="195"/>
        <v>High Risk</v>
      </c>
    </row>
    <row r="845" spans="1:31">
      <c r="A845" t="s">
        <v>2601</v>
      </c>
      <c r="B845">
        <v>87193004</v>
      </c>
      <c r="C845" t="s">
        <v>2602</v>
      </c>
      <c r="D845" t="s">
        <v>1346</v>
      </c>
      <c r="E845" t="s">
        <v>20</v>
      </c>
      <c r="F845" t="s">
        <v>22</v>
      </c>
      <c r="G845" t="s">
        <v>45</v>
      </c>
      <c r="H845" t="s">
        <v>38</v>
      </c>
      <c r="I845" t="s">
        <v>3376</v>
      </c>
      <c r="J845">
        <v>11455.34</v>
      </c>
      <c r="K845" t="s">
        <v>57</v>
      </c>
      <c r="L845" t="s">
        <v>81</v>
      </c>
      <c r="M845" s="1">
        <v>45314.251388888886</v>
      </c>
      <c r="N845">
        <v>53</v>
      </c>
      <c r="O845" t="s">
        <v>55</v>
      </c>
      <c r="P845" t="s">
        <v>36</v>
      </c>
      <c r="Q845" t="s">
        <v>2603</v>
      </c>
      <c r="R845" t="str">
        <f t="shared" si="182"/>
        <v>LUCAS JOHNSON</v>
      </c>
      <c r="S845" t="str">
        <f t="shared" si="183"/>
        <v>Jessica Thomas</v>
      </c>
      <c r="T845" t="str">
        <f t="shared" si="184"/>
        <v>BRL</v>
      </c>
      <c r="U845" s="7" t="str">
        <f t="shared" si="185"/>
        <v>ZAR</v>
      </c>
      <c r="V845" s="7" t="str">
        <f t="shared" si="186"/>
        <v>UK</v>
      </c>
      <c r="W845" s="7" t="str">
        <f t="shared" si="187"/>
        <v>Germany</v>
      </c>
      <c r="X845" s="7" t="str">
        <f t="shared" si="188"/>
        <v>Internal</v>
      </c>
      <c r="Y845" s="7">
        <f t="shared" si="189"/>
        <v>11455.34</v>
      </c>
      <c r="Z845" s="7">
        <f t="shared" si="190"/>
        <v>53</v>
      </c>
      <c r="AA845" s="7">
        <f t="shared" si="191"/>
        <v>2024</v>
      </c>
      <c r="AB845" s="7">
        <f t="shared" si="192"/>
        <v>1</v>
      </c>
      <c r="AC845" s="7">
        <f t="shared" si="193"/>
        <v>1</v>
      </c>
      <c r="AD845" s="7" t="str">
        <f t="shared" si="194"/>
        <v>No</v>
      </c>
      <c r="AE845" s="7" t="str">
        <f t="shared" si="195"/>
        <v>Normal</v>
      </c>
    </row>
    <row r="846" spans="1:31">
      <c r="A846" t="s">
        <v>2604</v>
      </c>
      <c r="B846">
        <v>70891160</v>
      </c>
      <c r="C846" t="s">
        <v>1303</v>
      </c>
      <c r="D846" t="s">
        <v>745</v>
      </c>
      <c r="E846" t="s">
        <v>20</v>
      </c>
      <c r="F846" t="s">
        <v>121</v>
      </c>
      <c r="G846" t="s">
        <v>80</v>
      </c>
      <c r="H846" t="s">
        <v>25</v>
      </c>
      <c r="I846" t="s">
        <v>3372</v>
      </c>
      <c r="J846">
        <v>12588.76</v>
      </c>
      <c r="K846" t="s">
        <v>57</v>
      </c>
      <c r="L846" t="s">
        <v>28</v>
      </c>
      <c r="M846" s="1">
        <v>43963.918749999997</v>
      </c>
      <c r="N846">
        <v>43</v>
      </c>
      <c r="O846" t="s">
        <v>36</v>
      </c>
      <c r="P846" t="s">
        <v>127</v>
      </c>
      <c r="Q846" t="s">
        <v>2605</v>
      </c>
      <c r="R846" t="str">
        <f t="shared" si="182"/>
        <v>Michael Malik</v>
      </c>
      <c r="S846" t="str">
        <f t="shared" si="183"/>
        <v>Sarah Brown</v>
      </c>
      <c r="T846" t="str">
        <f t="shared" si="184"/>
        <v>INR</v>
      </c>
      <c r="U846" s="7" t="str">
        <f t="shared" si="185"/>
        <v>USD</v>
      </c>
      <c r="V846" s="7" t="str">
        <f t="shared" si="186"/>
        <v>Germany</v>
      </c>
      <c r="W846" s="7" t="str">
        <f t="shared" si="187"/>
        <v>Canada</v>
      </c>
      <c r="X846" s="7" t="str">
        <f t="shared" si="188"/>
        <v>Outer-Transaction</v>
      </c>
      <c r="Y846" s="7">
        <f t="shared" si="189"/>
        <v>12588.76</v>
      </c>
      <c r="Z846" s="7">
        <f t="shared" si="190"/>
        <v>43</v>
      </c>
      <c r="AA846" s="7">
        <f t="shared" si="191"/>
        <v>2020</v>
      </c>
      <c r="AB846" s="7">
        <f t="shared" si="192"/>
        <v>5</v>
      </c>
      <c r="AC846" s="7">
        <f t="shared" si="193"/>
        <v>1</v>
      </c>
      <c r="AD846" s="7" t="str">
        <f t="shared" si="194"/>
        <v>No</v>
      </c>
      <c r="AE846" s="7" t="str">
        <f t="shared" si="195"/>
        <v>Normal</v>
      </c>
    </row>
    <row r="847" spans="1:31">
      <c r="A847" t="s">
        <v>2606</v>
      </c>
      <c r="B847">
        <v>97496479</v>
      </c>
      <c r="C847" t="s">
        <v>1414</v>
      </c>
      <c r="E847" t="s">
        <v>33</v>
      </c>
      <c r="F847" t="s">
        <v>121</v>
      </c>
      <c r="G847" t="s">
        <v>160</v>
      </c>
      <c r="H847" t="s">
        <v>25</v>
      </c>
      <c r="I847" t="s">
        <v>3376</v>
      </c>
      <c r="J847">
        <v>196.72</v>
      </c>
      <c r="K847" t="s">
        <v>86</v>
      </c>
      <c r="L847" t="s">
        <v>75</v>
      </c>
      <c r="M847" s="1">
        <v>44665.35833333333</v>
      </c>
      <c r="N847">
        <v>60</v>
      </c>
      <c r="O847" t="s">
        <v>24</v>
      </c>
      <c r="P847" t="s">
        <v>68</v>
      </c>
      <c r="Q847" t="s">
        <v>2607</v>
      </c>
      <c r="R847" t="str">
        <f t="shared" si="182"/>
        <v>Fatima Lopez</v>
      </c>
      <c r="S847" t="str">
        <f t="shared" si="183"/>
        <v/>
      </c>
      <c r="T847" t="str">
        <f t="shared" si="184"/>
        <v>INR</v>
      </c>
      <c r="U847" s="7" t="str">
        <f t="shared" si="185"/>
        <v>aud</v>
      </c>
      <c r="V847" s="7" t="str">
        <f t="shared" si="186"/>
        <v>Brazil</v>
      </c>
      <c r="W847" s="7" t="str">
        <f t="shared" si="187"/>
        <v>UAE</v>
      </c>
      <c r="X847" s="7" t="str">
        <f t="shared" si="188"/>
        <v>Internal</v>
      </c>
      <c r="Y847" s="7">
        <f t="shared" si="189"/>
        <v>196.72</v>
      </c>
      <c r="Z847" s="7">
        <f t="shared" si="190"/>
        <v>60</v>
      </c>
      <c r="AA847" s="7">
        <f t="shared" si="191"/>
        <v>2022</v>
      </c>
      <c r="AB847" s="7">
        <f t="shared" si="192"/>
        <v>4</v>
      </c>
      <c r="AC847" s="7">
        <f t="shared" si="193"/>
        <v>1</v>
      </c>
      <c r="AD847" s="7" t="str">
        <f t="shared" si="194"/>
        <v>No</v>
      </c>
      <c r="AE847" s="7" t="str">
        <f t="shared" si="195"/>
        <v>High Risk</v>
      </c>
    </row>
    <row r="848" spans="1:31">
      <c r="A848" t="s">
        <v>2608</v>
      </c>
      <c r="B848">
        <v>32395401</v>
      </c>
      <c r="C848" t="s">
        <v>1309</v>
      </c>
      <c r="D848" t="s">
        <v>577</v>
      </c>
      <c r="E848" t="s">
        <v>20</v>
      </c>
      <c r="F848" t="s">
        <v>21</v>
      </c>
      <c r="G848" t="s">
        <v>121</v>
      </c>
      <c r="H848" t="s">
        <v>25</v>
      </c>
      <c r="I848" t="s">
        <v>3378</v>
      </c>
      <c r="J848">
        <v>11371.85</v>
      </c>
      <c r="K848" t="s">
        <v>86</v>
      </c>
      <c r="L848" t="s">
        <v>28</v>
      </c>
      <c r="M848" s="1">
        <v>43951.759722222225</v>
      </c>
      <c r="N848">
        <v>44</v>
      </c>
      <c r="O848" t="s">
        <v>93</v>
      </c>
      <c r="P848" t="s">
        <v>93</v>
      </c>
      <c r="Q848" t="s">
        <v>2609</v>
      </c>
      <c r="R848" t="str">
        <f t="shared" si="182"/>
        <v>Mary Souza</v>
      </c>
      <c r="S848" t="str">
        <f t="shared" si="183"/>
        <v>David Williams</v>
      </c>
      <c r="T848" t="str">
        <f t="shared" si="184"/>
        <v>GBP</v>
      </c>
      <c r="U848" s="7" t="str">
        <f t="shared" si="185"/>
        <v>INR</v>
      </c>
      <c r="V848" s="7" t="str">
        <f t="shared" si="186"/>
        <v>USA</v>
      </c>
      <c r="W848" s="7" t="str">
        <f t="shared" si="187"/>
        <v>USA</v>
      </c>
      <c r="X848" s="7" t="str">
        <f t="shared" si="188"/>
        <v>Inter-Transaction</v>
      </c>
      <c r="Y848" s="7">
        <f t="shared" si="189"/>
        <v>11371.85</v>
      </c>
      <c r="Z848" s="7">
        <f t="shared" si="190"/>
        <v>44</v>
      </c>
      <c r="AA848" s="7">
        <f t="shared" si="191"/>
        <v>2020</v>
      </c>
      <c r="AB848" s="7">
        <f t="shared" si="192"/>
        <v>4</v>
      </c>
      <c r="AC848" s="7">
        <f t="shared" si="193"/>
        <v>1</v>
      </c>
      <c r="AD848" s="7" t="str">
        <f t="shared" si="194"/>
        <v>No</v>
      </c>
      <c r="AE848" s="7" t="str">
        <f t="shared" si="195"/>
        <v>Normal</v>
      </c>
    </row>
    <row r="849" spans="1:31">
      <c r="A849" t="s">
        <v>2610</v>
      </c>
      <c r="B849">
        <v>42238832</v>
      </c>
      <c r="C849" t="s">
        <v>106</v>
      </c>
      <c r="D849" t="s">
        <v>278</v>
      </c>
      <c r="E849" t="s">
        <v>20</v>
      </c>
      <c r="F849" t="s">
        <v>44</v>
      </c>
      <c r="G849" t="s">
        <v>22</v>
      </c>
      <c r="H849" t="s">
        <v>38</v>
      </c>
      <c r="I849" t="s">
        <v>3372</v>
      </c>
      <c r="J849">
        <v>432.14</v>
      </c>
      <c r="K849" t="s">
        <v>27</v>
      </c>
      <c r="L849" t="s">
        <v>81</v>
      </c>
      <c r="M849" s="1">
        <v>45306.317361111112</v>
      </c>
      <c r="N849">
        <v>37</v>
      </c>
      <c r="O849" t="s">
        <v>127</v>
      </c>
      <c r="P849" t="s">
        <v>54</v>
      </c>
      <c r="Q849" t="s">
        <v>2611</v>
      </c>
      <c r="R849" t="str">
        <f t="shared" si="182"/>
        <v>Amir Moore</v>
      </c>
      <c r="S849" t="str">
        <f t="shared" si="183"/>
        <v>Sanjay Williams</v>
      </c>
      <c r="T849" t="str">
        <f t="shared" si="184"/>
        <v>SGD</v>
      </c>
      <c r="U849" s="7" t="str">
        <f t="shared" si="185"/>
        <v>BRL</v>
      </c>
      <c r="V849" s="7" t="str">
        <f t="shared" si="186"/>
        <v>Canada</v>
      </c>
      <c r="W849" s="7" t="str">
        <f t="shared" si="187"/>
        <v>India</v>
      </c>
      <c r="X849" s="7" t="str">
        <f t="shared" si="188"/>
        <v>Outer-Transaction</v>
      </c>
      <c r="Y849" s="7">
        <f t="shared" si="189"/>
        <v>432.14</v>
      </c>
      <c r="Z849" s="7">
        <f t="shared" si="190"/>
        <v>37</v>
      </c>
      <c r="AA849" s="7">
        <f t="shared" si="191"/>
        <v>2024</v>
      </c>
      <c r="AB849" s="7">
        <f t="shared" si="192"/>
        <v>1</v>
      </c>
      <c r="AC849" s="7">
        <f t="shared" si="193"/>
        <v>1</v>
      </c>
      <c r="AD849" s="7" t="str">
        <f t="shared" si="194"/>
        <v>No</v>
      </c>
      <c r="AE849" s="7" t="str">
        <f t="shared" si="195"/>
        <v>Normal</v>
      </c>
    </row>
    <row r="850" spans="1:31">
      <c r="A850" t="s">
        <v>2612</v>
      </c>
      <c r="B850">
        <v>76573189</v>
      </c>
      <c r="C850" t="s">
        <v>1010</v>
      </c>
      <c r="D850" t="s">
        <v>504</v>
      </c>
      <c r="E850" t="s">
        <v>20</v>
      </c>
      <c r="F850" t="s">
        <v>80</v>
      </c>
      <c r="G850" t="s">
        <v>53</v>
      </c>
      <c r="I850" t="s">
        <v>3376</v>
      </c>
      <c r="J850">
        <v>783.75</v>
      </c>
      <c r="K850" t="s">
        <v>47</v>
      </c>
      <c r="L850" t="s">
        <v>75</v>
      </c>
      <c r="M850" s="1">
        <v>44795.720833333333</v>
      </c>
      <c r="N850">
        <v>28</v>
      </c>
      <c r="O850" t="s">
        <v>93</v>
      </c>
      <c r="P850" t="s">
        <v>54</v>
      </c>
      <c r="Q850" t="s">
        <v>2613</v>
      </c>
      <c r="R850" t="str">
        <f t="shared" si="182"/>
        <v>Amir Martinez</v>
      </c>
      <c r="S850" t="str">
        <f t="shared" si="183"/>
        <v>Lucas Jones</v>
      </c>
      <c r="T850" t="str">
        <f t="shared" si="184"/>
        <v>USD</v>
      </c>
      <c r="U850" s="7" t="str">
        <f t="shared" si="185"/>
        <v>AED</v>
      </c>
      <c r="V850" s="7" t="str">
        <f t="shared" si="186"/>
        <v>USA</v>
      </c>
      <c r="W850" s="7" t="str">
        <f t="shared" si="187"/>
        <v>India</v>
      </c>
      <c r="X850" s="7" t="str">
        <f t="shared" si="188"/>
        <v>Internal</v>
      </c>
      <c r="Y850" s="7">
        <f t="shared" si="189"/>
        <v>783.75</v>
      </c>
      <c r="Z850" s="7">
        <f t="shared" si="190"/>
        <v>28</v>
      </c>
      <c r="AA850" s="7">
        <f t="shared" si="191"/>
        <v>2022</v>
      </c>
      <c r="AB850" s="7">
        <f t="shared" si="192"/>
        <v>8</v>
      </c>
      <c r="AC850" s="7">
        <f t="shared" si="193"/>
        <v>1</v>
      </c>
      <c r="AD850" s="7" t="str">
        <f t="shared" si="194"/>
        <v>No</v>
      </c>
      <c r="AE850" s="7" t="str">
        <f t="shared" si="195"/>
        <v>High Risk</v>
      </c>
    </row>
    <row r="851" spans="1:31">
      <c r="A851" t="s">
        <v>2614</v>
      </c>
      <c r="B851">
        <v>97617026</v>
      </c>
      <c r="C851" t="s">
        <v>286</v>
      </c>
      <c r="D851" t="s">
        <v>1088</v>
      </c>
      <c r="E851" t="s">
        <v>20</v>
      </c>
      <c r="F851" t="s">
        <v>80</v>
      </c>
      <c r="G851" t="s">
        <v>80</v>
      </c>
      <c r="H851" t="s">
        <v>74</v>
      </c>
      <c r="I851" t="s">
        <v>3377</v>
      </c>
      <c r="J851">
        <v>8572.91</v>
      </c>
      <c r="K851" t="s">
        <v>47</v>
      </c>
      <c r="L851" t="s">
        <v>81</v>
      </c>
      <c r="M851" s="1">
        <v>43959.990277777775</v>
      </c>
      <c r="N851">
        <v>55</v>
      </c>
      <c r="O851" t="s">
        <v>36</v>
      </c>
      <c r="P851" t="s">
        <v>23</v>
      </c>
      <c r="Q851" t="s">
        <v>2615</v>
      </c>
      <c r="R851" t="str">
        <f t="shared" si="182"/>
        <v>Linda Johnson</v>
      </c>
      <c r="S851" t="str">
        <f t="shared" si="183"/>
        <v>Priya Souza</v>
      </c>
      <c r="T851" t="str">
        <f t="shared" si="184"/>
        <v>USD</v>
      </c>
      <c r="U851" s="7" t="str">
        <f t="shared" si="185"/>
        <v>USD</v>
      </c>
      <c r="V851" s="7" t="str">
        <f t="shared" si="186"/>
        <v>Germany</v>
      </c>
      <c r="W851" s="7" t="str">
        <f t="shared" si="187"/>
        <v>France</v>
      </c>
      <c r="X851" s="7" t="str">
        <f t="shared" si="188"/>
        <v>Inter-Transaction</v>
      </c>
      <c r="Y851" s="7">
        <f t="shared" si="189"/>
        <v>8572.91</v>
      </c>
      <c r="Z851" s="7">
        <f t="shared" si="190"/>
        <v>55</v>
      </c>
      <c r="AA851" s="7">
        <f t="shared" si="191"/>
        <v>2020</v>
      </c>
      <c r="AB851" s="7">
        <f t="shared" si="192"/>
        <v>5</v>
      </c>
      <c r="AC851" s="7">
        <f t="shared" si="193"/>
        <v>1</v>
      </c>
      <c r="AD851" s="7" t="str">
        <f t="shared" si="194"/>
        <v>No</v>
      </c>
      <c r="AE851" s="7" t="str">
        <f t="shared" si="195"/>
        <v>Normal</v>
      </c>
    </row>
    <row r="852" spans="1:31">
      <c r="A852" t="s">
        <v>2616</v>
      </c>
      <c r="B852">
        <v>85576096</v>
      </c>
      <c r="C852" t="s">
        <v>1117</v>
      </c>
      <c r="D852" t="s">
        <v>227</v>
      </c>
      <c r="E852" t="s">
        <v>20</v>
      </c>
      <c r="F852" t="s">
        <v>44</v>
      </c>
      <c r="G852" t="s">
        <v>35</v>
      </c>
      <c r="H852" t="s">
        <v>74</v>
      </c>
      <c r="I852" t="s">
        <v>3376</v>
      </c>
      <c r="J852">
        <v>12196.82</v>
      </c>
      <c r="K852" t="s">
        <v>27</v>
      </c>
      <c r="L852" t="s">
        <v>28</v>
      </c>
      <c r="M852" s="1">
        <v>45429.256249999999</v>
      </c>
      <c r="N852">
        <v>23</v>
      </c>
      <c r="O852" t="s">
        <v>24</v>
      </c>
      <c r="P852" t="s">
        <v>36</v>
      </c>
      <c r="Q852" t="s">
        <v>2617</v>
      </c>
      <c r="R852" t="str">
        <f t="shared" si="182"/>
        <v>John Smith</v>
      </c>
      <c r="S852" t="str">
        <f t="shared" si="183"/>
        <v>Lucas Anderson</v>
      </c>
      <c r="T852" t="str">
        <f t="shared" si="184"/>
        <v>SGD</v>
      </c>
      <c r="U852" s="7" t="str">
        <f t="shared" si="185"/>
        <v>EUR</v>
      </c>
      <c r="V852" s="7" t="str">
        <f t="shared" si="186"/>
        <v>Brazil</v>
      </c>
      <c r="W852" s="7" t="str">
        <f t="shared" si="187"/>
        <v>Germany</v>
      </c>
      <c r="X852" s="7" t="str">
        <f t="shared" si="188"/>
        <v>Internal</v>
      </c>
      <c r="Y852" s="7">
        <f t="shared" si="189"/>
        <v>12196.82</v>
      </c>
      <c r="Z852" s="7">
        <f t="shared" si="190"/>
        <v>23</v>
      </c>
      <c r="AA852" s="7">
        <f t="shared" si="191"/>
        <v>2024</v>
      </c>
      <c r="AB852" s="7">
        <f t="shared" si="192"/>
        <v>5</v>
      </c>
      <c r="AC852" s="7">
        <f t="shared" si="193"/>
        <v>1</v>
      </c>
      <c r="AD852" s="7" t="str">
        <f t="shared" si="194"/>
        <v>No</v>
      </c>
      <c r="AE852" s="7" t="str">
        <f t="shared" si="195"/>
        <v>Normal</v>
      </c>
    </row>
    <row r="853" spans="1:31">
      <c r="A853" t="s">
        <v>2618</v>
      </c>
      <c r="B853">
        <v>47490735</v>
      </c>
      <c r="C853" t="s">
        <v>1349</v>
      </c>
      <c r="D853" t="s">
        <v>2619</v>
      </c>
      <c r="E853" t="b">
        <v>0</v>
      </c>
      <c r="F853" t="s">
        <v>35</v>
      </c>
      <c r="G853" t="s">
        <v>116</v>
      </c>
      <c r="H853" t="s">
        <v>103</v>
      </c>
      <c r="I853" t="s">
        <v>3378</v>
      </c>
      <c r="J853">
        <v>3680.73</v>
      </c>
      <c r="K853" t="s">
        <v>86</v>
      </c>
      <c r="L853" t="s">
        <v>48</v>
      </c>
      <c r="M853" s="1">
        <v>45907.217361111114</v>
      </c>
      <c r="N853">
        <v>40</v>
      </c>
      <c r="O853" t="s">
        <v>62</v>
      </c>
      <c r="P853" t="s">
        <v>36</v>
      </c>
      <c r="Q853" t="s">
        <v>2620</v>
      </c>
      <c r="R853" t="str">
        <f t="shared" si="182"/>
        <v>Fatima Wilson</v>
      </c>
      <c r="S853" t="str">
        <f t="shared" si="183"/>
        <v xml:space="preserve"> Lucas Brown   </v>
      </c>
      <c r="T853" t="str">
        <f t="shared" si="184"/>
        <v>EUR</v>
      </c>
      <c r="U853" s="7" t="str">
        <f t="shared" si="185"/>
        <v>CHF</v>
      </c>
      <c r="V853" s="7" t="str">
        <f t="shared" si="186"/>
        <v>Australia</v>
      </c>
      <c r="W853" s="7" t="str">
        <f t="shared" si="187"/>
        <v>Germany</v>
      </c>
      <c r="X853" s="7" t="str">
        <f t="shared" si="188"/>
        <v>Inter-Transaction</v>
      </c>
      <c r="Y853" s="7">
        <f t="shared" si="189"/>
        <v>3680.73</v>
      </c>
      <c r="Z853" s="7">
        <f t="shared" si="190"/>
        <v>40</v>
      </c>
      <c r="AA853" s="7">
        <f t="shared" si="191"/>
        <v>2025</v>
      </c>
      <c r="AB853" s="7">
        <f t="shared" si="192"/>
        <v>9</v>
      </c>
      <c r="AC853" s="7">
        <f t="shared" si="193"/>
        <v>1</v>
      </c>
      <c r="AD853" s="7" t="str">
        <f t="shared" si="194"/>
        <v>No</v>
      </c>
      <c r="AE853" s="7" t="str">
        <f t="shared" si="195"/>
        <v>Normal</v>
      </c>
    </row>
    <row r="854" spans="1:31">
      <c r="A854" t="s">
        <v>2621</v>
      </c>
      <c r="B854">
        <v>29336846</v>
      </c>
      <c r="C854" t="s">
        <v>2622</v>
      </c>
      <c r="D854" t="s">
        <v>203</v>
      </c>
      <c r="E854" t="s">
        <v>20</v>
      </c>
      <c r="F854" t="s">
        <v>35</v>
      </c>
      <c r="G854" t="s">
        <v>21</v>
      </c>
      <c r="I854" t="s">
        <v>3372</v>
      </c>
      <c r="J854">
        <v>11969.57</v>
      </c>
      <c r="K854" t="s">
        <v>39</v>
      </c>
      <c r="L854" t="s">
        <v>48</v>
      </c>
      <c r="M854" s="1">
        <v>45378.694444444445</v>
      </c>
      <c r="N854">
        <v>64</v>
      </c>
      <c r="O854" t="s">
        <v>36</v>
      </c>
      <c r="P854" t="s">
        <v>23</v>
      </c>
      <c r="Q854" t="s">
        <v>2623</v>
      </c>
      <c r="R854" t="str">
        <f t="shared" si="182"/>
        <v>RICHARD GARCIA</v>
      </c>
      <c r="S854" t="str">
        <f t="shared" si="183"/>
        <v>William Souza</v>
      </c>
      <c r="T854" t="str">
        <f t="shared" si="184"/>
        <v>EUR</v>
      </c>
      <c r="U854" s="7" t="str">
        <f t="shared" si="185"/>
        <v>GBP</v>
      </c>
      <c r="V854" s="7" t="str">
        <f t="shared" si="186"/>
        <v>Germany</v>
      </c>
      <c r="W854" s="7" t="str">
        <f t="shared" si="187"/>
        <v>France</v>
      </c>
      <c r="X854" s="7" t="str">
        <f t="shared" si="188"/>
        <v>Outer-Transaction</v>
      </c>
      <c r="Y854" s="7">
        <f t="shared" si="189"/>
        <v>11969.57</v>
      </c>
      <c r="Z854" s="7">
        <f t="shared" si="190"/>
        <v>64</v>
      </c>
      <c r="AA854" s="7">
        <f t="shared" si="191"/>
        <v>2024</v>
      </c>
      <c r="AB854" s="7">
        <f t="shared" si="192"/>
        <v>3</v>
      </c>
      <c r="AC854" s="7">
        <f t="shared" si="193"/>
        <v>1</v>
      </c>
      <c r="AD854" s="7" t="str">
        <f t="shared" si="194"/>
        <v>No</v>
      </c>
      <c r="AE854" s="7" t="str">
        <f t="shared" si="195"/>
        <v>Normal</v>
      </c>
    </row>
    <row r="855" spans="1:31">
      <c r="A855" t="s">
        <v>2624</v>
      </c>
      <c r="B855">
        <v>73125920</v>
      </c>
      <c r="C855" t="s">
        <v>1200</v>
      </c>
      <c r="D855" t="s">
        <v>1079</v>
      </c>
      <c r="E855" t="s">
        <v>20</v>
      </c>
      <c r="F855" t="s">
        <v>53</v>
      </c>
      <c r="G855" t="s">
        <v>22</v>
      </c>
      <c r="I855" t="s">
        <v>3378</v>
      </c>
      <c r="J855">
        <v>8769.35</v>
      </c>
      <c r="K855" t="s">
        <v>57</v>
      </c>
      <c r="L855" t="s">
        <v>28</v>
      </c>
      <c r="M855" s="1">
        <v>44163.770138888889</v>
      </c>
      <c r="N855">
        <v>63</v>
      </c>
      <c r="O855" t="s">
        <v>23</v>
      </c>
      <c r="P855" t="s">
        <v>36</v>
      </c>
      <c r="Q855" t="s">
        <v>2625</v>
      </c>
      <c r="R855" t="str">
        <f t="shared" si="182"/>
        <v>Jessica Williams</v>
      </c>
      <c r="S855" t="str">
        <f t="shared" si="183"/>
        <v>Sanjay Anderson</v>
      </c>
      <c r="T855" t="str">
        <f t="shared" si="184"/>
        <v>AED</v>
      </c>
      <c r="U855" s="7" t="str">
        <f t="shared" si="185"/>
        <v>BRL</v>
      </c>
      <c r="V855" s="7" t="str">
        <f t="shared" si="186"/>
        <v>France</v>
      </c>
      <c r="W855" s="7" t="str">
        <f t="shared" si="187"/>
        <v>Germany</v>
      </c>
      <c r="X855" s="7" t="str">
        <f t="shared" si="188"/>
        <v>Inter-Transaction</v>
      </c>
      <c r="Y855" s="7">
        <f t="shared" si="189"/>
        <v>8769.35</v>
      </c>
      <c r="Z855" s="7">
        <f t="shared" si="190"/>
        <v>63</v>
      </c>
      <c r="AA855" s="7">
        <f t="shared" si="191"/>
        <v>2020</v>
      </c>
      <c r="AB855" s="7">
        <f t="shared" si="192"/>
        <v>11</v>
      </c>
      <c r="AC855" s="7">
        <f t="shared" si="193"/>
        <v>1</v>
      </c>
      <c r="AD855" s="7" t="str">
        <f t="shared" si="194"/>
        <v>No</v>
      </c>
      <c r="AE855" s="7" t="str">
        <f t="shared" si="195"/>
        <v>Normal</v>
      </c>
    </row>
    <row r="856" spans="1:31">
      <c r="A856" t="s">
        <v>2626</v>
      </c>
      <c r="C856" t="s">
        <v>536</v>
      </c>
      <c r="D856" t="s">
        <v>2085</v>
      </c>
      <c r="E856" t="s">
        <v>3373</v>
      </c>
      <c r="F856" t="s">
        <v>22</v>
      </c>
      <c r="G856" t="s">
        <v>53</v>
      </c>
      <c r="H856" t="s">
        <v>38</v>
      </c>
      <c r="I856" t="s">
        <v>3374</v>
      </c>
      <c r="J856">
        <v>6325.3</v>
      </c>
      <c r="K856" t="s">
        <v>47</v>
      </c>
      <c r="L856" t="s">
        <v>81</v>
      </c>
      <c r="M856" s="1">
        <v>44984.20416666667</v>
      </c>
      <c r="N856">
        <v>29</v>
      </c>
      <c r="O856" t="s">
        <v>24</v>
      </c>
      <c r="P856" t="s">
        <v>54</v>
      </c>
      <c r="Q856" t="s">
        <v>2627</v>
      </c>
      <c r="R856" t="str">
        <f t="shared" si="182"/>
        <v>Linda Silva</v>
      </c>
      <c r="S856" t="str">
        <f t="shared" si="183"/>
        <v>Jessica Moore</v>
      </c>
      <c r="T856" t="str">
        <f t="shared" si="184"/>
        <v>BRL</v>
      </c>
      <c r="U856" s="7" t="str">
        <f t="shared" si="185"/>
        <v>AED</v>
      </c>
      <c r="V856" s="7" t="str">
        <f t="shared" si="186"/>
        <v>Brazil</v>
      </c>
      <c r="W856" s="7" t="str">
        <f t="shared" si="187"/>
        <v>India</v>
      </c>
      <c r="X856" s="7" t="str">
        <f t="shared" si="188"/>
        <v>External</v>
      </c>
      <c r="Y856" s="7">
        <f t="shared" si="189"/>
        <v>6325.3</v>
      </c>
      <c r="Z856" s="7">
        <f t="shared" si="190"/>
        <v>29</v>
      </c>
      <c r="AA856" s="7">
        <f t="shared" si="191"/>
        <v>2023</v>
      </c>
      <c r="AB856" s="7">
        <f t="shared" si="192"/>
        <v>2</v>
      </c>
      <c r="AC856" s="7">
        <f t="shared" si="193"/>
        <v>1</v>
      </c>
      <c r="AD856" s="7" t="str">
        <f t="shared" si="194"/>
        <v>No</v>
      </c>
      <c r="AE856" s="7" t="str">
        <f t="shared" si="195"/>
        <v>Normal</v>
      </c>
    </row>
    <row r="857" spans="1:31">
      <c r="A857" t="s">
        <v>2628</v>
      </c>
      <c r="B857">
        <v>98227915</v>
      </c>
      <c r="C857" t="s">
        <v>2101</v>
      </c>
      <c r="D857" t="s">
        <v>2629</v>
      </c>
      <c r="E857" t="s">
        <v>20</v>
      </c>
      <c r="F857" t="s">
        <v>44</v>
      </c>
      <c r="G857" t="s">
        <v>53</v>
      </c>
      <c r="H857" t="s">
        <v>38</v>
      </c>
      <c r="I857" t="s">
        <v>3374</v>
      </c>
      <c r="J857">
        <v>10894.23</v>
      </c>
      <c r="K857" t="s">
        <v>27</v>
      </c>
      <c r="L857" t="s">
        <v>48</v>
      </c>
      <c r="M857" s="1">
        <v>45147.262499999997</v>
      </c>
      <c r="N857">
        <v>30</v>
      </c>
      <c r="O857" t="s">
        <v>55</v>
      </c>
      <c r="P857" t="s">
        <v>37</v>
      </c>
      <c r="Q857" t="s">
        <v>2630</v>
      </c>
      <c r="R857" t="str">
        <f t="shared" si="182"/>
        <v>Karen Williams</v>
      </c>
      <c r="S857" t="str">
        <f t="shared" si="183"/>
        <v xml:space="preserve"> Christopher Brown   </v>
      </c>
      <c r="T857" t="str">
        <f t="shared" si="184"/>
        <v>SGD</v>
      </c>
      <c r="U857" s="7" t="str">
        <f t="shared" si="185"/>
        <v>AED</v>
      </c>
      <c r="V857" s="7" t="str">
        <f t="shared" si="186"/>
        <v>UK</v>
      </c>
      <c r="W857" s="7" t="str">
        <f t="shared" si="187"/>
        <v>South Africa</v>
      </c>
      <c r="X857" s="7" t="str">
        <f t="shared" si="188"/>
        <v>External</v>
      </c>
      <c r="Y857" s="7">
        <f t="shared" si="189"/>
        <v>10894.23</v>
      </c>
      <c r="Z857" s="7">
        <f t="shared" si="190"/>
        <v>30</v>
      </c>
      <c r="AA857" s="7">
        <f t="shared" si="191"/>
        <v>2023</v>
      </c>
      <c r="AB857" s="7">
        <f t="shared" si="192"/>
        <v>8</v>
      </c>
      <c r="AC857" s="7">
        <f t="shared" si="193"/>
        <v>1</v>
      </c>
      <c r="AD857" s="7" t="str">
        <f t="shared" si="194"/>
        <v>No</v>
      </c>
      <c r="AE857" s="7" t="str">
        <f t="shared" si="195"/>
        <v>Normal</v>
      </c>
    </row>
    <row r="858" spans="1:31">
      <c r="A858" t="s">
        <v>2631</v>
      </c>
      <c r="B858">
        <v>68659357</v>
      </c>
      <c r="D858" t="s">
        <v>647</v>
      </c>
      <c r="E858" t="s">
        <v>20</v>
      </c>
      <c r="F858" t="s">
        <v>121</v>
      </c>
      <c r="G858" t="s">
        <v>116</v>
      </c>
      <c r="I858" t="s">
        <v>3371</v>
      </c>
      <c r="J858">
        <v>998.11</v>
      </c>
      <c r="K858" t="s">
        <v>47</v>
      </c>
      <c r="L858" t="s">
        <v>48</v>
      </c>
      <c r="M858" s="1">
        <v>45027.831250000003</v>
      </c>
      <c r="N858">
        <v>79</v>
      </c>
      <c r="O858" t="s">
        <v>24</v>
      </c>
      <c r="P858" t="s">
        <v>55</v>
      </c>
      <c r="Q858" t="s">
        <v>2632</v>
      </c>
      <c r="R858" t="str">
        <f t="shared" si="182"/>
        <v/>
      </c>
      <c r="S858" t="str">
        <f t="shared" si="183"/>
        <v>Mary Taylor</v>
      </c>
      <c r="T858" t="str">
        <f t="shared" si="184"/>
        <v>INR</v>
      </c>
      <c r="U858" s="7" t="str">
        <f t="shared" si="185"/>
        <v>CHF</v>
      </c>
      <c r="V858" s="7" t="str">
        <f t="shared" si="186"/>
        <v>Brazil</v>
      </c>
      <c r="W858" s="7" t="str">
        <f t="shared" si="187"/>
        <v>UK</v>
      </c>
      <c r="X858" s="7" t="str">
        <f t="shared" si="188"/>
        <v>Outer-Transaction</v>
      </c>
      <c r="Y858" s="7">
        <f t="shared" si="189"/>
        <v>998.11</v>
      </c>
      <c r="Z858" s="7">
        <f t="shared" si="190"/>
        <v>79</v>
      </c>
      <c r="AA858" s="7">
        <f t="shared" si="191"/>
        <v>2023</v>
      </c>
      <c r="AB858" s="7">
        <f t="shared" si="192"/>
        <v>4</v>
      </c>
      <c r="AC858" s="7">
        <f t="shared" si="193"/>
        <v>1</v>
      </c>
      <c r="AD858" s="7" t="str">
        <f t="shared" si="194"/>
        <v>No</v>
      </c>
      <c r="AE858" s="7" t="str">
        <f t="shared" si="195"/>
        <v>Normal</v>
      </c>
    </row>
    <row r="859" spans="1:31">
      <c r="A859" t="s">
        <v>2633</v>
      </c>
      <c r="B859">
        <v>18181846</v>
      </c>
      <c r="D859" t="s">
        <v>2634</v>
      </c>
      <c r="E859" t="s">
        <v>20</v>
      </c>
      <c r="F859" t="s">
        <v>53</v>
      </c>
      <c r="G859" t="s">
        <v>22</v>
      </c>
      <c r="H859" t="s">
        <v>38</v>
      </c>
      <c r="I859" t="s">
        <v>3376</v>
      </c>
      <c r="J859">
        <v>8580.34</v>
      </c>
      <c r="K859" t="s">
        <v>27</v>
      </c>
      <c r="L859" t="s">
        <v>28</v>
      </c>
      <c r="M859" s="1">
        <v>45260.265972222223</v>
      </c>
      <c r="N859">
        <v>77</v>
      </c>
      <c r="O859" t="s">
        <v>55</v>
      </c>
      <c r="P859" t="s">
        <v>54</v>
      </c>
      <c r="Q859" t="s">
        <v>2635</v>
      </c>
      <c r="R859" t="str">
        <f t="shared" si="182"/>
        <v/>
      </c>
      <c r="S859" t="str">
        <f t="shared" si="183"/>
        <v xml:space="preserve"> Karen Taylor   </v>
      </c>
      <c r="T859" t="str">
        <f t="shared" si="184"/>
        <v>AED</v>
      </c>
      <c r="U859" s="7" t="str">
        <f t="shared" si="185"/>
        <v>BRL</v>
      </c>
      <c r="V859" s="7" t="str">
        <f t="shared" si="186"/>
        <v>UK</v>
      </c>
      <c r="W859" s="7" t="str">
        <f t="shared" si="187"/>
        <v>India</v>
      </c>
      <c r="X859" s="7" t="str">
        <f t="shared" si="188"/>
        <v>Internal</v>
      </c>
      <c r="Y859" s="7">
        <f t="shared" si="189"/>
        <v>8580.34</v>
      </c>
      <c r="Z859" s="7">
        <f t="shared" si="190"/>
        <v>77</v>
      </c>
      <c r="AA859" s="7">
        <f t="shared" si="191"/>
        <v>2023</v>
      </c>
      <c r="AB859" s="7">
        <f t="shared" si="192"/>
        <v>11</v>
      </c>
      <c r="AC859" s="7">
        <f t="shared" si="193"/>
        <v>1</v>
      </c>
      <c r="AD859" s="7" t="str">
        <f t="shared" si="194"/>
        <v>No</v>
      </c>
      <c r="AE859" s="7" t="str">
        <f t="shared" si="195"/>
        <v>Normal</v>
      </c>
    </row>
    <row r="860" spans="1:31">
      <c r="A860" t="s">
        <v>2636</v>
      </c>
      <c r="B860">
        <v>94258614</v>
      </c>
      <c r="C860" t="s">
        <v>667</v>
      </c>
      <c r="D860" t="s">
        <v>2214</v>
      </c>
      <c r="E860" t="s">
        <v>20</v>
      </c>
      <c r="F860" t="s">
        <v>121</v>
      </c>
      <c r="G860" t="s">
        <v>44</v>
      </c>
      <c r="I860" t="s">
        <v>3374</v>
      </c>
      <c r="J860">
        <v>9270.4599999999991</v>
      </c>
      <c r="K860" t="s">
        <v>39</v>
      </c>
      <c r="L860" t="s">
        <v>28</v>
      </c>
      <c r="M860" s="1">
        <v>44186.080555555556</v>
      </c>
      <c r="N860">
        <v>60</v>
      </c>
      <c r="O860" t="s">
        <v>37</v>
      </c>
      <c r="P860" t="s">
        <v>93</v>
      </c>
      <c r="Q860" t="s">
        <v>2637</v>
      </c>
      <c r="R860" t="str">
        <f t="shared" si="182"/>
        <v>Michael Khan</v>
      </c>
      <c r="S860" t="str">
        <f t="shared" si="183"/>
        <v>Elizabeth Jones</v>
      </c>
      <c r="T860" t="str">
        <f t="shared" si="184"/>
        <v>INR</v>
      </c>
      <c r="U860" s="7" t="str">
        <f t="shared" si="185"/>
        <v>SGD</v>
      </c>
      <c r="V860" s="7" t="str">
        <f t="shared" si="186"/>
        <v>South Africa</v>
      </c>
      <c r="W860" s="7" t="str">
        <f t="shared" si="187"/>
        <v>USA</v>
      </c>
      <c r="X860" s="7" t="str">
        <f t="shared" si="188"/>
        <v>External</v>
      </c>
      <c r="Y860" s="7">
        <f t="shared" si="189"/>
        <v>9270.4599999999991</v>
      </c>
      <c r="Z860" s="7">
        <f t="shared" si="190"/>
        <v>60</v>
      </c>
      <c r="AA860" s="7">
        <f t="shared" si="191"/>
        <v>2020</v>
      </c>
      <c r="AB860" s="7">
        <f t="shared" si="192"/>
        <v>12</v>
      </c>
      <c r="AC860" s="7">
        <f t="shared" si="193"/>
        <v>1</v>
      </c>
      <c r="AD860" s="7" t="str">
        <f t="shared" si="194"/>
        <v>No</v>
      </c>
      <c r="AE860" s="7" t="str">
        <f t="shared" si="195"/>
        <v>Normal</v>
      </c>
    </row>
    <row r="861" spans="1:31">
      <c r="A861" t="s">
        <v>2638</v>
      </c>
      <c r="B861">
        <v>44629948</v>
      </c>
      <c r="C861" t="s">
        <v>2639</v>
      </c>
      <c r="D861" t="s">
        <v>2640</v>
      </c>
      <c r="E861" t="s">
        <v>20</v>
      </c>
      <c r="F861" t="s">
        <v>116</v>
      </c>
      <c r="G861" t="s">
        <v>116</v>
      </c>
      <c r="H861" t="s">
        <v>74</v>
      </c>
      <c r="I861" t="s">
        <v>3372</v>
      </c>
      <c r="J861">
        <v>1246.4000000000001</v>
      </c>
      <c r="K861" t="s">
        <v>86</v>
      </c>
      <c r="L861" t="s">
        <v>28</v>
      </c>
      <c r="M861" s="1">
        <v>43969.949305555558</v>
      </c>
      <c r="N861">
        <v>85</v>
      </c>
      <c r="O861" t="s">
        <v>127</v>
      </c>
      <c r="P861" t="s">
        <v>24</v>
      </c>
      <c r="Q861" t="s">
        <v>2641</v>
      </c>
      <c r="R861" t="str">
        <f t="shared" si="182"/>
        <v>Joseph Davis</v>
      </c>
      <c r="S861" t="str">
        <f t="shared" si="183"/>
        <v>Mary Johnson</v>
      </c>
      <c r="T861" t="str">
        <f t="shared" si="184"/>
        <v>CHF</v>
      </c>
      <c r="U861" s="7" t="str">
        <f t="shared" si="185"/>
        <v>CHF</v>
      </c>
      <c r="V861" s="7" t="str">
        <f t="shared" si="186"/>
        <v>Canada</v>
      </c>
      <c r="W861" s="7" t="str">
        <f t="shared" si="187"/>
        <v>Brazil</v>
      </c>
      <c r="X861" s="7" t="str">
        <f t="shared" si="188"/>
        <v>Outer-Transaction</v>
      </c>
      <c r="Y861" s="7">
        <f t="shared" si="189"/>
        <v>1246.4000000000001</v>
      </c>
      <c r="Z861" s="7">
        <f t="shared" si="190"/>
        <v>85</v>
      </c>
      <c r="AA861" s="7">
        <f t="shared" si="191"/>
        <v>2020</v>
      </c>
      <c r="AB861" s="7">
        <f t="shared" si="192"/>
        <v>5</v>
      </c>
      <c r="AC861" s="7">
        <f t="shared" si="193"/>
        <v>1</v>
      </c>
      <c r="AD861" s="7" t="str">
        <f t="shared" si="194"/>
        <v>No</v>
      </c>
      <c r="AE861" s="7" t="str">
        <f t="shared" si="195"/>
        <v>Normal</v>
      </c>
    </row>
    <row r="862" spans="1:31">
      <c r="A862" t="s">
        <v>2642</v>
      </c>
      <c r="B862">
        <v>51479441</v>
      </c>
      <c r="C862" t="s">
        <v>2643</v>
      </c>
      <c r="D862" t="s">
        <v>1322</v>
      </c>
      <c r="E862" t="s">
        <v>20</v>
      </c>
      <c r="F862" t="s">
        <v>180</v>
      </c>
      <c r="G862" t="s">
        <v>80</v>
      </c>
      <c r="H862" t="s">
        <v>56</v>
      </c>
      <c r="I862" t="s">
        <v>3378</v>
      </c>
      <c r="J862">
        <v>5632.18</v>
      </c>
      <c r="K862" t="s">
        <v>27</v>
      </c>
      <c r="L862" t="s">
        <v>75</v>
      </c>
      <c r="M862" s="1">
        <v>45357.527083333334</v>
      </c>
      <c r="N862">
        <v>22</v>
      </c>
      <c r="O862" t="s">
        <v>68</v>
      </c>
      <c r="P862" t="s">
        <v>23</v>
      </c>
      <c r="Q862" t="s">
        <v>2644</v>
      </c>
      <c r="R862" t="str">
        <f t="shared" si="182"/>
        <v>Michael Smith</v>
      </c>
      <c r="S862" t="str">
        <f t="shared" si="183"/>
        <v>William Nair</v>
      </c>
      <c r="T862" t="str">
        <f t="shared" si="184"/>
        <v>zar</v>
      </c>
      <c r="U862" s="7" t="str">
        <f t="shared" si="185"/>
        <v>USD</v>
      </c>
      <c r="V862" s="7" t="str">
        <f t="shared" si="186"/>
        <v>UAE</v>
      </c>
      <c r="W862" s="7" t="str">
        <f t="shared" si="187"/>
        <v>France</v>
      </c>
      <c r="X862" s="7" t="str">
        <f t="shared" si="188"/>
        <v>Inter-Transaction</v>
      </c>
      <c r="Y862" s="7">
        <f t="shared" si="189"/>
        <v>5632.18</v>
      </c>
      <c r="Z862" s="7">
        <f t="shared" si="190"/>
        <v>22</v>
      </c>
      <c r="AA862" s="7">
        <f t="shared" si="191"/>
        <v>2024</v>
      </c>
      <c r="AB862" s="7">
        <f t="shared" si="192"/>
        <v>3</v>
      </c>
      <c r="AC862" s="7">
        <f t="shared" si="193"/>
        <v>1</v>
      </c>
      <c r="AD862" s="7" t="str">
        <f t="shared" si="194"/>
        <v>No</v>
      </c>
      <c r="AE862" s="7" t="str">
        <f t="shared" si="195"/>
        <v>High Risk</v>
      </c>
    </row>
    <row r="863" spans="1:31">
      <c r="A863" t="s">
        <v>2645</v>
      </c>
      <c r="C863" t="s">
        <v>1710</v>
      </c>
      <c r="D863" t="s">
        <v>1652</v>
      </c>
      <c r="E863" t="s">
        <v>20</v>
      </c>
      <c r="F863" t="s">
        <v>21</v>
      </c>
      <c r="G863" t="s">
        <v>22</v>
      </c>
      <c r="H863" t="s">
        <v>74</v>
      </c>
      <c r="I863" t="s">
        <v>3376</v>
      </c>
      <c r="J863">
        <v>6706.61</v>
      </c>
      <c r="K863" t="s">
        <v>57</v>
      </c>
      <c r="L863" t="s">
        <v>28</v>
      </c>
      <c r="M863" s="1">
        <v>45028.234027777777</v>
      </c>
      <c r="N863">
        <v>54</v>
      </c>
      <c r="O863" t="s">
        <v>24</v>
      </c>
      <c r="P863" t="s">
        <v>127</v>
      </c>
      <c r="Q863" t="s">
        <v>2646</v>
      </c>
      <c r="R863" t="str">
        <f t="shared" si="182"/>
        <v>David Volkov</v>
      </c>
      <c r="S863" t="str">
        <f t="shared" si="183"/>
        <v>Sanjay Al-Sayed</v>
      </c>
      <c r="T863" t="str">
        <f t="shared" si="184"/>
        <v>GBP</v>
      </c>
      <c r="U863" s="7" t="str">
        <f t="shared" si="185"/>
        <v>BRL</v>
      </c>
      <c r="V863" s="7" t="str">
        <f t="shared" si="186"/>
        <v>Brazil</v>
      </c>
      <c r="W863" s="7" t="str">
        <f t="shared" si="187"/>
        <v>Canada</v>
      </c>
      <c r="X863" s="7" t="str">
        <f t="shared" si="188"/>
        <v>Internal</v>
      </c>
      <c r="Y863" s="7">
        <f t="shared" si="189"/>
        <v>6706.61</v>
      </c>
      <c r="Z863" s="7">
        <f t="shared" si="190"/>
        <v>54</v>
      </c>
      <c r="AA863" s="7">
        <f t="shared" si="191"/>
        <v>2023</v>
      </c>
      <c r="AB863" s="7">
        <f t="shared" si="192"/>
        <v>4</v>
      </c>
      <c r="AC863" s="7">
        <f t="shared" si="193"/>
        <v>1</v>
      </c>
      <c r="AD863" s="7" t="str">
        <f t="shared" si="194"/>
        <v>No</v>
      </c>
      <c r="AE863" s="7" t="str">
        <f t="shared" si="195"/>
        <v>Normal</v>
      </c>
    </row>
    <row r="864" spans="1:31">
      <c r="A864" t="s">
        <v>2647</v>
      </c>
      <c r="B864">
        <v>72756047</v>
      </c>
      <c r="C864" t="s">
        <v>1062</v>
      </c>
      <c r="D864" t="s">
        <v>2648</v>
      </c>
      <c r="E864" t="s">
        <v>20</v>
      </c>
      <c r="F864" t="s">
        <v>121</v>
      </c>
      <c r="G864" t="s">
        <v>92</v>
      </c>
      <c r="H864" t="s">
        <v>103</v>
      </c>
      <c r="I864" t="s">
        <v>3377</v>
      </c>
      <c r="J864">
        <v>2400.46</v>
      </c>
      <c r="K864" t="s">
        <v>86</v>
      </c>
      <c r="L864" t="s">
        <v>48</v>
      </c>
      <c r="M864" s="1">
        <v>43859.357638888891</v>
      </c>
      <c r="N864">
        <v>48</v>
      </c>
      <c r="O864" t="s">
        <v>54</v>
      </c>
      <c r="P864" t="s">
        <v>68</v>
      </c>
      <c r="Q864" t="s">
        <v>2649</v>
      </c>
      <c r="R864" t="str">
        <f t="shared" si="182"/>
        <v>Elizabeth Silva</v>
      </c>
      <c r="S864" t="str">
        <f t="shared" si="183"/>
        <v xml:space="preserve"> Priya Lopez   </v>
      </c>
      <c r="T864" t="str">
        <f t="shared" si="184"/>
        <v>INR</v>
      </c>
      <c r="U864" s="7" t="str">
        <f t="shared" si="185"/>
        <v>AUD</v>
      </c>
      <c r="V864" s="7" t="str">
        <f t="shared" si="186"/>
        <v>India</v>
      </c>
      <c r="W864" s="7" t="str">
        <f t="shared" si="187"/>
        <v>UAE</v>
      </c>
      <c r="X864" s="7" t="str">
        <f t="shared" si="188"/>
        <v>Inter-Transaction</v>
      </c>
      <c r="Y864" s="7">
        <f t="shared" si="189"/>
        <v>2400.46</v>
      </c>
      <c r="Z864" s="7">
        <f t="shared" si="190"/>
        <v>48</v>
      </c>
      <c r="AA864" s="7">
        <f t="shared" si="191"/>
        <v>2020</v>
      </c>
      <c r="AB864" s="7">
        <f t="shared" si="192"/>
        <v>1</v>
      </c>
      <c r="AC864" s="7">
        <f t="shared" si="193"/>
        <v>1</v>
      </c>
      <c r="AD864" s="7" t="str">
        <f t="shared" si="194"/>
        <v>No</v>
      </c>
      <c r="AE864" s="7" t="str">
        <f t="shared" si="195"/>
        <v>Normal</v>
      </c>
    </row>
    <row r="865" spans="1:31">
      <c r="A865" t="s">
        <v>2650</v>
      </c>
      <c r="B865">
        <v>85760648</v>
      </c>
      <c r="C865" t="s">
        <v>2421</v>
      </c>
      <c r="D865" t="s">
        <v>886</v>
      </c>
      <c r="E865" t="s">
        <v>3373</v>
      </c>
      <c r="F865" t="s">
        <v>99</v>
      </c>
      <c r="G865" t="s">
        <v>80</v>
      </c>
      <c r="H865" t="s">
        <v>25</v>
      </c>
      <c r="I865" t="s">
        <v>3377</v>
      </c>
      <c r="J865">
        <v>1925.52</v>
      </c>
      <c r="K865" t="s">
        <v>47</v>
      </c>
      <c r="L865" t="s">
        <v>48</v>
      </c>
      <c r="M865" s="1">
        <v>44761.419444444444</v>
      </c>
      <c r="N865">
        <v>26</v>
      </c>
      <c r="O865" t="s">
        <v>23</v>
      </c>
      <c r="P865" t="s">
        <v>127</v>
      </c>
      <c r="Q865" t="s">
        <v>2651</v>
      </c>
      <c r="R865" t="str">
        <f t="shared" si="182"/>
        <v>John Martinez</v>
      </c>
      <c r="S865" t="str">
        <f t="shared" si="183"/>
        <v>Marta Malik</v>
      </c>
      <c r="T865" t="str">
        <f t="shared" si="184"/>
        <v>eur</v>
      </c>
      <c r="U865" s="7" t="str">
        <f t="shared" si="185"/>
        <v>USD</v>
      </c>
      <c r="V865" s="7" t="str">
        <f t="shared" si="186"/>
        <v>France</v>
      </c>
      <c r="W865" s="7" t="str">
        <f t="shared" si="187"/>
        <v>Canada</v>
      </c>
      <c r="X865" s="7" t="str">
        <f t="shared" si="188"/>
        <v>Inter-Transaction</v>
      </c>
      <c r="Y865" s="7">
        <f t="shared" si="189"/>
        <v>1925.52</v>
      </c>
      <c r="Z865" s="7">
        <f t="shared" si="190"/>
        <v>26</v>
      </c>
      <c r="AA865" s="7">
        <f t="shared" si="191"/>
        <v>2022</v>
      </c>
      <c r="AB865" s="7">
        <f t="shared" si="192"/>
        <v>7</v>
      </c>
      <c r="AC865" s="7">
        <f t="shared" si="193"/>
        <v>1</v>
      </c>
      <c r="AD865" s="7" t="str">
        <f t="shared" si="194"/>
        <v>No</v>
      </c>
      <c r="AE865" s="7" t="str">
        <f t="shared" si="195"/>
        <v>Normal</v>
      </c>
    </row>
    <row r="866" spans="1:31">
      <c r="A866" t="s">
        <v>2652</v>
      </c>
      <c r="B866">
        <v>94174205</v>
      </c>
      <c r="C866" t="s">
        <v>1200</v>
      </c>
      <c r="D866" t="s">
        <v>2653</v>
      </c>
      <c r="E866" t="s">
        <v>20</v>
      </c>
      <c r="F866" t="s">
        <v>45</v>
      </c>
      <c r="G866" t="s">
        <v>176</v>
      </c>
      <c r="H866" t="s">
        <v>103</v>
      </c>
      <c r="I866" t="s">
        <v>3371</v>
      </c>
      <c r="J866">
        <v>14336.25</v>
      </c>
      <c r="K866" t="s">
        <v>57</v>
      </c>
      <c r="L866" t="s">
        <v>75</v>
      </c>
      <c r="M866" s="1">
        <v>46374.70208333333</v>
      </c>
      <c r="N866">
        <v>68</v>
      </c>
      <c r="O866" t="s">
        <v>36</v>
      </c>
      <c r="P866" t="s">
        <v>54</v>
      </c>
      <c r="Q866" t="s">
        <v>2654</v>
      </c>
      <c r="R866" t="str">
        <f t="shared" si="182"/>
        <v>Jessica Williams</v>
      </c>
      <c r="S866" t="str">
        <f t="shared" si="183"/>
        <v>Susan Williams</v>
      </c>
      <c r="T866" t="str">
        <f t="shared" si="184"/>
        <v>ZAR</v>
      </c>
      <c r="U866" s="7" t="str">
        <f t="shared" si="185"/>
        <v>aed</v>
      </c>
      <c r="V866" s="7" t="str">
        <f t="shared" si="186"/>
        <v>Germany</v>
      </c>
      <c r="W866" s="7" t="str">
        <f t="shared" si="187"/>
        <v>India</v>
      </c>
      <c r="X866" s="7" t="str">
        <f t="shared" si="188"/>
        <v>Outer-Transaction</v>
      </c>
      <c r="Y866" s="7">
        <f t="shared" si="189"/>
        <v>14336.25</v>
      </c>
      <c r="Z866" s="7">
        <f t="shared" si="190"/>
        <v>68</v>
      </c>
      <c r="AA866" s="7">
        <f t="shared" si="191"/>
        <v>2026</v>
      </c>
      <c r="AB866" s="7">
        <f t="shared" si="192"/>
        <v>12</v>
      </c>
      <c r="AC866" s="7">
        <f t="shared" si="193"/>
        <v>1</v>
      </c>
      <c r="AD866" s="7" t="str">
        <f t="shared" si="194"/>
        <v>No</v>
      </c>
      <c r="AE866" s="7" t="str">
        <f t="shared" si="195"/>
        <v>High Risk</v>
      </c>
    </row>
    <row r="867" spans="1:31">
      <c r="A867" t="s">
        <v>2655</v>
      </c>
      <c r="B867">
        <v>95095796</v>
      </c>
      <c r="C867" t="s">
        <v>334</v>
      </c>
      <c r="D867" t="s">
        <v>783</v>
      </c>
      <c r="E867" t="s">
        <v>20</v>
      </c>
      <c r="F867" t="s">
        <v>35</v>
      </c>
      <c r="G867" t="s">
        <v>34</v>
      </c>
      <c r="I867" t="s">
        <v>3378</v>
      </c>
      <c r="J867">
        <v>7382.35</v>
      </c>
      <c r="K867" t="s">
        <v>47</v>
      </c>
      <c r="L867" t="s">
        <v>75</v>
      </c>
      <c r="M867" s="1">
        <v>44844.268055555556</v>
      </c>
      <c r="N867">
        <v>46</v>
      </c>
      <c r="O867" t="s">
        <v>23</v>
      </c>
      <c r="P867" t="s">
        <v>93</v>
      </c>
      <c r="Q867" t="s">
        <v>2656</v>
      </c>
      <c r="R867" t="str">
        <f t="shared" si="182"/>
        <v>Barbara Gonzalez</v>
      </c>
      <c r="S867" t="str">
        <f t="shared" si="183"/>
        <v>Amir Smith</v>
      </c>
      <c r="T867" t="str">
        <f t="shared" si="184"/>
        <v>EUR</v>
      </c>
      <c r="U867" s="7" t="str">
        <f t="shared" si="185"/>
        <v>CAD</v>
      </c>
      <c r="V867" s="7" t="str">
        <f t="shared" si="186"/>
        <v>France</v>
      </c>
      <c r="W867" s="7" t="str">
        <f t="shared" si="187"/>
        <v>USA</v>
      </c>
      <c r="X867" s="7" t="str">
        <f t="shared" si="188"/>
        <v>Inter-Transaction</v>
      </c>
      <c r="Y867" s="7">
        <f t="shared" si="189"/>
        <v>7382.35</v>
      </c>
      <c r="Z867" s="7">
        <f t="shared" si="190"/>
        <v>46</v>
      </c>
      <c r="AA867" s="7">
        <f t="shared" si="191"/>
        <v>2022</v>
      </c>
      <c r="AB867" s="7">
        <f t="shared" si="192"/>
        <v>10</v>
      </c>
      <c r="AC867" s="7">
        <f t="shared" si="193"/>
        <v>1</v>
      </c>
      <c r="AD867" s="7" t="str">
        <f t="shared" si="194"/>
        <v>No</v>
      </c>
      <c r="AE867" s="7" t="str">
        <f t="shared" si="195"/>
        <v>High Risk</v>
      </c>
    </row>
    <row r="868" spans="1:31">
      <c r="A868" t="s">
        <v>2657</v>
      </c>
      <c r="B868">
        <v>23630720</v>
      </c>
      <c r="C868" t="s">
        <v>232</v>
      </c>
      <c r="D868" t="s">
        <v>667</v>
      </c>
      <c r="E868" t="s">
        <v>20</v>
      </c>
      <c r="F868" t="s">
        <v>21</v>
      </c>
      <c r="G868" t="s">
        <v>92</v>
      </c>
      <c r="H868" t="s">
        <v>103</v>
      </c>
      <c r="I868" t="s">
        <v>3374</v>
      </c>
      <c r="J868">
        <v>11749.74</v>
      </c>
      <c r="K868" t="s">
        <v>47</v>
      </c>
      <c r="L868" t="s">
        <v>48</v>
      </c>
      <c r="M868" s="1">
        <v>44658.62222222222</v>
      </c>
      <c r="N868">
        <v>57</v>
      </c>
      <c r="O868" t="s">
        <v>93</v>
      </c>
      <c r="P868" t="s">
        <v>54</v>
      </c>
      <c r="Q868" t="s">
        <v>2658</v>
      </c>
      <c r="R868" t="str">
        <f t="shared" si="182"/>
        <v>Fatima Velez</v>
      </c>
      <c r="S868" t="str">
        <f t="shared" si="183"/>
        <v>Michael Khan</v>
      </c>
      <c r="T868" t="str">
        <f t="shared" si="184"/>
        <v>GBP</v>
      </c>
      <c r="U868" s="7" t="str">
        <f t="shared" si="185"/>
        <v>AUD</v>
      </c>
      <c r="V868" s="7" t="str">
        <f t="shared" si="186"/>
        <v>USA</v>
      </c>
      <c r="W868" s="7" t="str">
        <f t="shared" si="187"/>
        <v>India</v>
      </c>
      <c r="X868" s="7" t="str">
        <f t="shared" si="188"/>
        <v>External</v>
      </c>
      <c r="Y868" s="7">
        <f t="shared" si="189"/>
        <v>11749.74</v>
      </c>
      <c r="Z868" s="7">
        <f t="shared" si="190"/>
        <v>57</v>
      </c>
      <c r="AA868" s="7">
        <f t="shared" si="191"/>
        <v>2022</v>
      </c>
      <c r="AB868" s="7">
        <f t="shared" si="192"/>
        <v>4</v>
      </c>
      <c r="AC868" s="7">
        <f t="shared" si="193"/>
        <v>1</v>
      </c>
      <c r="AD868" s="7" t="str">
        <f t="shared" si="194"/>
        <v>No</v>
      </c>
      <c r="AE868" s="7" t="str">
        <f t="shared" si="195"/>
        <v>Normal</v>
      </c>
    </row>
    <row r="869" spans="1:31">
      <c r="A869" t="s">
        <v>2659</v>
      </c>
      <c r="B869">
        <v>46180065</v>
      </c>
      <c r="C869" t="s">
        <v>2660</v>
      </c>
      <c r="D869" t="s">
        <v>2661</v>
      </c>
      <c r="E869" t="s">
        <v>20</v>
      </c>
      <c r="F869" t="s">
        <v>35</v>
      </c>
      <c r="G869" t="s">
        <v>45</v>
      </c>
      <c r="H869" t="s">
        <v>25</v>
      </c>
      <c r="I869" t="s">
        <v>3376</v>
      </c>
      <c r="J869">
        <v>4556.59</v>
      </c>
      <c r="K869" t="s">
        <v>27</v>
      </c>
      <c r="L869" t="s">
        <v>81</v>
      </c>
      <c r="M869" s="1">
        <v>44181.614583333336</v>
      </c>
      <c r="N869">
        <v>58</v>
      </c>
      <c r="O869" t="s">
        <v>68</v>
      </c>
      <c r="P869" t="s">
        <v>24</v>
      </c>
      <c r="Q869" t="s">
        <v>2662</v>
      </c>
      <c r="R869" t="str">
        <f t="shared" si="182"/>
        <v>LUCAS MARTIN</v>
      </c>
      <c r="S869" t="str">
        <f t="shared" si="183"/>
        <v>Barbara Thomas</v>
      </c>
      <c r="T869" t="str">
        <f t="shared" si="184"/>
        <v>EUR</v>
      </c>
      <c r="U869" s="7" t="str">
        <f t="shared" si="185"/>
        <v>ZAR</v>
      </c>
      <c r="V869" s="7" t="str">
        <f t="shared" si="186"/>
        <v>UAE</v>
      </c>
      <c r="W869" s="7" t="str">
        <f t="shared" si="187"/>
        <v>Brazil</v>
      </c>
      <c r="X869" s="7" t="str">
        <f t="shared" si="188"/>
        <v>Internal</v>
      </c>
      <c r="Y869" s="7">
        <f t="shared" si="189"/>
        <v>4556.59</v>
      </c>
      <c r="Z869" s="7">
        <f t="shared" si="190"/>
        <v>58</v>
      </c>
      <c r="AA869" s="7">
        <f t="shared" si="191"/>
        <v>2020</v>
      </c>
      <c r="AB869" s="7">
        <f t="shared" si="192"/>
        <v>12</v>
      </c>
      <c r="AC869" s="7">
        <f t="shared" si="193"/>
        <v>1</v>
      </c>
      <c r="AD869" s="7" t="str">
        <f t="shared" si="194"/>
        <v>No</v>
      </c>
      <c r="AE869" s="7" t="str">
        <f t="shared" si="195"/>
        <v>Normal</v>
      </c>
    </row>
    <row r="870" spans="1:31">
      <c r="A870" t="s">
        <v>2663</v>
      </c>
      <c r="B870">
        <v>60788484</v>
      </c>
      <c r="C870" t="s">
        <v>2664</v>
      </c>
      <c r="D870" t="s">
        <v>2665</v>
      </c>
      <c r="E870" t="s">
        <v>20</v>
      </c>
      <c r="F870" t="s">
        <v>45</v>
      </c>
      <c r="G870" t="s">
        <v>92</v>
      </c>
      <c r="H870" t="s">
        <v>74</v>
      </c>
      <c r="I870" t="s">
        <v>3377</v>
      </c>
      <c r="J870">
        <v>14548.75</v>
      </c>
      <c r="K870" t="s">
        <v>57</v>
      </c>
      <c r="L870" t="s">
        <v>75</v>
      </c>
      <c r="M870" s="1">
        <v>45855.506944444445</v>
      </c>
      <c r="N870">
        <v>28</v>
      </c>
      <c r="O870" t="s">
        <v>93</v>
      </c>
      <c r="P870" t="s">
        <v>37</v>
      </c>
      <c r="Q870" t="s">
        <v>2666</v>
      </c>
      <c r="R870" t="str">
        <f t="shared" si="182"/>
        <v>Karen Jones</v>
      </c>
      <c r="S870" t="str">
        <f t="shared" si="183"/>
        <v>Patricia Jones</v>
      </c>
      <c r="T870" t="str">
        <f t="shared" si="184"/>
        <v>ZAR</v>
      </c>
      <c r="U870" s="7" t="str">
        <f t="shared" si="185"/>
        <v>AUD</v>
      </c>
      <c r="V870" s="7" t="str">
        <f t="shared" si="186"/>
        <v>USA</v>
      </c>
      <c r="W870" s="7" t="str">
        <f t="shared" si="187"/>
        <v>South Africa</v>
      </c>
      <c r="X870" s="7" t="str">
        <f t="shared" si="188"/>
        <v>Inter-Transaction</v>
      </c>
      <c r="Y870" s="7">
        <f t="shared" si="189"/>
        <v>14548.75</v>
      </c>
      <c r="Z870" s="7">
        <f t="shared" si="190"/>
        <v>28</v>
      </c>
      <c r="AA870" s="7">
        <f t="shared" si="191"/>
        <v>2025</v>
      </c>
      <c r="AB870" s="7">
        <f t="shared" si="192"/>
        <v>7</v>
      </c>
      <c r="AC870" s="7">
        <f t="shared" si="193"/>
        <v>1</v>
      </c>
      <c r="AD870" s="7" t="str">
        <f t="shared" si="194"/>
        <v>No</v>
      </c>
      <c r="AE870" s="7" t="str">
        <f t="shared" si="195"/>
        <v>High Risk</v>
      </c>
    </row>
    <row r="871" spans="1:31">
      <c r="A871" t="s">
        <v>2667</v>
      </c>
      <c r="B871">
        <v>43430634</v>
      </c>
      <c r="C871" t="s">
        <v>637</v>
      </c>
      <c r="D871" t="s">
        <v>1327</v>
      </c>
      <c r="E871" t="s">
        <v>20</v>
      </c>
      <c r="F871" t="s">
        <v>121</v>
      </c>
      <c r="G871" t="s">
        <v>34</v>
      </c>
      <c r="I871" t="s">
        <v>3377</v>
      </c>
      <c r="J871">
        <v>7928.24</v>
      </c>
      <c r="K871" t="s">
        <v>57</v>
      </c>
      <c r="L871" t="s">
        <v>81</v>
      </c>
      <c r="M871" s="1">
        <v>44129.517361111109</v>
      </c>
      <c r="N871">
        <v>40</v>
      </c>
      <c r="O871" t="s">
        <v>37</v>
      </c>
      <c r="P871" t="s">
        <v>68</v>
      </c>
      <c r="Q871" t="s">
        <v>2668</v>
      </c>
      <c r="R871" t="str">
        <f t="shared" si="182"/>
        <v>John Malik</v>
      </c>
      <c r="S871" t="str">
        <f t="shared" si="183"/>
        <v>Marta Wilson</v>
      </c>
      <c r="T871" t="str">
        <f t="shared" si="184"/>
        <v>INR</v>
      </c>
      <c r="U871" s="7" t="str">
        <f t="shared" si="185"/>
        <v>CAD</v>
      </c>
      <c r="V871" s="7" t="str">
        <f t="shared" si="186"/>
        <v>South Africa</v>
      </c>
      <c r="W871" s="7" t="str">
        <f t="shared" si="187"/>
        <v>UAE</v>
      </c>
      <c r="X871" s="7" t="str">
        <f t="shared" si="188"/>
        <v>Inter-Transaction</v>
      </c>
      <c r="Y871" s="7">
        <f t="shared" si="189"/>
        <v>7928.24</v>
      </c>
      <c r="Z871" s="7">
        <f t="shared" si="190"/>
        <v>40</v>
      </c>
      <c r="AA871" s="7">
        <f t="shared" si="191"/>
        <v>2020</v>
      </c>
      <c r="AB871" s="7">
        <f t="shared" si="192"/>
        <v>10</v>
      </c>
      <c r="AC871" s="7">
        <f t="shared" si="193"/>
        <v>1</v>
      </c>
      <c r="AD871" s="7" t="str">
        <f t="shared" si="194"/>
        <v>No</v>
      </c>
      <c r="AE871" s="7" t="str">
        <f t="shared" si="195"/>
        <v>Normal</v>
      </c>
    </row>
    <row r="872" spans="1:31">
      <c r="A872" t="s">
        <v>2669</v>
      </c>
      <c r="B872">
        <v>22228312</v>
      </c>
      <c r="C872" t="s">
        <v>1247</v>
      </c>
      <c r="D872" t="s">
        <v>1851</v>
      </c>
      <c r="E872" t="s">
        <v>20</v>
      </c>
      <c r="F872" t="s">
        <v>45</v>
      </c>
      <c r="G872" t="s">
        <v>22</v>
      </c>
      <c r="H872" t="s">
        <v>56</v>
      </c>
      <c r="I872" t="s">
        <v>3377</v>
      </c>
      <c r="J872">
        <v>4671.22</v>
      </c>
      <c r="K872" t="s">
        <v>27</v>
      </c>
      <c r="L872" t="s">
        <v>81</v>
      </c>
      <c r="M872" s="1">
        <v>45574.893750000003</v>
      </c>
      <c r="N872">
        <v>18</v>
      </c>
      <c r="O872" t="s">
        <v>68</v>
      </c>
      <c r="P872" t="s">
        <v>24</v>
      </c>
      <c r="Q872" t="s">
        <v>2670</v>
      </c>
      <c r="R872" t="str">
        <f t="shared" si="182"/>
        <v>Linda Khan</v>
      </c>
      <c r="S872" t="str">
        <f t="shared" si="183"/>
        <v>Carlos Lopez</v>
      </c>
      <c r="T872" t="str">
        <f t="shared" si="184"/>
        <v>ZAR</v>
      </c>
      <c r="U872" s="7" t="str">
        <f t="shared" si="185"/>
        <v>BRL</v>
      </c>
      <c r="V872" s="7" t="str">
        <f t="shared" si="186"/>
        <v>UAE</v>
      </c>
      <c r="W872" s="7" t="str">
        <f t="shared" si="187"/>
        <v>Brazil</v>
      </c>
      <c r="X872" s="7" t="str">
        <f t="shared" si="188"/>
        <v>Inter-Transaction</v>
      </c>
      <c r="Y872" s="7">
        <f t="shared" si="189"/>
        <v>4671.22</v>
      </c>
      <c r="Z872" s="7">
        <f t="shared" si="190"/>
        <v>18</v>
      </c>
      <c r="AA872" s="7">
        <f t="shared" si="191"/>
        <v>2024</v>
      </c>
      <c r="AB872" s="7">
        <f t="shared" si="192"/>
        <v>10</v>
      </c>
      <c r="AC872" s="7">
        <f t="shared" si="193"/>
        <v>1</v>
      </c>
      <c r="AD872" s="7" t="str">
        <f t="shared" si="194"/>
        <v>No</v>
      </c>
      <c r="AE872" s="7" t="str">
        <f t="shared" si="195"/>
        <v>Normal</v>
      </c>
    </row>
    <row r="873" spans="1:31">
      <c r="A873" t="s">
        <v>2671</v>
      </c>
      <c r="B873">
        <v>31898382</v>
      </c>
      <c r="C873" t="s">
        <v>668</v>
      </c>
      <c r="D873" t="s">
        <v>787</v>
      </c>
      <c r="E873" t="s">
        <v>20</v>
      </c>
      <c r="F873" t="s">
        <v>98</v>
      </c>
      <c r="G873" t="s">
        <v>1084</v>
      </c>
      <c r="H873" t="s">
        <v>25</v>
      </c>
      <c r="I873" t="s">
        <v>3371</v>
      </c>
      <c r="J873">
        <v>4474.2299999999996</v>
      </c>
      <c r="K873" t="s">
        <v>39</v>
      </c>
      <c r="L873" t="s">
        <v>28</v>
      </c>
      <c r="M873" s="1">
        <v>45696.977777777778</v>
      </c>
      <c r="N873">
        <v>63</v>
      </c>
      <c r="O873" t="s">
        <v>68</v>
      </c>
      <c r="P873" t="s">
        <v>23</v>
      </c>
      <c r="Q873" t="s">
        <v>2672</v>
      </c>
      <c r="R873" t="str">
        <f t="shared" si="182"/>
        <v>Mary Rostova</v>
      </c>
      <c r="S873" t="str">
        <f t="shared" si="183"/>
        <v>William Brown</v>
      </c>
      <c r="T873" t="str">
        <f t="shared" si="184"/>
        <v>JPY</v>
      </c>
      <c r="U873" s="7" t="str">
        <f t="shared" si="185"/>
        <v>chf</v>
      </c>
      <c r="V873" s="7" t="str">
        <f t="shared" si="186"/>
        <v>UAE</v>
      </c>
      <c r="W873" s="7" t="str">
        <f t="shared" si="187"/>
        <v>France</v>
      </c>
      <c r="X873" s="7" t="str">
        <f t="shared" si="188"/>
        <v>Outer-Transaction</v>
      </c>
      <c r="Y873" s="7">
        <f t="shared" si="189"/>
        <v>4474.2299999999996</v>
      </c>
      <c r="Z873" s="7">
        <f t="shared" si="190"/>
        <v>63</v>
      </c>
      <c r="AA873" s="7">
        <f t="shared" si="191"/>
        <v>2025</v>
      </c>
      <c r="AB873" s="7">
        <f t="shared" si="192"/>
        <v>2</v>
      </c>
      <c r="AC873" s="7">
        <f t="shared" si="193"/>
        <v>1</v>
      </c>
      <c r="AD873" s="7" t="str">
        <f t="shared" si="194"/>
        <v>No</v>
      </c>
      <c r="AE873" s="7" t="str">
        <f t="shared" si="195"/>
        <v>Normal</v>
      </c>
    </row>
    <row r="874" spans="1:31">
      <c r="A874" t="s">
        <v>2673</v>
      </c>
      <c r="B874">
        <v>24087799</v>
      </c>
      <c r="C874" t="s">
        <v>2674</v>
      </c>
      <c r="D874" t="s">
        <v>2675</v>
      </c>
      <c r="E874" t="s">
        <v>3373</v>
      </c>
      <c r="F874" t="s">
        <v>21</v>
      </c>
      <c r="G874" t="s">
        <v>34</v>
      </c>
      <c r="H874" t="s">
        <v>25</v>
      </c>
      <c r="I874" t="s">
        <v>3376</v>
      </c>
      <c r="J874">
        <v>9723.73</v>
      </c>
      <c r="K874" t="s">
        <v>39</v>
      </c>
      <c r="L874" t="s">
        <v>75</v>
      </c>
      <c r="M874" s="1">
        <v>45046.361805555556</v>
      </c>
      <c r="N874">
        <v>38</v>
      </c>
      <c r="O874" t="s">
        <v>93</v>
      </c>
      <c r="P874" t="s">
        <v>23</v>
      </c>
      <c r="Q874" t="s">
        <v>2676</v>
      </c>
      <c r="R874" t="str">
        <f t="shared" si="182"/>
        <v>CARLOS NAIR</v>
      </c>
      <c r="S874" t="str">
        <f t="shared" si="183"/>
        <v>Jean-Pierre Gonzalez</v>
      </c>
      <c r="T874" t="str">
        <f t="shared" si="184"/>
        <v>GBP</v>
      </c>
      <c r="U874" s="7" t="str">
        <f t="shared" si="185"/>
        <v>CAD</v>
      </c>
      <c r="V874" s="7" t="str">
        <f t="shared" si="186"/>
        <v>USA</v>
      </c>
      <c r="W874" s="7" t="str">
        <f t="shared" si="187"/>
        <v>France</v>
      </c>
      <c r="X874" s="7" t="str">
        <f t="shared" si="188"/>
        <v>Internal</v>
      </c>
      <c r="Y874" s="7">
        <f t="shared" si="189"/>
        <v>9723.73</v>
      </c>
      <c r="Z874" s="7">
        <f t="shared" si="190"/>
        <v>38</v>
      </c>
      <c r="AA874" s="7">
        <f t="shared" si="191"/>
        <v>2023</v>
      </c>
      <c r="AB874" s="7">
        <f t="shared" si="192"/>
        <v>4</v>
      </c>
      <c r="AC874" s="7">
        <f t="shared" si="193"/>
        <v>1</v>
      </c>
      <c r="AD874" s="7" t="str">
        <f t="shared" si="194"/>
        <v>No</v>
      </c>
      <c r="AE874" s="7" t="str">
        <f t="shared" si="195"/>
        <v>High Risk</v>
      </c>
    </row>
    <row r="875" spans="1:31">
      <c r="A875" t="s">
        <v>2677</v>
      </c>
      <c r="B875">
        <v>13037859</v>
      </c>
      <c r="C875" t="s">
        <v>2678</v>
      </c>
      <c r="D875" t="s">
        <v>2679</v>
      </c>
      <c r="E875" t="s">
        <v>20</v>
      </c>
      <c r="F875" t="s">
        <v>44</v>
      </c>
      <c r="G875" t="s">
        <v>98</v>
      </c>
      <c r="H875" t="s">
        <v>74</v>
      </c>
      <c r="I875" t="s">
        <v>3372</v>
      </c>
      <c r="J875">
        <v>1688.15</v>
      </c>
      <c r="K875" t="s">
        <v>39</v>
      </c>
      <c r="L875" t="s">
        <v>28</v>
      </c>
      <c r="M875" s="1">
        <v>45526.158333333333</v>
      </c>
      <c r="N875">
        <v>53</v>
      </c>
      <c r="O875" t="s">
        <v>55</v>
      </c>
      <c r="P875" t="s">
        <v>54</v>
      </c>
      <c r="Q875" t="s">
        <v>2680</v>
      </c>
      <c r="R875" t="str">
        <f t="shared" si="182"/>
        <v>Sarah Souza</v>
      </c>
      <c r="S875" t="str">
        <f t="shared" si="183"/>
        <v xml:space="preserve"> Linda Moore   </v>
      </c>
      <c r="T875" t="str">
        <f t="shared" si="184"/>
        <v>SGD</v>
      </c>
      <c r="U875" s="7" t="str">
        <f t="shared" si="185"/>
        <v>JPY</v>
      </c>
      <c r="V875" s="7" t="str">
        <f t="shared" si="186"/>
        <v>UK</v>
      </c>
      <c r="W875" s="7" t="str">
        <f t="shared" si="187"/>
        <v>India</v>
      </c>
      <c r="X875" s="7" t="str">
        <f t="shared" si="188"/>
        <v>Outer-Transaction</v>
      </c>
      <c r="Y875" s="7">
        <f t="shared" si="189"/>
        <v>1688.15</v>
      </c>
      <c r="Z875" s="7">
        <f t="shared" si="190"/>
        <v>53</v>
      </c>
      <c r="AA875" s="7">
        <f t="shared" si="191"/>
        <v>2024</v>
      </c>
      <c r="AB875" s="7">
        <f t="shared" si="192"/>
        <v>8</v>
      </c>
      <c r="AC875" s="7">
        <f t="shared" si="193"/>
        <v>1</v>
      </c>
      <c r="AD875" s="7" t="str">
        <f t="shared" si="194"/>
        <v>No</v>
      </c>
      <c r="AE875" s="7" t="str">
        <f t="shared" si="195"/>
        <v>Normal</v>
      </c>
    </row>
    <row r="876" spans="1:31">
      <c r="A876" t="s">
        <v>2681</v>
      </c>
      <c r="C876" t="s">
        <v>1741</v>
      </c>
      <c r="D876" t="s">
        <v>1575</v>
      </c>
      <c r="E876" t="b">
        <v>1</v>
      </c>
      <c r="F876" t="s">
        <v>53</v>
      </c>
      <c r="G876" t="s">
        <v>44</v>
      </c>
      <c r="H876" t="s">
        <v>56</v>
      </c>
      <c r="I876" t="s">
        <v>3372</v>
      </c>
      <c r="J876">
        <v>8399.2800000000007</v>
      </c>
      <c r="K876" t="s">
        <v>86</v>
      </c>
      <c r="L876" t="s">
        <v>28</v>
      </c>
      <c r="M876" s="1">
        <v>45942.579861111109</v>
      </c>
      <c r="N876">
        <v>71</v>
      </c>
      <c r="O876" t="s">
        <v>93</v>
      </c>
      <c r="P876" t="s">
        <v>93</v>
      </c>
      <c r="Q876" t="s">
        <v>2682</v>
      </c>
      <c r="R876" t="str">
        <f t="shared" si="182"/>
        <v>Carlos Dubois</v>
      </c>
      <c r="S876" t="str">
        <f t="shared" si="183"/>
        <v>Christopher Nair</v>
      </c>
      <c r="T876" t="str">
        <f t="shared" si="184"/>
        <v>AED</v>
      </c>
      <c r="U876" s="7" t="str">
        <f t="shared" si="185"/>
        <v>SGD</v>
      </c>
      <c r="V876" s="7" t="str">
        <f t="shared" si="186"/>
        <v>USA</v>
      </c>
      <c r="W876" s="7" t="str">
        <f t="shared" si="187"/>
        <v>USA</v>
      </c>
      <c r="X876" s="7" t="str">
        <f t="shared" si="188"/>
        <v>Outer-Transaction</v>
      </c>
      <c r="Y876" s="7">
        <f t="shared" si="189"/>
        <v>8399.2800000000007</v>
      </c>
      <c r="Z876" s="7">
        <f t="shared" si="190"/>
        <v>71</v>
      </c>
      <c r="AA876" s="7">
        <f t="shared" si="191"/>
        <v>2025</v>
      </c>
      <c r="AB876" s="7">
        <f t="shared" si="192"/>
        <v>10</v>
      </c>
      <c r="AC876" s="7">
        <f t="shared" si="193"/>
        <v>1</v>
      </c>
      <c r="AD876" s="7" t="str">
        <f t="shared" si="194"/>
        <v>No</v>
      </c>
      <c r="AE876" s="7" t="str">
        <f t="shared" si="195"/>
        <v>Normal</v>
      </c>
    </row>
    <row r="877" spans="1:31">
      <c r="A877" t="s">
        <v>2683</v>
      </c>
      <c r="B877">
        <v>14224882</v>
      </c>
      <c r="C877" t="s">
        <v>758</v>
      </c>
      <c r="D877" t="s">
        <v>2684</v>
      </c>
      <c r="E877" t="s">
        <v>20</v>
      </c>
      <c r="F877" t="s">
        <v>53</v>
      </c>
      <c r="G877" t="s">
        <v>121</v>
      </c>
      <c r="H877" t="s">
        <v>25</v>
      </c>
      <c r="I877" t="s">
        <v>3372</v>
      </c>
      <c r="J877">
        <v>8780.35</v>
      </c>
      <c r="K877" t="s">
        <v>39</v>
      </c>
      <c r="L877" t="s">
        <v>81</v>
      </c>
      <c r="M877" s="1">
        <v>44585.737500000003</v>
      </c>
      <c r="N877">
        <v>74</v>
      </c>
      <c r="O877" t="s">
        <v>23</v>
      </c>
      <c r="P877" t="s">
        <v>24</v>
      </c>
      <c r="Q877" t="s">
        <v>2685</v>
      </c>
      <c r="R877" t="str">
        <f t="shared" si="182"/>
        <v>John Garcia</v>
      </c>
      <c r="S877" t="str">
        <f t="shared" si="183"/>
        <v>Sanjay Rodriguez</v>
      </c>
      <c r="T877" t="str">
        <f t="shared" si="184"/>
        <v>AED</v>
      </c>
      <c r="U877" s="7" t="str">
        <f t="shared" si="185"/>
        <v>INR</v>
      </c>
      <c r="V877" s="7" t="str">
        <f t="shared" si="186"/>
        <v>France</v>
      </c>
      <c r="W877" s="7" t="str">
        <f t="shared" si="187"/>
        <v>Brazil</v>
      </c>
      <c r="X877" s="7" t="str">
        <f t="shared" si="188"/>
        <v>Outer-Transaction</v>
      </c>
      <c r="Y877" s="7">
        <f t="shared" si="189"/>
        <v>8780.35</v>
      </c>
      <c r="Z877" s="7">
        <f t="shared" si="190"/>
        <v>74</v>
      </c>
      <c r="AA877" s="7">
        <f t="shared" si="191"/>
        <v>2022</v>
      </c>
      <c r="AB877" s="7">
        <f t="shared" si="192"/>
        <v>1</v>
      </c>
      <c r="AC877" s="7">
        <f t="shared" si="193"/>
        <v>1</v>
      </c>
      <c r="AD877" s="7" t="str">
        <f t="shared" si="194"/>
        <v>No</v>
      </c>
      <c r="AE877" s="7" t="str">
        <f t="shared" si="195"/>
        <v>Normal</v>
      </c>
    </row>
    <row r="878" spans="1:31">
      <c r="A878" t="s">
        <v>2686</v>
      </c>
      <c r="C878" t="s">
        <v>652</v>
      </c>
      <c r="D878" t="s">
        <v>78</v>
      </c>
      <c r="E878" t="s">
        <v>3375</v>
      </c>
      <c r="F878" t="s">
        <v>34</v>
      </c>
      <c r="G878" t="s">
        <v>22</v>
      </c>
      <c r="H878" t="s">
        <v>56</v>
      </c>
      <c r="I878" t="s">
        <v>3378</v>
      </c>
      <c r="J878">
        <v>12353.54</v>
      </c>
      <c r="K878" t="s">
        <v>39</v>
      </c>
      <c r="L878" t="s">
        <v>28</v>
      </c>
      <c r="M878" s="1">
        <v>44600.647222222222</v>
      </c>
      <c r="N878">
        <v>18</v>
      </c>
      <c r="O878" t="s">
        <v>55</v>
      </c>
      <c r="P878" t="s">
        <v>62</v>
      </c>
      <c r="Q878" t="s">
        <v>2687</v>
      </c>
      <c r="R878" t="str">
        <f t="shared" si="182"/>
        <v>Elena Brown</v>
      </c>
      <c r="S878" t="str">
        <f t="shared" si="183"/>
        <v>Elizabeth Jackson</v>
      </c>
      <c r="T878" t="str">
        <f t="shared" si="184"/>
        <v>CAD</v>
      </c>
      <c r="U878" s="7" t="str">
        <f t="shared" si="185"/>
        <v>BRL</v>
      </c>
      <c r="V878" s="7" t="str">
        <f t="shared" si="186"/>
        <v>UK</v>
      </c>
      <c r="W878" s="7" t="str">
        <f t="shared" si="187"/>
        <v>Australia</v>
      </c>
      <c r="X878" s="7" t="str">
        <f t="shared" si="188"/>
        <v>Inter-Transaction</v>
      </c>
      <c r="Y878" s="7">
        <f t="shared" si="189"/>
        <v>12353.54</v>
      </c>
      <c r="Z878" s="7">
        <f t="shared" si="190"/>
        <v>18</v>
      </c>
      <c r="AA878" s="7">
        <f t="shared" si="191"/>
        <v>2022</v>
      </c>
      <c r="AB878" s="7">
        <f t="shared" si="192"/>
        <v>2</v>
      </c>
      <c r="AC878" s="7">
        <f t="shared" si="193"/>
        <v>1</v>
      </c>
      <c r="AD878" s="7" t="str">
        <f t="shared" si="194"/>
        <v>No</v>
      </c>
      <c r="AE878" s="7" t="str">
        <f t="shared" si="195"/>
        <v>Normal</v>
      </c>
    </row>
    <row r="879" spans="1:31">
      <c r="A879" t="s">
        <v>2688</v>
      </c>
      <c r="B879">
        <v>44631884</v>
      </c>
      <c r="C879" t="s">
        <v>1479</v>
      </c>
      <c r="D879" t="s">
        <v>2689</v>
      </c>
      <c r="E879" t="s">
        <v>3375</v>
      </c>
      <c r="F879" t="s">
        <v>22</v>
      </c>
      <c r="G879" t="s">
        <v>22</v>
      </c>
      <c r="I879" t="s">
        <v>3376</v>
      </c>
      <c r="J879">
        <v>998.72</v>
      </c>
      <c r="K879" t="s">
        <v>86</v>
      </c>
      <c r="L879" t="s">
        <v>28</v>
      </c>
      <c r="M879" s="1">
        <v>45069.290972222225</v>
      </c>
      <c r="N879">
        <v>80</v>
      </c>
      <c r="O879" t="s">
        <v>23</v>
      </c>
      <c r="P879" t="s">
        <v>93</v>
      </c>
      <c r="Q879" t="s">
        <v>2690</v>
      </c>
      <c r="R879" t="str">
        <f t="shared" si="182"/>
        <v>Carlos Silva</v>
      </c>
      <c r="S879" t="str">
        <f t="shared" si="183"/>
        <v>Linda Martinez</v>
      </c>
      <c r="T879" t="str">
        <f t="shared" si="184"/>
        <v>BRL</v>
      </c>
      <c r="U879" s="7" t="str">
        <f t="shared" si="185"/>
        <v>BRL</v>
      </c>
      <c r="V879" s="7" t="str">
        <f t="shared" si="186"/>
        <v>France</v>
      </c>
      <c r="W879" s="7" t="str">
        <f t="shared" si="187"/>
        <v>USA</v>
      </c>
      <c r="X879" s="7" t="str">
        <f t="shared" si="188"/>
        <v>Internal</v>
      </c>
      <c r="Y879" s="7">
        <f t="shared" si="189"/>
        <v>998.72</v>
      </c>
      <c r="Z879" s="7">
        <f t="shared" si="190"/>
        <v>80</v>
      </c>
      <c r="AA879" s="7">
        <f t="shared" si="191"/>
        <v>2023</v>
      </c>
      <c r="AB879" s="7">
        <f t="shared" si="192"/>
        <v>5</v>
      </c>
      <c r="AC879" s="7">
        <f t="shared" si="193"/>
        <v>1</v>
      </c>
      <c r="AD879" s="7" t="str">
        <f t="shared" si="194"/>
        <v>No</v>
      </c>
      <c r="AE879" s="7" t="str">
        <f t="shared" si="195"/>
        <v>Normal</v>
      </c>
    </row>
    <row r="880" spans="1:31">
      <c r="A880" t="s">
        <v>2691</v>
      </c>
      <c r="B880">
        <v>23547132</v>
      </c>
      <c r="C880" t="s">
        <v>2692</v>
      </c>
      <c r="D880" t="s">
        <v>2693</v>
      </c>
      <c r="E880" t="s">
        <v>20</v>
      </c>
      <c r="F880" t="s">
        <v>34</v>
      </c>
      <c r="G880" t="s">
        <v>22</v>
      </c>
      <c r="I880" t="s">
        <v>3376</v>
      </c>
      <c r="J880">
        <v>12938.9</v>
      </c>
      <c r="K880" t="s">
        <v>47</v>
      </c>
      <c r="L880" t="s">
        <v>75</v>
      </c>
      <c r="M880" s="1">
        <v>44664.380555555559</v>
      </c>
      <c r="N880">
        <v>71</v>
      </c>
      <c r="O880" t="s">
        <v>37</v>
      </c>
      <c r="P880" t="s">
        <v>37</v>
      </c>
      <c r="Q880" t="s">
        <v>2694</v>
      </c>
      <c r="R880" t="str">
        <f t="shared" si="182"/>
        <v>Susan Souza</v>
      </c>
      <c r="S880" t="str">
        <f t="shared" si="183"/>
        <v>Robert Gonzalez</v>
      </c>
      <c r="T880" t="str">
        <f t="shared" si="184"/>
        <v>CAD</v>
      </c>
      <c r="U880" s="7" t="str">
        <f t="shared" si="185"/>
        <v>BRL</v>
      </c>
      <c r="V880" s="7" t="str">
        <f t="shared" si="186"/>
        <v>South Africa</v>
      </c>
      <c r="W880" s="7" t="str">
        <f t="shared" si="187"/>
        <v>South Africa</v>
      </c>
      <c r="X880" s="7" t="str">
        <f t="shared" si="188"/>
        <v>Internal</v>
      </c>
      <c r="Y880" s="7">
        <f t="shared" si="189"/>
        <v>12938.9</v>
      </c>
      <c r="Z880" s="7">
        <f t="shared" si="190"/>
        <v>71</v>
      </c>
      <c r="AA880" s="7">
        <f t="shared" si="191"/>
        <v>2022</v>
      </c>
      <c r="AB880" s="7">
        <f t="shared" si="192"/>
        <v>4</v>
      </c>
      <c r="AC880" s="7">
        <f t="shared" si="193"/>
        <v>1</v>
      </c>
      <c r="AD880" s="7" t="str">
        <f t="shared" si="194"/>
        <v>No</v>
      </c>
      <c r="AE880" s="7" t="str">
        <f t="shared" si="195"/>
        <v>High Risk</v>
      </c>
    </row>
    <row r="881" spans="1:31">
      <c r="A881" t="s">
        <v>2695</v>
      </c>
      <c r="B881">
        <v>30866574</v>
      </c>
      <c r="C881" t="s">
        <v>2696</v>
      </c>
      <c r="D881" t="s">
        <v>120</v>
      </c>
      <c r="E881" t="s">
        <v>20</v>
      </c>
      <c r="F881" t="s">
        <v>92</v>
      </c>
      <c r="G881" t="s">
        <v>35</v>
      </c>
      <c r="H881" t="s">
        <v>25</v>
      </c>
      <c r="I881" t="s">
        <v>3371</v>
      </c>
      <c r="J881">
        <v>8194.67</v>
      </c>
      <c r="K881" t="s">
        <v>86</v>
      </c>
      <c r="L881" t="s">
        <v>81</v>
      </c>
      <c r="M881" s="1">
        <v>46044.120138888888</v>
      </c>
      <c r="N881">
        <v>72</v>
      </c>
      <c r="O881" t="s">
        <v>36</v>
      </c>
      <c r="P881" t="s">
        <v>23</v>
      </c>
      <c r="Q881" t="s">
        <v>2697</v>
      </c>
      <c r="R881" t="str">
        <f t="shared" si="182"/>
        <v>Sarah Taylor</v>
      </c>
      <c r="S881" t="str">
        <f t="shared" si="183"/>
        <v>Amir Silva</v>
      </c>
      <c r="T881" t="str">
        <f t="shared" si="184"/>
        <v>AUD</v>
      </c>
      <c r="U881" s="7" t="str">
        <f t="shared" si="185"/>
        <v>EUR</v>
      </c>
      <c r="V881" s="7" t="str">
        <f t="shared" si="186"/>
        <v>Germany</v>
      </c>
      <c r="W881" s="7" t="str">
        <f t="shared" si="187"/>
        <v>France</v>
      </c>
      <c r="X881" s="7" t="str">
        <f t="shared" si="188"/>
        <v>Outer-Transaction</v>
      </c>
      <c r="Y881" s="7">
        <f t="shared" si="189"/>
        <v>8194.67</v>
      </c>
      <c r="Z881" s="7">
        <f t="shared" si="190"/>
        <v>72</v>
      </c>
      <c r="AA881" s="7">
        <f t="shared" si="191"/>
        <v>2026</v>
      </c>
      <c r="AB881" s="7">
        <f t="shared" si="192"/>
        <v>1</v>
      </c>
      <c r="AC881" s="7">
        <f t="shared" si="193"/>
        <v>1</v>
      </c>
      <c r="AD881" s="7" t="str">
        <f t="shared" si="194"/>
        <v>No</v>
      </c>
      <c r="AE881" s="7" t="str">
        <f t="shared" si="195"/>
        <v>Normal</v>
      </c>
    </row>
    <row r="882" spans="1:31">
      <c r="A882" t="s">
        <v>2698</v>
      </c>
      <c r="B882">
        <v>44842564</v>
      </c>
      <c r="C882" t="s">
        <v>2699</v>
      </c>
      <c r="D882" t="s">
        <v>211</v>
      </c>
      <c r="E882" t="s">
        <v>20</v>
      </c>
      <c r="F882" t="s">
        <v>45</v>
      </c>
      <c r="G882" t="s">
        <v>116</v>
      </c>
      <c r="I882" t="s">
        <v>3374</v>
      </c>
      <c r="J882">
        <v>12640.21</v>
      </c>
      <c r="K882" t="s">
        <v>57</v>
      </c>
      <c r="L882" t="s">
        <v>75</v>
      </c>
      <c r="M882" s="1">
        <v>45737.925694444442</v>
      </c>
      <c r="N882">
        <v>57</v>
      </c>
      <c r="O882" t="s">
        <v>62</v>
      </c>
      <c r="P882" t="s">
        <v>54</v>
      </c>
      <c r="Q882" t="s">
        <v>2700</v>
      </c>
      <c r="R882" t="str">
        <f t="shared" si="182"/>
        <v>Michael Gonzalez</v>
      </c>
      <c r="S882" t="str">
        <f t="shared" si="183"/>
        <v>Zayn Nair</v>
      </c>
      <c r="T882" t="str">
        <f t="shared" si="184"/>
        <v>ZAR</v>
      </c>
      <c r="U882" s="7" t="str">
        <f t="shared" si="185"/>
        <v>CHF</v>
      </c>
      <c r="V882" s="7" t="str">
        <f t="shared" si="186"/>
        <v>Australia</v>
      </c>
      <c r="W882" s="7" t="str">
        <f t="shared" si="187"/>
        <v>India</v>
      </c>
      <c r="X882" s="7" t="str">
        <f t="shared" si="188"/>
        <v>External</v>
      </c>
      <c r="Y882" s="7">
        <f t="shared" si="189"/>
        <v>12640.21</v>
      </c>
      <c r="Z882" s="7">
        <f t="shared" si="190"/>
        <v>57</v>
      </c>
      <c r="AA882" s="7">
        <f t="shared" si="191"/>
        <v>2025</v>
      </c>
      <c r="AB882" s="7">
        <f t="shared" si="192"/>
        <v>3</v>
      </c>
      <c r="AC882" s="7">
        <f t="shared" si="193"/>
        <v>1</v>
      </c>
      <c r="AD882" s="7" t="str">
        <f t="shared" si="194"/>
        <v>No</v>
      </c>
      <c r="AE882" s="7" t="str">
        <f t="shared" si="195"/>
        <v>High Risk</v>
      </c>
    </row>
    <row r="883" spans="1:31">
      <c r="A883" t="s">
        <v>2701</v>
      </c>
      <c r="B883">
        <v>72256258</v>
      </c>
      <c r="C883" t="s">
        <v>1314</v>
      </c>
      <c r="D883" t="s">
        <v>2702</v>
      </c>
      <c r="E883" t="s">
        <v>20</v>
      </c>
      <c r="F883" t="s">
        <v>45</v>
      </c>
      <c r="G883" t="s">
        <v>44</v>
      </c>
      <c r="H883" t="s">
        <v>25</v>
      </c>
      <c r="I883" t="s">
        <v>3372</v>
      </c>
      <c r="J883">
        <v>4777.57</v>
      </c>
      <c r="K883" t="s">
        <v>47</v>
      </c>
      <c r="L883" t="s">
        <v>28</v>
      </c>
      <c r="M883" s="1">
        <v>45395.584027777775</v>
      </c>
      <c r="N883">
        <v>32</v>
      </c>
      <c r="O883" t="s">
        <v>55</v>
      </c>
      <c r="P883" t="s">
        <v>36</v>
      </c>
      <c r="Q883" t="s">
        <v>2703</v>
      </c>
      <c r="R883" t="str">
        <f t="shared" si="182"/>
        <v>Patricia Lopez</v>
      </c>
      <c r="S883" t="str">
        <f t="shared" si="183"/>
        <v xml:space="preserve"> Joseph Silva   </v>
      </c>
      <c r="T883" t="str">
        <f t="shared" si="184"/>
        <v>ZAR</v>
      </c>
      <c r="U883" s="7" t="str">
        <f t="shared" si="185"/>
        <v>SGD</v>
      </c>
      <c r="V883" s="7" t="str">
        <f t="shared" si="186"/>
        <v>UK</v>
      </c>
      <c r="W883" s="7" t="str">
        <f t="shared" si="187"/>
        <v>Germany</v>
      </c>
      <c r="X883" s="7" t="str">
        <f t="shared" si="188"/>
        <v>Outer-Transaction</v>
      </c>
      <c r="Y883" s="7">
        <f t="shared" si="189"/>
        <v>4777.57</v>
      </c>
      <c r="Z883" s="7">
        <f t="shared" si="190"/>
        <v>32</v>
      </c>
      <c r="AA883" s="7">
        <f t="shared" si="191"/>
        <v>2024</v>
      </c>
      <c r="AB883" s="7">
        <f t="shared" si="192"/>
        <v>4</v>
      </c>
      <c r="AC883" s="7">
        <f t="shared" si="193"/>
        <v>1</v>
      </c>
      <c r="AD883" s="7" t="str">
        <f t="shared" si="194"/>
        <v>No</v>
      </c>
      <c r="AE883" s="7" t="str">
        <f t="shared" si="195"/>
        <v>Normal</v>
      </c>
    </row>
    <row r="884" spans="1:31">
      <c r="A884" t="s">
        <v>2704</v>
      </c>
      <c r="B884">
        <v>16685457</v>
      </c>
      <c r="C884" t="s">
        <v>1265</v>
      </c>
      <c r="D884" t="s">
        <v>2371</v>
      </c>
      <c r="E884" t="s">
        <v>20</v>
      </c>
      <c r="F884" t="s">
        <v>92</v>
      </c>
      <c r="G884" t="s">
        <v>45</v>
      </c>
      <c r="H884" t="s">
        <v>103</v>
      </c>
      <c r="I884" t="s">
        <v>3377</v>
      </c>
      <c r="J884">
        <v>6735.94</v>
      </c>
      <c r="K884" t="s">
        <v>39</v>
      </c>
      <c r="L884" t="s">
        <v>75</v>
      </c>
      <c r="M884" s="1">
        <v>45049.967361111114</v>
      </c>
      <c r="N884">
        <v>38</v>
      </c>
      <c r="O884" t="s">
        <v>37</v>
      </c>
      <c r="P884" t="s">
        <v>23</v>
      </c>
      <c r="Q884" t="s">
        <v>2705</v>
      </c>
      <c r="R884" t="str">
        <f t="shared" si="182"/>
        <v>Linda Jackson</v>
      </c>
      <c r="S884" t="str">
        <f t="shared" si="183"/>
        <v>Linda Hernandez</v>
      </c>
      <c r="T884" t="str">
        <f t="shared" si="184"/>
        <v>AUD</v>
      </c>
      <c r="U884" s="7" t="str">
        <f t="shared" si="185"/>
        <v>ZAR</v>
      </c>
      <c r="V884" s="7" t="str">
        <f t="shared" si="186"/>
        <v>South Africa</v>
      </c>
      <c r="W884" s="7" t="str">
        <f t="shared" si="187"/>
        <v>France</v>
      </c>
      <c r="X884" s="7" t="str">
        <f t="shared" si="188"/>
        <v>Inter-Transaction</v>
      </c>
      <c r="Y884" s="7">
        <f t="shared" si="189"/>
        <v>6735.94</v>
      </c>
      <c r="Z884" s="7">
        <f t="shared" si="190"/>
        <v>38</v>
      </c>
      <c r="AA884" s="7">
        <f t="shared" si="191"/>
        <v>2023</v>
      </c>
      <c r="AB884" s="7">
        <f t="shared" si="192"/>
        <v>5</v>
      </c>
      <c r="AC884" s="7">
        <f t="shared" si="193"/>
        <v>1</v>
      </c>
      <c r="AD884" s="7" t="str">
        <f t="shared" si="194"/>
        <v>No</v>
      </c>
      <c r="AE884" s="7" t="str">
        <f t="shared" si="195"/>
        <v>High Risk</v>
      </c>
    </row>
    <row r="885" spans="1:31">
      <c r="A885" t="s">
        <v>2706</v>
      </c>
      <c r="C885" t="s">
        <v>1183</v>
      </c>
      <c r="D885" t="s">
        <v>2707</v>
      </c>
      <c r="E885">
        <v>1</v>
      </c>
      <c r="F885" t="s">
        <v>92</v>
      </c>
      <c r="G885" t="s">
        <v>44</v>
      </c>
      <c r="I885" t="s">
        <v>3376</v>
      </c>
      <c r="J885">
        <v>12540.07</v>
      </c>
      <c r="K885" t="s">
        <v>27</v>
      </c>
      <c r="L885" t="s">
        <v>28</v>
      </c>
      <c r="M885" s="1">
        <v>44336.629166666666</v>
      </c>
      <c r="N885">
        <v>64</v>
      </c>
      <c r="O885" t="s">
        <v>54</v>
      </c>
      <c r="P885" t="s">
        <v>68</v>
      </c>
      <c r="Q885" t="s">
        <v>2708</v>
      </c>
      <c r="R885" t="str">
        <f t="shared" si="182"/>
        <v>Richard Miller</v>
      </c>
      <c r="S885" t="str">
        <f t="shared" si="183"/>
        <v>Fatima Moore</v>
      </c>
      <c r="T885" t="str">
        <f t="shared" si="184"/>
        <v>AUD</v>
      </c>
      <c r="U885" s="7" t="str">
        <f t="shared" si="185"/>
        <v>SGD</v>
      </c>
      <c r="V885" s="7" t="str">
        <f t="shared" si="186"/>
        <v>India</v>
      </c>
      <c r="W885" s="7" t="str">
        <f t="shared" si="187"/>
        <v>UAE</v>
      </c>
      <c r="X885" s="7" t="str">
        <f t="shared" si="188"/>
        <v>Internal</v>
      </c>
      <c r="Y885" s="7">
        <f t="shared" si="189"/>
        <v>12540.07</v>
      </c>
      <c r="Z885" s="7">
        <f t="shared" si="190"/>
        <v>64</v>
      </c>
      <c r="AA885" s="7">
        <f t="shared" si="191"/>
        <v>2021</v>
      </c>
      <c r="AB885" s="7">
        <f t="shared" si="192"/>
        <v>5</v>
      </c>
      <c r="AC885" s="7">
        <f t="shared" si="193"/>
        <v>1</v>
      </c>
      <c r="AD885" s="7" t="str">
        <f t="shared" si="194"/>
        <v>No</v>
      </c>
      <c r="AE885" s="7" t="str">
        <f t="shared" si="195"/>
        <v>Normal</v>
      </c>
    </row>
    <row r="886" spans="1:31">
      <c r="A886" t="s">
        <v>2709</v>
      </c>
      <c r="B886">
        <v>33671297</v>
      </c>
      <c r="C886" t="s">
        <v>668</v>
      </c>
      <c r="D886" t="s">
        <v>243</v>
      </c>
      <c r="E886" t="s">
        <v>20</v>
      </c>
      <c r="F886" t="s">
        <v>126</v>
      </c>
      <c r="G886" t="s">
        <v>53</v>
      </c>
      <c r="H886" t="s">
        <v>74</v>
      </c>
      <c r="I886" t="s">
        <v>3372</v>
      </c>
      <c r="J886">
        <v>3008.22</v>
      </c>
      <c r="K886" t="s">
        <v>39</v>
      </c>
      <c r="L886" t="s">
        <v>28</v>
      </c>
      <c r="M886" s="1">
        <v>45188.15902777778</v>
      </c>
      <c r="N886">
        <v>70</v>
      </c>
      <c r="O886" t="s">
        <v>37</v>
      </c>
      <c r="P886" t="s">
        <v>55</v>
      </c>
      <c r="Q886" t="s">
        <v>2710</v>
      </c>
      <c r="R886" t="str">
        <f t="shared" si="182"/>
        <v>Mary Rostova</v>
      </c>
      <c r="S886" t="str">
        <f t="shared" si="183"/>
        <v>Richard Dubois</v>
      </c>
      <c r="T886" t="str">
        <f t="shared" si="184"/>
        <v>inr</v>
      </c>
      <c r="U886" s="7" t="str">
        <f t="shared" si="185"/>
        <v>AED</v>
      </c>
      <c r="V886" s="7" t="str">
        <f t="shared" si="186"/>
        <v>South Africa</v>
      </c>
      <c r="W886" s="7" t="str">
        <f t="shared" si="187"/>
        <v>UK</v>
      </c>
      <c r="X886" s="7" t="str">
        <f t="shared" si="188"/>
        <v>Outer-Transaction</v>
      </c>
      <c r="Y886" s="7">
        <f t="shared" si="189"/>
        <v>3008.22</v>
      </c>
      <c r="Z886" s="7">
        <f t="shared" si="190"/>
        <v>70</v>
      </c>
      <c r="AA886" s="7">
        <f t="shared" si="191"/>
        <v>2023</v>
      </c>
      <c r="AB886" s="7">
        <f t="shared" si="192"/>
        <v>9</v>
      </c>
      <c r="AC886" s="7">
        <f t="shared" si="193"/>
        <v>1</v>
      </c>
      <c r="AD886" s="7" t="str">
        <f t="shared" si="194"/>
        <v>No</v>
      </c>
      <c r="AE886" s="7" t="str">
        <f t="shared" si="195"/>
        <v>Normal</v>
      </c>
    </row>
    <row r="887" spans="1:31">
      <c r="A887" t="s">
        <v>2711</v>
      </c>
      <c r="B887">
        <v>65229774</v>
      </c>
      <c r="C887" t="s">
        <v>281</v>
      </c>
      <c r="D887" t="s">
        <v>1461</v>
      </c>
      <c r="E887" t="s">
        <v>20</v>
      </c>
      <c r="F887" t="s">
        <v>44</v>
      </c>
      <c r="G887" t="s">
        <v>44</v>
      </c>
      <c r="H887" t="s">
        <v>25</v>
      </c>
      <c r="I887" t="s">
        <v>3371</v>
      </c>
      <c r="J887">
        <v>12469.29</v>
      </c>
      <c r="K887" t="s">
        <v>27</v>
      </c>
      <c r="L887" t="s">
        <v>75</v>
      </c>
      <c r="M887" s="1">
        <v>45291.976388888892</v>
      </c>
      <c r="N887">
        <v>26</v>
      </c>
      <c r="O887" t="s">
        <v>93</v>
      </c>
      <c r="P887" t="s">
        <v>36</v>
      </c>
      <c r="Q887" t="s">
        <v>2712</v>
      </c>
      <c r="R887" t="str">
        <f t="shared" si="182"/>
        <v>Thomas Johnson</v>
      </c>
      <c r="S887" t="str">
        <f t="shared" si="183"/>
        <v>Fatima Thomas</v>
      </c>
      <c r="T887" t="str">
        <f t="shared" si="184"/>
        <v>SGD</v>
      </c>
      <c r="U887" s="7" t="str">
        <f t="shared" si="185"/>
        <v>SGD</v>
      </c>
      <c r="V887" s="7" t="str">
        <f t="shared" si="186"/>
        <v>USA</v>
      </c>
      <c r="W887" s="7" t="str">
        <f t="shared" si="187"/>
        <v>Germany</v>
      </c>
      <c r="X887" s="7" t="str">
        <f t="shared" si="188"/>
        <v>Outer-Transaction</v>
      </c>
      <c r="Y887" s="7">
        <f t="shared" si="189"/>
        <v>12469.29</v>
      </c>
      <c r="Z887" s="7">
        <f t="shared" si="190"/>
        <v>26</v>
      </c>
      <c r="AA887" s="7">
        <f t="shared" si="191"/>
        <v>2023</v>
      </c>
      <c r="AB887" s="7">
        <f t="shared" si="192"/>
        <v>12</v>
      </c>
      <c r="AC887" s="7">
        <f t="shared" si="193"/>
        <v>1</v>
      </c>
      <c r="AD887" s="7" t="str">
        <f t="shared" si="194"/>
        <v>No</v>
      </c>
      <c r="AE887" s="7" t="str">
        <f t="shared" si="195"/>
        <v>High Risk</v>
      </c>
    </row>
    <row r="888" spans="1:31">
      <c r="A888" t="s">
        <v>2713</v>
      </c>
      <c r="B888">
        <v>33630872</v>
      </c>
      <c r="C888" t="s">
        <v>2024</v>
      </c>
      <c r="D888" t="s">
        <v>656</v>
      </c>
      <c r="E888" t="s">
        <v>20</v>
      </c>
      <c r="F888" t="s">
        <v>35</v>
      </c>
      <c r="G888" t="s">
        <v>44</v>
      </c>
      <c r="H888" t="s">
        <v>25</v>
      </c>
      <c r="I888" t="s">
        <v>3372</v>
      </c>
      <c r="J888">
        <v>2474.08</v>
      </c>
      <c r="K888" t="s">
        <v>57</v>
      </c>
      <c r="L888" t="s">
        <v>48</v>
      </c>
      <c r="M888" s="1">
        <v>45247.192361111112</v>
      </c>
      <c r="N888">
        <v>69</v>
      </c>
      <c r="O888" t="s">
        <v>93</v>
      </c>
      <c r="P888" t="s">
        <v>54</v>
      </c>
      <c r="Q888" t="s">
        <v>2714</v>
      </c>
      <c r="R888" t="str">
        <f t="shared" si="182"/>
        <v>Linda Nair</v>
      </c>
      <c r="S888" t="str">
        <f t="shared" si="183"/>
        <v>Michael Thomas</v>
      </c>
      <c r="T888" t="str">
        <f t="shared" si="184"/>
        <v>EUR</v>
      </c>
      <c r="U888" s="7" t="str">
        <f t="shared" si="185"/>
        <v>SGD</v>
      </c>
      <c r="V888" s="7" t="str">
        <f t="shared" si="186"/>
        <v>USA</v>
      </c>
      <c r="W888" s="7" t="str">
        <f t="shared" si="187"/>
        <v>India</v>
      </c>
      <c r="X888" s="7" t="str">
        <f t="shared" si="188"/>
        <v>Outer-Transaction</v>
      </c>
      <c r="Y888" s="7">
        <f t="shared" si="189"/>
        <v>2474.08</v>
      </c>
      <c r="Z888" s="7">
        <f t="shared" si="190"/>
        <v>69</v>
      </c>
      <c r="AA888" s="7">
        <f t="shared" si="191"/>
        <v>2023</v>
      </c>
      <c r="AB888" s="7">
        <f t="shared" si="192"/>
        <v>11</v>
      </c>
      <c r="AC888" s="7">
        <f t="shared" si="193"/>
        <v>1</v>
      </c>
      <c r="AD888" s="7" t="str">
        <f t="shared" si="194"/>
        <v>No</v>
      </c>
      <c r="AE888" s="7" t="str">
        <f t="shared" si="195"/>
        <v>Normal</v>
      </c>
    </row>
    <row r="889" spans="1:31">
      <c r="A889" t="s">
        <v>2715</v>
      </c>
      <c r="B889">
        <v>67019882</v>
      </c>
      <c r="C889" t="s">
        <v>1549</v>
      </c>
      <c r="D889" t="s">
        <v>1179</v>
      </c>
      <c r="E889" t="s">
        <v>3373</v>
      </c>
      <c r="F889" t="s">
        <v>91</v>
      </c>
      <c r="G889" t="s">
        <v>21</v>
      </c>
      <c r="H889" t="s">
        <v>38</v>
      </c>
      <c r="I889" t="s">
        <v>3377</v>
      </c>
      <c r="J889">
        <v>1443.87</v>
      </c>
      <c r="K889" t="s">
        <v>57</v>
      </c>
      <c r="L889" t="s">
        <v>48</v>
      </c>
      <c r="M889" s="1">
        <v>45003.259722222225</v>
      </c>
      <c r="N889">
        <v>74</v>
      </c>
      <c r="O889" t="s">
        <v>62</v>
      </c>
      <c r="P889" t="s">
        <v>62</v>
      </c>
      <c r="Q889" t="s">
        <v>2716</v>
      </c>
      <c r="R889" t="str">
        <f t="shared" si="182"/>
        <v>Christopher Smith</v>
      </c>
      <c r="S889" t="str">
        <f t="shared" si="183"/>
        <v>William Jackson</v>
      </c>
      <c r="T889" t="str">
        <f t="shared" si="184"/>
        <v>gbp</v>
      </c>
      <c r="U889" s="7" t="str">
        <f t="shared" si="185"/>
        <v>GBP</v>
      </c>
      <c r="V889" s="7" t="str">
        <f t="shared" si="186"/>
        <v>Australia</v>
      </c>
      <c r="W889" s="7" t="str">
        <f t="shared" si="187"/>
        <v>Australia</v>
      </c>
      <c r="X889" s="7" t="str">
        <f t="shared" si="188"/>
        <v>Inter-Transaction</v>
      </c>
      <c r="Y889" s="7">
        <f t="shared" si="189"/>
        <v>1443.87</v>
      </c>
      <c r="Z889" s="7">
        <f t="shared" si="190"/>
        <v>74</v>
      </c>
      <c r="AA889" s="7">
        <f t="shared" si="191"/>
        <v>2023</v>
      </c>
      <c r="AB889" s="7">
        <f t="shared" si="192"/>
        <v>3</v>
      </c>
      <c r="AC889" s="7">
        <f t="shared" si="193"/>
        <v>1</v>
      </c>
      <c r="AD889" s="7" t="str">
        <f t="shared" si="194"/>
        <v>No</v>
      </c>
      <c r="AE889" s="7" t="str">
        <f t="shared" si="195"/>
        <v>Normal</v>
      </c>
    </row>
    <row r="890" spans="1:31">
      <c r="A890" t="s">
        <v>2717</v>
      </c>
      <c r="B890">
        <v>12593999</v>
      </c>
      <c r="C890" t="s">
        <v>2718</v>
      </c>
      <c r="D890" t="s">
        <v>2719</v>
      </c>
      <c r="E890" t="s">
        <v>20</v>
      </c>
      <c r="F890" t="s">
        <v>121</v>
      </c>
      <c r="G890" t="s">
        <v>44</v>
      </c>
      <c r="H890" t="s">
        <v>38</v>
      </c>
      <c r="I890" t="s">
        <v>3371</v>
      </c>
      <c r="J890">
        <v>3138.09</v>
      </c>
      <c r="K890" t="s">
        <v>39</v>
      </c>
      <c r="L890" t="s">
        <v>81</v>
      </c>
      <c r="M890" s="1">
        <v>44591.038194444445</v>
      </c>
      <c r="N890">
        <v>43</v>
      </c>
      <c r="O890" t="s">
        <v>37</v>
      </c>
      <c r="P890" t="s">
        <v>36</v>
      </c>
      <c r="Q890" t="s">
        <v>2720</v>
      </c>
      <c r="R890" t="str">
        <f t="shared" si="182"/>
        <v>PRIYA MILLER</v>
      </c>
      <c r="S890" t="str">
        <f t="shared" si="183"/>
        <v xml:space="preserve"> Lucas Williams   </v>
      </c>
      <c r="T890" t="str">
        <f t="shared" si="184"/>
        <v>INR</v>
      </c>
      <c r="U890" s="7" t="str">
        <f t="shared" si="185"/>
        <v>SGD</v>
      </c>
      <c r="V890" s="7" t="str">
        <f t="shared" si="186"/>
        <v>South Africa</v>
      </c>
      <c r="W890" s="7" t="str">
        <f t="shared" si="187"/>
        <v>Germany</v>
      </c>
      <c r="X890" s="7" t="str">
        <f t="shared" si="188"/>
        <v>Outer-Transaction</v>
      </c>
      <c r="Y890" s="7">
        <f t="shared" si="189"/>
        <v>3138.09</v>
      </c>
      <c r="Z890" s="7">
        <f t="shared" si="190"/>
        <v>43</v>
      </c>
      <c r="AA890" s="7">
        <f t="shared" si="191"/>
        <v>2022</v>
      </c>
      <c r="AB890" s="7">
        <f t="shared" si="192"/>
        <v>1</v>
      </c>
      <c r="AC890" s="7">
        <f t="shared" si="193"/>
        <v>1</v>
      </c>
      <c r="AD890" s="7" t="str">
        <f t="shared" si="194"/>
        <v>No</v>
      </c>
      <c r="AE890" s="7" t="str">
        <f t="shared" si="195"/>
        <v>Normal</v>
      </c>
    </row>
    <row r="891" spans="1:31">
      <c r="A891" t="s">
        <v>2721</v>
      </c>
      <c r="B891">
        <v>69539153</v>
      </c>
      <c r="C891" t="s">
        <v>521</v>
      </c>
      <c r="D891" t="s">
        <v>1300</v>
      </c>
      <c r="E891" t="s">
        <v>20</v>
      </c>
      <c r="F891" t="s">
        <v>126</v>
      </c>
      <c r="G891" t="s">
        <v>116</v>
      </c>
      <c r="H891" t="s">
        <v>103</v>
      </c>
      <c r="I891" t="s">
        <v>3376</v>
      </c>
      <c r="J891">
        <v>10930.63</v>
      </c>
      <c r="K891" t="s">
        <v>27</v>
      </c>
      <c r="L891" t="s">
        <v>75</v>
      </c>
      <c r="M891" s="1">
        <v>44663.144444444442</v>
      </c>
      <c r="N891">
        <v>58</v>
      </c>
      <c r="O891" t="s">
        <v>127</v>
      </c>
      <c r="P891" t="s">
        <v>68</v>
      </c>
      <c r="Q891" t="s">
        <v>2722</v>
      </c>
      <c r="R891" t="str">
        <f t="shared" si="182"/>
        <v>Jessica Davis</v>
      </c>
      <c r="S891" t="str">
        <f t="shared" si="183"/>
        <v>Priya Moore</v>
      </c>
      <c r="T891" t="str">
        <f t="shared" si="184"/>
        <v>inr</v>
      </c>
      <c r="U891" s="7" t="str">
        <f t="shared" si="185"/>
        <v>CHF</v>
      </c>
      <c r="V891" s="7" t="str">
        <f t="shared" si="186"/>
        <v>Canada</v>
      </c>
      <c r="W891" s="7" t="str">
        <f t="shared" si="187"/>
        <v>UAE</v>
      </c>
      <c r="X891" s="7" t="str">
        <f t="shared" si="188"/>
        <v>Internal</v>
      </c>
      <c r="Y891" s="7">
        <f t="shared" si="189"/>
        <v>10930.63</v>
      </c>
      <c r="Z891" s="7">
        <f t="shared" si="190"/>
        <v>58</v>
      </c>
      <c r="AA891" s="7">
        <f t="shared" si="191"/>
        <v>2022</v>
      </c>
      <c r="AB891" s="7">
        <f t="shared" si="192"/>
        <v>4</v>
      </c>
      <c r="AC891" s="7">
        <f t="shared" si="193"/>
        <v>1</v>
      </c>
      <c r="AD891" s="7" t="str">
        <f t="shared" si="194"/>
        <v>No</v>
      </c>
      <c r="AE891" s="7" t="str">
        <f t="shared" si="195"/>
        <v>High Risk</v>
      </c>
    </row>
    <row r="892" spans="1:31">
      <c r="A892" t="s">
        <v>2723</v>
      </c>
      <c r="B892">
        <v>82600803</v>
      </c>
      <c r="C892" t="s">
        <v>1875</v>
      </c>
      <c r="D892" t="s">
        <v>2224</v>
      </c>
      <c r="E892" t="s">
        <v>20</v>
      </c>
      <c r="F892" t="s">
        <v>92</v>
      </c>
      <c r="G892" t="s">
        <v>121</v>
      </c>
      <c r="H892" t="s">
        <v>74</v>
      </c>
      <c r="I892" t="s">
        <v>3372</v>
      </c>
      <c r="J892">
        <v>10780.71</v>
      </c>
      <c r="K892" t="s">
        <v>39</v>
      </c>
      <c r="L892" t="s">
        <v>81</v>
      </c>
      <c r="M892" s="1">
        <v>45259.029166666667</v>
      </c>
      <c r="N892">
        <v>52</v>
      </c>
      <c r="O892" t="s">
        <v>36</v>
      </c>
      <c r="P892" t="s">
        <v>93</v>
      </c>
      <c r="Q892" t="s">
        <v>2724</v>
      </c>
      <c r="R892" t="str">
        <f t="shared" si="182"/>
        <v>Zayn Williams</v>
      </c>
      <c r="S892" t="str">
        <f t="shared" si="183"/>
        <v>Linda Volkov</v>
      </c>
      <c r="T892" t="str">
        <f t="shared" si="184"/>
        <v>AUD</v>
      </c>
      <c r="U892" s="7" t="str">
        <f t="shared" si="185"/>
        <v>INR</v>
      </c>
      <c r="V892" s="7" t="str">
        <f t="shared" si="186"/>
        <v>Germany</v>
      </c>
      <c r="W892" s="7" t="str">
        <f t="shared" si="187"/>
        <v>USA</v>
      </c>
      <c r="X892" s="7" t="str">
        <f t="shared" si="188"/>
        <v>Outer-Transaction</v>
      </c>
      <c r="Y892" s="7">
        <f t="shared" si="189"/>
        <v>10780.71</v>
      </c>
      <c r="Z892" s="7">
        <f t="shared" si="190"/>
        <v>52</v>
      </c>
      <c r="AA892" s="7">
        <f t="shared" si="191"/>
        <v>2023</v>
      </c>
      <c r="AB892" s="7">
        <f t="shared" si="192"/>
        <v>11</v>
      </c>
      <c r="AC892" s="7">
        <f t="shared" si="193"/>
        <v>1</v>
      </c>
      <c r="AD892" s="7" t="str">
        <f t="shared" si="194"/>
        <v>No</v>
      </c>
      <c r="AE892" s="7" t="str">
        <f t="shared" si="195"/>
        <v>Normal</v>
      </c>
    </row>
    <row r="893" spans="1:31">
      <c r="A893" t="s">
        <v>2725</v>
      </c>
      <c r="B893">
        <v>94101071</v>
      </c>
      <c r="C893" t="s">
        <v>701</v>
      </c>
      <c r="D893" t="s">
        <v>1917</v>
      </c>
      <c r="E893" t="s">
        <v>33</v>
      </c>
      <c r="F893" t="s">
        <v>98</v>
      </c>
      <c r="G893" t="s">
        <v>98</v>
      </c>
      <c r="H893" t="s">
        <v>56</v>
      </c>
      <c r="I893" t="s">
        <v>3377</v>
      </c>
      <c r="J893">
        <v>2553</v>
      </c>
      <c r="K893" t="s">
        <v>27</v>
      </c>
      <c r="L893" t="s">
        <v>28</v>
      </c>
      <c r="M893" s="1">
        <v>44113.739583333336</v>
      </c>
      <c r="N893">
        <v>80</v>
      </c>
      <c r="O893" t="s">
        <v>93</v>
      </c>
      <c r="P893" t="s">
        <v>62</v>
      </c>
      <c r="Q893" t="s">
        <v>2726</v>
      </c>
      <c r="R893" t="str">
        <f t="shared" si="182"/>
        <v>Christopher Lopez</v>
      </c>
      <c r="S893" t="str">
        <f t="shared" si="183"/>
        <v>John Anderson</v>
      </c>
      <c r="T893" t="str">
        <f t="shared" si="184"/>
        <v>JPY</v>
      </c>
      <c r="U893" s="7" t="str">
        <f t="shared" si="185"/>
        <v>JPY</v>
      </c>
      <c r="V893" s="7" t="str">
        <f t="shared" si="186"/>
        <v>USA</v>
      </c>
      <c r="W893" s="7" t="str">
        <f t="shared" si="187"/>
        <v>Australia</v>
      </c>
      <c r="X893" s="7" t="str">
        <f t="shared" si="188"/>
        <v>Inter-Transaction</v>
      </c>
      <c r="Y893" s="7">
        <f t="shared" si="189"/>
        <v>2553</v>
      </c>
      <c r="Z893" s="7">
        <f t="shared" si="190"/>
        <v>80</v>
      </c>
      <c r="AA893" s="7">
        <f t="shared" si="191"/>
        <v>2020</v>
      </c>
      <c r="AB893" s="7">
        <f t="shared" si="192"/>
        <v>10</v>
      </c>
      <c r="AC893" s="7">
        <f t="shared" si="193"/>
        <v>1</v>
      </c>
      <c r="AD893" s="7" t="str">
        <f t="shared" si="194"/>
        <v>No</v>
      </c>
      <c r="AE893" s="7" t="str">
        <f t="shared" si="195"/>
        <v>Normal</v>
      </c>
    </row>
    <row r="894" spans="1:31">
      <c r="A894" t="s">
        <v>2727</v>
      </c>
      <c r="B894">
        <v>50170436</v>
      </c>
      <c r="C894" t="s">
        <v>2728</v>
      </c>
      <c r="D894" t="s">
        <v>741</v>
      </c>
      <c r="E894" t="s">
        <v>20</v>
      </c>
      <c r="F894" t="s">
        <v>53</v>
      </c>
      <c r="G894" t="s">
        <v>98</v>
      </c>
      <c r="H894" t="s">
        <v>74</v>
      </c>
      <c r="I894" t="s">
        <v>3371</v>
      </c>
      <c r="J894">
        <v>3102.29</v>
      </c>
      <c r="K894" t="s">
        <v>86</v>
      </c>
      <c r="L894" t="s">
        <v>48</v>
      </c>
      <c r="M894" s="1">
        <v>44209.881944444445</v>
      </c>
      <c r="N894">
        <v>42</v>
      </c>
      <c r="O894" t="s">
        <v>62</v>
      </c>
      <c r="P894" t="s">
        <v>23</v>
      </c>
      <c r="Q894" t="s">
        <v>2729</v>
      </c>
      <c r="R894" t="str">
        <f t="shared" si="182"/>
        <v>Carlos Khan</v>
      </c>
      <c r="S894" t="str">
        <f t="shared" si="183"/>
        <v>Elizabeth Martin</v>
      </c>
      <c r="T894" t="str">
        <f t="shared" si="184"/>
        <v>AED</v>
      </c>
      <c r="U894" s="7" t="str">
        <f t="shared" si="185"/>
        <v>JPY</v>
      </c>
      <c r="V894" s="7" t="str">
        <f t="shared" si="186"/>
        <v>Australia</v>
      </c>
      <c r="W894" s="7" t="str">
        <f t="shared" si="187"/>
        <v>France</v>
      </c>
      <c r="X894" s="7" t="str">
        <f t="shared" si="188"/>
        <v>Outer-Transaction</v>
      </c>
      <c r="Y894" s="7">
        <f t="shared" si="189"/>
        <v>3102.29</v>
      </c>
      <c r="Z894" s="7">
        <f t="shared" si="190"/>
        <v>42</v>
      </c>
      <c r="AA894" s="7">
        <f t="shared" si="191"/>
        <v>2021</v>
      </c>
      <c r="AB894" s="7">
        <f t="shared" si="192"/>
        <v>1</v>
      </c>
      <c r="AC894" s="7">
        <f t="shared" si="193"/>
        <v>1</v>
      </c>
      <c r="AD894" s="7" t="str">
        <f t="shared" si="194"/>
        <v>No</v>
      </c>
      <c r="AE894" s="7" t="str">
        <f t="shared" si="195"/>
        <v>Normal</v>
      </c>
    </row>
    <row r="895" spans="1:31">
      <c r="A895" t="s">
        <v>2730</v>
      </c>
      <c r="B895">
        <v>25236678</v>
      </c>
      <c r="C895" t="s">
        <v>1469</v>
      </c>
      <c r="D895" t="s">
        <v>802</v>
      </c>
      <c r="E895" t="b">
        <v>1</v>
      </c>
      <c r="F895" t="s">
        <v>53</v>
      </c>
      <c r="H895" t="s">
        <v>38</v>
      </c>
      <c r="I895" t="s">
        <v>3376</v>
      </c>
      <c r="J895">
        <v>4279.71</v>
      </c>
      <c r="K895" t="s">
        <v>47</v>
      </c>
      <c r="L895" t="s">
        <v>48</v>
      </c>
      <c r="M895" s="1">
        <v>44028.415277777778</v>
      </c>
      <c r="N895">
        <v>55</v>
      </c>
      <c r="O895" t="s">
        <v>36</v>
      </c>
      <c r="P895" t="s">
        <v>62</v>
      </c>
      <c r="Q895" t="s">
        <v>2731</v>
      </c>
      <c r="R895" t="str">
        <f t="shared" si="182"/>
        <v>Nancy Volkov</v>
      </c>
      <c r="S895" t="str">
        <f t="shared" si="183"/>
        <v>Fatima Davis</v>
      </c>
      <c r="T895" t="str">
        <f t="shared" si="184"/>
        <v>AED</v>
      </c>
      <c r="U895" s="7" t="str">
        <f t="shared" si="185"/>
        <v/>
      </c>
      <c r="V895" s="7" t="str">
        <f t="shared" si="186"/>
        <v>Germany</v>
      </c>
      <c r="W895" s="7" t="str">
        <f t="shared" si="187"/>
        <v>Australia</v>
      </c>
      <c r="X895" s="7" t="str">
        <f t="shared" si="188"/>
        <v>Internal</v>
      </c>
      <c r="Y895" s="7">
        <f t="shared" si="189"/>
        <v>4279.71</v>
      </c>
      <c r="Z895" s="7">
        <f t="shared" si="190"/>
        <v>55</v>
      </c>
      <c r="AA895" s="7">
        <f t="shared" si="191"/>
        <v>2020</v>
      </c>
      <c r="AB895" s="7">
        <f t="shared" si="192"/>
        <v>7</v>
      </c>
      <c r="AC895" s="7">
        <f t="shared" si="193"/>
        <v>1</v>
      </c>
      <c r="AD895" s="7" t="str">
        <f t="shared" si="194"/>
        <v>No</v>
      </c>
      <c r="AE895" s="7" t="str">
        <f t="shared" si="195"/>
        <v>Normal</v>
      </c>
    </row>
    <row r="896" spans="1:31">
      <c r="A896" t="s">
        <v>2732</v>
      </c>
      <c r="B896">
        <v>82129095</v>
      </c>
      <c r="C896" t="s">
        <v>1350</v>
      </c>
      <c r="D896" t="s">
        <v>868</v>
      </c>
      <c r="E896" t="s">
        <v>33</v>
      </c>
      <c r="F896" t="s">
        <v>45</v>
      </c>
      <c r="G896" t="s">
        <v>121</v>
      </c>
      <c r="H896" t="s">
        <v>38</v>
      </c>
      <c r="I896" t="s">
        <v>3377</v>
      </c>
      <c r="J896">
        <v>6670.52</v>
      </c>
      <c r="K896" t="s">
        <v>57</v>
      </c>
      <c r="L896" t="s">
        <v>81</v>
      </c>
      <c r="M896" s="1">
        <v>44386.690972222219</v>
      </c>
      <c r="N896">
        <v>19</v>
      </c>
      <c r="O896" t="s">
        <v>37</v>
      </c>
      <c r="P896" t="s">
        <v>24</v>
      </c>
      <c r="Q896" t="s">
        <v>2733</v>
      </c>
      <c r="R896" t="str">
        <f t="shared" si="182"/>
        <v>John Lopez</v>
      </c>
      <c r="S896" t="str">
        <f t="shared" si="183"/>
        <v>Christopher Al-Sayed</v>
      </c>
      <c r="T896" t="str">
        <f t="shared" si="184"/>
        <v>ZAR</v>
      </c>
      <c r="U896" s="7" t="str">
        <f t="shared" si="185"/>
        <v>INR</v>
      </c>
      <c r="V896" s="7" t="str">
        <f t="shared" si="186"/>
        <v>South Africa</v>
      </c>
      <c r="W896" s="7" t="str">
        <f t="shared" si="187"/>
        <v>Brazil</v>
      </c>
      <c r="X896" s="7" t="str">
        <f t="shared" si="188"/>
        <v>Inter-Transaction</v>
      </c>
      <c r="Y896" s="7">
        <f t="shared" si="189"/>
        <v>6670.52</v>
      </c>
      <c r="Z896" s="7">
        <f t="shared" si="190"/>
        <v>19</v>
      </c>
      <c r="AA896" s="7">
        <f t="shared" si="191"/>
        <v>2021</v>
      </c>
      <c r="AB896" s="7">
        <f t="shared" si="192"/>
        <v>7</v>
      </c>
      <c r="AC896" s="7">
        <f t="shared" si="193"/>
        <v>1</v>
      </c>
      <c r="AD896" s="7" t="str">
        <f t="shared" si="194"/>
        <v>No</v>
      </c>
      <c r="AE896" s="7" t="str">
        <f t="shared" si="195"/>
        <v>Normal</v>
      </c>
    </row>
    <row r="897" spans="1:31">
      <c r="A897" t="s">
        <v>2734</v>
      </c>
      <c r="B897">
        <v>74575117</v>
      </c>
      <c r="C897" t="s">
        <v>2488</v>
      </c>
      <c r="D897" t="s">
        <v>701</v>
      </c>
      <c r="E897" t="s">
        <v>20</v>
      </c>
      <c r="F897" t="s">
        <v>35</v>
      </c>
      <c r="G897" t="s">
        <v>80</v>
      </c>
      <c r="H897" t="s">
        <v>56</v>
      </c>
      <c r="I897" t="s">
        <v>3378</v>
      </c>
      <c r="J897">
        <v>9335.7900000000009</v>
      </c>
      <c r="K897" t="s">
        <v>86</v>
      </c>
      <c r="L897" t="s">
        <v>48</v>
      </c>
      <c r="M897" s="1">
        <v>44186.990277777775</v>
      </c>
      <c r="N897">
        <v>24</v>
      </c>
      <c r="O897" t="s">
        <v>37</v>
      </c>
      <c r="P897" t="s">
        <v>68</v>
      </c>
      <c r="Q897" t="s">
        <v>2735</v>
      </c>
      <c r="R897" t="str">
        <f t="shared" si="182"/>
        <v>Thomas Martinez</v>
      </c>
      <c r="S897" t="str">
        <f t="shared" si="183"/>
        <v>Christopher Lopez</v>
      </c>
      <c r="T897" t="str">
        <f t="shared" si="184"/>
        <v>EUR</v>
      </c>
      <c r="U897" s="7" t="str">
        <f t="shared" si="185"/>
        <v>USD</v>
      </c>
      <c r="V897" s="7" t="str">
        <f t="shared" si="186"/>
        <v>South Africa</v>
      </c>
      <c r="W897" s="7" t="str">
        <f t="shared" si="187"/>
        <v>UAE</v>
      </c>
      <c r="X897" s="7" t="str">
        <f t="shared" si="188"/>
        <v>Inter-Transaction</v>
      </c>
      <c r="Y897" s="7">
        <f t="shared" si="189"/>
        <v>9335.7900000000009</v>
      </c>
      <c r="Z897" s="7">
        <f t="shared" si="190"/>
        <v>24</v>
      </c>
      <c r="AA897" s="7">
        <f t="shared" si="191"/>
        <v>2020</v>
      </c>
      <c r="AB897" s="7">
        <f t="shared" si="192"/>
        <v>12</v>
      </c>
      <c r="AC897" s="7">
        <f t="shared" si="193"/>
        <v>1</v>
      </c>
      <c r="AD897" s="7" t="str">
        <f t="shared" si="194"/>
        <v>No</v>
      </c>
      <c r="AE897" s="7" t="str">
        <f t="shared" si="195"/>
        <v>Normal</v>
      </c>
    </row>
    <row r="898" spans="1:31">
      <c r="A898" t="s">
        <v>2736</v>
      </c>
      <c r="B898">
        <v>46784982</v>
      </c>
      <c r="C898" t="s">
        <v>1001</v>
      </c>
      <c r="D898" t="s">
        <v>256</v>
      </c>
      <c r="E898" t="s">
        <v>3373</v>
      </c>
      <c r="F898" t="s">
        <v>45</v>
      </c>
      <c r="G898" t="s">
        <v>92</v>
      </c>
      <c r="H898" t="s">
        <v>56</v>
      </c>
      <c r="I898" t="s">
        <v>3377</v>
      </c>
      <c r="J898">
        <v>6734.05</v>
      </c>
      <c r="K898" t="s">
        <v>47</v>
      </c>
      <c r="L898" t="s">
        <v>28</v>
      </c>
      <c r="M898" s="1">
        <v>45394.638888888891</v>
      </c>
      <c r="N898">
        <v>51</v>
      </c>
      <c r="O898" t="s">
        <v>68</v>
      </c>
      <c r="P898" t="s">
        <v>36</v>
      </c>
      <c r="Q898" t="s">
        <v>2737</v>
      </c>
      <c r="R898" t="str">
        <f t="shared" ref="R898:R961" si="196">TRIM(C898)</f>
        <v>Sarah Hernandez</v>
      </c>
      <c r="S898" t="str">
        <f t="shared" ref="S898:S961" si="197">PROPER(D898)</f>
        <v>Michael Velez</v>
      </c>
      <c r="T898" t="str">
        <f t="shared" ref="T898:T961" si="198">TRIM(F898)</f>
        <v>ZAR</v>
      </c>
      <c r="U898" s="7" t="str">
        <f t="shared" ref="U898:U961" si="199">TRIM(G898)</f>
        <v>AUD</v>
      </c>
      <c r="V898" s="7" t="str">
        <f t="shared" ref="V898:V961" si="200">TRIM(O898)</f>
        <v>UAE</v>
      </c>
      <c r="W898" s="7" t="str">
        <f t="shared" ref="W898:W961" si="201">TRIM(P898)</f>
        <v>Germany</v>
      </c>
      <c r="X898" s="7" t="str">
        <f t="shared" ref="X898:X961" si="202">PROPER(I898)</f>
        <v>Inter-Transaction</v>
      </c>
      <c r="Y898" s="7">
        <f t="shared" ref="Y898:Y961" si="203">IF(J898="",AVERAGE($J:$J),J898)</f>
        <v>6734.05</v>
      </c>
      <c r="Z898" s="7">
        <f t="shared" ref="Z898:Z961" si="204">IF(N898="",AVERAGE($N:$N),N898)</f>
        <v>51</v>
      </c>
      <c r="AA898" s="7">
        <f t="shared" ref="AA898:AA961" si="205">YEAR(M898)</f>
        <v>2024</v>
      </c>
      <c r="AB898" s="7">
        <f t="shared" ref="AB898:AB961" si="206">MONTH(M898)</f>
        <v>4</v>
      </c>
      <c r="AC898" s="7">
        <f t="shared" ref="AC898:AC961" si="207">COUNTIF(A:A,A898)</f>
        <v>1</v>
      </c>
      <c r="AD898" s="7" t="str">
        <f t="shared" ref="AD898:AD961" si="208">IF(C898="YES","Yes","No")</f>
        <v>No</v>
      </c>
      <c r="AE898" s="7" t="str">
        <f t="shared" ref="AE898:AE961" si="209">IF(L898="HIGH","High Risk","Normal")</f>
        <v>Normal</v>
      </c>
    </row>
    <row r="899" spans="1:31">
      <c r="A899" t="s">
        <v>2738</v>
      </c>
      <c r="B899">
        <v>35642547</v>
      </c>
      <c r="C899" t="s">
        <v>1021</v>
      </c>
      <c r="D899" t="s">
        <v>569</v>
      </c>
      <c r="E899" t="s">
        <v>20</v>
      </c>
      <c r="F899" t="s">
        <v>121</v>
      </c>
      <c r="G899" t="s">
        <v>34</v>
      </c>
      <c r="H899" t="s">
        <v>38</v>
      </c>
      <c r="I899" t="s">
        <v>3374</v>
      </c>
      <c r="J899">
        <v>1584.96</v>
      </c>
      <c r="K899" t="s">
        <v>47</v>
      </c>
      <c r="L899" t="s">
        <v>28</v>
      </c>
      <c r="M899" s="1">
        <v>44871.505555555559</v>
      </c>
      <c r="N899">
        <v>34</v>
      </c>
      <c r="O899" t="s">
        <v>62</v>
      </c>
      <c r="P899" t="s">
        <v>24</v>
      </c>
      <c r="Q899" t="s">
        <v>2739</v>
      </c>
      <c r="R899" t="str">
        <f t="shared" si="196"/>
        <v>Linda Rostova</v>
      </c>
      <c r="S899" t="str">
        <f t="shared" si="197"/>
        <v>Patricia Williams</v>
      </c>
      <c r="T899" t="str">
        <f t="shared" si="198"/>
        <v>INR</v>
      </c>
      <c r="U899" s="7" t="str">
        <f t="shared" si="199"/>
        <v>CAD</v>
      </c>
      <c r="V899" s="7" t="str">
        <f t="shared" si="200"/>
        <v>Australia</v>
      </c>
      <c r="W899" s="7" t="str">
        <f t="shared" si="201"/>
        <v>Brazil</v>
      </c>
      <c r="X899" s="7" t="str">
        <f t="shared" si="202"/>
        <v>External</v>
      </c>
      <c r="Y899" s="7">
        <f t="shared" si="203"/>
        <v>1584.96</v>
      </c>
      <c r="Z899" s="7">
        <f t="shared" si="204"/>
        <v>34</v>
      </c>
      <c r="AA899" s="7">
        <f t="shared" si="205"/>
        <v>2022</v>
      </c>
      <c r="AB899" s="7">
        <f t="shared" si="206"/>
        <v>11</v>
      </c>
      <c r="AC899" s="7">
        <f t="shared" si="207"/>
        <v>1</v>
      </c>
      <c r="AD899" s="7" t="str">
        <f t="shared" si="208"/>
        <v>No</v>
      </c>
      <c r="AE899" s="7" t="str">
        <f t="shared" si="209"/>
        <v>Normal</v>
      </c>
    </row>
    <row r="900" spans="1:31">
      <c r="A900" t="s">
        <v>2740</v>
      </c>
      <c r="B900">
        <v>43732173</v>
      </c>
      <c r="C900" t="s">
        <v>1230</v>
      </c>
      <c r="D900" t="s">
        <v>212</v>
      </c>
      <c r="E900" t="s">
        <v>20</v>
      </c>
      <c r="F900" t="s">
        <v>121</v>
      </c>
      <c r="G900" t="s">
        <v>22</v>
      </c>
      <c r="H900" t="s">
        <v>25</v>
      </c>
      <c r="I900" t="s">
        <v>3376</v>
      </c>
      <c r="J900">
        <v>2713.19</v>
      </c>
      <c r="K900" t="s">
        <v>86</v>
      </c>
      <c r="L900" t="s">
        <v>75</v>
      </c>
      <c r="M900" s="1">
        <v>44209.423611111109</v>
      </c>
      <c r="N900">
        <v>60</v>
      </c>
      <c r="O900" t="s">
        <v>93</v>
      </c>
      <c r="P900" t="s">
        <v>62</v>
      </c>
      <c r="Q900" t="s">
        <v>2741</v>
      </c>
      <c r="R900" t="str">
        <f t="shared" si="196"/>
        <v>Zayn Jones</v>
      </c>
      <c r="S900" t="str">
        <f t="shared" si="197"/>
        <v>Michael Williams</v>
      </c>
      <c r="T900" t="str">
        <f t="shared" si="198"/>
        <v>INR</v>
      </c>
      <c r="U900" s="7" t="str">
        <f t="shared" si="199"/>
        <v>BRL</v>
      </c>
      <c r="V900" s="7" t="str">
        <f t="shared" si="200"/>
        <v>USA</v>
      </c>
      <c r="W900" s="7" t="str">
        <f t="shared" si="201"/>
        <v>Australia</v>
      </c>
      <c r="X900" s="7" t="str">
        <f t="shared" si="202"/>
        <v>Internal</v>
      </c>
      <c r="Y900" s="7">
        <f t="shared" si="203"/>
        <v>2713.19</v>
      </c>
      <c r="Z900" s="7">
        <f t="shared" si="204"/>
        <v>60</v>
      </c>
      <c r="AA900" s="7">
        <f t="shared" si="205"/>
        <v>2021</v>
      </c>
      <c r="AB900" s="7">
        <f t="shared" si="206"/>
        <v>1</v>
      </c>
      <c r="AC900" s="7">
        <f t="shared" si="207"/>
        <v>1</v>
      </c>
      <c r="AD900" s="7" t="str">
        <f t="shared" si="208"/>
        <v>No</v>
      </c>
      <c r="AE900" s="7" t="str">
        <f t="shared" si="209"/>
        <v>High Risk</v>
      </c>
    </row>
    <row r="901" spans="1:31">
      <c r="A901" t="s">
        <v>2742</v>
      </c>
      <c r="B901">
        <v>32837888</v>
      </c>
      <c r="C901" t="s">
        <v>1587</v>
      </c>
      <c r="D901" t="s">
        <v>2137</v>
      </c>
      <c r="E901" t="s">
        <v>20</v>
      </c>
      <c r="F901" t="s">
        <v>34</v>
      </c>
      <c r="G901" t="s">
        <v>116</v>
      </c>
      <c r="H901" t="s">
        <v>56</v>
      </c>
      <c r="I901" t="s">
        <v>3378</v>
      </c>
      <c r="J901">
        <v>869.38</v>
      </c>
      <c r="K901" t="s">
        <v>27</v>
      </c>
      <c r="L901" t="s">
        <v>75</v>
      </c>
      <c r="M901" s="1">
        <v>44510.208333333336</v>
      </c>
      <c r="N901">
        <v>76</v>
      </c>
      <c r="O901" t="s">
        <v>127</v>
      </c>
      <c r="P901" t="s">
        <v>24</v>
      </c>
      <c r="Q901" t="s">
        <v>2743</v>
      </c>
      <c r="R901" t="str">
        <f t="shared" si="196"/>
        <v>Christopher Jackson</v>
      </c>
      <c r="S901" t="str">
        <f t="shared" si="197"/>
        <v>Karen Wilson</v>
      </c>
      <c r="T901" t="str">
        <f t="shared" si="198"/>
        <v>CAD</v>
      </c>
      <c r="U901" s="7" t="str">
        <f t="shared" si="199"/>
        <v>CHF</v>
      </c>
      <c r="V901" s="7" t="str">
        <f t="shared" si="200"/>
        <v>Canada</v>
      </c>
      <c r="W901" s="7" t="str">
        <f t="shared" si="201"/>
        <v>Brazil</v>
      </c>
      <c r="X901" s="7" t="str">
        <f t="shared" si="202"/>
        <v>Inter-Transaction</v>
      </c>
      <c r="Y901" s="7">
        <f t="shared" si="203"/>
        <v>869.38</v>
      </c>
      <c r="Z901" s="7">
        <f t="shared" si="204"/>
        <v>76</v>
      </c>
      <c r="AA901" s="7">
        <f t="shared" si="205"/>
        <v>2021</v>
      </c>
      <c r="AB901" s="7">
        <f t="shared" si="206"/>
        <v>11</v>
      </c>
      <c r="AC901" s="7">
        <f t="shared" si="207"/>
        <v>1</v>
      </c>
      <c r="AD901" s="7" t="str">
        <f t="shared" si="208"/>
        <v>No</v>
      </c>
      <c r="AE901" s="7" t="str">
        <f t="shared" si="209"/>
        <v>High Risk</v>
      </c>
    </row>
    <row r="902" spans="1:31">
      <c r="A902" t="s">
        <v>2744</v>
      </c>
      <c r="B902">
        <v>74132712</v>
      </c>
      <c r="C902" t="s">
        <v>2699</v>
      </c>
      <c r="D902" t="s">
        <v>2032</v>
      </c>
      <c r="E902" t="s">
        <v>20</v>
      </c>
      <c r="F902" t="s">
        <v>98</v>
      </c>
      <c r="G902" t="s">
        <v>53</v>
      </c>
      <c r="H902" t="s">
        <v>74</v>
      </c>
      <c r="I902" t="s">
        <v>3374</v>
      </c>
      <c r="J902">
        <v>13124.69</v>
      </c>
      <c r="K902" t="s">
        <v>57</v>
      </c>
      <c r="L902" t="s">
        <v>28</v>
      </c>
      <c r="M902" s="1">
        <v>46384.878472222219</v>
      </c>
      <c r="N902">
        <v>68</v>
      </c>
      <c r="O902" t="s">
        <v>37</v>
      </c>
      <c r="P902" t="s">
        <v>127</v>
      </c>
      <c r="Q902" t="s">
        <v>2745</v>
      </c>
      <c r="R902" t="str">
        <f t="shared" si="196"/>
        <v>Michael Gonzalez</v>
      </c>
      <c r="S902" t="str">
        <f t="shared" si="197"/>
        <v>Lucas Garcia</v>
      </c>
      <c r="T902" t="str">
        <f t="shared" si="198"/>
        <v>JPY</v>
      </c>
      <c r="U902" s="7" t="str">
        <f t="shared" si="199"/>
        <v>AED</v>
      </c>
      <c r="V902" s="7" t="str">
        <f t="shared" si="200"/>
        <v>South Africa</v>
      </c>
      <c r="W902" s="7" t="str">
        <f t="shared" si="201"/>
        <v>Canada</v>
      </c>
      <c r="X902" s="7" t="str">
        <f t="shared" si="202"/>
        <v>External</v>
      </c>
      <c r="Y902" s="7">
        <f t="shared" si="203"/>
        <v>13124.69</v>
      </c>
      <c r="Z902" s="7">
        <f t="shared" si="204"/>
        <v>68</v>
      </c>
      <c r="AA902" s="7">
        <f t="shared" si="205"/>
        <v>2026</v>
      </c>
      <c r="AB902" s="7">
        <f t="shared" si="206"/>
        <v>12</v>
      </c>
      <c r="AC902" s="7">
        <f t="shared" si="207"/>
        <v>1</v>
      </c>
      <c r="AD902" s="7" t="str">
        <f t="shared" si="208"/>
        <v>No</v>
      </c>
      <c r="AE902" s="7" t="str">
        <f t="shared" si="209"/>
        <v>Normal</v>
      </c>
    </row>
    <row r="903" spans="1:31">
      <c r="A903" t="s">
        <v>2746</v>
      </c>
      <c r="B903">
        <v>99078726</v>
      </c>
      <c r="C903" t="s">
        <v>477</v>
      </c>
      <c r="D903" t="s">
        <v>1409</v>
      </c>
      <c r="E903" t="s">
        <v>3375</v>
      </c>
      <c r="F903" t="s">
        <v>53</v>
      </c>
      <c r="G903" t="s">
        <v>44</v>
      </c>
      <c r="H903" t="s">
        <v>25</v>
      </c>
      <c r="I903" t="s">
        <v>3377</v>
      </c>
      <c r="J903">
        <v>12767.71</v>
      </c>
      <c r="K903" t="s">
        <v>47</v>
      </c>
      <c r="L903" t="s">
        <v>48</v>
      </c>
      <c r="M903" s="1">
        <v>45610.51458333333</v>
      </c>
      <c r="N903">
        <v>71</v>
      </c>
      <c r="O903" t="s">
        <v>127</v>
      </c>
      <c r="P903" t="s">
        <v>68</v>
      </c>
      <c r="Q903" t="s">
        <v>2747</v>
      </c>
      <c r="R903" t="str">
        <f t="shared" si="196"/>
        <v>Priya Nair</v>
      </c>
      <c r="S903" t="str">
        <f t="shared" si="197"/>
        <v>Joseph Garcia</v>
      </c>
      <c r="T903" t="str">
        <f t="shared" si="198"/>
        <v>AED</v>
      </c>
      <c r="U903" s="7" t="str">
        <f t="shared" si="199"/>
        <v>SGD</v>
      </c>
      <c r="V903" s="7" t="str">
        <f t="shared" si="200"/>
        <v>Canada</v>
      </c>
      <c r="W903" s="7" t="str">
        <f t="shared" si="201"/>
        <v>UAE</v>
      </c>
      <c r="X903" s="7" t="str">
        <f t="shared" si="202"/>
        <v>Inter-Transaction</v>
      </c>
      <c r="Y903" s="7">
        <f t="shared" si="203"/>
        <v>12767.71</v>
      </c>
      <c r="Z903" s="7">
        <f t="shared" si="204"/>
        <v>71</v>
      </c>
      <c r="AA903" s="7">
        <f t="shared" si="205"/>
        <v>2024</v>
      </c>
      <c r="AB903" s="7">
        <f t="shared" si="206"/>
        <v>11</v>
      </c>
      <c r="AC903" s="7">
        <f t="shared" si="207"/>
        <v>1</v>
      </c>
      <c r="AD903" s="7" t="str">
        <f t="shared" si="208"/>
        <v>No</v>
      </c>
      <c r="AE903" s="7" t="str">
        <f t="shared" si="209"/>
        <v>Normal</v>
      </c>
    </row>
    <row r="904" spans="1:31">
      <c r="A904" t="s">
        <v>2748</v>
      </c>
      <c r="C904" t="s">
        <v>1247</v>
      </c>
      <c r="D904" t="s">
        <v>2749</v>
      </c>
      <c r="E904" t="s">
        <v>20</v>
      </c>
      <c r="F904" t="s">
        <v>160</v>
      </c>
      <c r="G904" t="s">
        <v>92</v>
      </c>
      <c r="H904" t="s">
        <v>38</v>
      </c>
      <c r="I904" t="s">
        <v>3378</v>
      </c>
      <c r="J904">
        <v>6460.33</v>
      </c>
      <c r="K904" t="s">
        <v>47</v>
      </c>
      <c r="L904" t="s">
        <v>28</v>
      </c>
      <c r="M904" s="1">
        <v>44729.979166666664</v>
      </c>
      <c r="N904">
        <v>41</v>
      </c>
      <c r="O904" t="s">
        <v>37</v>
      </c>
      <c r="P904" t="s">
        <v>37</v>
      </c>
      <c r="Q904" t="s">
        <v>2750</v>
      </c>
      <c r="R904" t="str">
        <f t="shared" si="196"/>
        <v>Linda Khan</v>
      </c>
      <c r="S904" t="str">
        <f t="shared" si="197"/>
        <v xml:space="preserve"> Elena Anderson   </v>
      </c>
      <c r="T904" t="str">
        <f t="shared" si="198"/>
        <v>aud</v>
      </c>
      <c r="U904" s="7" t="str">
        <f t="shared" si="199"/>
        <v>AUD</v>
      </c>
      <c r="V904" s="7" t="str">
        <f t="shared" si="200"/>
        <v>South Africa</v>
      </c>
      <c r="W904" s="7" t="str">
        <f t="shared" si="201"/>
        <v>South Africa</v>
      </c>
      <c r="X904" s="7" t="str">
        <f t="shared" si="202"/>
        <v>Inter-Transaction</v>
      </c>
      <c r="Y904" s="7">
        <f t="shared" si="203"/>
        <v>6460.33</v>
      </c>
      <c r="Z904" s="7">
        <f t="shared" si="204"/>
        <v>41</v>
      </c>
      <c r="AA904" s="7">
        <f t="shared" si="205"/>
        <v>2022</v>
      </c>
      <c r="AB904" s="7">
        <f t="shared" si="206"/>
        <v>6</v>
      </c>
      <c r="AC904" s="7">
        <f t="shared" si="207"/>
        <v>1</v>
      </c>
      <c r="AD904" s="7" t="str">
        <f t="shared" si="208"/>
        <v>No</v>
      </c>
      <c r="AE904" s="7" t="str">
        <f t="shared" si="209"/>
        <v>Normal</v>
      </c>
    </row>
    <row r="905" spans="1:31">
      <c r="A905" t="s">
        <v>2751</v>
      </c>
      <c r="C905" t="s">
        <v>1659</v>
      </c>
      <c r="D905" t="s">
        <v>2752</v>
      </c>
      <c r="E905" t="s">
        <v>20</v>
      </c>
      <c r="F905" t="s">
        <v>21</v>
      </c>
      <c r="G905" t="s">
        <v>21</v>
      </c>
      <c r="H905" t="s">
        <v>25</v>
      </c>
      <c r="I905" t="s">
        <v>3374</v>
      </c>
      <c r="J905">
        <v>711.19</v>
      </c>
      <c r="K905" t="s">
        <v>86</v>
      </c>
      <c r="L905" t="s">
        <v>48</v>
      </c>
      <c r="M905" s="1">
        <v>43906.9</v>
      </c>
      <c r="N905">
        <v>42</v>
      </c>
      <c r="O905" t="s">
        <v>93</v>
      </c>
      <c r="P905" t="s">
        <v>93</v>
      </c>
      <c r="Q905" t="s">
        <v>2753</v>
      </c>
      <c r="R905" t="str">
        <f t="shared" si="196"/>
        <v>Susan Dubois</v>
      </c>
      <c r="S905" t="str">
        <f t="shared" si="197"/>
        <v>William Moore</v>
      </c>
      <c r="T905" t="str">
        <f t="shared" si="198"/>
        <v>GBP</v>
      </c>
      <c r="U905" s="7" t="str">
        <f t="shared" si="199"/>
        <v>GBP</v>
      </c>
      <c r="V905" s="7" t="str">
        <f t="shared" si="200"/>
        <v>USA</v>
      </c>
      <c r="W905" s="7" t="str">
        <f t="shared" si="201"/>
        <v>USA</v>
      </c>
      <c r="X905" s="7" t="str">
        <f t="shared" si="202"/>
        <v>External</v>
      </c>
      <c r="Y905" s="7">
        <f t="shared" si="203"/>
        <v>711.19</v>
      </c>
      <c r="Z905" s="7">
        <f t="shared" si="204"/>
        <v>42</v>
      </c>
      <c r="AA905" s="7">
        <f t="shared" si="205"/>
        <v>2020</v>
      </c>
      <c r="AB905" s="7">
        <f t="shared" si="206"/>
        <v>3</v>
      </c>
      <c r="AC905" s="7">
        <f t="shared" si="207"/>
        <v>1</v>
      </c>
      <c r="AD905" s="7" t="str">
        <f t="shared" si="208"/>
        <v>No</v>
      </c>
      <c r="AE905" s="7" t="str">
        <f t="shared" si="209"/>
        <v>Normal</v>
      </c>
    </row>
    <row r="906" spans="1:31">
      <c r="A906" t="s">
        <v>2754</v>
      </c>
      <c r="B906">
        <v>17367600</v>
      </c>
      <c r="C906" t="s">
        <v>1815</v>
      </c>
      <c r="D906" t="s">
        <v>1230</v>
      </c>
      <c r="E906" t="s">
        <v>20</v>
      </c>
      <c r="F906" t="s">
        <v>121</v>
      </c>
      <c r="G906" t="s">
        <v>392</v>
      </c>
      <c r="H906" t="s">
        <v>74</v>
      </c>
      <c r="I906" t="s">
        <v>3371</v>
      </c>
      <c r="J906">
        <v>4077.94</v>
      </c>
      <c r="K906" t="s">
        <v>86</v>
      </c>
      <c r="L906" t="s">
        <v>81</v>
      </c>
      <c r="M906" s="1">
        <v>44061.601388888892</v>
      </c>
      <c r="N906">
        <v>69</v>
      </c>
      <c r="O906" t="s">
        <v>36</v>
      </c>
      <c r="P906" t="s">
        <v>62</v>
      </c>
      <c r="Q906" t="s">
        <v>2755</v>
      </c>
      <c r="R906" t="str">
        <f t="shared" si="196"/>
        <v>Sarah Wilson</v>
      </c>
      <c r="S906" t="str">
        <f t="shared" si="197"/>
        <v>Zayn Jones</v>
      </c>
      <c r="T906" t="str">
        <f t="shared" si="198"/>
        <v>INR</v>
      </c>
      <c r="U906" s="7" t="str">
        <f t="shared" si="199"/>
        <v>brl</v>
      </c>
      <c r="V906" s="7" t="str">
        <f t="shared" si="200"/>
        <v>Germany</v>
      </c>
      <c r="W906" s="7" t="str">
        <f t="shared" si="201"/>
        <v>Australia</v>
      </c>
      <c r="X906" s="7" t="str">
        <f t="shared" si="202"/>
        <v>Outer-Transaction</v>
      </c>
      <c r="Y906" s="7">
        <f t="shared" si="203"/>
        <v>4077.94</v>
      </c>
      <c r="Z906" s="7">
        <f t="shared" si="204"/>
        <v>69</v>
      </c>
      <c r="AA906" s="7">
        <f t="shared" si="205"/>
        <v>2020</v>
      </c>
      <c r="AB906" s="7">
        <f t="shared" si="206"/>
        <v>8</v>
      </c>
      <c r="AC906" s="7">
        <f t="shared" si="207"/>
        <v>1</v>
      </c>
      <c r="AD906" s="7" t="str">
        <f t="shared" si="208"/>
        <v>No</v>
      </c>
      <c r="AE906" s="7" t="str">
        <f t="shared" si="209"/>
        <v>Normal</v>
      </c>
    </row>
    <row r="907" spans="1:31">
      <c r="A907" t="s">
        <v>2756</v>
      </c>
      <c r="B907">
        <v>11668434</v>
      </c>
      <c r="C907" t="s">
        <v>2357</v>
      </c>
      <c r="D907" t="s">
        <v>1995</v>
      </c>
      <c r="E907" t="s">
        <v>20</v>
      </c>
      <c r="F907" t="s">
        <v>22</v>
      </c>
      <c r="G907" t="s">
        <v>35</v>
      </c>
      <c r="H907" t="s">
        <v>103</v>
      </c>
      <c r="I907" t="s">
        <v>3378</v>
      </c>
      <c r="J907">
        <v>1753.4</v>
      </c>
      <c r="K907" t="s">
        <v>47</v>
      </c>
      <c r="L907" t="s">
        <v>81</v>
      </c>
      <c r="M907" s="1">
        <v>45570.743750000001</v>
      </c>
      <c r="N907">
        <v>50</v>
      </c>
      <c r="O907" t="s">
        <v>24</v>
      </c>
      <c r="P907" t="s">
        <v>68</v>
      </c>
      <c r="Q907" t="s">
        <v>2757</v>
      </c>
      <c r="R907" t="str">
        <f t="shared" si="196"/>
        <v>Sanjay Souza</v>
      </c>
      <c r="S907" t="str">
        <f t="shared" si="197"/>
        <v>Lucas Martin</v>
      </c>
      <c r="T907" t="str">
        <f t="shared" si="198"/>
        <v>BRL</v>
      </c>
      <c r="U907" s="7" t="str">
        <f t="shared" si="199"/>
        <v>EUR</v>
      </c>
      <c r="V907" s="7" t="str">
        <f t="shared" si="200"/>
        <v>Brazil</v>
      </c>
      <c r="W907" s="7" t="str">
        <f t="shared" si="201"/>
        <v>UAE</v>
      </c>
      <c r="X907" s="7" t="str">
        <f t="shared" si="202"/>
        <v>Inter-Transaction</v>
      </c>
      <c r="Y907" s="7">
        <f t="shared" si="203"/>
        <v>1753.4</v>
      </c>
      <c r="Z907" s="7">
        <f t="shared" si="204"/>
        <v>50</v>
      </c>
      <c r="AA907" s="7">
        <f t="shared" si="205"/>
        <v>2024</v>
      </c>
      <c r="AB907" s="7">
        <f t="shared" si="206"/>
        <v>10</v>
      </c>
      <c r="AC907" s="7">
        <f t="shared" si="207"/>
        <v>1</v>
      </c>
      <c r="AD907" s="7" t="str">
        <f t="shared" si="208"/>
        <v>No</v>
      </c>
      <c r="AE907" s="7" t="str">
        <f t="shared" si="209"/>
        <v>Normal</v>
      </c>
    </row>
    <row r="908" spans="1:31">
      <c r="A908" t="s">
        <v>2758</v>
      </c>
      <c r="B908">
        <v>66638517</v>
      </c>
      <c r="C908" t="s">
        <v>1290</v>
      </c>
      <c r="D908" t="s">
        <v>2759</v>
      </c>
      <c r="E908" t="s">
        <v>20</v>
      </c>
      <c r="F908" t="s">
        <v>53</v>
      </c>
      <c r="G908" t="s">
        <v>21</v>
      </c>
      <c r="H908" t="s">
        <v>103</v>
      </c>
      <c r="I908" t="s">
        <v>3378</v>
      </c>
      <c r="J908">
        <v>1510.3</v>
      </c>
      <c r="K908" t="s">
        <v>27</v>
      </c>
      <c r="L908" t="s">
        <v>81</v>
      </c>
      <c r="M908" s="1">
        <v>44792.573611111111</v>
      </c>
      <c r="N908">
        <v>66</v>
      </c>
      <c r="O908" t="s">
        <v>36</v>
      </c>
      <c r="P908" t="s">
        <v>37</v>
      </c>
      <c r="Q908" t="s">
        <v>2760</v>
      </c>
      <c r="R908" t="str">
        <f t="shared" si="196"/>
        <v>Zayn Rostova</v>
      </c>
      <c r="S908" t="str">
        <f t="shared" si="197"/>
        <v xml:space="preserve"> William Silva   </v>
      </c>
      <c r="T908" t="str">
        <f t="shared" si="198"/>
        <v>AED</v>
      </c>
      <c r="U908" s="7" t="str">
        <f t="shared" si="199"/>
        <v>GBP</v>
      </c>
      <c r="V908" s="7" t="str">
        <f t="shared" si="200"/>
        <v>Germany</v>
      </c>
      <c r="W908" s="7" t="str">
        <f t="shared" si="201"/>
        <v>South Africa</v>
      </c>
      <c r="X908" s="7" t="str">
        <f t="shared" si="202"/>
        <v>Inter-Transaction</v>
      </c>
      <c r="Y908" s="7">
        <f t="shared" si="203"/>
        <v>1510.3</v>
      </c>
      <c r="Z908" s="7">
        <f t="shared" si="204"/>
        <v>66</v>
      </c>
      <c r="AA908" s="7">
        <f t="shared" si="205"/>
        <v>2022</v>
      </c>
      <c r="AB908" s="7">
        <f t="shared" si="206"/>
        <v>8</v>
      </c>
      <c r="AC908" s="7">
        <f t="shared" si="207"/>
        <v>1</v>
      </c>
      <c r="AD908" s="7" t="str">
        <f t="shared" si="208"/>
        <v>No</v>
      </c>
      <c r="AE908" s="7" t="str">
        <f t="shared" si="209"/>
        <v>Normal</v>
      </c>
    </row>
    <row r="909" spans="1:31">
      <c r="A909" t="s">
        <v>2761</v>
      </c>
      <c r="B909">
        <v>32642542</v>
      </c>
      <c r="C909" t="s">
        <v>2762</v>
      </c>
      <c r="D909" t="s">
        <v>1619</v>
      </c>
      <c r="E909" t="s">
        <v>20</v>
      </c>
      <c r="F909" t="s">
        <v>53</v>
      </c>
      <c r="G909" t="s">
        <v>35</v>
      </c>
      <c r="H909" t="s">
        <v>74</v>
      </c>
      <c r="I909" t="s">
        <v>3376</v>
      </c>
      <c r="J909">
        <v>12360.48</v>
      </c>
      <c r="K909" t="s">
        <v>27</v>
      </c>
      <c r="L909" t="s">
        <v>75</v>
      </c>
      <c r="M909" s="1">
        <v>46180.206250000003</v>
      </c>
      <c r="N909">
        <v>46</v>
      </c>
      <c r="O909" t="s">
        <v>37</v>
      </c>
      <c r="P909" t="s">
        <v>37</v>
      </c>
      <c r="Q909" t="s">
        <v>2763</v>
      </c>
      <c r="R909" t="str">
        <f t="shared" si="196"/>
        <v>Barbara Moore</v>
      </c>
      <c r="S909" t="str">
        <f t="shared" si="197"/>
        <v>Elizabeth Anderson</v>
      </c>
      <c r="T909" t="str">
        <f t="shared" si="198"/>
        <v>AED</v>
      </c>
      <c r="U909" s="7" t="str">
        <f t="shared" si="199"/>
        <v>EUR</v>
      </c>
      <c r="V909" s="7" t="str">
        <f t="shared" si="200"/>
        <v>South Africa</v>
      </c>
      <c r="W909" s="7" t="str">
        <f t="shared" si="201"/>
        <v>South Africa</v>
      </c>
      <c r="X909" s="7" t="str">
        <f t="shared" si="202"/>
        <v>Internal</v>
      </c>
      <c r="Y909" s="7">
        <f t="shared" si="203"/>
        <v>12360.48</v>
      </c>
      <c r="Z909" s="7">
        <f t="shared" si="204"/>
        <v>46</v>
      </c>
      <c r="AA909" s="7">
        <f t="shared" si="205"/>
        <v>2026</v>
      </c>
      <c r="AB909" s="7">
        <f t="shared" si="206"/>
        <v>6</v>
      </c>
      <c r="AC909" s="7">
        <f t="shared" si="207"/>
        <v>1</v>
      </c>
      <c r="AD909" s="7" t="str">
        <f t="shared" si="208"/>
        <v>No</v>
      </c>
      <c r="AE909" s="7" t="str">
        <f t="shared" si="209"/>
        <v>High Risk</v>
      </c>
    </row>
    <row r="910" spans="1:31">
      <c r="A910" t="s">
        <v>2764</v>
      </c>
      <c r="B910">
        <v>28363062</v>
      </c>
      <c r="C910" t="s">
        <v>2765</v>
      </c>
      <c r="D910" t="s">
        <v>2766</v>
      </c>
      <c r="E910" t="s">
        <v>20</v>
      </c>
      <c r="F910" t="s">
        <v>44</v>
      </c>
      <c r="G910" t="s">
        <v>21</v>
      </c>
      <c r="H910" t="s">
        <v>25</v>
      </c>
      <c r="I910" t="s">
        <v>3376</v>
      </c>
      <c r="J910">
        <v>5090.16</v>
      </c>
      <c r="K910" t="s">
        <v>27</v>
      </c>
      <c r="L910" t="s">
        <v>75</v>
      </c>
      <c r="M910" s="1">
        <v>46093.146527777775</v>
      </c>
      <c r="N910">
        <v>80</v>
      </c>
      <c r="O910" t="s">
        <v>23</v>
      </c>
      <c r="P910" t="s">
        <v>54</v>
      </c>
      <c r="Q910" t="s">
        <v>2767</v>
      </c>
      <c r="R910" t="str">
        <f t="shared" si="196"/>
        <v>JESSICA MOORE</v>
      </c>
      <c r="S910" t="str">
        <f t="shared" si="197"/>
        <v xml:space="preserve"> Christopher Johnson   </v>
      </c>
      <c r="T910" t="str">
        <f t="shared" si="198"/>
        <v>SGD</v>
      </c>
      <c r="U910" s="7" t="str">
        <f t="shared" si="199"/>
        <v>GBP</v>
      </c>
      <c r="V910" s="7" t="str">
        <f t="shared" si="200"/>
        <v>France</v>
      </c>
      <c r="W910" s="7" t="str">
        <f t="shared" si="201"/>
        <v>India</v>
      </c>
      <c r="X910" s="7" t="str">
        <f t="shared" si="202"/>
        <v>Internal</v>
      </c>
      <c r="Y910" s="7">
        <f t="shared" si="203"/>
        <v>5090.16</v>
      </c>
      <c r="Z910" s="7">
        <f t="shared" si="204"/>
        <v>80</v>
      </c>
      <c r="AA910" s="7">
        <f t="shared" si="205"/>
        <v>2026</v>
      </c>
      <c r="AB910" s="7">
        <f t="shared" si="206"/>
        <v>3</v>
      </c>
      <c r="AC910" s="7">
        <f t="shared" si="207"/>
        <v>1</v>
      </c>
      <c r="AD910" s="7" t="str">
        <f t="shared" si="208"/>
        <v>No</v>
      </c>
      <c r="AE910" s="7" t="str">
        <f t="shared" si="209"/>
        <v>High Risk</v>
      </c>
    </row>
    <row r="911" spans="1:31">
      <c r="A911" t="s">
        <v>2768</v>
      </c>
      <c r="B911">
        <v>12147945</v>
      </c>
      <c r="C911" t="s">
        <v>120</v>
      </c>
      <c r="D911" t="s">
        <v>228</v>
      </c>
      <c r="E911" t="s">
        <v>3375</v>
      </c>
      <c r="F911" t="s">
        <v>686</v>
      </c>
      <c r="G911" t="s">
        <v>294</v>
      </c>
      <c r="H911" t="s">
        <v>56</v>
      </c>
      <c r="I911" t="s">
        <v>3374</v>
      </c>
      <c r="J911">
        <v>1417.01</v>
      </c>
      <c r="K911" t="s">
        <v>47</v>
      </c>
      <c r="L911" t="s">
        <v>81</v>
      </c>
      <c r="M911" s="1">
        <v>45947.04583333333</v>
      </c>
      <c r="N911">
        <v>39</v>
      </c>
      <c r="O911" t="s">
        <v>24</v>
      </c>
      <c r="P911" t="s">
        <v>24</v>
      </c>
      <c r="Q911" t="s">
        <v>2769</v>
      </c>
      <c r="R911" t="str">
        <f t="shared" si="196"/>
        <v>Amir Silva</v>
      </c>
      <c r="S911" t="str">
        <f t="shared" si="197"/>
        <v>Mary Jackson</v>
      </c>
      <c r="T911" t="str">
        <f t="shared" si="198"/>
        <v>sgd</v>
      </c>
      <c r="U911" s="7" t="str">
        <f t="shared" si="199"/>
        <v>jpy</v>
      </c>
      <c r="V911" s="7" t="str">
        <f t="shared" si="200"/>
        <v>Brazil</v>
      </c>
      <c r="W911" s="7" t="str">
        <f t="shared" si="201"/>
        <v>Brazil</v>
      </c>
      <c r="X911" s="7" t="str">
        <f t="shared" si="202"/>
        <v>External</v>
      </c>
      <c r="Y911" s="7">
        <f t="shared" si="203"/>
        <v>1417.01</v>
      </c>
      <c r="Z911" s="7">
        <f t="shared" si="204"/>
        <v>39</v>
      </c>
      <c r="AA911" s="7">
        <f t="shared" si="205"/>
        <v>2025</v>
      </c>
      <c r="AB911" s="7">
        <f t="shared" si="206"/>
        <v>10</v>
      </c>
      <c r="AC911" s="7">
        <f t="shared" si="207"/>
        <v>1</v>
      </c>
      <c r="AD911" s="7" t="str">
        <f t="shared" si="208"/>
        <v>No</v>
      </c>
      <c r="AE911" s="7" t="str">
        <f t="shared" si="209"/>
        <v>Normal</v>
      </c>
    </row>
    <row r="912" spans="1:31">
      <c r="A912" t="s">
        <v>2770</v>
      </c>
      <c r="B912">
        <v>97486496</v>
      </c>
      <c r="C912" t="s">
        <v>240</v>
      </c>
      <c r="D912" t="s">
        <v>1579</v>
      </c>
      <c r="E912" t="s">
        <v>20</v>
      </c>
      <c r="G912" t="s">
        <v>44</v>
      </c>
      <c r="H912" t="s">
        <v>25</v>
      </c>
      <c r="I912" t="s">
        <v>3378</v>
      </c>
      <c r="J912">
        <v>9890.23</v>
      </c>
      <c r="K912" t="s">
        <v>86</v>
      </c>
      <c r="L912" t="s">
        <v>75</v>
      </c>
      <c r="M912" s="1">
        <v>44223.407638888886</v>
      </c>
      <c r="N912">
        <v>43</v>
      </c>
      <c r="O912" t="s">
        <v>24</v>
      </c>
      <c r="P912" t="s">
        <v>37</v>
      </c>
      <c r="Q912" t="s">
        <v>2771</v>
      </c>
      <c r="R912" t="str">
        <f t="shared" si="196"/>
        <v>Zayn Lopez</v>
      </c>
      <c r="S912" t="str">
        <f t="shared" si="197"/>
        <v>Carlos Wilson</v>
      </c>
      <c r="T912" t="str">
        <f t="shared" si="198"/>
        <v/>
      </c>
      <c r="U912" s="7" t="str">
        <f t="shared" si="199"/>
        <v>SGD</v>
      </c>
      <c r="V912" s="7" t="str">
        <f t="shared" si="200"/>
        <v>Brazil</v>
      </c>
      <c r="W912" s="7" t="str">
        <f t="shared" si="201"/>
        <v>South Africa</v>
      </c>
      <c r="X912" s="7" t="str">
        <f t="shared" si="202"/>
        <v>Inter-Transaction</v>
      </c>
      <c r="Y912" s="7">
        <f t="shared" si="203"/>
        <v>9890.23</v>
      </c>
      <c r="Z912" s="7">
        <f t="shared" si="204"/>
        <v>43</v>
      </c>
      <c r="AA912" s="7">
        <f t="shared" si="205"/>
        <v>2021</v>
      </c>
      <c r="AB912" s="7">
        <f t="shared" si="206"/>
        <v>1</v>
      </c>
      <c r="AC912" s="7">
        <f t="shared" si="207"/>
        <v>1</v>
      </c>
      <c r="AD912" s="7" t="str">
        <f t="shared" si="208"/>
        <v>No</v>
      </c>
      <c r="AE912" s="7" t="str">
        <f t="shared" si="209"/>
        <v>High Risk</v>
      </c>
    </row>
    <row r="913" spans="1:31">
      <c r="A913" t="s">
        <v>2772</v>
      </c>
      <c r="B913">
        <v>54898716</v>
      </c>
      <c r="C913" t="s">
        <v>668</v>
      </c>
      <c r="D913" t="s">
        <v>2186</v>
      </c>
      <c r="E913" t="s">
        <v>3375</v>
      </c>
      <c r="F913" t="s">
        <v>294</v>
      </c>
      <c r="G913" t="s">
        <v>92</v>
      </c>
      <c r="H913" t="s">
        <v>103</v>
      </c>
      <c r="I913" t="s">
        <v>3377</v>
      </c>
      <c r="J913">
        <v>3426.13</v>
      </c>
      <c r="K913" t="s">
        <v>47</v>
      </c>
      <c r="L913" t="s">
        <v>81</v>
      </c>
      <c r="M913" s="1">
        <v>44939.40902777778</v>
      </c>
      <c r="N913">
        <v>45</v>
      </c>
      <c r="O913" t="s">
        <v>127</v>
      </c>
      <c r="P913" t="s">
        <v>127</v>
      </c>
      <c r="Q913" t="s">
        <v>2773</v>
      </c>
      <c r="R913" t="str">
        <f t="shared" si="196"/>
        <v>Mary Rostova</v>
      </c>
      <c r="S913" t="str">
        <f t="shared" si="197"/>
        <v>Thomas Nair</v>
      </c>
      <c r="T913" t="str">
        <f t="shared" si="198"/>
        <v>jpy</v>
      </c>
      <c r="U913" s="7" t="str">
        <f t="shared" si="199"/>
        <v>AUD</v>
      </c>
      <c r="V913" s="7" t="str">
        <f t="shared" si="200"/>
        <v>Canada</v>
      </c>
      <c r="W913" s="7" t="str">
        <f t="shared" si="201"/>
        <v>Canada</v>
      </c>
      <c r="X913" s="7" t="str">
        <f t="shared" si="202"/>
        <v>Inter-Transaction</v>
      </c>
      <c r="Y913" s="7">
        <f t="shared" si="203"/>
        <v>3426.13</v>
      </c>
      <c r="Z913" s="7">
        <f t="shared" si="204"/>
        <v>45</v>
      </c>
      <c r="AA913" s="7">
        <f t="shared" si="205"/>
        <v>2023</v>
      </c>
      <c r="AB913" s="7">
        <f t="shared" si="206"/>
        <v>1</v>
      </c>
      <c r="AC913" s="7">
        <f t="shared" si="207"/>
        <v>1</v>
      </c>
      <c r="AD913" s="7" t="str">
        <f t="shared" si="208"/>
        <v>No</v>
      </c>
      <c r="AE913" s="7" t="str">
        <f t="shared" si="209"/>
        <v>Normal</v>
      </c>
    </row>
    <row r="914" spans="1:31">
      <c r="A914" t="s">
        <v>2774</v>
      </c>
      <c r="B914">
        <v>64297985</v>
      </c>
      <c r="C914" t="s">
        <v>1220</v>
      </c>
      <c r="D914" t="s">
        <v>1433</v>
      </c>
      <c r="E914">
        <v>0</v>
      </c>
      <c r="F914" t="s">
        <v>98</v>
      </c>
      <c r="G914" t="s">
        <v>21</v>
      </c>
      <c r="I914" t="s">
        <v>3378</v>
      </c>
      <c r="J914">
        <v>11643.76</v>
      </c>
      <c r="K914" t="s">
        <v>27</v>
      </c>
      <c r="L914" t="s">
        <v>28</v>
      </c>
      <c r="M914" s="1">
        <v>44097.686805555553</v>
      </c>
      <c r="N914">
        <v>66</v>
      </c>
      <c r="O914" t="s">
        <v>62</v>
      </c>
      <c r="P914" t="s">
        <v>68</v>
      </c>
      <c r="Q914" t="s">
        <v>2775</v>
      </c>
      <c r="R914" t="str">
        <f t="shared" si="196"/>
        <v>Sarah Rostova</v>
      </c>
      <c r="S914" t="str">
        <f t="shared" si="197"/>
        <v>Lucas Volkov</v>
      </c>
      <c r="T914" t="str">
        <f t="shared" si="198"/>
        <v>JPY</v>
      </c>
      <c r="U914" s="7" t="str">
        <f t="shared" si="199"/>
        <v>GBP</v>
      </c>
      <c r="V914" s="7" t="str">
        <f t="shared" si="200"/>
        <v>Australia</v>
      </c>
      <c r="W914" s="7" t="str">
        <f t="shared" si="201"/>
        <v>UAE</v>
      </c>
      <c r="X914" s="7" t="str">
        <f t="shared" si="202"/>
        <v>Inter-Transaction</v>
      </c>
      <c r="Y914" s="7">
        <f t="shared" si="203"/>
        <v>11643.76</v>
      </c>
      <c r="Z914" s="7">
        <f t="shared" si="204"/>
        <v>66</v>
      </c>
      <c r="AA914" s="7">
        <f t="shared" si="205"/>
        <v>2020</v>
      </c>
      <c r="AB914" s="7">
        <f t="shared" si="206"/>
        <v>9</v>
      </c>
      <c r="AC914" s="7">
        <f t="shared" si="207"/>
        <v>1</v>
      </c>
      <c r="AD914" s="7" t="str">
        <f t="shared" si="208"/>
        <v>No</v>
      </c>
      <c r="AE914" s="7" t="str">
        <f t="shared" si="209"/>
        <v>Normal</v>
      </c>
    </row>
    <row r="915" spans="1:31">
      <c r="A915" t="s">
        <v>2776</v>
      </c>
      <c r="B915">
        <v>61970557</v>
      </c>
      <c r="C915" t="s">
        <v>2296</v>
      </c>
      <c r="D915" t="s">
        <v>1179</v>
      </c>
      <c r="E915" t="s">
        <v>20</v>
      </c>
      <c r="F915" t="s">
        <v>53</v>
      </c>
      <c r="G915" t="s">
        <v>45</v>
      </c>
      <c r="H915" t="s">
        <v>56</v>
      </c>
      <c r="I915" t="s">
        <v>3372</v>
      </c>
      <c r="J915">
        <v>370.82</v>
      </c>
      <c r="K915" t="s">
        <v>57</v>
      </c>
      <c r="L915" t="s">
        <v>75</v>
      </c>
      <c r="M915" s="1">
        <v>44923.874305555553</v>
      </c>
      <c r="N915">
        <v>66</v>
      </c>
      <c r="O915" t="s">
        <v>127</v>
      </c>
      <c r="P915" t="s">
        <v>55</v>
      </c>
      <c r="Q915" t="s">
        <v>2777</v>
      </c>
      <c r="R915" t="str">
        <f t="shared" si="196"/>
        <v>Sarah Dubois</v>
      </c>
      <c r="S915" t="str">
        <f t="shared" si="197"/>
        <v>William Jackson</v>
      </c>
      <c r="T915" t="str">
        <f t="shared" si="198"/>
        <v>AED</v>
      </c>
      <c r="U915" s="7" t="str">
        <f t="shared" si="199"/>
        <v>ZAR</v>
      </c>
      <c r="V915" s="7" t="str">
        <f t="shared" si="200"/>
        <v>Canada</v>
      </c>
      <c r="W915" s="7" t="str">
        <f t="shared" si="201"/>
        <v>UK</v>
      </c>
      <c r="X915" s="7" t="str">
        <f t="shared" si="202"/>
        <v>Outer-Transaction</v>
      </c>
      <c r="Y915" s="7">
        <f t="shared" si="203"/>
        <v>370.82</v>
      </c>
      <c r="Z915" s="7">
        <f t="shared" si="204"/>
        <v>66</v>
      </c>
      <c r="AA915" s="7">
        <f t="shared" si="205"/>
        <v>2022</v>
      </c>
      <c r="AB915" s="7">
        <f t="shared" si="206"/>
        <v>12</v>
      </c>
      <c r="AC915" s="7">
        <f t="shared" si="207"/>
        <v>1</v>
      </c>
      <c r="AD915" s="7" t="str">
        <f t="shared" si="208"/>
        <v>No</v>
      </c>
      <c r="AE915" s="7" t="str">
        <f t="shared" si="209"/>
        <v>High Risk</v>
      </c>
    </row>
    <row r="916" spans="1:31">
      <c r="A916" t="s">
        <v>2778</v>
      </c>
      <c r="B916">
        <v>85300766</v>
      </c>
      <c r="C916" t="s">
        <v>1087</v>
      </c>
      <c r="D916" t="s">
        <v>1689</v>
      </c>
      <c r="E916" t="s">
        <v>20</v>
      </c>
      <c r="F916" t="s">
        <v>92</v>
      </c>
      <c r="G916" t="s">
        <v>45</v>
      </c>
      <c r="H916" t="s">
        <v>25</v>
      </c>
      <c r="I916" t="s">
        <v>3372</v>
      </c>
      <c r="J916">
        <v>11447.46</v>
      </c>
      <c r="K916" t="s">
        <v>27</v>
      </c>
      <c r="L916" t="s">
        <v>28</v>
      </c>
      <c r="M916" s="1">
        <v>44441.5</v>
      </c>
      <c r="N916">
        <v>37</v>
      </c>
      <c r="O916" t="s">
        <v>127</v>
      </c>
      <c r="P916" t="s">
        <v>55</v>
      </c>
      <c r="Q916" t="s">
        <v>2779</v>
      </c>
      <c r="R916" t="str">
        <f t="shared" si="196"/>
        <v>Jessica Dubois</v>
      </c>
      <c r="S916" t="str">
        <f t="shared" si="197"/>
        <v xml:space="preserve"> Elena Dubois   </v>
      </c>
      <c r="T916" t="str">
        <f t="shared" si="198"/>
        <v>AUD</v>
      </c>
      <c r="U916" s="7" t="str">
        <f t="shared" si="199"/>
        <v>ZAR</v>
      </c>
      <c r="V916" s="7" t="str">
        <f t="shared" si="200"/>
        <v>Canada</v>
      </c>
      <c r="W916" s="7" t="str">
        <f t="shared" si="201"/>
        <v>UK</v>
      </c>
      <c r="X916" s="7" t="str">
        <f t="shared" si="202"/>
        <v>Outer-Transaction</v>
      </c>
      <c r="Y916" s="7">
        <f t="shared" si="203"/>
        <v>11447.46</v>
      </c>
      <c r="Z916" s="7">
        <f t="shared" si="204"/>
        <v>37</v>
      </c>
      <c r="AA916" s="7">
        <f t="shared" si="205"/>
        <v>2021</v>
      </c>
      <c r="AB916" s="7">
        <f t="shared" si="206"/>
        <v>9</v>
      </c>
      <c r="AC916" s="7">
        <f t="shared" si="207"/>
        <v>1</v>
      </c>
      <c r="AD916" s="7" t="str">
        <f t="shared" si="208"/>
        <v>No</v>
      </c>
      <c r="AE916" s="7" t="str">
        <f t="shared" si="209"/>
        <v>Normal</v>
      </c>
    </row>
    <row r="917" spans="1:31">
      <c r="A917" t="s">
        <v>2780</v>
      </c>
      <c r="B917">
        <v>82008855</v>
      </c>
      <c r="C917" t="s">
        <v>2166</v>
      </c>
      <c r="D917" t="s">
        <v>745</v>
      </c>
      <c r="E917" t="s">
        <v>20</v>
      </c>
      <c r="F917" t="s">
        <v>92</v>
      </c>
      <c r="G917" t="s">
        <v>22</v>
      </c>
      <c r="H917" t="s">
        <v>56</v>
      </c>
      <c r="I917" t="s">
        <v>3374</v>
      </c>
      <c r="J917">
        <v>13717.16</v>
      </c>
      <c r="K917" t="s">
        <v>86</v>
      </c>
      <c r="L917" t="s">
        <v>81</v>
      </c>
      <c r="M917" s="1">
        <v>45201.031944444447</v>
      </c>
      <c r="N917">
        <v>80</v>
      </c>
      <c r="O917" t="s">
        <v>23</v>
      </c>
      <c r="P917" t="s">
        <v>62</v>
      </c>
      <c r="Q917" t="s">
        <v>2781</v>
      </c>
      <c r="R917" t="str">
        <f t="shared" si="196"/>
        <v>Priya Garcia</v>
      </c>
      <c r="S917" t="str">
        <f t="shared" si="197"/>
        <v>Sarah Brown</v>
      </c>
      <c r="T917" t="str">
        <f t="shared" si="198"/>
        <v>AUD</v>
      </c>
      <c r="U917" s="7" t="str">
        <f t="shared" si="199"/>
        <v>BRL</v>
      </c>
      <c r="V917" s="7" t="str">
        <f t="shared" si="200"/>
        <v>France</v>
      </c>
      <c r="W917" s="7" t="str">
        <f t="shared" si="201"/>
        <v>Australia</v>
      </c>
      <c r="X917" s="7" t="str">
        <f t="shared" si="202"/>
        <v>External</v>
      </c>
      <c r="Y917" s="7">
        <f t="shared" si="203"/>
        <v>13717.16</v>
      </c>
      <c r="Z917" s="7">
        <f t="shared" si="204"/>
        <v>80</v>
      </c>
      <c r="AA917" s="7">
        <f t="shared" si="205"/>
        <v>2023</v>
      </c>
      <c r="AB917" s="7">
        <f t="shared" si="206"/>
        <v>10</v>
      </c>
      <c r="AC917" s="7">
        <f t="shared" si="207"/>
        <v>1</v>
      </c>
      <c r="AD917" s="7" t="str">
        <f t="shared" si="208"/>
        <v>No</v>
      </c>
      <c r="AE917" s="7" t="str">
        <f t="shared" si="209"/>
        <v>Normal</v>
      </c>
    </row>
    <row r="918" spans="1:31">
      <c r="A918" t="s">
        <v>2782</v>
      </c>
      <c r="B918">
        <v>99237139</v>
      </c>
      <c r="C918" t="s">
        <v>2783</v>
      </c>
      <c r="D918" t="s">
        <v>322</v>
      </c>
      <c r="E918" t="s">
        <v>3375</v>
      </c>
      <c r="F918" t="s">
        <v>34</v>
      </c>
      <c r="G918" t="s">
        <v>53</v>
      </c>
      <c r="H918" t="s">
        <v>38</v>
      </c>
      <c r="I918" t="s">
        <v>3376</v>
      </c>
      <c r="J918">
        <v>14676.14</v>
      </c>
      <c r="K918" t="s">
        <v>39</v>
      </c>
      <c r="L918" t="s">
        <v>28</v>
      </c>
      <c r="M918" s="1">
        <v>44839.025694444441</v>
      </c>
      <c r="N918">
        <v>78</v>
      </c>
      <c r="O918" t="s">
        <v>36</v>
      </c>
      <c r="P918" t="s">
        <v>23</v>
      </c>
      <c r="Q918" t="s">
        <v>2784</v>
      </c>
      <c r="R918" t="str">
        <f t="shared" si="196"/>
        <v>Elizabeth Volkov</v>
      </c>
      <c r="S918" t="str">
        <f t="shared" si="197"/>
        <v>Robert Velez</v>
      </c>
      <c r="T918" t="str">
        <f t="shared" si="198"/>
        <v>CAD</v>
      </c>
      <c r="U918" s="7" t="str">
        <f t="shared" si="199"/>
        <v>AED</v>
      </c>
      <c r="V918" s="7" t="str">
        <f t="shared" si="200"/>
        <v>Germany</v>
      </c>
      <c r="W918" s="7" t="str">
        <f t="shared" si="201"/>
        <v>France</v>
      </c>
      <c r="X918" s="7" t="str">
        <f t="shared" si="202"/>
        <v>Internal</v>
      </c>
      <c r="Y918" s="7">
        <f t="shared" si="203"/>
        <v>14676.14</v>
      </c>
      <c r="Z918" s="7">
        <f t="shared" si="204"/>
        <v>78</v>
      </c>
      <c r="AA918" s="7">
        <f t="shared" si="205"/>
        <v>2022</v>
      </c>
      <c r="AB918" s="7">
        <f t="shared" si="206"/>
        <v>10</v>
      </c>
      <c r="AC918" s="7">
        <f t="shared" si="207"/>
        <v>1</v>
      </c>
      <c r="AD918" s="7" t="str">
        <f t="shared" si="208"/>
        <v>No</v>
      </c>
      <c r="AE918" s="7" t="str">
        <f t="shared" si="209"/>
        <v>Normal</v>
      </c>
    </row>
    <row r="919" spans="1:31">
      <c r="A919" t="s">
        <v>2785</v>
      </c>
      <c r="B919">
        <v>81202765</v>
      </c>
      <c r="D919" t="s">
        <v>297</v>
      </c>
      <c r="E919">
        <v>0</v>
      </c>
      <c r="F919" t="s">
        <v>22</v>
      </c>
      <c r="G919" t="s">
        <v>176</v>
      </c>
      <c r="I919" t="s">
        <v>3374</v>
      </c>
      <c r="J919">
        <v>1139.42</v>
      </c>
      <c r="K919" t="s">
        <v>27</v>
      </c>
      <c r="L919" t="s">
        <v>28</v>
      </c>
      <c r="M919" s="1">
        <v>44792.540277777778</v>
      </c>
      <c r="N919">
        <v>66</v>
      </c>
      <c r="O919" t="s">
        <v>36</v>
      </c>
      <c r="P919" t="s">
        <v>24</v>
      </c>
      <c r="Q919" t="s">
        <v>2786</v>
      </c>
      <c r="R919" t="str">
        <f t="shared" si="196"/>
        <v/>
      </c>
      <c r="S919" t="str">
        <f t="shared" si="197"/>
        <v>Elizabeth Moore</v>
      </c>
      <c r="T919" t="str">
        <f t="shared" si="198"/>
        <v>BRL</v>
      </c>
      <c r="U919" s="7" t="str">
        <f t="shared" si="199"/>
        <v>aed</v>
      </c>
      <c r="V919" s="7" t="str">
        <f t="shared" si="200"/>
        <v>Germany</v>
      </c>
      <c r="W919" s="7" t="str">
        <f t="shared" si="201"/>
        <v>Brazil</v>
      </c>
      <c r="X919" s="7" t="str">
        <f t="shared" si="202"/>
        <v>External</v>
      </c>
      <c r="Y919" s="7">
        <f t="shared" si="203"/>
        <v>1139.42</v>
      </c>
      <c r="Z919" s="7">
        <f t="shared" si="204"/>
        <v>66</v>
      </c>
      <c r="AA919" s="7">
        <f t="shared" si="205"/>
        <v>2022</v>
      </c>
      <c r="AB919" s="7">
        <f t="shared" si="206"/>
        <v>8</v>
      </c>
      <c r="AC919" s="7">
        <f t="shared" si="207"/>
        <v>1</v>
      </c>
      <c r="AD919" s="7" t="str">
        <f t="shared" si="208"/>
        <v>No</v>
      </c>
      <c r="AE919" s="7" t="str">
        <f t="shared" si="209"/>
        <v>Normal</v>
      </c>
    </row>
    <row r="920" spans="1:31">
      <c r="A920" t="s">
        <v>2787</v>
      </c>
      <c r="B920">
        <v>25287101</v>
      </c>
      <c r="C920" t="s">
        <v>1728</v>
      </c>
      <c r="D920" t="s">
        <v>869</v>
      </c>
      <c r="E920" t="s">
        <v>20</v>
      </c>
      <c r="F920" t="s">
        <v>80</v>
      </c>
      <c r="G920" t="s">
        <v>35</v>
      </c>
      <c r="H920" t="s">
        <v>74</v>
      </c>
      <c r="I920" t="s">
        <v>3374</v>
      </c>
      <c r="J920">
        <v>7669.92</v>
      </c>
      <c r="K920" t="s">
        <v>57</v>
      </c>
      <c r="L920" t="s">
        <v>28</v>
      </c>
      <c r="M920" s="1">
        <v>44503.025000000001</v>
      </c>
      <c r="N920">
        <v>18</v>
      </c>
      <c r="O920" t="s">
        <v>54</v>
      </c>
      <c r="P920" t="s">
        <v>23</v>
      </c>
      <c r="Q920" t="s">
        <v>2788</v>
      </c>
      <c r="R920" t="str">
        <f t="shared" si="196"/>
        <v>Richard Volkov</v>
      </c>
      <c r="S920" t="str">
        <f t="shared" si="197"/>
        <v>Sanjay Taylor</v>
      </c>
      <c r="T920" t="str">
        <f t="shared" si="198"/>
        <v>USD</v>
      </c>
      <c r="U920" s="7" t="str">
        <f t="shared" si="199"/>
        <v>EUR</v>
      </c>
      <c r="V920" s="7" t="str">
        <f t="shared" si="200"/>
        <v>India</v>
      </c>
      <c r="W920" s="7" t="str">
        <f t="shared" si="201"/>
        <v>France</v>
      </c>
      <c r="X920" s="7" t="str">
        <f t="shared" si="202"/>
        <v>External</v>
      </c>
      <c r="Y920" s="7">
        <f t="shared" si="203"/>
        <v>7669.92</v>
      </c>
      <c r="Z920" s="7">
        <f t="shared" si="204"/>
        <v>18</v>
      </c>
      <c r="AA920" s="7">
        <f t="shared" si="205"/>
        <v>2021</v>
      </c>
      <c r="AB920" s="7">
        <f t="shared" si="206"/>
        <v>11</v>
      </c>
      <c r="AC920" s="7">
        <f t="shared" si="207"/>
        <v>1</v>
      </c>
      <c r="AD920" s="7" t="str">
        <f t="shared" si="208"/>
        <v>No</v>
      </c>
      <c r="AE920" s="7" t="str">
        <f t="shared" si="209"/>
        <v>Normal</v>
      </c>
    </row>
    <row r="921" spans="1:31">
      <c r="A921" t="s">
        <v>2789</v>
      </c>
      <c r="B921">
        <v>69896880</v>
      </c>
      <c r="C921" t="s">
        <v>2790</v>
      </c>
      <c r="D921" t="s">
        <v>728</v>
      </c>
      <c r="E921" t="s">
        <v>20</v>
      </c>
      <c r="F921" t="s">
        <v>98</v>
      </c>
      <c r="G921" t="s">
        <v>80</v>
      </c>
      <c r="H921" t="s">
        <v>74</v>
      </c>
      <c r="I921" t="s">
        <v>3376</v>
      </c>
      <c r="J921">
        <v>2492.41</v>
      </c>
      <c r="K921" t="s">
        <v>39</v>
      </c>
      <c r="L921" t="s">
        <v>48</v>
      </c>
      <c r="M921" s="1">
        <v>46301.353472222225</v>
      </c>
      <c r="N921">
        <v>30</v>
      </c>
      <c r="O921" t="s">
        <v>37</v>
      </c>
      <c r="P921" t="s">
        <v>37</v>
      </c>
      <c r="Q921" t="s">
        <v>2791</v>
      </c>
      <c r="R921" t="str">
        <f t="shared" si="196"/>
        <v>CARLOS JOHNSON</v>
      </c>
      <c r="S921" t="str">
        <f t="shared" si="197"/>
        <v>William Smith</v>
      </c>
      <c r="T921" t="str">
        <f t="shared" si="198"/>
        <v>JPY</v>
      </c>
      <c r="U921" s="7" t="str">
        <f t="shared" si="199"/>
        <v>USD</v>
      </c>
      <c r="V921" s="7" t="str">
        <f t="shared" si="200"/>
        <v>South Africa</v>
      </c>
      <c r="W921" s="7" t="str">
        <f t="shared" si="201"/>
        <v>South Africa</v>
      </c>
      <c r="X921" s="7" t="str">
        <f t="shared" si="202"/>
        <v>Internal</v>
      </c>
      <c r="Y921" s="7">
        <f t="shared" si="203"/>
        <v>2492.41</v>
      </c>
      <c r="Z921" s="7">
        <f t="shared" si="204"/>
        <v>30</v>
      </c>
      <c r="AA921" s="7">
        <f t="shared" si="205"/>
        <v>2026</v>
      </c>
      <c r="AB921" s="7">
        <f t="shared" si="206"/>
        <v>10</v>
      </c>
      <c r="AC921" s="7">
        <f t="shared" si="207"/>
        <v>1</v>
      </c>
      <c r="AD921" s="7" t="str">
        <f t="shared" si="208"/>
        <v>No</v>
      </c>
      <c r="AE921" s="7" t="str">
        <f t="shared" si="209"/>
        <v>Normal</v>
      </c>
    </row>
    <row r="922" spans="1:31">
      <c r="A922" t="s">
        <v>2792</v>
      </c>
      <c r="B922">
        <v>98552975</v>
      </c>
      <c r="D922" t="s">
        <v>2793</v>
      </c>
      <c r="E922" t="s">
        <v>20</v>
      </c>
      <c r="G922" t="s">
        <v>45</v>
      </c>
      <c r="H922" t="s">
        <v>25</v>
      </c>
      <c r="I922" t="s">
        <v>3374</v>
      </c>
      <c r="J922">
        <v>9001.61</v>
      </c>
      <c r="K922" t="s">
        <v>39</v>
      </c>
      <c r="L922" t="s">
        <v>28</v>
      </c>
      <c r="M922" s="1">
        <v>45531.699305555558</v>
      </c>
      <c r="N922">
        <v>68</v>
      </c>
      <c r="O922" t="s">
        <v>23</v>
      </c>
      <c r="P922" t="s">
        <v>68</v>
      </c>
      <c r="Q922" t="s">
        <v>2794</v>
      </c>
      <c r="R922" t="str">
        <f t="shared" si="196"/>
        <v/>
      </c>
      <c r="S922" t="str">
        <f t="shared" si="197"/>
        <v>Christopher Garcia</v>
      </c>
      <c r="T922" t="str">
        <f t="shared" si="198"/>
        <v/>
      </c>
      <c r="U922" s="7" t="str">
        <f t="shared" si="199"/>
        <v>ZAR</v>
      </c>
      <c r="V922" s="7" t="str">
        <f t="shared" si="200"/>
        <v>France</v>
      </c>
      <c r="W922" s="7" t="str">
        <f t="shared" si="201"/>
        <v>UAE</v>
      </c>
      <c r="X922" s="7" t="str">
        <f t="shared" si="202"/>
        <v>External</v>
      </c>
      <c r="Y922" s="7">
        <f t="shared" si="203"/>
        <v>9001.61</v>
      </c>
      <c r="Z922" s="7">
        <f t="shared" si="204"/>
        <v>68</v>
      </c>
      <c r="AA922" s="7">
        <f t="shared" si="205"/>
        <v>2024</v>
      </c>
      <c r="AB922" s="7">
        <f t="shared" si="206"/>
        <v>8</v>
      </c>
      <c r="AC922" s="7">
        <f t="shared" si="207"/>
        <v>1</v>
      </c>
      <c r="AD922" s="7" t="str">
        <f t="shared" si="208"/>
        <v>No</v>
      </c>
      <c r="AE922" s="7" t="str">
        <f t="shared" si="209"/>
        <v>Normal</v>
      </c>
    </row>
    <row r="923" spans="1:31">
      <c r="A923" t="s">
        <v>2795</v>
      </c>
      <c r="B923">
        <v>71242137</v>
      </c>
      <c r="C923" t="s">
        <v>943</v>
      </c>
      <c r="D923" t="s">
        <v>1039</v>
      </c>
      <c r="E923" t="s">
        <v>20</v>
      </c>
      <c r="F923" t="s">
        <v>92</v>
      </c>
      <c r="G923" t="s">
        <v>121</v>
      </c>
      <c r="H923" t="s">
        <v>56</v>
      </c>
      <c r="I923" t="s">
        <v>3374</v>
      </c>
      <c r="J923">
        <v>9767.9</v>
      </c>
      <c r="K923" t="s">
        <v>57</v>
      </c>
      <c r="L923" t="s">
        <v>75</v>
      </c>
      <c r="M923" s="1">
        <v>45993.324999999997</v>
      </c>
      <c r="N923">
        <v>73</v>
      </c>
      <c r="O923" t="s">
        <v>54</v>
      </c>
      <c r="P923" t="s">
        <v>62</v>
      </c>
      <c r="Q923" t="s">
        <v>2796</v>
      </c>
      <c r="R923" t="str">
        <f t="shared" si="196"/>
        <v>Mary Nair</v>
      </c>
      <c r="S923" t="str">
        <f t="shared" si="197"/>
        <v>Jean-Pierre Silva</v>
      </c>
      <c r="T923" t="str">
        <f t="shared" si="198"/>
        <v>AUD</v>
      </c>
      <c r="U923" s="7" t="str">
        <f t="shared" si="199"/>
        <v>INR</v>
      </c>
      <c r="V923" s="7" t="str">
        <f t="shared" si="200"/>
        <v>India</v>
      </c>
      <c r="W923" s="7" t="str">
        <f t="shared" si="201"/>
        <v>Australia</v>
      </c>
      <c r="X923" s="7" t="str">
        <f t="shared" si="202"/>
        <v>External</v>
      </c>
      <c r="Y923" s="7">
        <f t="shared" si="203"/>
        <v>9767.9</v>
      </c>
      <c r="Z923" s="7">
        <f t="shared" si="204"/>
        <v>73</v>
      </c>
      <c r="AA923" s="7">
        <f t="shared" si="205"/>
        <v>2025</v>
      </c>
      <c r="AB923" s="7">
        <f t="shared" si="206"/>
        <v>12</v>
      </c>
      <c r="AC923" s="7">
        <f t="shared" si="207"/>
        <v>2</v>
      </c>
      <c r="AD923" s="7" t="str">
        <f t="shared" si="208"/>
        <v>No</v>
      </c>
      <c r="AE923" s="7" t="str">
        <f t="shared" si="209"/>
        <v>High Risk</v>
      </c>
    </row>
    <row r="924" spans="1:31">
      <c r="A924" t="s">
        <v>2797</v>
      </c>
      <c r="B924">
        <v>98265529</v>
      </c>
      <c r="C924" t="s">
        <v>1851</v>
      </c>
      <c r="D924" t="s">
        <v>2798</v>
      </c>
      <c r="E924" t="s">
        <v>20</v>
      </c>
      <c r="F924" t="s">
        <v>116</v>
      </c>
      <c r="G924" t="s">
        <v>35</v>
      </c>
      <c r="H924" t="s">
        <v>38</v>
      </c>
      <c r="I924" t="s">
        <v>3378</v>
      </c>
      <c r="J924">
        <v>8552.44</v>
      </c>
      <c r="K924" t="s">
        <v>39</v>
      </c>
      <c r="L924" t="s">
        <v>28</v>
      </c>
      <c r="M924" s="1">
        <v>46098.621527777781</v>
      </c>
      <c r="N924">
        <v>79</v>
      </c>
      <c r="O924" t="s">
        <v>93</v>
      </c>
      <c r="P924" t="s">
        <v>36</v>
      </c>
      <c r="Q924" t="s">
        <v>2799</v>
      </c>
      <c r="R924" t="str">
        <f t="shared" si="196"/>
        <v>Carlos Lopez</v>
      </c>
      <c r="S924" t="str">
        <f t="shared" si="197"/>
        <v xml:space="preserve"> William Wilson   </v>
      </c>
      <c r="T924" t="str">
        <f t="shared" si="198"/>
        <v>CHF</v>
      </c>
      <c r="U924" s="7" t="str">
        <f t="shared" si="199"/>
        <v>EUR</v>
      </c>
      <c r="V924" s="7" t="str">
        <f t="shared" si="200"/>
        <v>USA</v>
      </c>
      <c r="W924" s="7" t="str">
        <f t="shared" si="201"/>
        <v>Germany</v>
      </c>
      <c r="X924" s="7" t="str">
        <f t="shared" si="202"/>
        <v>Inter-Transaction</v>
      </c>
      <c r="Y924" s="7">
        <f t="shared" si="203"/>
        <v>8552.44</v>
      </c>
      <c r="Z924" s="7">
        <f t="shared" si="204"/>
        <v>79</v>
      </c>
      <c r="AA924" s="7">
        <f t="shared" si="205"/>
        <v>2026</v>
      </c>
      <c r="AB924" s="7">
        <f t="shared" si="206"/>
        <v>3</v>
      </c>
      <c r="AC924" s="7">
        <f t="shared" si="207"/>
        <v>1</v>
      </c>
      <c r="AD924" s="7" t="str">
        <f t="shared" si="208"/>
        <v>No</v>
      </c>
      <c r="AE924" s="7" t="str">
        <f t="shared" si="209"/>
        <v>Normal</v>
      </c>
    </row>
    <row r="925" spans="1:31">
      <c r="A925" t="s">
        <v>2800</v>
      </c>
      <c r="B925">
        <v>51384518</v>
      </c>
      <c r="C925" t="s">
        <v>282</v>
      </c>
      <c r="D925" t="s">
        <v>311</v>
      </c>
      <c r="E925" t="s">
        <v>20</v>
      </c>
      <c r="F925" t="s">
        <v>92</v>
      </c>
      <c r="G925" t="s">
        <v>53</v>
      </c>
      <c r="H925" t="s">
        <v>103</v>
      </c>
      <c r="I925" t="s">
        <v>3374</v>
      </c>
      <c r="J925">
        <v>253.86</v>
      </c>
      <c r="K925" t="s">
        <v>47</v>
      </c>
      <c r="L925" t="s">
        <v>81</v>
      </c>
      <c r="M925" s="1">
        <v>43861.007638888892</v>
      </c>
      <c r="N925">
        <v>49</v>
      </c>
      <c r="O925" t="s">
        <v>37</v>
      </c>
      <c r="P925" t="s">
        <v>37</v>
      </c>
      <c r="Q925" t="s">
        <v>2801</v>
      </c>
      <c r="R925" t="str">
        <f t="shared" si="196"/>
        <v>Mary Lopez</v>
      </c>
      <c r="S925" t="str">
        <f t="shared" si="197"/>
        <v>Susan Davis</v>
      </c>
      <c r="T925" t="str">
        <f t="shared" si="198"/>
        <v>AUD</v>
      </c>
      <c r="U925" s="7" t="str">
        <f t="shared" si="199"/>
        <v>AED</v>
      </c>
      <c r="V925" s="7" t="str">
        <f t="shared" si="200"/>
        <v>South Africa</v>
      </c>
      <c r="W925" s="7" t="str">
        <f t="shared" si="201"/>
        <v>South Africa</v>
      </c>
      <c r="X925" s="7" t="str">
        <f t="shared" si="202"/>
        <v>External</v>
      </c>
      <c r="Y925" s="7">
        <f t="shared" si="203"/>
        <v>253.86</v>
      </c>
      <c r="Z925" s="7">
        <f t="shared" si="204"/>
        <v>49</v>
      </c>
      <c r="AA925" s="7">
        <f t="shared" si="205"/>
        <v>2020</v>
      </c>
      <c r="AB925" s="7">
        <f t="shared" si="206"/>
        <v>1</v>
      </c>
      <c r="AC925" s="7">
        <f t="shared" si="207"/>
        <v>1</v>
      </c>
      <c r="AD925" s="7" t="str">
        <f t="shared" si="208"/>
        <v>No</v>
      </c>
      <c r="AE925" s="7" t="str">
        <f t="shared" si="209"/>
        <v>Normal</v>
      </c>
    </row>
    <row r="926" spans="1:31">
      <c r="A926" t="s">
        <v>2802</v>
      </c>
      <c r="B926">
        <v>47103850</v>
      </c>
      <c r="C926" t="s">
        <v>510</v>
      </c>
      <c r="D926" t="s">
        <v>1006</v>
      </c>
      <c r="E926" t="b">
        <v>0</v>
      </c>
      <c r="F926" t="s">
        <v>21</v>
      </c>
      <c r="G926" t="s">
        <v>121</v>
      </c>
      <c r="H926" t="s">
        <v>38</v>
      </c>
      <c r="I926" t="s">
        <v>3372</v>
      </c>
      <c r="J926">
        <v>4262.72</v>
      </c>
      <c r="K926" t="s">
        <v>86</v>
      </c>
      <c r="L926" t="s">
        <v>48</v>
      </c>
      <c r="M926" s="1">
        <v>45197.182638888888</v>
      </c>
      <c r="N926">
        <v>47</v>
      </c>
      <c r="O926" t="s">
        <v>37</v>
      </c>
      <c r="P926" t="s">
        <v>24</v>
      </c>
      <c r="Q926" t="s">
        <v>2803</v>
      </c>
      <c r="R926" t="str">
        <f t="shared" si="196"/>
        <v>Elena Gonzalez</v>
      </c>
      <c r="S926" t="str">
        <f t="shared" si="197"/>
        <v>Jessica Jones</v>
      </c>
      <c r="T926" t="str">
        <f t="shared" si="198"/>
        <v>GBP</v>
      </c>
      <c r="U926" s="7" t="str">
        <f t="shared" si="199"/>
        <v>INR</v>
      </c>
      <c r="V926" s="7" t="str">
        <f t="shared" si="200"/>
        <v>South Africa</v>
      </c>
      <c r="W926" s="7" t="str">
        <f t="shared" si="201"/>
        <v>Brazil</v>
      </c>
      <c r="X926" s="7" t="str">
        <f t="shared" si="202"/>
        <v>Outer-Transaction</v>
      </c>
      <c r="Y926" s="7">
        <f t="shared" si="203"/>
        <v>4262.72</v>
      </c>
      <c r="Z926" s="7">
        <f t="shared" si="204"/>
        <v>47</v>
      </c>
      <c r="AA926" s="7">
        <f t="shared" si="205"/>
        <v>2023</v>
      </c>
      <c r="AB926" s="7">
        <f t="shared" si="206"/>
        <v>9</v>
      </c>
      <c r="AC926" s="7">
        <f t="shared" si="207"/>
        <v>1</v>
      </c>
      <c r="AD926" s="7" t="str">
        <f t="shared" si="208"/>
        <v>No</v>
      </c>
      <c r="AE926" s="7" t="str">
        <f t="shared" si="209"/>
        <v>Normal</v>
      </c>
    </row>
    <row r="927" spans="1:31">
      <c r="A927" t="s">
        <v>2804</v>
      </c>
      <c r="B927">
        <v>16777688</v>
      </c>
      <c r="C927" t="s">
        <v>2078</v>
      </c>
      <c r="D927" t="s">
        <v>204</v>
      </c>
      <c r="E927" t="s">
        <v>20</v>
      </c>
      <c r="F927" t="s">
        <v>21</v>
      </c>
      <c r="G927" t="s">
        <v>92</v>
      </c>
      <c r="H927" t="s">
        <v>38</v>
      </c>
      <c r="I927" t="s">
        <v>3376</v>
      </c>
      <c r="J927">
        <v>6128.64</v>
      </c>
      <c r="K927" t="s">
        <v>47</v>
      </c>
      <c r="L927" t="s">
        <v>75</v>
      </c>
      <c r="M927" s="1">
        <v>45231.224999999999</v>
      </c>
      <c r="N927">
        <v>46</v>
      </c>
      <c r="O927" t="s">
        <v>68</v>
      </c>
      <c r="P927" t="s">
        <v>55</v>
      </c>
      <c r="Q927" t="s">
        <v>2805</v>
      </c>
      <c r="R927" t="str">
        <f t="shared" si="196"/>
        <v>David Garcia</v>
      </c>
      <c r="S927" t="str">
        <f t="shared" si="197"/>
        <v>Nancy Taylor</v>
      </c>
      <c r="T927" t="str">
        <f t="shared" si="198"/>
        <v>GBP</v>
      </c>
      <c r="U927" s="7" t="str">
        <f t="shared" si="199"/>
        <v>AUD</v>
      </c>
      <c r="V927" s="7" t="str">
        <f t="shared" si="200"/>
        <v>UAE</v>
      </c>
      <c r="W927" s="7" t="str">
        <f t="shared" si="201"/>
        <v>UK</v>
      </c>
      <c r="X927" s="7" t="str">
        <f t="shared" si="202"/>
        <v>Internal</v>
      </c>
      <c r="Y927" s="7">
        <f t="shared" si="203"/>
        <v>6128.64</v>
      </c>
      <c r="Z927" s="7">
        <f t="shared" si="204"/>
        <v>46</v>
      </c>
      <c r="AA927" s="7">
        <f t="shared" si="205"/>
        <v>2023</v>
      </c>
      <c r="AB927" s="7">
        <f t="shared" si="206"/>
        <v>11</v>
      </c>
      <c r="AC927" s="7">
        <f t="shared" si="207"/>
        <v>1</v>
      </c>
      <c r="AD927" s="7" t="str">
        <f t="shared" si="208"/>
        <v>No</v>
      </c>
      <c r="AE927" s="7" t="str">
        <f t="shared" si="209"/>
        <v>High Risk</v>
      </c>
    </row>
    <row r="928" spans="1:31">
      <c r="A928" t="s">
        <v>2806</v>
      </c>
      <c r="B928">
        <v>83573004</v>
      </c>
      <c r="C928" t="s">
        <v>1534</v>
      </c>
      <c r="D928" t="s">
        <v>243</v>
      </c>
      <c r="E928" t="s">
        <v>20</v>
      </c>
      <c r="F928" t="s">
        <v>44</v>
      </c>
      <c r="G928" t="s">
        <v>92</v>
      </c>
      <c r="H928" t="s">
        <v>56</v>
      </c>
      <c r="I928" t="s">
        <v>3377</v>
      </c>
      <c r="J928">
        <v>4523.6099999999997</v>
      </c>
      <c r="K928" t="s">
        <v>47</v>
      </c>
      <c r="L928" t="s">
        <v>75</v>
      </c>
      <c r="M928" s="1">
        <v>44984.01666666667</v>
      </c>
      <c r="N928">
        <v>66</v>
      </c>
      <c r="O928" t="s">
        <v>68</v>
      </c>
      <c r="P928" t="s">
        <v>54</v>
      </c>
      <c r="Q928" t="s">
        <v>2807</v>
      </c>
      <c r="R928" t="str">
        <f t="shared" si="196"/>
        <v>Elizabeth Miller</v>
      </c>
      <c r="S928" t="str">
        <f t="shared" si="197"/>
        <v>Richard Dubois</v>
      </c>
      <c r="T928" t="str">
        <f t="shared" si="198"/>
        <v>SGD</v>
      </c>
      <c r="U928" s="7" t="str">
        <f t="shared" si="199"/>
        <v>AUD</v>
      </c>
      <c r="V928" s="7" t="str">
        <f t="shared" si="200"/>
        <v>UAE</v>
      </c>
      <c r="W928" s="7" t="str">
        <f t="shared" si="201"/>
        <v>India</v>
      </c>
      <c r="X928" s="7" t="str">
        <f t="shared" si="202"/>
        <v>Inter-Transaction</v>
      </c>
      <c r="Y928" s="7">
        <f t="shared" si="203"/>
        <v>4523.6099999999997</v>
      </c>
      <c r="Z928" s="7">
        <f t="shared" si="204"/>
        <v>66</v>
      </c>
      <c r="AA928" s="7">
        <f t="shared" si="205"/>
        <v>2023</v>
      </c>
      <c r="AB928" s="7">
        <f t="shared" si="206"/>
        <v>2</v>
      </c>
      <c r="AC928" s="7">
        <f t="shared" si="207"/>
        <v>1</v>
      </c>
      <c r="AD928" s="7" t="str">
        <f t="shared" si="208"/>
        <v>No</v>
      </c>
      <c r="AE928" s="7" t="str">
        <f t="shared" si="209"/>
        <v>High Risk</v>
      </c>
    </row>
    <row r="929" spans="1:31">
      <c r="A929" t="s">
        <v>2808</v>
      </c>
      <c r="B929">
        <v>80850880</v>
      </c>
      <c r="C929" t="s">
        <v>1818</v>
      </c>
      <c r="D929" t="s">
        <v>1173</v>
      </c>
      <c r="E929" t="s">
        <v>20</v>
      </c>
      <c r="F929" t="s">
        <v>91</v>
      </c>
      <c r="G929" t="s">
        <v>160</v>
      </c>
      <c r="I929" t="s">
        <v>3374</v>
      </c>
      <c r="J929">
        <v>7001.49</v>
      </c>
      <c r="K929" t="s">
        <v>39</v>
      </c>
      <c r="L929" t="s">
        <v>48</v>
      </c>
      <c r="M929" s="1">
        <v>44447.021527777775</v>
      </c>
      <c r="N929">
        <v>62</v>
      </c>
      <c r="O929" t="s">
        <v>55</v>
      </c>
      <c r="P929" t="s">
        <v>68</v>
      </c>
      <c r="Q929" t="s">
        <v>2809</v>
      </c>
      <c r="R929" t="str">
        <f t="shared" si="196"/>
        <v>Fatima Miller</v>
      </c>
      <c r="S929" t="str">
        <f t="shared" si="197"/>
        <v>Jean-Pierre Martin</v>
      </c>
      <c r="T929" t="str">
        <f t="shared" si="198"/>
        <v>gbp</v>
      </c>
      <c r="U929" s="7" t="str">
        <f t="shared" si="199"/>
        <v>aud</v>
      </c>
      <c r="V929" s="7" t="str">
        <f t="shared" si="200"/>
        <v>UK</v>
      </c>
      <c r="W929" s="7" t="str">
        <f t="shared" si="201"/>
        <v>UAE</v>
      </c>
      <c r="X929" s="7" t="str">
        <f t="shared" si="202"/>
        <v>External</v>
      </c>
      <c r="Y929" s="7">
        <f t="shared" si="203"/>
        <v>7001.49</v>
      </c>
      <c r="Z929" s="7">
        <f t="shared" si="204"/>
        <v>62</v>
      </c>
      <c r="AA929" s="7">
        <f t="shared" si="205"/>
        <v>2021</v>
      </c>
      <c r="AB929" s="7">
        <f t="shared" si="206"/>
        <v>9</v>
      </c>
      <c r="AC929" s="7">
        <f t="shared" si="207"/>
        <v>1</v>
      </c>
      <c r="AD929" s="7" t="str">
        <f t="shared" si="208"/>
        <v>No</v>
      </c>
      <c r="AE929" s="7" t="str">
        <f t="shared" si="209"/>
        <v>Normal</v>
      </c>
    </row>
    <row r="930" spans="1:31">
      <c r="A930" t="s">
        <v>2810</v>
      </c>
      <c r="B930">
        <v>50334977</v>
      </c>
      <c r="C930" t="s">
        <v>18</v>
      </c>
      <c r="D930" t="s">
        <v>796</v>
      </c>
      <c r="E930" t="s">
        <v>3375</v>
      </c>
      <c r="F930" t="s">
        <v>44</v>
      </c>
      <c r="G930" t="s">
        <v>34</v>
      </c>
      <c r="I930" t="s">
        <v>3372</v>
      </c>
      <c r="J930">
        <v>9669.9699999999993</v>
      </c>
      <c r="K930" t="s">
        <v>39</v>
      </c>
      <c r="L930" t="s">
        <v>75</v>
      </c>
      <c r="M930" s="1">
        <v>44369.40347222222</v>
      </c>
      <c r="N930">
        <v>47</v>
      </c>
      <c r="O930" t="s">
        <v>55</v>
      </c>
      <c r="P930" t="s">
        <v>93</v>
      </c>
      <c r="Q930" t="s">
        <v>2811</v>
      </c>
      <c r="R930" t="str">
        <f t="shared" si="196"/>
        <v>Patricia Smith</v>
      </c>
      <c r="S930" t="str">
        <f t="shared" si="197"/>
        <v>William Taylor</v>
      </c>
      <c r="T930" t="str">
        <f t="shared" si="198"/>
        <v>SGD</v>
      </c>
      <c r="U930" s="7" t="str">
        <f t="shared" si="199"/>
        <v>CAD</v>
      </c>
      <c r="V930" s="7" t="str">
        <f t="shared" si="200"/>
        <v>UK</v>
      </c>
      <c r="W930" s="7" t="str">
        <f t="shared" si="201"/>
        <v>USA</v>
      </c>
      <c r="X930" s="7" t="str">
        <f t="shared" si="202"/>
        <v>Outer-Transaction</v>
      </c>
      <c r="Y930" s="7">
        <f t="shared" si="203"/>
        <v>9669.9699999999993</v>
      </c>
      <c r="Z930" s="7">
        <f t="shared" si="204"/>
        <v>47</v>
      </c>
      <c r="AA930" s="7">
        <f t="shared" si="205"/>
        <v>2021</v>
      </c>
      <c r="AB930" s="7">
        <f t="shared" si="206"/>
        <v>6</v>
      </c>
      <c r="AC930" s="7">
        <f t="shared" si="207"/>
        <v>1</v>
      </c>
      <c r="AD930" s="7" t="str">
        <f t="shared" si="208"/>
        <v>No</v>
      </c>
      <c r="AE930" s="7" t="str">
        <f t="shared" si="209"/>
        <v>High Risk</v>
      </c>
    </row>
    <row r="931" spans="1:31">
      <c r="A931" t="s">
        <v>2812</v>
      </c>
      <c r="B931">
        <v>30311392</v>
      </c>
      <c r="C931" t="s">
        <v>647</v>
      </c>
      <c r="D931" t="s">
        <v>2813</v>
      </c>
      <c r="E931" t="s">
        <v>20</v>
      </c>
      <c r="F931" t="s">
        <v>121</v>
      </c>
      <c r="G931" t="s">
        <v>80</v>
      </c>
      <c r="I931" t="s">
        <v>3378</v>
      </c>
      <c r="J931">
        <v>8384.9</v>
      </c>
      <c r="K931" t="s">
        <v>27</v>
      </c>
      <c r="L931" t="s">
        <v>81</v>
      </c>
      <c r="M931" s="1">
        <v>44701.116666666669</v>
      </c>
      <c r="N931">
        <v>33</v>
      </c>
      <c r="O931" t="s">
        <v>127</v>
      </c>
      <c r="P931" t="s">
        <v>23</v>
      </c>
      <c r="Q931" t="s">
        <v>2814</v>
      </c>
      <c r="R931" t="str">
        <f t="shared" si="196"/>
        <v>Mary Taylor</v>
      </c>
      <c r="S931" t="str">
        <f t="shared" si="197"/>
        <v>Linda Davis</v>
      </c>
      <c r="T931" t="str">
        <f t="shared" si="198"/>
        <v>INR</v>
      </c>
      <c r="U931" s="7" t="str">
        <f t="shared" si="199"/>
        <v>USD</v>
      </c>
      <c r="V931" s="7" t="str">
        <f t="shared" si="200"/>
        <v>Canada</v>
      </c>
      <c r="W931" s="7" t="str">
        <f t="shared" si="201"/>
        <v>France</v>
      </c>
      <c r="X931" s="7" t="str">
        <f t="shared" si="202"/>
        <v>Inter-Transaction</v>
      </c>
      <c r="Y931" s="7">
        <f t="shared" si="203"/>
        <v>8384.9</v>
      </c>
      <c r="Z931" s="7">
        <f t="shared" si="204"/>
        <v>33</v>
      </c>
      <c r="AA931" s="7">
        <f t="shared" si="205"/>
        <v>2022</v>
      </c>
      <c r="AB931" s="7">
        <f t="shared" si="206"/>
        <v>5</v>
      </c>
      <c r="AC931" s="7">
        <f t="shared" si="207"/>
        <v>1</v>
      </c>
      <c r="AD931" s="7" t="str">
        <f t="shared" si="208"/>
        <v>No</v>
      </c>
      <c r="AE931" s="7" t="str">
        <f t="shared" si="209"/>
        <v>Normal</v>
      </c>
    </row>
    <row r="932" spans="1:31">
      <c r="A932" t="s">
        <v>2815</v>
      </c>
      <c r="B932">
        <v>81665302</v>
      </c>
      <c r="C932" t="s">
        <v>725</v>
      </c>
      <c r="D932" t="s">
        <v>2816</v>
      </c>
      <c r="E932" t="s">
        <v>20</v>
      </c>
      <c r="F932" t="s">
        <v>34</v>
      </c>
      <c r="G932" t="s">
        <v>121</v>
      </c>
      <c r="H932" t="s">
        <v>56</v>
      </c>
      <c r="I932" t="s">
        <v>3376</v>
      </c>
      <c r="J932">
        <v>5004.75</v>
      </c>
      <c r="K932" t="s">
        <v>39</v>
      </c>
      <c r="L932" t="s">
        <v>48</v>
      </c>
      <c r="M932" s="1">
        <v>43931.790972222225</v>
      </c>
      <c r="N932">
        <v>57</v>
      </c>
      <c r="O932" t="s">
        <v>93</v>
      </c>
      <c r="P932" t="s">
        <v>62</v>
      </c>
      <c r="Q932" t="s">
        <v>2817</v>
      </c>
      <c r="R932" t="str">
        <f t="shared" si="196"/>
        <v>Michael Volkov</v>
      </c>
      <c r="S932" t="str">
        <f t="shared" si="197"/>
        <v>John Williams</v>
      </c>
      <c r="T932" t="str">
        <f t="shared" si="198"/>
        <v>CAD</v>
      </c>
      <c r="U932" s="7" t="str">
        <f t="shared" si="199"/>
        <v>INR</v>
      </c>
      <c r="V932" s="7" t="str">
        <f t="shared" si="200"/>
        <v>USA</v>
      </c>
      <c r="W932" s="7" t="str">
        <f t="shared" si="201"/>
        <v>Australia</v>
      </c>
      <c r="X932" s="7" t="str">
        <f t="shared" si="202"/>
        <v>Internal</v>
      </c>
      <c r="Y932" s="7">
        <f t="shared" si="203"/>
        <v>5004.75</v>
      </c>
      <c r="Z932" s="7">
        <f t="shared" si="204"/>
        <v>57</v>
      </c>
      <c r="AA932" s="7">
        <f t="shared" si="205"/>
        <v>2020</v>
      </c>
      <c r="AB932" s="7">
        <f t="shared" si="206"/>
        <v>4</v>
      </c>
      <c r="AC932" s="7">
        <f t="shared" si="207"/>
        <v>1</v>
      </c>
      <c r="AD932" s="7" t="str">
        <f t="shared" si="208"/>
        <v>No</v>
      </c>
      <c r="AE932" s="7" t="str">
        <f t="shared" si="209"/>
        <v>Normal</v>
      </c>
    </row>
    <row r="933" spans="1:31">
      <c r="A933" t="s">
        <v>2818</v>
      </c>
      <c r="B933">
        <v>19736503</v>
      </c>
      <c r="C933" t="s">
        <v>1598</v>
      </c>
      <c r="D933" t="s">
        <v>2281</v>
      </c>
      <c r="E933" t="s">
        <v>20</v>
      </c>
      <c r="F933" t="s">
        <v>160</v>
      </c>
      <c r="G933" t="s">
        <v>35</v>
      </c>
      <c r="H933" t="s">
        <v>103</v>
      </c>
      <c r="I933" t="s">
        <v>3377</v>
      </c>
      <c r="J933">
        <v>3394.08</v>
      </c>
      <c r="K933" t="s">
        <v>86</v>
      </c>
      <c r="L933" t="s">
        <v>48</v>
      </c>
      <c r="M933" s="1">
        <v>45243.436111111114</v>
      </c>
      <c r="N933">
        <v>36</v>
      </c>
      <c r="O933" t="s">
        <v>24</v>
      </c>
      <c r="P933" t="s">
        <v>23</v>
      </c>
      <c r="Q933" t="s">
        <v>2819</v>
      </c>
      <c r="R933" t="str">
        <f t="shared" si="196"/>
        <v>Marta Miller</v>
      </c>
      <c r="S933" t="str">
        <f t="shared" si="197"/>
        <v>Sarah Velez</v>
      </c>
      <c r="T933" t="str">
        <f t="shared" si="198"/>
        <v>aud</v>
      </c>
      <c r="U933" s="7" t="str">
        <f t="shared" si="199"/>
        <v>EUR</v>
      </c>
      <c r="V933" s="7" t="str">
        <f t="shared" si="200"/>
        <v>Brazil</v>
      </c>
      <c r="W933" s="7" t="str">
        <f t="shared" si="201"/>
        <v>France</v>
      </c>
      <c r="X933" s="7" t="str">
        <f t="shared" si="202"/>
        <v>Inter-Transaction</v>
      </c>
      <c r="Y933" s="7">
        <f t="shared" si="203"/>
        <v>3394.08</v>
      </c>
      <c r="Z933" s="7">
        <f t="shared" si="204"/>
        <v>36</v>
      </c>
      <c r="AA933" s="7">
        <f t="shared" si="205"/>
        <v>2023</v>
      </c>
      <c r="AB933" s="7">
        <f t="shared" si="206"/>
        <v>11</v>
      </c>
      <c r="AC933" s="7">
        <f t="shared" si="207"/>
        <v>1</v>
      </c>
      <c r="AD933" s="7" t="str">
        <f t="shared" si="208"/>
        <v>No</v>
      </c>
      <c r="AE933" s="7" t="str">
        <f t="shared" si="209"/>
        <v>Normal</v>
      </c>
    </row>
    <row r="934" spans="1:31">
      <c r="A934" t="s">
        <v>2820</v>
      </c>
      <c r="B934">
        <v>74998860</v>
      </c>
      <c r="C934" t="s">
        <v>2035</v>
      </c>
      <c r="D934" t="s">
        <v>281</v>
      </c>
      <c r="E934" t="s">
        <v>20</v>
      </c>
      <c r="F934" t="s">
        <v>22</v>
      </c>
      <c r="G934" t="s">
        <v>21</v>
      </c>
      <c r="H934" t="s">
        <v>38</v>
      </c>
      <c r="I934" t="s">
        <v>3377</v>
      </c>
      <c r="J934">
        <v>11698.16</v>
      </c>
      <c r="K934" t="s">
        <v>39</v>
      </c>
      <c r="L934" t="s">
        <v>81</v>
      </c>
      <c r="M934" s="1">
        <v>44771.709027777775</v>
      </c>
      <c r="N934">
        <v>35</v>
      </c>
      <c r="O934" t="s">
        <v>24</v>
      </c>
      <c r="P934" t="s">
        <v>68</v>
      </c>
      <c r="Q934" t="s">
        <v>2821</v>
      </c>
      <c r="R934" t="str">
        <f t="shared" si="196"/>
        <v>William Miller</v>
      </c>
      <c r="S934" t="str">
        <f t="shared" si="197"/>
        <v>Thomas Johnson</v>
      </c>
      <c r="T934" t="str">
        <f t="shared" si="198"/>
        <v>BRL</v>
      </c>
      <c r="U934" s="7" t="str">
        <f t="shared" si="199"/>
        <v>GBP</v>
      </c>
      <c r="V934" s="7" t="str">
        <f t="shared" si="200"/>
        <v>Brazil</v>
      </c>
      <c r="W934" s="7" t="str">
        <f t="shared" si="201"/>
        <v>UAE</v>
      </c>
      <c r="X934" s="7" t="str">
        <f t="shared" si="202"/>
        <v>Inter-Transaction</v>
      </c>
      <c r="Y934" s="7">
        <f t="shared" si="203"/>
        <v>11698.16</v>
      </c>
      <c r="Z934" s="7">
        <f t="shared" si="204"/>
        <v>35</v>
      </c>
      <c r="AA934" s="7">
        <f t="shared" si="205"/>
        <v>2022</v>
      </c>
      <c r="AB934" s="7">
        <f t="shared" si="206"/>
        <v>7</v>
      </c>
      <c r="AC934" s="7">
        <f t="shared" si="207"/>
        <v>1</v>
      </c>
      <c r="AD934" s="7" t="str">
        <f t="shared" si="208"/>
        <v>No</v>
      </c>
      <c r="AE934" s="7" t="str">
        <f t="shared" si="209"/>
        <v>Normal</v>
      </c>
    </row>
    <row r="935" spans="1:31">
      <c r="A935" t="s">
        <v>2822</v>
      </c>
      <c r="B935">
        <v>10689646</v>
      </c>
      <c r="C935" t="s">
        <v>1389</v>
      </c>
      <c r="D935" t="s">
        <v>1815</v>
      </c>
      <c r="E935" t="s">
        <v>20</v>
      </c>
      <c r="F935" t="s">
        <v>116</v>
      </c>
      <c r="G935" t="s">
        <v>35</v>
      </c>
      <c r="H935" t="s">
        <v>103</v>
      </c>
      <c r="I935" t="s">
        <v>3377</v>
      </c>
      <c r="J935">
        <v>7254.99</v>
      </c>
      <c r="K935" t="s">
        <v>47</v>
      </c>
      <c r="L935" t="s">
        <v>48</v>
      </c>
      <c r="M935" s="1">
        <v>44171.371527777781</v>
      </c>
      <c r="N935">
        <v>18</v>
      </c>
      <c r="O935" t="s">
        <v>68</v>
      </c>
      <c r="P935" t="s">
        <v>23</v>
      </c>
      <c r="Q935" t="s">
        <v>2823</v>
      </c>
      <c r="R935" t="str">
        <f t="shared" si="196"/>
        <v>Elena Khan</v>
      </c>
      <c r="S935" t="str">
        <f t="shared" si="197"/>
        <v>Sarah Wilson</v>
      </c>
      <c r="T935" t="str">
        <f t="shared" si="198"/>
        <v>CHF</v>
      </c>
      <c r="U935" s="7" t="str">
        <f t="shared" si="199"/>
        <v>EUR</v>
      </c>
      <c r="V935" s="7" t="str">
        <f t="shared" si="200"/>
        <v>UAE</v>
      </c>
      <c r="W935" s="7" t="str">
        <f t="shared" si="201"/>
        <v>France</v>
      </c>
      <c r="X935" s="7" t="str">
        <f t="shared" si="202"/>
        <v>Inter-Transaction</v>
      </c>
      <c r="Y935" s="7">
        <f t="shared" si="203"/>
        <v>7254.99</v>
      </c>
      <c r="Z935" s="7">
        <f t="shared" si="204"/>
        <v>18</v>
      </c>
      <c r="AA935" s="7">
        <f t="shared" si="205"/>
        <v>2020</v>
      </c>
      <c r="AB935" s="7">
        <f t="shared" si="206"/>
        <v>12</v>
      </c>
      <c r="AC935" s="7">
        <f t="shared" si="207"/>
        <v>1</v>
      </c>
      <c r="AD935" s="7" t="str">
        <f t="shared" si="208"/>
        <v>No</v>
      </c>
      <c r="AE935" s="7" t="str">
        <f t="shared" si="209"/>
        <v>Normal</v>
      </c>
    </row>
    <row r="936" spans="1:31">
      <c r="A936" t="s">
        <v>2824</v>
      </c>
      <c r="B936">
        <v>78301185</v>
      </c>
      <c r="C936" t="s">
        <v>1350</v>
      </c>
      <c r="D936" t="s">
        <v>353</v>
      </c>
      <c r="E936" t="s">
        <v>33</v>
      </c>
      <c r="F936" t="s">
        <v>22</v>
      </c>
      <c r="G936" t="s">
        <v>22</v>
      </c>
      <c r="I936" t="s">
        <v>3372</v>
      </c>
      <c r="J936">
        <v>10039.459999999999</v>
      </c>
      <c r="K936" t="s">
        <v>47</v>
      </c>
      <c r="L936" t="s">
        <v>28</v>
      </c>
      <c r="M936" s="1">
        <v>44874.707638888889</v>
      </c>
      <c r="N936">
        <v>64</v>
      </c>
      <c r="O936" t="s">
        <v>68</v>
      </c>
      <c r="P936" t="s">
        <v>68</v>
      </c>
      <c r="Q936" t="s">
        <v>2825</v>
      </c>
      <c r="R936" t="str">
        <f t="shared" si="196"/>
        <v>John Lopez</v>
      </c>
      <c r="S936" t="str">
        <f t="shared" si="197"/>
        <v>Susan Moore</v>
      </c>
      <c r="T936" t="str">
        <f t="shared" si="198"/>
        <v>BRL</v>
      </c>
      <c r="U936" s="7" t="str">
        <f t="shared" si="199"/>
        <v>BRL</v>
      </c>
      <c r="V936" s="7" t="str">
        <f t="shared" si="200"/>
        <v>UAE</v>
      </c>
      <c r="W936" s="7" t="str">
        <f t="shared" si="201"/>
        <v>UAE</v>
      </c>
      <c r="X936" s="7" t="str">
        <f t="shared" si="202"/>
        <v>Outer-Transaction</v>
      </c>
      <c r="Y936" s="7">
        <f t="shared" si="203"/>
        <v>10039.459999999999</v>
      </c>
      <c r="Z936" s="7">
        <f t="shared" si="204"/>
        <v>64</v>
      </c>
      <c r="AA936" s="7">
        <f t="shared" si="205"/>
        <v>2022</v>
      </c>
      <c r="AB936" s="7">
        <f t="shared" si="206"/>
        <v>11</v>
      </c>
      <c r="AC936" s="7">
        <f t="shared" si="207"/>
        <v>1</v>
      </c>
      <c r="AD936" s="7" t="str">
        <f t="shared" si="208"/>
        <v>No</v>
      </c>
      <c r="AE936" s="7" t="str">
        <f t="shared" si="209"/>
        <v>Normal</v>
      </c>
    </row>
    <row r="937" spans="1:31">
      <c r="A937" t="s">
        <v>2826</v>
      </c>
      <c r="B937">
        <v>11691339</v>
      </c>
      <c r="C937" t="s">
        <v>216</v>
      </c>
      <c r="D937" t="s">
        <v>1728</v>
      </c>
      <c r="E937" t="s">
        <v>20</v>
      </c>
      <c r="F937" t="s">
        <v>98</v>
      </c>
      <c r="G937" t="s">
        <v>53</v>
      </c>
      <c r="H937" t="s">
        <v>74</v>
      </c>
      <c r="I937" t="s">
        <v>3371</v>
      </c>
      <c r="J937">
        <v>1230.71</v>
      </c>
      <c r="K937" t="s">
        <v>27</v>
      </c>
      <c r="L937" t="s">
        <v>28</v>
      </c>
      <c r="M937" s="1">
        <v>43868.565972222219</v>
      </c>
      <c r="N937">
        <v>83</v>
      </c>
      <c r="O937" t="s">
        <v>68</v>
      </c>
      <c r="P937" t="s">
        <v>23</v>
      </c>
      <c r="Q937" t="s">
        <v>2827</v>
      </c>
      <c r="R937" t="str">
        <f t="shared" si="196"/>
        <v>Elena Martinez</v>
      </c>
      <c r="S937" t="str">
        <f t="shared" si="197"/>
        <v>Richard Volkov</v>
      </c>
      <c r="T937" t="str">
        <f t="shared" si="198"/>
        <v>JPY</v>
      </c>
      <c r="U937" s="7" t="str">
        <f t="shared" si="199"/>
        <v>AED</v>
      </c>
      <c r="V937" s="7" t="str">
        <f t="shared" si="200"/>
        <v>UAE</v>
      </c>
      <c r="W937" s="7" t="str">
        <f t="shared" si="201"/>
        <v>France</v>
      </c>
      <c r="X937" s="7" t="str">
        <f t="shared" si="202"/>
        <v>Outer-Transaction</v>
      </c>
      <c r="Y937" s="7">
        <f t="shared" si="203"/>
        <v>1230.71</v>
      </c>
      <c r="Z937" s="7">
        <f t="shared" si="204"/>
        <v>83</v>
      </c>
      <c r="AA937" s="7">
        <f t="shared" si="205"/>
        <v>2020</v>
      </c>
      <c r="AB937" s="7">
        <f t="shared" si="206"/>
        <v>2</v>
      </c>
      <c r="AC937" s="7">
        <f t="shared" si="207"/>
        <v>1</v>
      </c>
      <c r="AD937" s="7" t="str">
        <f t="shared" si="208"/>
        <v>No</v>
      </c>
      <c r="AE937" s="7" t="str">
        <f t="shared" si="209"/>
        <v>Normal</v>
      </c>
    </row>
    <row r="938" spans="1:31">
      <c r="A938" t="s">
        <v>2828</v>
      </c>
      <c r="B938">
        <v>83012855</v>
      </c>
      <c r="C938" t="s">
        <v>678</v>
      </c>
      <c r="D938" t="s">
        <v>1445</v>
      </c>
      <c r="E938" t="s">
        <v>20</v>
      </c>
      <c r="F938" t="s">
        <v>392</v>
      </c>
      <c r="G938" t="s">
        <v>22</v>
      </c>
      <c r="H938" t="s">
        <v>38</v>
      </c>
      <c r="I938" t="s">
        <v>3374</v>
      </c>
      <c r="J938">
        <v>5075.8100000000004</v>
      </c>
      <c r="K938" t="s">
        <v>39</v>
      </c>
      <c r="L938" t="s">
        <v>75</v>
      </c>
      <c r="M938" s="1">
        <v>44490.7</v>
      </c>
      <c r="N938">
        <v>55</v>
      </c>
      <c r="O938" t="s">
        <v>23</v>
      </c>
      <c r="P938" t="s">
        <v>127</v>
      </c>
      <c r="Q938" t="s">
        <v>2829</v>
      </c>
      <c r="R938" t="str">
        <f t="shared" si="196"/>
        <v>Karen Gonzalez</v>
      </c>
      <c r="S938" t="str">
        <f t="shared" si="197"/>
        <v>Marta Rodriguez</v>
      </c>
      <c r="T938" t="str">
        <f t="shared" si="198"/>
        <v>brl</v>
      </c>
      <c r="U938" s="7" t="str">
        <f t="shared" si="199"/>
        <v>BRL</v>
      </c>
      <c r="V938" s="7" t="str">
        <f t="shared" si="200"/>
        <v>France</v>
      </c>
      <c r="W938" s="7" t="str">
        <f t="shared" si="201"/>
        <v>Canada</v>
      </c>
      <c r="X938" s="7" t="str">
        <f t="shared" si="202"/>
        <v>External</v>
      </c>
      <c r="Y938" s="7">
        <f t="shared" si="203"/>
        <v>5075.8100000000004</v>
      </c>
      <c r="Z938" s="7">
        <f t="shared" si="204"/>
        <v>55</v>
      </c>
      <c r="AA938" s="7">
        <f t="shared" si="205"/>
        <v>2021</v>
      </c>
      <c r="AB938" s="7">
        <f t="shared" si="206"/>
        <v>10</v>
      </c>
      <c r="AC938" s="7">
        <f t="shared" si="207"/>
        <v>1</v>
      </c>
      <c r="AD938" s="7" t="str">
        <f t="shared" si="208"/>
        <v>No</v>
      </c>
      <c r="AE938" s="7" t="str">
        <f t="shared" si="209"/>
        <v>High Risk</v>
      </c>
    </row>
    <row r="939" spans="1:31">
      <c r="A939" t="s">
        <v>2830</v>
      </c>
      <c r="B939">
        <v>35484385</v>
      </c>
      <c r="C939" t="s">
        <v>1091</v>
      </c>
      <c r="D939" t="s">
        <v>592</v>
      </c>
      <c r="E939" t="s">
        <v>3373</v>
      </c>
      <c r="F939" t="s">
        <v>98</v>
      </c>
      <c r="G939" t="s">
        <v>98</v>
      </c>
      <c r="H939" t="s">
        <v>38</v>
      </c>
      <c r="I939" t="s">
        <v>3376</v>
      </c>
      <c r="J939">
        <v>7249.69</v>
      </c>
      <c r="K939" t="s">
        <v>86</v>
      </c>
      <c r="L939" t="s">
        <v>48</v>
      </c>
      <c r="M939" s="1">
        <v>45864.499305555553</v>
      </c>
      <c r="N939">
        <v>68</v>
      </c>
      <c r="O939" t="s">
        <v>62</v>
      </c>
      <c r="P939" t="s">
        <v>36</v>
      </c>
      <c r="Q939" t="s">
        <v>2831</v>
      </c>
      <c r="R939" t="str">
        <f t="shared" si="196"/>
        <v>Nancy Anderson</v>
      </c>
      <c r="S939" t="str">
        <f t="shared" si="197"/>
        <v>Barbara Rodriguez</v>
      </c>
      <c r="T939" t="str">
        <f t="shared" si="198"/>
        <v>JPY</v>
      </c>
      <c r="U939" s="7" t="str">
        <f t="shared" si="199"/>
        <v>JPY</v>
      </c>
      <c r="V939" s="7" t="str">
        <f t="shared" si="200"/>
        <v>Australia</v>
      </c>
      <c r="W939" s="7" t="str">
        <f t="shared" si="201"/>
        <v>Germany</v>
      </c>
      <c r="X939" s="7" t="str">
        <f t="shared" si="202"/>
        <v>Internal</v>
      </c>
      <c r="Y939" s="7">
        <f t="shared" si="203"/>
        <v>7249.69</v>
      </c>
      <c r="Z939" s="7">
        <f t="shared" si="204"/>
        <v>68</v>
      </c>
      <c r="AA939" s="7">
        <f t="shared" si="205"/>
        <v>2025</v>
      </c>
      <c r="AB939" s="7">
        <f t="shared" si="206"/>
        <v>7</v>
      </c>
      <c r="AC939" s="7">
        <f t="shared" si="207"/>
        <v>1</v>
      </c>
      <c r="AD939" s="7" t="str">
        <f t="shared" si="208"/>
        <v>No</v>
      </c>
      <c r="AE939" s="7" t="str">
        <f t="shared" si="209"/>
        <v>Normal</v>
      </c>
    </row>
    <row r="940" spans="1:31">
      <c r="A940" t="s">
        <v>2832</v>
      </c>
      <c r="B940">
        <v>47869196</v>
      </c>
      <c r="C940" t="s">
        <v>42</v>
      </c>
      <c r="D940" t="s">
        <v>1143</v>
      </c>
      <c r="E940" t="s">
        <v>20</v>
      </c>
      <c r="F940" t="s">
        <v>21</v>
      </c>
      <c r="G940" t="s">
        <v>92</v>
      </c>
      <c r="H940" t="s">
        <v>103</v>
      </c>
      <c r="I940" t="s">
        <v>3371</v>
      </c>
      <c r="J940">
        <v>12007.13</v>
      </c>
      <c r="K940" t="s">
        <v>47</v>
      </c>
      <c r="L940" t="s">
        <v>48</v>
      </c>
      <c r="M940" s="1">
        <v>45391.825694444444</v>
      </c>
      <c r="N940">
        <v>80</v>
      </c>
      <c r="O940" t="s">
        <v>55</v>
      </c>
      <c r="P940" t="s">
        <v>37</v>
      </c>
      <c r="Q940" t="s">
        <v>2833</v>
      </c>
      <c r="R940" t="str">
        <f t="shared" si="196"/>
        <v>Zayn Davis</v>
      </c>
      <c r="S940" t="str">
        <f t="shared" si="197"/>
        <v>Robert Williams</v>
      </c>
      <c r="T940" t="str">
        <f t="shared" si="198"/>
        <v>GBP</v>
      </c>
      <c r="U940" s="7" t="str">
        <f t="shared" si="199"/>
        <v>AUD</v>
      </c>
      <c r="V940" s="7" t="str">
        <f t="shared" si="200"/>
        <v>UK</v>
      </c>
      <c r="W940" s="7" t="str">
        <f t="shared" si="201"/>
        <v>South Africa</v>
      </c>
      <c r="X940" s="7" t="str">
        <f t="shared" si="202"/>
        <v>Outer-Transaction</v>
      </c>
      <c r="Y940" s="7">
        <f t="shared" si="203"/>
        <v>12007.13</v>
      </c>
      <c r="Z940" s="7">
        <f t="shared" si="204"/>
        <v>80</v>
      </c>
      <c r="AA940" s="7">
        <f t="shared" si="205"/>
        <v>2024</v>
      </c>
      <c r="AB940" s="7">
        <f t="shared" si="206"/>
        <v>4</v>
      </c>
      <c r="AC940" s="7">
        <f t="shared" si="207"/>
        <v>1</v>
      </c>
      <c r="AD940" s="7" t="str">
        <f t="shared" si="208"/>
        <v>No</v>
      </c>
      <c r="AE940" s="7" t="str">
        <f t="shared" si="209"/>
        <v>Normal</v>
      </c>
    </row>
    <row r="941" spans="1:31">
      <c r="A941" t="s">
        <v>2834</v>
      </c>
      <c r="B941">
        <v>12427926</v>
      </c>
      <c r="C941" t="s">
        <v>522</v>
      </c>
      <c r="D941" t="s">
        <v>1469</v>
      </c>
      <c r="E941" t="s">
        <v>20</v>
      </c>
      <c r="F941" t="s">
        <v>80</v>
      </c>
      <c r="G941" t="s">
        <v>44</v>
      </c>
      <c r="H941" t="s">
        <v>25</v>
      </c>
      <c r="I941" t="s">
        <v>3376</v>
      </c>
      <c r="J941">
        <v>10186.65</v>
      </c>
      <c r="K941" t="s">
        <v>47</v>
      </c>
      <c r="L941" t="s">
        <v>48</v>
      </c>
      <c r="M941" s="1">
        <v>45487.112500000003</v>
      </c>
      <c r="N941">
        <v>21</v>
      </c>
      <c r="O941" t="s">
        <v>23</v>
      </c>
      <c r="P941" t="s">
        <v>37</v>
      </c>
      <c r="Q941" t="s">
        <v>2835</v>
      </c>
      <c r="R941" t="str">
        <f t="shared" si="196"/>
        <v>Richard Davis</v>
      </c>
      <c r="S941" t="str">
        <f t="shared" si="197"/>
        <v>Nancy Volkov</v>
      </c>
      <c r="T941" t="str">
        <f t="shared" si="198"/>
        <v>USD</v>
      </c>
      <c r="U941" s="7" t="str">
        <f t="shared" si="199"/>
        <v>SGD</v>
      </c>
      <c r="V941" s="7" t="str">
        <f t="shared" si="200"/>
        <v>France</v>
      </c>
      <c r="W941" s="7" t="str">
        <f t="shared" si="201"/>
        <v>South Africa</v>
      </c>
      <c r="X941" s="7" t="str">
        <f t="shared" si="202"/>
        <v>Internal</v>
      </c>
      <c r="Y941" s="7">
        <f t="shared" si="203"/>
        <v>10186.65</v>
      </c>
      <c r="Z941" s="7">
        <f t="shared" si="204"/>
        <v>21</v>
      </c>
      <c r="AA941" s="7">
        <f t="shared" si="205"/>
        <v>2024</v>
      </c>
      <c r="AB941" s="7">
        <f t="shared" si="206"/>
        <v>7</v>
      </c>
      <c r="AC941" s="7">
        <f t="shared" si="207"/>
        <v>1</v>
      </c>
      <c r="AD941" s="7" t="str">
        <f t="shared" si="208"/>
        <v>No</v>
      </c>
      <c r="AE941" s="7" t="str">
        <f t="shared" si="209"/>
        <v>Normal</v>
      </c>
    </row>
    <row r="942" spans="1:31">
      <c r="A942" t="s">
        <v>2836</v>
      </c>
      <c r="B942">
        <v>46547395</v>
      </c>
      <c r="D942" t="s">
        <v>2837</v>
      </c>
      <c r="E942" t="s">
        <v>3375</v>
      </c>
      <c r="F942" t="s">
        <v>92</v>
      </c>
      <c r="H942" t="s">
        <v>25</v>
      </c>
      <c r="I942" t="s">
        <v>3378</v>
      </c>
      <c r="J942">
        <v>3489.02</v>
      </c>
      <c r="K942" t="s">
        <v>86</v>
      </c>
      <c r="L942" t="s">
        <v>48</v>
      </c>
      <c r="M942" s="1">
        <v>44880.710416666669</v>
      </c>
      <c r="N942">
        <v>18</v>
      </c>
      <c r="O942" t="s">
        <v>36</v>
      </c>
      <c r="P942" t="s">
        <v>24</v>
      </c>
      <c r="Q942" t="s">
        <v>2838</v>
      </c>
      <c r="R942" t="str">
        <f t="shared" si="196"/>
        <v/>
      </c>
      <c r="S942" t="str">
        <f t="shared" si="197"/>
        <v>Lucas Thomas</v>
      </c>
      <c r="T942" t="str">
        <f t="shared" si="198"/>
        <v>AUD</v>
      </c>
      <c r="U942" s="7" t="str">
        <f t="shared" si="199"/>
        <v/>
      </c>
      <c r="V942" s="7" t="str">
        <f t="shared" si="200"/>
        <v>Germany</v>
      </c>
      <c r="W942" s="7" t="str">
        <f t="shared" si="201"/>
        <v>Brazil</v>
      </c>
      <c r="X942" s="7" t="str">
        <f t="shared" si="202"/>
        <v>Inter-Transaction</v>
      </c>
      <c r="Y942" s="7">
        <f t="shared" si="203"/>
        <v>3489.02</v>
      </c>
      <c r="Z942" s="7">
        <f t="shared" si="204"/>
        <v>18</v>
      </c>
      <c r="AA942" s="7">
        <f t="shared" si="205"/>
        <v>2022</v>
      </c>
      <c r="AB942" s="7">
        <f t="shared" si="206"/>
        <v>11</v>
      </c>
      <c r="AC942" s="7">
        <f t="shared" si="207"/>
        <v>1</v>
      </c>
      <c r="AD942" s="7" t="str">
        <f t="shared" si="208"/>
        <v>No</v>
      </c>
      <c r="AE942" s="7" t="str">
        <f t="shared" si="209"/>
        <v>Normal</v>
      </c>
    </row>
    <row r="943" spans="1:31">
      <c r="A943" t="s">
        <v>2839</v>
      </c>
      <c r="B943">
        <v>62111591</v>
      </c>
      <c r="C943" t="s">
        <v>315</v>
      </c>
      <c r="D943" t="s">
        <v>2840</v>
      </c>
      <c r="E943">
        <v>0</v>
      </c>
      <c r="F943" t="s">
        <v>80</v>
      </c>
      <c r="G943" t="s">
        <v>92</v>
      </c>
      <c r="H943" t="s">
        <v>74</v>
      </c>
      <c r="I943" t="s">
        <v>3374</v>
      </c>
      <c r="J943">
        <v>7968.22</v>
      </c>
      <c r="K943" t="s">
        <v>86</v>
      </c>
      <c r="L943" t="s">
        <v>81</v>
      </c>
      <c r="M943" s="1">
        <v>44284.700694444444</v>
      </c>
      <c r="N943">
        <v>25</v>
      </c>
      <c r="O943" t="s">
        <v>24</v>
      </c>
      <c r="P943" t="s">
        <v>93</v>
      </c>
      <c r="Q943" t="s">
        <v>2841</v>
      </c>
      <c r="R943" t="str">
        <f t="shared" si="196"/>
        <v>Charles Gonzalez</v>
      </c>
      <c r="S943" t="str">
        <f t="shared" si="197"/>
        <v>Mary Hernandez</v>
      </c>
      <c r="T943" t="str">
        <f t="shared" si="198"/>
        <v>USD</v>
      </c>
      <c r="U943" s="7" t="str">
        <f t="shared" si="199"/>
        <v>AUD</v>
      </c>
      <c r="V943" s="7" t="str">
        <f t="shared" si="200"/>
        <v>Brazil</v>
      </c>
      <c r="W943" s="7" t="str">
        <f t="shared" si="201"/>
        <v>USA</v>
      </c>
      <c r="X943" s="7" t="str">
        <f t="shared" si="202"/>
        <v>External</v>
      </c>
      <c r="Y943" s="7">
        <f t="shared" si="203"/>
        <v>7968.22</v>
      </c>
      <c r="Z943" s="7">
        <f t="shared" si="204"/>
        <v>25</v>
      </c>
      <c r="AA943" s="7">
        <f t="shared" si="205"/>
        <v>2021</v>
      </c>
      <c r="AB943" s="7">
        <f t="shared" si="206"/>
        <v>3</v>
      </c>
      <c r="AC943" s="7">
        <f t="shared" si="207"/>
        <v>1</v>
      </c>
      <c r="AD943" s="7" t="str">
        <f t="shared" si="208"/>
        <v>No</v>
      </c>
      <c r="AE943" s="7" t="str">
        <f t="shared" si="209"/>
        <v>Normal</v>
      </c>
    </row>
    <row r="944" spans="1:31">
      <c r="A944" t="s">
        <v>2842</v>
      </c>
      <c r="B944">
        <v>17878883</v>
      </c>
      <c r="C944" t="s">
        <v>2366</v>
      </c>
      <c r="D944" t="s">
        <v>155</v>
      </c>
      <c r="E944" t="s">
        <v>20</v>
      </c>
      <c r="F944" t="s">
        <v>393</v>
      </c>
      <c r="G944" t="s">
        <v>21</v>
      </c>
      <c r="H944" t="s">
        <v>103</v>
      </c>
      <c r="I944" t="s">
        <v>3376</v>
      </c>
      <c r="J944">
        <v>7017.69</v>
      </c>
      <c r="K944" t="s">
        <v>27</v>
      </c>
      <c r="L944" t="s">
        <v>75</v>
      </c>
      <c r="M944" s="1">
        <v>45535.197916666664</v>
      </c>
      <c r="N944">
        <v>46</v>
      </c>
      <c r="O944" t="s">
        <v>37</v>
      </c>
      <c r="P944" t="s">
        <v>93</v>
      </c>
      <c r="Q944" t="s">
        <v>2843</v>
      </c>
      <c r="R944" t="str">
        <f t="shared" si="196"/>
        <v>Lucas Al-Sayed</v>
      </c>
      <c r="S944" t="str">
        <f t="shared" si="197"/>
        <v>Elizabeth Nair</v>
      </c>
      <c r="T944" t="str">
        <f t="shared" si="198"/>
        <v>cad</v>
      </c>
      <c r="U944" s="7" t="str">
        <f t="shared" si="199"/>
        <v>GBP</v>
      </c>
      <c r="V944" s="7" t="str">
        <f t="shared" si="200"/>
        <v>South Africa</v>
      </c>
      <c r="W944" s="7" t="str">
        <f t="shared" si="201"/>
        <v>USA</v>
      </c>
      <c r="X944" s="7" t="str">
        <f t="shared" si="202"/>
        <v>Internal</v>
      </c>
      <c r="Y944" s="7">
        <f t="shared" si="203"/>
        <v>7017.69</v>
      </c>
      <c r="Z944" s="7">
        <f t="shared" si="204"/>
        <v>46</v>
      </c>
      <c r="AA944" s="7">
        <f t="shared" si="205"/>
        <v>2024</v>
      </c>
      <c r="AB944" s="7">
        <f t="shared" si="206"/>
        <v>8</v>
      </c>
      <c r="AC944" s="7">
        <f t="shared" si="207"/>
        <v>1</v>
      </c>
      <c r="AD944" s="7" t="str">
        <f t="shared" si="208"/>
        <v>No</v>
      </c>
      <c r="AE944" s="7" t="str">
        <f t="shared" si="209"/>
        <v>High Risk</v>
      </c>
    </row>
    <row r="945" spans="1:31">
      <c r="A945" t="s">
        <v>2844</v>
      </c>
      <c r="B945">
        <v>27857392</v>
      </c>
      <c r="C945" t="s">
        <v>910</v>
      </c>
      <c r="E945" t="s">
        <v>3375</v>
      </c>
      <c r="F945" t="s">
        <v>44</v>
      </c>
      <c r="G945" t="s">
        <v>53</v>
      </c>
      <c r="H945" t="s">
        <v>25</v>
      </c>
      <c r="I945" t="s">
        <v>3378</v>
      </c>
      <c r="J945">
        <v>4294.59</v>
      </c>
      <c r="K945" t="s">
        <v>27</v>
      </c>
      <c r="L945" t="s">
        <v>75</v>
      </c>
      <c r="M945" s="1">
        <v>45177.384722222225</v>
      </c>
      <c r="N945">
        <v>72</v>
      </c>
      <c r="O945" t="s">
        <v>55</v>
      </c>
      <c r="P945" t="s">
        <v>24</v>
      </c>
      <c r="Q945" t="s">
        <v>2845</v>
      </c>
      <c r="R945" t="str">
        <f t="shared" si="196"/>
        <v>Zayn Anderson</v>
      </c>
      <c r="S945" t="str">
        <f t="shared" si="197"/>
        <v/>
      </c>
      <c r="T945" t="str">
        <f t="shared" si="198"/>
        <v>SGD</v>
      </c>
      <c r="U945" s="7" t="str">
        <f t="shared" si="199"/>
        <v>AED</v>
      </c>
      <c r="V945" s="7" t="str">
        <f t="shared" si="200"/>
        <v>UK</v>
      </c>
      <c r="W945" s="7" t="str">
        <f t="shared" si="201"/>
        <v>Brazil</v>
      </c>
      <c r="X945" s="7" t="str">
        <f t="shared" si="202"/>
        <v>Inter-Transaction</v>
      </c>
      <c r="Y945" s="7">
        <f t="shared" si="203"/>
        <v>4294.59</v>
      </c>
      <c r="Z945" s="7">
        <f t="shared" si="204"/>
        <v>72</v>
      </c>
      <c r="AA945" s="7">
        <f t="shared" si="205"/>
        <v>2023</v>
      </c>
      <c r="AB945" s="7">
        <f t="shared" si="206"/>
        <v>9</v>
      </c>
      <c r="AC945" s="7">
        <f t="shared" si="207"/>
        <v>1</v>
      </c>
      <c r="AD945" s="7" t="str">
        <f t="shared" si="208"/>
        <v>No</v>
      </c>
      <c r="AE945" s="7" t="str">
        <f t="shared" si="209"/>
        <v>High Risk</v>
      </c>
    </row>
    <row r="946" spans="1:31">
      <c r="A946" t="s">
        <v>2846</v>
      </c>
      <c r="B946">
        <v>56689082</v>
      </c>
      <c r="C946" t="s">
        <v>2847</v>
      </c>
      <c r="D946" t="s">
        <v>1029</v>
      </c>
      <c r="E946" t="s">
        <v>20</v>
      </c>
      <c r="F946" t="s">
        <v>53</v>
      </c>
      <c r="G946" t="s">
        <v>34</v>
      </c>
      <c r="H946" t="s">
        <v>74</v>
      </c>
      <c r="I946" t="s">
        <v>3377</v>
      </c>
      <c r="J946">
        <v>7404.92</v>
      </c>
      <c r="K946" t="s">
        <v>39</v>
      </c>
      <c r="L946" t="s">
        <v>28</v>
      </c>
      <c r="M946" s="1">
        <v>44649.010416666664</v>
      </c>
      <c r="N946">
        <v>20</v>
      </c>
      <c r="O946" t="s">
        <v>54</v>
      </c>
      <c r="P946" t="s">
        <v>54</v>
      </c>
      <c r="Q946" t="s">
        <v>2848</v>
      </c>
      <c r="R946" t="str">
        <f t="shared" si="196"/>
        <v>Sanjay Lopez</v>
      </c>
      <c r="S946" t="str">
        <f t="shared" si="197"/>
        <v>Charles Miller</v>
      </c>
      <c r="T946" t="str">
        <f t="shared" si="198"/>
        <v>AED</v>
      </c>
      <c r="U946" s="7" t="str">
        <f t="shared" si="199"/>
        <v>CAD</v>
      </c>
      <c r="V946" s="7" t="str">
        <f t="shared" si="200"/>
        <v>India</v>
      </c>
      <c r="W946" s="7" t="str">
        <f t="shared" si="201"/>
        <v>India</v>
      </c>
      <c r="X946" s="7" t="str">
        <f t="shared" si="202"/>
        <v>Inter-Transaction</v>
      </c>
      <c r="Y946" s="7">
        <f t="shared" si="203"/>
        <v>7404.92</v>
      </c>
      <c r="Z946" s="7">
        <f t="shared" si="204"/>
        <v>20</v>
      </c>
      <c r="AA946" s="7">
        <f t="shared" si="205"/>
        <v>2022</v>
      </c>
      <c r="AB946" s="7">
        <f t="shared" si="206"/>
        <v>3</v>
      </c>
      <c r="AC946" s="7">
        <f t="shared" si="207"/>
        <v>1</v>
      </c>
      <c r="AD946" s="7" t="str">
        <f t="shared" si="208"/>
        <v>No</v>
      </c>
      <c r="AE946" s="7" t="str">
        <f t="shared" si="209"/>
        <v>Normal</v>
      </c>
    </row>
    <row r="947" spans="1:31">
      <c r="A947" t="s">
        <v>2849</v>
      </c>
      <c r="C947" t="s">
        <v>432</v>
      </c>
      <c r="D947" t="s">
        <v>2108</v>
      </c>
      <c r="E947" t="s">
        <v>20</v>
      </c>
      <c r="F947" t="s">
        <v>45</v>
      </c>
      <c r="G947" t="s">
        <v>21</v>
      </c>
      <c r="H947" t="s">
        <v>25</v>
      </c>
      <c r="I947" t="s">
        <v>3378</v>
      </c>
      <c r="J947">
        <v>7564.48</v>
      </c>
      <c r="K947" t="s">
        <v>86</v>
      </c>
      <c r="L947" t="s">
        <v>28</v>
      </c>
      <c r="M947" s="1">
        <v>44603.45416666667</v>
      </c>
      <c r="N947">
        <v>49</v>
      </c>
      <c r="O947" t="s">
        <v>36</v>
      </c>
      <c r="P947" t="s">
        <v>37</v>
      </c>
      <c r="Q947" t="s">
        <v>2850</v>
      </c>
      <c r="R947" t="str">
        <f t="shared" si="196"/>
        <v>Jessica Smith</v>
      </c>
      <c r="S947" t="str">
        <f t="shared" si="197"/>
        <v>Thomas Smith</v>
      </c>
      <c r="T947" t="str">
        <f t="shared" si="198"/>
        <v>ZAR</v>
      </c>
      <c r="U947" s="7" t="str">
        <f t="shared" si="199"/>
        <v>GBP</v>
      </c>
      <c r="V947" s="7" t="str">
        <f t="shared" si="200"/>
        <v>Germany</v>
      </c>
      <c r="W947" s="7" t="str">
        <f t="shared" si="201"/>
        <v>South Africa</v>
      </c>
      <c r="X947" s="7" t="str">
        <f t="shared" si="202"/>
        <v>Inter-Transaction</v>
      </c>
      <c r="Y947" s="7">
        <f t="shared" si="203"/>
        <v>7564.48</v>
      </c>
      <c r="Z947" s="7">
        <f t="shared" si="204"/>
        <v>49</v>
      </c>
      <c r="AA947" s="7">
        <f t="shared" si="205"/>
        <v>2022</v>
      </c>
      <c r="AB947" s="7">
        <f t="shared" si="206"/>
        <v>2</v>
      </c>
      <c r="AC947" s="7">
        <f t="shared" si="207"/>
        <v>1</v>
      </c>
      <c r="AD947" s="7" t="str">
        <f t="shared" si="208"/>
        <v>No</v>
      </c>
      <c r="AE947" s="7" t="str">
        <f t="shared" si="209"/>
        <v>Normal</v>
      </c>
    </row>
    <row r="948" spans="1:31">
      <c r="A948" t="s">
        <v>2851</v>
      </c>
      <c r="B948">
        <v>22601623</v>
      </c>
      <c r="C948" t="s">
        <v>617</v>
      </c>
      <c r="D948" t="s">
        <v>282</v>
      </c>
      <c r="E948" t="s">
        <v>20</v>
      </c>
      <c r="F948" t="s">
        <v>116</v>
      </c>
      <c r="G948" t="s">
        <v>80</v>
      </c>
      <c r="H948" t="s">
        <v>103</v>
      </c>
      <c r="I948" t="s">
        <v>3372</v>
      </c>
      <c r="J948">
        <v>8511.84</v>
      </c>
      <c r="K948" t="s">
        <v>86</v>
      </c>
      <c r="L948" t="s">
        <v>81</v>
      </c>
      <c r="M948" s="1">
        <v>43843.817361111112</v>
      </c>
      <c r="N948">
        <v>27</v>
      </c>
      <c r="O948" t="s">
        <v>55</v>
      </c>
      <c r="P948" t="s">
        <v>54</v>
      </c>
      <c r="Q948" t="s">
        <v>2852</v>
      </c>
      <c r="R948" t="str">
        <f t="shared" si="196"/>
        <v>Richard Wilson</v>
      </c>
      <c r="S948" t="str">
        <f t="shared" si="197"/>
        <v>Mary Lopez</v>
      </c>
      <c r="T948" t="str">
        <f t="shared" si="198"/>
        <v>CHF</v>
      </c>
      <c r="U948" s="7" t="str">
        <f t="shared" si="199"/>
        <v>USD</v>
      </c>
      <c r="V948" s="7" t="str">
        <f t="shared" si="200"/>
        <v>UK</v>
      </c>
      <c r="W948" s="7" t="str">
        <f t="shared" si="201"/>
        <v>India</v>
      </c>
      <c r="X948" s="7" t="str">
        <f t="shared" si="202"/>
        <v>Outer-Transaction</v>
      </c>
      <c r="Y948" s="7">
        <f t="shared" si="203"/>
        <v>8511.84</v>
      </c>
      <c r="Z948" s="7">
        <f t="shared" si="204"/>
        <v>27</v>
      </c>
      <c r="AA948" s="7">
        <f t="shared" si="205"/>
        <v>2020</v>
      </c>
      <c r="AB948" s="7">
        <f t="shared" si="206"/>
        <v>1</v>
      </c>
      <c r="AC948" s="7">
        <f t="shared" si="207"/>
        <v>1</v>
      </c>
      <c r="AD948" s="7" t="str">
        <f t="shared" si="208"/>
        <v>No</v>
      </c>
      <c r="AE948" s="7" t="str">
        <f t="shared" si="209"/>
        <v>Normal</v>
      </c>
    </row>
    <row r="949" spans="1:31">
      <c r="A949" t="s">
        <v>2853</v>
      </c>
      <c r="B949">
        <v>17303355</v>
      </c>
      <c r="C949" t="s">
        <v>2854</v>
      </c>
      <c r="D949" t="s">
        <v>1032</v>
      </c>
      <c r="E949" t="s">
        <v>20</v>
      </c>
      <c r="F949" t="s">
        <v>22</v>
      </c>
      <c r="G949" t="s">
        <v>35</v>
      </c>
      <c r="I949" t="s">
        <v>3378</v>
      </c>
      <c r="J949">
        <v>12715.71</v>
      </c>
      <c r="K949" t="s">
        <v>39</v>
      </c>
      <c r="L949" t="s">
        <v>48</v>
      </c>
      <c r="M949" s="1">
        <v>44751.995138888888</v>
      </c>
      <c r="N949">
        <v>51</v>
      </c>
      <c r="O949" t="s">
        <v>23</v>
      </c>
      <c r="P949" t="s">
        <v>68</v>
      </c>
      <c r="Q949" t="s">
        <v>2855</v>
      </c>
      <c r="R949" t="str">
        <f t="shared" si="196"/>
        <v>Richard Al-Sayed</v>
      </c>
      <c r="S949" t="str">
        <f t="shared" si="197"/>
        <v>Thomas Brown</v>
      </c>
      <c r="T949" t="str">
        <f t="shared" si="198"/>
        <v>BRL</v>
      </c>
      <c r="U949" s="7" t="str">
        <f t="shared" si="199"/>
        <v>EUR</v>
      </c>
      <c r="V949" s="7" t="str">
        <f t="shared" si="200"/>
        <v>France</v>
      </c>
      <c r="W949" s="7" t="str">
        <f t="shared" si="201"/>
        <v>UAE</v>
      </c>
      <c r="X949" s="7" t="str">
        <f t="shared" si="202"/>
        <v>Inter-Transaction</v>
      </c>
      <c r="Y949" s="7">
        <f t="shared" si="203"/>
        <v>12715.71</v>
      </c>
      <c r="Z949" s="7">
        <f t="shared" si="204"/>
        <v>51</v>
      </c>
      <c r="AA949" s="7">
        <f t="shared" si="205"/>
        <v>2022</v>
      </c>
      <c r="AB949" s="7">
        <f t="shared" si="206"/>
        <v>7</v>
      </c>
      <c r="AC949" s="7">
        <f t="shared" si="207"/>
        <v>1</v>
      </c>
      <c r="AD949" s="7" t="str">
        <f t="shared" si="208"/>
        <v>No</v>
      </c>
      <c r="AE949" s="7" t="str">
        <f t="shared" si="209"/>
        <v>Normal</v>
      </c>
    </row>
    <row r="950" spans="1:31">
      <c r="A950" t="s">
        <v>2856</v>
      </c>
      <c r="B950">
        <v>85103699</v>
      </c>
      <c r="C950" t="s">
        <v>2004</v>
      </c>
      <c r="D950" t="s">
        <v>2857</v>
      </c>
      <c r="E950" t="s">
        <v>20</v>
      </c>
      <c r="F950" t="s">
        <v>44</v>
      </c>
      <c r="G950" t="s">
        <v>80</v>
      </c>
      <c r="I950" t="s">
        <v>3377</v>
      </c>
      <c r="J950">
        <v>8135.49</v>
      </c>
      <c r="K950" t="s">
        <v>47</v>
      </c>
      <c r="L950" t="s">
        <v>28</v>
      </c>
      <c r="M950" s="1">
        <v>44655.645138888889</v>
      </c>
      <c r="N950">
        <v>72</v>
      </c>
      <c r="O950" t="s">
        <v>93</v>
      </c>
      <c r="P950" t="s">
        <v>68</v>
      </c>
      <c r="Q950" t="s">
        <v>2858</v>
      </c>
      <c r="R950" t="str">
        <f t="shared" si="196"/>
        <v>Thomas Gonzalez</v>
      </c>
      <c r="S950" t="str">
        <f t="shared" si="197"/>
        <v>Karen Smith</v>
      </c>
      <c r="T950" t="str">
        <f t="shared" si="198"/>
        <v>SGD</v>
      </c>
      <c r="U950" s="7" t="str">
        <f t="shared" si="199"/>
        <v>USD</v>
      </c>
      <c r="V950" s="7" t="str">
        <f t="shared" si="200"/>
        <v>USA</v>
      </c>
      <c r="W950" s="7" t="str">
        <f t="shared" si="201"/>
        <v>UAE</v>
      </c>
      <c r="X950" s="7" t="str">
        <f t="shared" si="202"/>
        <v>Inter-Transaction</v>
      </c>
      <c r="Y950" s="7">
        <f t="shared" si="203"/>
        <v>8135.49</v>
      </c>
      <c r="Z950" s="7">
        <f t="shared" si="204"/>
        <v>72</v>
      </c>
      <c r="AA950" s="7">
        <f t="shared" si="205"/>
        <v>2022</v>
      </c>
      <c r="AB950" s="7">
        <f t="shared" si="206"/>
        <v>4</v>
      </c>
      <c r="AC950" s="7">
        <f t="shared" si="207"/>
        <v>1</v>
      </c>
      <c r="AD950" s="7" t="str">
        <f t="shared" si="208"/>
        <v>No</v>
      </c>
      <c r="AE950" s="7" t="str">
        <f t="shared" si="209"/>
        <v>Normal</v>
      </c>
    </row>
    <row r="951" spans="1:31">
      <c r="A951" t="s">
        <v>2859</v>
      </c>
      <c r="B951">
        <v>91027831</v>
      </c>
      <c r="C951" t="s">
        <v>200</v>
      </c>
      <c r="D951" t="s">
        <v>2860</v>
      </c>
      <c r="E951" t="s">
        <v>20</v>
      </c>
      <c r="F951" t="s">
        <v>121</v>
      </c>
      <c r="G951" t="s">
        <v>116</v>
      </c>
      <c r="H951" t="s">
        <v>74</v>
      </c>
      <c r="I951" t="s">
        <v>3378</v>
      </c>
      <c r="J951">
        <v>3608.7</v>
      </c>
      <c r="K951" t="s">
        <v>47</v>
      </c>
      <c r="L951" t="s">
        <v>81</v>
      </c>
      <c r="M951" s="1">
        <v>46249.041666666664</v>
      </c>
      <c r="N951">
        <v>49</v>
      </c>
      <c r="O951" t="s">
        <v>37</v>
      </c>
      <c r="P951" t="s">
        <v>55</v>
      </c>
      <c r="Q951" t="s">
        <v>2861</v>
      </c>
      <c r="R951" t="str">
        <f t="shared" si="196"/>
        <v>Elena Thomas</v>
      </c>
      <c r="S951" t="str">
        <f t="shared" si="197"/>
        <v>William Silva</v>
      </c>
      <c r="T951" t="str">
        <f t="shared" si="198"/>
        <v>INR</v>
      </c>
      <c r="U951" s="7" t="str">
        <f t="shared" si="199"/>
        <v>CHF</v>
      </c>
      <c r="V951" s="7" t="str">
        <f t="shared" si="200"/>
        <v>South Africa</v>
      </c>
      <c r="W951" s="7" t="str">
        <f t="shared" si="201"/>
        <v>UK</v>
      </c>
      <c r="X951" s="7" t="str">
        <f t="shared" si="202"/>
        <v>Inter-Transaction</v>
      </c>
      <c r="Y951" s="7">
        <f t="shared" si="203"/>
        <v>3608.7</v>
      </c>
      <c r="Z951" s="7">
        <f t="shared" si="204"/>
        <v>49</v>
      </c>
      <c r="AA951" s="7">
        <f t="shared" si="205"/>
        <v>2026</v>
      </c>
      <c r="AB951" s="7">
        <f t="shared" si="206"/>
        <v>8</v>
      </c>
      <c r="AC951" s="7">
        <f t="shared" si="207"/>
        <v>1</v>
      </c>
      <c r="AD951" s="7" t="str">
        <f t="shared" si="208"/>
        <v>No</v>
      </c>
      <c r="AE951" s="7" t="str">
        <f t="shared" si="209"/>
        <v>Normal</v>
      </c>
    </row>
    <row r="952" spans="1:31">
      <c r="A952" t="s">
        <v>2862</v>
      </c>
      <c r="B952">
        <v>31401507</v>
      </c>
      <c r="C952" t="s">
        <v>2863</v>
      </c>
      <c r="D952" t="s">
        <v>694</v>
      </c>
      <c r="E952" t="s">
        <v>20</v>
      </c>
      <c r="F952" t="s">
        <v>21</v>
      </c>
      <c r="G952" t="s">
        <v>112</v>
      </c>
      <c r="H952" t="s">
        <v>25</v>
      </c>
      <c r="I952" t="s">
        <v>3377</v>
      </c>
      <c r="J952">
        <v>6354.96</v>
      </c>
      <c r="K952" t="s">
        <v>47</v>
      </c>
      <c r="L952" t="s">
        <v>48</v>
      </c>
      <c r="M952" s="1">
        <v>45145.974305555559</v>
      </c>
      <c r="N952">
        <v>67</v>
      </c>
      <c r="O952" t="s">
        <v>55</v>
      </c>
      <c r="P952" t="s">
        <v>23</v>
      </c>
      <c r="Q952" t="s">
        <v>2864</v>
      </c>
      <c r="R952" t="str">
        <f t="shared" si="196"/>
        <v>Elizabeth Al-Sayed</v>
      </c>
      <c r="S952" t="str">
        <f t="shared" si="197"/>
        <v>Karen Malik</v>
      </c>
      <c r="T952" t="str">
        <f t="shared" si="198"/>
        <v>GBP</v>
      </c>
      <c r="U952" s="7" t="str">
        <f t="shared" si="199"/>
        <v>usd</v>
      </c>
      <c r="V952" s="7" t="str">
        <f t="shared" si="200"/>
        <v>UK</v>
      </c>
      <c r="W952" s="7" t="str">
        <f t="shared" si="201"/>
        <v>France</v>
      </c>
      <c r="X952" s="7" t="str">
        <f t="shared" si="202"/>
        <v>Inter-Transaction</v>
      </c>
      <c r="Y952" s="7">
        <f t="shared" si="203"/>
        <v>6354.96</v>
      </c>
      <c r="Z952" s="7">
        <f t="shared" si="204"/>
        <v>67</v>
      </c>
      <c r="AA952" s="7">
        <f t="shared" si="205"/>
        <v>2023</v>
      </c>
      <c r="AB952" s="7">
        <f t="shared" si="206"/>
        <v>8</v>
      </c>
      <c r="AC952" s="7">
        <f t="shared" si="207"/>
        <v>1</v>
      </c>
      <c r="AD952" s="7" t="str">
        <f t="shared" si="208"/>
        <v>No</v>
      </c>
      <c r="AE952" s="7" t="str">
        <f t="shared" si="209"/>
        <v>Normal</v>
      </c>
    </row>
    <row r="953" spans="1:31">
      <c r="A953" t="s">
        <v>2865</v>
      </c>
      <c r="B953">
        <v>91618861</v>
      </c>
      <c r="D953" t="s">
        <v>2866</v>
      </c>
      <c r="E953" t="s">
        <v>20</v>
      </c>
      <c r="F953" t="s">
        <v>34</v>
      </c>
      <c r="G953" t="s">
        <v>35</v>
      </c>
      <c r="H953" t="s">
        <v>56</v>
      </c>
      <c r="I953" t="s">
        <v>3378</v>
      </c>
      <c r="J953">
        <v>6551.9</v>
      </c>
      <c r="K953" t="s">
        <v>27</v>
      </c>
      <c r="L953" t="s">
        <v>28</v>
      </c>
      <c r="M953" s="1">
        <v>46210.347916666666</v>
      </c>
      <c r="N953">
        <v>24</v>
      </c>
      <c r="O953" t="s">
        <v>62</v>
      </c>
      <c r="P953" t="s">
        <v>93</v>
      </c>
      <c r="Q953" t="s">
        <v>2867</v>
      </c>
      <c r="R953" t="str">
        <f t="shared" si="196"/>
        <v/>
      </c>
      <c r="S953" t="str">
        <f t="shared" si="197"/>
        <v xml:space="preserve"> Marta Thomas   </v>
      </c>
      <c r="T953" t="str">
        <f t="shared" si="198"/>
        <v>CAD</v>
      </c>
      <c r="U953" s="7" t="str">
        <f t="shared" si="199"/>
        <v>EUR</v>
      </c>
      <c r="V953" s="7" t="str">
        <f t="shared" si="200"/>
        <v>Australia</v>
      </c>
      <c r="W953" s="7" t="str">
        <f t="shared" si="201"/>
        <v>USA</v>
      </c>
      <c r="X953" s="7" t="str">
        <f t="shared" si="202"/>
        <v>Inter-Transaction</v>
      </c>
      <c r="Y953" s="7">
        <f t="shared" si="203"/>
        <v>6551.9</v>
      </c>
      <c r="Z953" s="7">
        <f t="shared" si="204"/>
        <v>24</v>
      </c>
      <c r="AA953" s="7">
        <f t="shared" si="205"/>
        <v>2026</v>
      </c>
      <c r="AB953" s="7">
        <f t="shared" si="206"/>
        <v>7</v>
      </c>
      <c r="AC953" s="7">
        <f t="shared" si="207"/>
        <v>1</v>
      </c>
      <c r="AD953" s="7" t="str">
        <f t="shared" si="208"/>
        <v>No</v>
      </c>
      <c r="AE953" s="7" t="str">
        <f t="shared" si="209"/>
        <v>Normal</v>
      </c>
    </row>
    <row r="954" spans="1:31">
      <c r="A954" t="s">
        <v>2868</v>
      </c>
      <c r="B954">
        <v>30766900</v>
      </c>
      <c r="C954" t="s">
        <v>857</v>
      </c>
      <c r="D954" t="s">
        <v>2174</v>
      </c>
      <c r="E954" t="b">
        <v>0</v>
      </c>
      <c r="F954" t="s">
        <v>22</v>
      </c>
      <c r="G954" t="s">
        <v>21</v>
      </c>
      <c r="H954" t="s">
        <v>56</v>
      </c>
      <c r="I954" t="s">
        <v>3374</v>
      </c>
      <c r="J954">
        <v>7598.42</v>
      </c>
      <c r="K954" t="s">
        <v>86</v>
      </c>
      <c r="L954" t="s">
        <v>81</v>
      </c>
      <c r="M954" s="1">
        <v>46139.469444444447</v>
      </c>
      <c r="N954">
        <v>25</v>
      </c>
      <c r="O954" t="s">
        <v>68</v>
      </c>
      <c r="P954" t="s">
        <v>55</v>
      </c>
      <c r="Q954" t="s">
        <v>2869</v>
      </c>
      <c r="R954" t="str">
        <f t="shared" si="196"/>
        <v>Linda Dubois</v>
      </c>
      <c r="S954" t="str">
        <f t="shared" si="197"/>
        <v>Jean-Pierre Wilson</v>
      </c>
      <c r="T954" t="str">
        <f t="shared" si="198"/>
        <v>BRL</v>
      </c>
      <c r="U954" s="7" t="str">
        <f t="shared" si="199"/>
        <v>GBP</v>
      </c>
      <c r="V954" s="7" t="str">
        <f t="shared" si="200"/>
        <v>UAE</v>
      </c>
      <c r="W954" s="7" t="str">
        <f t="shared" si="201"/>
        <v>UK</v>
      </c>
      <c r="X954" s="7" t="str">
        <f t="shared" si="202"/>
        <v>External</v>
      </c>
      <c r="Y954" s="7">
        <f t="shared" si="203"/>
        <v>7598.42</v>
      </c>
      <c r="Z954" s="7">
        <f t="shared" si="204"/>
        <v>25</v>
      </c>
      <c r="AA954" s="7">
        <f t="shared" si="205"/>
        <v>2026</v>
      </c>
      <c r="AB954" s="7">
        <f t="shared" si="206"/>
        <v>4</v>
      </c>
      <c r="AC954" s="7">
        <f t="shared" si="207"/>
        <v>1</v>
      </c>
      <c r="AD954" s="7" t="str">
        <f t="shared" si="208"/>
        <v>No</v>
      </c>
      <c r="AE954" s="7" t="str">
        <f t="shared" si="209"/>
        <v>Normal</v>
      </c>
    </row>
    <row r="955" spans="1:31">
      <c r="A955" t="s">
        <v>2870</v>
      </c>
      <c r="B955">
        <v>14637652</v>
      </c>
      <c r="C955" t="s">
        <v>2871</v>
      </c>
      <c r="D955" t="s">
        <v>570</v>
      </c>
      <c r="E955" t="s">
        <v>20</v>
      </c>
      <c r="F955" t="s">
        <v>53</v>
      </c>
      <c r="G955" t="s">
        <v>21</v>
      </c>
      <c r="H955" t="s">
        <v>103</v>
      </c>
      <c r="I955" t="s">
        <v>3374</v>
      </c>
      <c r="J955">
        <v>814.15</v>
      </c>
      <c r="K955" t="s">
        <v>39</v>
      </c>
      <c r="L955" t="s">
        <v>75</v>
      </c>
      <c r="M955" s="1">
        <v>45848.603472222225</v>
      </c>
      <c r="N955">
        <v>82</v>
      </c>
      <c r="O955" t="s">
        <v>68</v>
      </c>
      <c r="P955" t="s">
        <v>36</v>
      </c>
      <c r="Q955" t="s">
        <v>2872</v>
      </c>
      <c r="R955" t="str">
        <f t="shared" si="196"/>
        <v>Richard Martin</v>
      </c>
      <c r="S955" t="str">
        <f t="shared" si="197"/>
        <v>Richard Garcia</v>
      </c>
      <c r="T955" t="str">
        <f t="shared" si="198"/>
        <v>AED</v>
      </c>
      <c r="U955" s="7" t="str">
        <f t="shared" si="199"/>
        <v>GBP</v>
      </c>
      <c r="V955" s="7" t="str">
        <f t="shared" si="200"/>
        <v>UAE</v>
      </c>
      <c r="W955" s="7" t="str">
        <f t="shared" si="201"/>
        <v>Germany</v>
      </c>
      <c r="X955" s="7" t="str">
        <f t="shared" si="202"/>
        <v>External</v>
      </c>
      <c r="Y955" s="7">
        <f t="shared" si="203"/>
        <v>814.15</v>
      </c>
      <c r="Z955" s="7">
        <f t="shared" si="204"/>
        <v>82</v>
      </c>
      <c r="AA955" s="7">
        <f t="shared" si="205"/>
        <v>2025</v>
      </c>
      <c r="AB955" s="7">
        <f t="shared" si="206"/>
        <v>7</v>
      </c>
      <c r="AC955" s="7">
        <f t="shared" si="207"/>
        <v>1</v>
      </c>
      <c r="AD955" s="7" t="str">
        <f t="shared" si="208"/>
        <v>No</v>
      </c>
      <c r="AE955" s="7" t="str">
        <f t="shared" si="209"/>
        <v>High Risk</v>
      </c>
    </row>
    <row r="956" spans="1:31">
      <c r="A956" t="s">
        <v>2873</v>
      </c>
      <c r="B956">
        <v>59828367</v>
      </c>
      <c r="C956" t="s">
        <v>2874</v>
      </c>
      <c r="D956" t="s">
        <v>1213</v>
      </c>
      <c r="E956">
        <v>0</v>
      </c>
      <c r="F956" t="s">
        <v>21</v>
      </c>
      <c r="G956" t="s">
        <v>80</v>
      </c>
      <c r="H956" t="s">
        <v>103</v>
      </c>
      <c r="I956" t="s">
        <v>3374</v>
      </c>
      <c r="J956">
        <v>12705.77</v>
      </c>
      <c r="K956" t="s">
        <v>39</v>
      </c>
      <c r="L956" t="s">
        <v>75</v>
      </c>
      <c r="M956" s="1">
        <v>45059.768055555556</v>
      </c>
      <c r="N956">
        <v>74</v>
      </c>
      <c r="O956" t="s">
        <v>37</v>
      </c>
      <c r="P956" t="s">
        <v>24</v>
      </c>
      <c r="Q956" t="s">
        <v>2875</v>
      </c>
      <c r="R956" t="str">
        <f t="shared" si="196"/>
        <v>Christopher Souza</v>
      </c>
      <c r="S956" t="str">
        <f t="shared" si="197"/>
        <v>John Khan</v>
      </c>
      <c r="T956" t="str">
        <f t="shared" si="198"/>
        <v>GBP</v>
      </c>
      <c r="U956" s="7" t="str">
        <f t="shared" si="199"/>
        <v>USD</v>
      </c>
      <c r="V956" s="7" t="str">
        <f t="shared" si="200"/>
        <v>South Africa</v>
      </c>
      <c r="W956" s="7" t="str">
        <f t="shared" si="201"/>
        <v>Brazil</v>
      </c>
      <c r="X956" s="7" t="str">
        <f t="shared" si="202"/>
        <v>External</v>
      </c>
      <c r="Y956" s="7">
        <f t="shared" si="203"/>
        <v>12705.77</v>
      </c>
      <c r="Z956" s="7">
        <f t="shared" si="204"/>
        <v>74</v>
      </c>
      <c r="AA956" s="7">
        <f t="shared" si="205"/>
        <v>2023</v>
      </c>
      <c r="AB956" s="7">
        <f t="shared" si="206"/>
        <v>5</v>
      </c>
      <c r="AC956" s="7">
        <f t="shared" si="207"/>
        <v>1</v>
      </c>
      <c r="AD956" s="7" t="str">
        <f t="shared" si="208"/>
        <v>No</v>
      </c>
      <c r="AE956" s="7" t="str">
        <f t="shared" si="209"/>
        <v>High Risk</v>
      </c>
    </row>
    <row r="957" spans="1:31">
      <c r="A957" t="s">
        <v>2876</v>
      </c>
      <c r="B957">
        <v>39204346</v>
      </c>
      <c r="C957" t="s">
        <v>610</v>
      </c>
      <c r="D957" t="s">
        <v>563</v>
      </c>
      <c r="E957" t="s">
        <v>20</v>
      </c>
      <c r="F957" t="s">
        <v>22</v>
      </c>
      <c r="G957" t="s">
        <v>116</v>
      </c>
      <c r="H957" t="s">
        <v>38</v>
      </c>
      <c r="I957" t="s">
        <v>3374</v>
      </c>
      <c r="J957">
        <v>7596.23</v>
      </c>
      <c r="K957" t="s">
        <v>86</v>
      </c>
      <c r="L957" t="s">
        <v>75</v>
      </c>
      <c r="M957" s="1">
        <v>44527.881249999999</v>
      </c>
      <c r="N957">
        <v>84</v>
      </c>
      <c r="O957" t="s">
        <v>23</v>
      </c>
      <c r="P957" t="s">
        <v>24</v>
      </c>
      <c r="Q957" t="s">
        <v>2877</v>
      </c>
      <c r="R957" t="str">
        <f t="shared" si="196"/>
        <v>Christopher Rostova</v>
      </c>
      <c r="S957" t="str">
        <f t="shared" si="197"/>
        <v>Jean-Pierre Jackson</v>
      </c>
      <c r="T957" t="str">
        <f t="shared" si="198"/>
        <v>BRL</v>
      </c>
      <c r="U957" s="7" t="str">
        <f t="shared" si="199"/>
        <v>CHF</v>
      </c>
      <c r="V957" s="7" t="str">
        <f t="shared" si="200"/>
        <v>France</v>
      </c>
      <c r="W957" s="7" t="str">
        <f t="shared" si="201"/>
        <v>Brazil</v>
      </c>
      <c r="X957" s="7" t="str">
        <f t="shared" si="202"/>
        <v>External</v>
      </c>
      <c r="Y957" s="7">
        <f t="shared" si="203"/>
        <v>7596.23</v>
      </c>
      <c r="Z957" s="7">
        <f t="shared" si="204"/>
        <v>84</v>
      </c>
      <c r="AA957" s="7">
        <f t="shared" si="205"/>
        <v>2021</v>
      </c>
      <c r="AB957" s="7">
        <f t="shared" si="206"/>
        <v>11</v>
      </c>
      <c r="AC957" s="7">
        <f t="shared" si="207"/>
        <v>1</v>
      </c>
      <c r="AD957" s="7" t="str">
        <f t="shared" si="208"/>
        <v>No</v>
      </c>
      <c r="AE957" s="7" t="str">
        <f t="shared" si="209"/>
        <v>High Risk</v>
      </c>
    </row>
    <row r="958" spans="1:31">
      <c r="A958" t="s">
        <v>2878</v>
      </c>
      <c r="B958">
        <v>49808824</v>
      </c>
      <c r="C958" t="s">
        <v>2879</v>
      </c>
      <c r="E958" t="s">
        <v>20</v>
      </c>
      <c r="F958" t="s">
        <v>116</v>
      </c>
      <c r="G958" t="s">
        <v>53</v>
      </c>
      <c r="H958" t="s">
        <v>38</v>
      </c>
      <c r="I958" t="s">
        <v>3374</v>
      </c>
      <c r="J958">
        <v>1128.7</v>
      </c>
      <c r="K958" t="s">
        <v>86</v>
      </c>
      <c r="L958" t="s">
        <v>75</v>
      </c>
      <c r="M958" s="1">
        <v>44780.489583333336</v>
      </c>
      <c r="N958">
        <v>76</v>
      </c>
      <c r="O958" t="s">
        <v>68</v>
      </c>
      <c r="P958" t="s">
        <v>68</v>
      </c>
      <c r="Q958" t="s">
        <v>2880</v>
      </c>
      <c r="R958" t="str">
        <f t="shared" si="196"/>
        <v>William Jones</v>
      </c>
      <c r="S958" t="str">
        <f t="shared" si="197"/>
        <v/>
      </c>
      <c r="T958" t="str">
        <f t="shared" si="198"/>
        <v>CHF</v>
      </c>
      <c r="U958" s="7" t="str">
        <f t="shared" si="199"/>
        <v>AED</v>
      </c>
      <c r="V958" s="7" t="str">
        <f t="shared" si="200"/>
        <v>UAE</v>
      </c>
      <c r="W958" s="7" t="str">
        <f t="shared" si="201"/>
        <v>UAE</v>
      </c>
      <c r="X958" s="7" t="str">
        <f t="shared" si="202"/>
        <v>External</v>
      </c>
      <c r="Y958" s="7">
        <f t="shared" si="203"/>
        <v>1128.7</v>
      </c>
      <c r="Z958" s="7">
        <f t="shared" si="204"/>
        <v>76</v>
      </c>
      <c r="AA958" s="7">
        <f t="shared" si="205"/>
        <v>2022</v>
      </c>
      <c r="AB958" s="7">
        <f t="shared" si="206"/>
        <v>8</v>
      </c>
      <c r="AC958" s="7">
        <f t="shared" si="207"/>
        <v>1</v>
      </c>
      <c r="AD958" s="7" t="str">
        <f t="shared" si="208"/>
        <v>No</v>
      </c>
      <c r="AE958" s="7" t="str">
        <f t="shared" si="209"/>
        <v>High Risk</v>
      </c>
    </row>
    <row r="959" spans="1:31">
      <c r="A959" t="s">
        <v>2881</v>
      </c>
      <c r="B959">
        <v>31924339</v>
      </c>
      <c r="C959" t="s">
        <v>1865</v>
      </c>
      <c r="D959" t="s">
        <v>585</v>
      </c>
      <c r="E959" t="s">
        <v>20</v>
      </c>
      <c r="F959" t="s">
        <v>98</v>
      </c>
      <c r="G959" t="s">
        <v>22</v>
      </c>
      <c r="H959" t="s">
        <v>74</v>
      </c>
      <c r="I959" t="s">
        <v>3378</v>
      </c>
      <c r="J959">
        <v>5971.4</v>
      </c>
      <c r="K959" t="s">
        <v>39</v>
      </c>
      <c r="L959" t="s">
        <v>81</v>
      </c>
      <c r="M959" s="1">
        <v>46265.373611111114</v>
      </c>
      <c r="N959">
        <v>71</v>
      </c>
      <c r="O959" t="s">
        <v>55</v>
      </c>
      <c r="P959" t="s">
        <v>37</v>
      </c>
      <c r="Q959" t="s">
        <v>2882</v>
      </c>
      <c r="R959" t="str">
        <f t="shared" si="196"/>
        <v>Michael Souza</v>
      </c>
      <c r="S959" t="str">
        <f t="shared" si="197"/>
        <v>William Khan</v>
      </c>
      <c r="T959" t="str">
        <f t="shared" si="198"/>
        <v>JPY</v>
      </c>
      <c r="U959" s="7" t="str">
        <f t="shared" si="199"/>
        <v>BRL</v>
      </c>
      <c r="V959" s="7" t="str">
        <f t="shared" si="200"/>
        <v>UK</v>
      </c>
      <c r="W959" s="7" t="str">
        <f t="shared" si="201"/>
        <v>South Africa</v>
      </c>
      <c r="X959" s="7" t="str">
        <f t="shared" si="202"/>
        <v>Inter-Transaction</v>
      </c>
      <c r="Y959" s="7">
        <f t="shared" si="203"/>
        <v>5971.4</v>
      </c>
      <c r="Z959" s="7">
        <f t="shared" si="204"/>
        <v>71</v>
      </c>
      <c r="AA959" s="7">
        <f t="shared" si="205"/>
        <v>2026</v>
      </c>
      <c r="AB959" s="7">
        <f t="shared" si="206"/>
        <v>8</v>
      </c>
      <c r="AC959" s="7">
        <f t="shared" si="207"/>
        <v>1</v>
      </c>
      <c r="AD959" s="7" t="str">
        <f t="shared" si="208"/>
        <v>No</v>
      </c>
      <c r="AE959" s="7" t="str">
        <f t="shared" si="209"/>
        <v>Normal</v>
      </c>
    </row>
    <row r="960" spans="1:31">
      <c r="A960" t="s">
        <v>2883</v>
      </c>
      <c r="B960">
        <v>74837748</v>
      </c>
      <c r="C960" t="s">
        <v>2840</v>
      </c>
      <c r="D960" t="s">
        <v>1297</v>
      </c>
      <c r="E960" t="b">
        <v>1</v>
      </c>
      <c r="F960" t="s">
        <v>53</v>
      </c>
      <c r="G960" t="s">
        <v>35</v>
      </c>
      <c r="I960" t="s">
        <v>3378</v>
      </c>
      <c r="J960">
        <v>8637.26</v>
      </c>
      <c r="K960" t="s">
        <v>57</v>
      </c>
      <c r="L960" t="s">
        <v>81</v>
      </c>
      <c r="M960" s="1">
        <v>46346.523611111108</v>
      </c>
      <c r="N960">
        <v>84</v>
      </c>
      <c r="O960" t="s">
        <v>54</v>
      </c>
      <c r="P960" t="s">
        <v>54</v>
      </c>
      <c r="Q960" t="s">
        <v>2884</v>
      </c>
      <c r="R960" t="str">
        <f t="shared" si="196"/>
        <v>Mary Hernandez</v>
      </c>
      <c r="S960" t="str">
        <f t="shared" si="197"/>
        <v>Marta Moore</v>
      </c>
      <c r="T960" t="str">
        <f t="shared" si="198"/>
        <v>AED</v>
      </c>
      <c r="U960" s="7" t="str">
        <f t="shared" si="199"/>
        <v>EUR</v>
      </c>
      <c r="V960" s="7" t="str">
        <f t="shared" si="200"/>
        <v>India</v>
      </c>
      <c r="W960" s="7" t="str">
        <f t="shared" si="201"/>
        <v>India</v>
      </c>
      <c r="X960" s="7" t="str">
        <f t="shared" si="202"/>
        <v>Inter-Transaction</v>
      </c>
      <c r="Y960" s="7">
        <f t="shared" si="203"/>
        <v>8637.26</v>
      </c>
      <c r="Z960" s="7">
        <f t="shared" si="204"/>
        <v>84</v>
      </c>
      <c r="AA960" s="7">
        <f t="shared" si="205"/>
        <v>2026</v>
      </c>
      <c r="AB960" s="7">
        <f t="shared" si="206"/>
        <v>11</v>
      </c>
      <c r="AC960" s="7">
        <f t="shared" si="207"/>
        <v>1</v>
      </c>
      <c r="AD960" s="7" t="str">
        <f t="shared" si="208"/>
        <v>No</v>
      </c>
      <c r="AE960" s="7" t="str">
        <f t="shared" si="209"/>
        <v>Normal</v>
      </c>
    </row>
    <row r="961" spans="1:31">
      <c r="A961" t="s">
        <v>2885</v>
      </c>
      <c r="B961">
        <v>53562684</v>
      </c>
      <c r="C961" t="s">
        <v>2886</v>
      </c>
      <c r="D961" t="s">
        <v>1293</v>
      </c>
      <c r="E961" t="s">
        <v>20</v>
      </c>
      <c r="F961" t="s">
        <v>116</v>
      </c>
      <c r="G961" t="s">
        <v>92</v>
      </c>
      <c r="I961" t="s">
        <v>3371</v>
      </c>
      <c r="J961">
        <v>3027.95</v>
      </c>
      <c r="K961" t="s">
        <v>86</v>
      </c>
      <c r="L961" t="s">
        <v>28</v>
      </c>
      <c r="M961" s="1">
        <v>45269.864583333336</v>
      </c>
      <c r="N961">
        <v>68</v>
      </c>
      <c r="O961" t="s">
        <v>24</v>
      </c>
      <c r="P961" t="s">
        <v>93</v>
      </c>
      <c r="Q961" t="s">
        <v>2887</v>
      </c>
      <c r="R961" t="str">
        <f t="shared" si="196"/>
        <v>CHARLES WILSON</v>
      </c>
      <c r="S961" t="str">
        <f t="shared" si="197"/>
        <v>Marta Anderson</v>
      </c>
      <c r="T961" t="str">
        <f t="shared" si="198"/>
        <v>CHF</v>
      </c>
      <c r="U961" s="7" t="str">
        <f t="shared" si="199"/>
        <v>AUD</v>
      </c>
      <c r="V961" s="7" t="str">
        <f t="shared" si="200"/>
        <v>Brazil</v>
      </c>
      <c r="W961" s="7" t="str">
        <f t="shared" si="201"/>
        <v>USA</v>
      </c>
      <c r="X961" s="7" t="str">
        <f t="shared" si="202"/>
        <v>Outer-Transaction</v>
      </c>
      <c r="Y961" s="7">
        <f t="shared" si="203"/>
        <v>3027.95</v>
      </c>
      <c r="Z961" s="7">
        <f t="shared" si="204"/>
        <v>68</v>
      </c>
      <c r="AA961" s="7">
        <f t="shared" si="205"/>
        <v>2023</v>
      </c>
      <c r="AB961" s="7">
        <f t="shared" si="206"/>
        <v>12</v>
      </c>
      <c r="AC961" s="7">
        <f t="shared" si="207"/>
        <v>1</v>
      </c>
      <c r="AD961" s="7" t="str">
        <f t="shared" si="208"/>
        <v>No</v>
      </c>
      <c r="AE961" s="7" t="str">
        <f t="shared" si="209"/>
        <v>Normal</v>
      </c>
    </row>
    <row r="962" spans="1:31">
      <c r="A962" t="s">
        <v>2888</v>
      </c>
      <c r="C962" t="s">
        <v>110</v>
      </c>
      <c r="D962" t="s">
        <v>2889</v>
      </c>
      <c r="E962" t="s">
        <v>20</v>
      </c>
      <c r="F962" t="s">
        <v>53</v>
      </c>
      <c r="G962" t="s">
        <v>34</v>
      </c>
      <c r="H962" t="s">
        <v>103</v>
      </c>
      <c r="I962" t="s">
        <v>3372</v>
      </c>
      <c r="J962">
        <v>5287.46</v>
      </c>
      <c r="K962" t="s">
        <v>47</v>
      </c>
      <c r="L962" t="s">
        <v>75</v>
      </c>
      <c r="M962" s="1">
        <v>43899.839583333334</v>
      </c>
      <c r="N962">
        <v>25</v>
      </c>
      <c r="O962" t="s">
        <v>24</v>
      </c>
      <c r="P962" t="s">
        <v>55</v>
      </c>
      <c r="Q962" t="s">
        <v>2890</v>
      </c>
      <c r="R962" t="str">
        <f t="shared" ref="R962:R1025" si="210">TRIM(C962)</f>
        <v>Fatima Anderson</v>
      </c>
      <c r="S962" t="str">
        <f t="shared" ref="S962:S1025" si="211">PROPER(D962)</f>
        <v>Marta Taylor</v>
      </c>
      <c r="T962" t="str">
        <f t="shared" ref="T962:T1025" si="212">TRIM(F962)</f>
        <v>AED</v>
      </c>
      <c r="U962" s="7" t="str">
        <f t="shared" ref="U962:U1025" si="213">TRIM(G962)</f>
        <v>CAD</v>
      </c>
      <c r="V962" s="7" t="str">
        <f t="shared" ref="V962:V1025" si="214">TRIM(O962)</f>
        <v>Brazil</v>
      </c>
      <c r="W962" s="7" t="str">
        <f t="shared" ref="W962:W1025" si="215">TRIM(P962)</f>
        <v>UK</v>
      </c>
      <c r="X962" s="7" t="str">
        <f t="shared" ref="X962:X1025" si="216">PROPER(I962)</f>
        <v>Outer-Transaction</v>
      </c>
      <c r="Y962" s="7">
        <f t="shared" ref="Y962:Y1025" si="217">IF(J962="",AVERAGE($J:$J),J962)</f>
        <v>5287.46</v>
      </c>
      <c r="Z962" s="7">
        <f t="shared" ref="Z962:Z1025" si="218">IF(N962="",AVERAGE($N:$N),N962)</f>
        <v>25</v>
      </c>
      <c r="AA962" s="7">
        <f t="shared" ref="AA962:AA1025" si="219">YEAR(M962)</f>
        <v>2020</v>
      </c>
      <c r="AB962" s="7">
        <f t="shared" ref="AB962:AB1025" si="220">MONTH(M962)</f>
        <v>3</v>
      </c>
      <c r="AC962" s="7">
        <f t="shared" ref="AC962:AC1025" si="221">COUNTIF(A:A,A962)</f>
        <v>1</v>
      </c>
      <c r="AD962" s="7" t="str">
        <f t="shared" ref="AD962:AD1025" si="222">IF(C962="YES","Yes","No")</f>
        <v>No</v>
      </c>
      <c r="AE962" s="7" t="str">
        <f t="shared" ref="AE962:AE1025" si="223">IF(L962="HIGH","High Risk","Normal")</f>
        <v>High Risk</v>
      </c>
    </row>
    <row r="963" spans="1:31">
      <c r="A963" t="s">
        <v>2891</v>
      </c>
      <c r="B963">
        <v>81263504</v>
      </c>
      <c r="C963" t="s">
        <v>1230</v>
      </c>
      <c r="D963" t="s">
        <v>1026</v>
      </c>
      <c r="E963" t="s">
        <v>20</v>
      </c>
      <c r="F963" t="s">
        <v>35</v>
      </c>
      <c r="G963" t="s">
        <v>92</v>
      </c>
      <c r="H963" t="s">
        <v>103</v>
      </c>
      <c r="I963" t="s">
        <v>3378</v>
      </c>
      <c r="J963">
        <v>1039.98</v>
      </c>
      <c r="K963" t="s">
        <v>27</v>
      </c>
      <c r="L963" t="s">
        <v>81</v>
      </c>
      <c r="M963" s="1">
        <v>45612.629166666666</v>
      </c>
      <c r="N963">
        <v>51</v>
      </c>
      <c r="O963" t="s">
        <v>36</v>
      </c>
      <c r="P963" t="s">
        <v>54</v>
      </c>
      <c r="Q963" t="s">
        <v>2892</v>
      </c>
      <c r="R963" t="str">
        <f t="shared" si="210"/>
        <v>Zayn Jones</v>
      </c>
      <c r="S963" t="str">
        <f t="shared" si="211"/>
        <v>Barbara Velez</v>
      </c>
      <c r="T963" t="str">
        <f t="shared" si="212"/>
        <v>EUR</v>
      </c>
      <c r="U963" s="7" t="str">
        <f t="shared" si="213"/>
        <v>AUD</v>
      </c>
      <c r="V963" s="7" t="str">
        <f t="shared" si="214"/>
        <v>Germany</v>
      </c>
      <c r="W963" s="7" t="str">
        <f t="shared" si="215"/>
        <v>India</v>
      </c>
      <c r="X963" s="7" t="str">
        <f t="shared" si="216"/>
        <v>Inter-Transaction</v>
      </c>
      <c r="Y963" s="7">
        <f t="shared" si="217"/>
        <v>1039.98</v>
      </c>
      <c r="Z963" s="7">
        <f t="shared" si="218"/>
        <v>51</v>
      </c>
      <c r="AA963" s="7">
        <f t="shared" si="219"/>
        <v>2024</v>
      </c>
      <c r="AB963" s="7">
        <f t="shared" si="220"/>
        <v>11</v>
      </c>
      <c r="AC963" s="7">
        <f t="shared" si="221"/>
        <v>1</v>
      </c>
      <c r="AD963" s="7" t="str">
        <f t="shared" si="222"/>
        <v>No</v>
      </c>
      <c r="AE963" s="7" t="str">
        <f t="shared" si="223"/>
        <v>Normal</v>
      </c>
    </row>
    <row r="964" spans="1:31">
      <c r="A964" t="s">
        <v>2893</v>
      </c>
      <c r="B964">
        <v>78794462</v>
      </c>
      <c r="C964" t="s">
        <v>143</v>
      </c>
      <c r="D964" t="s">
        <v>2894</v>
      </c>
      <c r="E964" t="s">
        <v>3375</v>
      </c>
      <c r="F964" t="s">
        <v>556</v>
      </c>
      <c r="G964" t="s">
        <v>22</v>
      </c>
      <c r="H964" t="s">
        <v>103</v>
      </c>
      <c r="I964" t="s">
        <v>3378</v>
      </c>
      <c r="J964">
        <v>2316.6999999999998</v>
      </c>
      <c r="K964" t="s">
        <v>47</v>
      </c>
      <c r="L964" t="s">
        <v>81</v>
      </c>
      <c r="M964" s="1">
        <v>46078.143055555556</v>
      </c>
      <c r="N964">
        <v>52</v>
      </c>
      <c r="O964" t="s">
        <v>127</v>
      </c>
      <c r="P964" t="s">
        <v>55</v>
      </c>
      <c r="Q964" t="s">
        <v>2895</v>
      </c>
      <c r="R964" t="str">
        <f t="shared" si="210"/>
        <v>Jean-Pierre Davis</v>
      </c>
      <c r="S964" t="str">
        <f t="shared" si="211"/>
        <v>Amir Hernandez</v>
      </c>
      <c r="T964" t="str">
        <f t="shared" si="212"/>
        <v>$</v>
      </c>
      <c r="U964" s="7" t="str">
        <f t="shared" si="213"/>
        <v>BRL</v>
      </c>
      <c r="V964" s="7" t="str">
        <f t="shared" si="214"/>
        <v>Canada</v>
      </c>
      <c r="W964" s="7" t="str">
        <f t="shared" si="215"/>
        <v>UK</v>
      </c>
      <c r="X964" s="7" t="str">
        <f t="shared" si="216"/>
        <v>Inter-Transaction</v>
      </c>
      <c r="Y964" s="7">
        <f t="shared" si="217"/>
        <v>2316.6999999999998</v>
      </c>
      <c r="Z964" s="7">
        <f t="shared" si="218"/>
        <v>52</v>
      </c>
      <c r="AA964" s="7">
        <f t="shared" si="219"/>
        <v>2026</v>
      </c>
      <c r="AB964" s="7">
        <f t="shared" si="220"/>
        <v>2</v>
      </c>
      <c r="AC964" s="7">
        <f t="shared" si="221"/>
        <v>1</v>
      </c>
      <c r="AD964" s="7" t="str">
        <f t="shared" si="222"/>
        <v>No</v>
      </c>
      <c r="AE964" s="7" t="str">
        <f t="shared" si="223"/>
        <v>Normal</v>
      </c>
    </row>
    <row r="965" spans="1:31">
      <c r="A965" t="s">
        <v>2896</v>
      </c>
      <c r="B965">
        <v>91700119</v>
      </c>
      <c r="C965" t="s">
        <v>2897</v>
      </c>
      <c r="D965" t="s">
        <v>1096</v>
      </c>
      <c r="E965" t="s">
        <v>20</v>
      </c>
      <c r="F965" t="s">
        <v>53</v>
      </c>
      <c r="G965" t="s">
        <v>45</v>
      </c>
      <c r="H965" t="s">
        <v>38</v>
      </c>
      <c r="I965" t="s">
        <v>3372</v>
      </c>
      <c r="J965">
        <v>13021.42</v>
      </c>
      <c r="K965" t="s">
        <v>27</v>
      </c>
      <c r="L965" t="s">
        <v>81</v>
      </c>
      <c r="M965" s="1">
        <v>46094.82916666667</v>
      </c>
      <c r="N965">
        <v>49</v>
      </c>
      <c r="O965" t="s">
        <v>93</v>
      </c>
      <c r="P965" t="s">
        <v>23</v>
      </c>
      <c r="Q965" t="s">
        <v>2898</v>
      </c>
      <c r="R965" t="str">
        <f t="shared" si="210"/>
        <v>JEAN-PIERRE MALIK</v>
      </c>
      <c r="S965" t="str">
        <f t="shared" si="211"/>
        <v>David Al-Sayed</v>
      </c>
      <c r="T965" t="str">
        <f t="shared" si="212"/>
        <v>AED</v>
      </c>
      <c r="U965" s="7" t="str">
        <f t="shared" si="213"/>
        <v>ZAR</v>
      </c>
      <c r="V965" s="7" t="str">
        <f t="shared" si="214"/>
        <v>USA</v>
      </c>
      <c r="W965" s="7" t="str">
        <f t="shared" si="215"/>
        <v>France</v>
      </c>
      <c r="X965" s="7" t="str">
        <f t="shared" si="216"/>
        <v>Outer-Transaction</v>
      </c>
      <c r="Y965" s="7">
        <f t="shared" si="217"/>
        <v>13021.42</v>
      </c>
      <c r="Z965" s="7">
        <f t="shared" si="218"/>
        <v>49</v>
      </c>
      <c r="AA965" s="7">
        <f t="shared" si="219"/>
        <v>2026</v>
      </c>
      <c r="AB965" s="7">
        <f t="shared" si="220"/>
        <v>3</v>
      </c>
      <c r="AC965" s="7">
        <f t="shared" si="221"/>
        <v>1</v>
      </c>
      <c r="AD965" s="7" t="str">
        <f t="shared" si="222"/>
        <v>No</v>
      </c>
      <c r="AE965" s="7" t="str">
        <f t="shared" si="223"/>
        <v>Normal</v>
      </c>
    </row>
    <row r="966" spans="1:31">
      <c r="A966" t="s">
        <v>2899</v>
      </c>
      <c r="B966">
        <v>50107493</v>
      </c>
      <c r="C966" t="s">
        <v>2900</v>
      </c>
      <c r="D966" t="s">
        <v>1099</v>
      </c>
      <c r="E966" t="s">
        <v>20</v>
      </c>
      <c r="F966" t="s">
        <v>92</v>
      </c>
      <c r="G966" t="s">
        <v>22</v>
      </c>
      <c r="I966" t="s">
        <v>3374</v>
      </c>
      <c r="J966">
        <v>14300.58</v>
      </c>
      <c r="K966" t="s">
        <v>27</v>
      </c>
      <c r="L966" t="s">
        <v>75</v>
      </c>
      <c r="M966" s="1">
        <v>45800.449305555558</v>
      </c>
      <c r="N966">
        <v>63</v>
      </c>
      <c r="O966" t="s">
        <v>37</v>
      </c>
      <c r="P966" t="s">
        <v>36</v>
      </c>
      <c r="Q966" t="s">
        <v>2901</v>
      </c>
      <c r="R966" t="str">
        <f t="shared" si="210"/>
        <v>RICHARD SOUZA</v>
      </c>
      <c r="S966" t="str">
        <f t="shared" si="211"/>
        <v>Mary Anderson</v>
      </c>
      <c r="T966" t="str">
        <f t="shared" si="212"/>
        <v>AUD</v>
      </c>
      <c r="U966" s="7" t="str">
        <f t="shared" si="213"/>
        <v>BRL</v>
      </c>
      <c r="V966" s="7" t="str">
        <f t="shared" si="214"/>
        <v>South Africa</v>
      </c>
      <c r="W966" s="7" t="str">
        <f t="shared" si="215"/>
        <v>Germany</v>
      </c>
      <c r="X966" s="7" t="str">
        <f t="shared" si="216"/>
        <v>External</v>
      </c>
      <c r="Y966" s="7">
        <f t="shared" si="217"/>
        <v>14300.58</v>
      </c>
      <c r="Z966" s="7">
        <f t="shared" si="218"/>
        <v>63</v>
      </c>
      <c r="AA966" s="7">
        <f t="shared" si="219"/>
        <v>2025</v>
      </c>
      <c r="AB966" s="7">
        <f t="shared" si="220"/>
        <v>5</v>
      </c>
      <c r="AC966" s="7">
        <f t="shared" si="221"/>
        <v>1</v>
      </c>
      <c r="AD966" s="7" t="str">
        <f t="shared" si="222"/>
        <v>No</v>
      </c>
      <c r="AE966" s="7" t="str">
        <f t="shared" si="223"/>
        <v>High Risk</v>
      </c>
    </row>
    <row r="967" spans="1:31">
      <c r="A967" t="s">
        <v>2902</v>
      </c>
      <c r="B967">
        <v>92811164</v>
      </c>
      <c r="C967" t="s">
        <v>2903</v>
      </c>
      <c r="D967" t="s">
        <v>939</v>
      </c>
      <c r="E967" t="s">
        <v>3373</v>
      </c>
      <c r="F967" t="s">
        <v>80</v>
      </c>
      <c r="G967" t="s">
        <v>121</v>
      </c>
      <c r="H967" t="s">
        <v>38</v>
      </c>
      <c r="I967" t="s">
        <v>3378</v>
      </c>
      <c r="J967">
        <v>9161.76</v>
      </c>
      <c r="K967" t="s">
        <v>86</v>
      </c>
      <c r="L967" t="s">
        <v>81</v>
      </c>
      <c r="M967" s="1">
        <v>44042.815972222219</v>
      </c>
      <c r="N967">
        <v>33</v>
      </c>
      <c r="O967" t="s">
        <v>36</v>
      </c>
      <c r="P967" t="s">
        <v>36</v>
      </c>
      <c r="Q967" t="s">
        <v>2904</v>
      </c>
      <c r="R967" t="str">
        <f t="shared" si="210"/>
        <v>David Rodriguez</v>
      </c>
      <c r="S967" t="str">
        <f t="shared" si="211"/>
        <v>Michael Nair</v>
      </c>
      <c r="T967" t="str">
        <f t="shared" si="212"/>
        <v>USD</v>
      </c>
      <c r="U967" s="7" t="str">
        <f t="shared" si="213"/>
        <v>INR</v>
      </c>
      <c r="V967" s="7" t="str">
        <f t="shared" si="214"/>
        <v>Germany</v>
      </c>
      <c r="W967" s="7" t="str">
        <f t="shared" si="215"/>
        <v>Germany</v>
      </c>
      <c r="X967" s="7" t="str">
        <f t="shared" si="216"/>
        <v>Inter-Transaction</v>
      </c>
      <c r="Y967" s="7">
        <f t="shared" si="217"/>
        <v>9161.76</v>
      </c>
      <c r="Z967" s="7">
        <f t="shared" si="218"/>
        <v>33</v>
      </c>
      <c r="AA967" s="7">
        <f t="shared" si="219"/>
        <v>2020</v>
      </c>
      <c r="AB967" s="7">
        <f t="shared" si="220"/>
        <v>7</v>
      </c>
      <c r="AC967" s="7">
        <f t="shared" si="221"/>
        <v>1</v>
      </c>
      <c r="AD967" s="7" t="str">
        <f t="shared" si="222"/>
        <v>No</v>
      </c>
      <c r="AE967" s="7" t="str">
        <f t="shared" si="223"/>
        <v>Normal</v>
      </c>
    </row>
    <row r="968" spans="1:31">
      <c r="A968" t="s">
        <v>2905</v>
      </c>
      <c r="B968">
        <v>71777181</v>
      </c>
      <c r="C968" t="s">
        <v>822</v>
      </c>
      <c r="D968" t="s">
        <v>259</v>
      </c>
      <c r="E968" t="s">
        <v>20</v>
      </c>
      <c r="F968" t="s">
        <v>35</v>
      </c>
      <c r="G968" t="s">
        <v>98</v>
      </c>
      <c r="H968" t="s">
        <v>74</v>
      </c>
      <c r="I968" t="s">
        <v>3377</v>
      </c>
      <c r="J968">
        <v>7517.9</v>
      </c>
      <c r="K968" t="s">
        <v>47</v>
      </c>
      <c r="L968" t="s">
        <v>75</v>
      </c>
      <c r="M968" s="1">
        <v>44338.911805555559</v>
      </c>
      <c r="N968">
        <v>85</v>
      </c>
      <c r="O968" t="s">
        <v>127</v>
      </c>
      <c r="P968" t="s">
        <v>54</v>
      </c>
      <c r="Q968" t="s">
        <v>2906</v>
      </c>
      <c r="R968" t="str">
        <f t="shared" si="210"/>
        <v>Susan Martin</v>
      </c>
      <c r="S968" t="str">
        <f t="shared" si="211"/>
        <v>Susan Brown</v>
      </c>
      <c r="T968" t="str">
        <f t="shared" si="212"/>
        <v>EUR</v>
      </c>
      <c r="U968" s="7" t="str">
        <f t="shared" si="213"/>
        <v>JPY</v>
      </c>
      <c r="V968" s="7" t="str">
        <f t="shared" si="214"/>
        <v>Canada</v>
      </c>
      <c r="W968" s="7" t="str">
        <f t="shared" si="215"/>
        <v>India</v>
      </c>
      <c r="X968" s="7" t="str">
        <f t="shared" si="216"/>
        <v>Inter-Transaction</v>
      </c>
      <c r="Y968" s="7">
        <f t="shared" si="217"/>
        <v>7517.9</v>
      </c>
      <c r="Z968" s="7">
        <f t="shared" si="218"/>
        <v>85</v>
      </c>
      <c r="AA968" s="7">
        <f t="shared" si="219"/>
        <v>2021</v>
      </c>
      <c r="AB968" s="7">
        <f t="shared" si="220"/>
        <v>5</v>
      </c>
      <c r="AC968" s="7">
        <f t="shared" si="221"/>
        <v>1</v>
      </c>
      <c r="AD968" s="7" t="str">
        <f t="shared" si="222"/>
        <v>No</v>
      </c>
      <c r="AE968" s="7" t="str">
        <f t="shared" si="223"/>
        <v>High Risk</v>
      </c>
    </row>
    <row r="969" spans="1:31">
      <c r="A969" t="s">
        <v>2907</v>
      </c>
      <c r="B969">
        <v>67628113</v>
      </c>
      <c r="C969" t="s">
        <v>2354</v>
      </c>
      <c r="D969" t="s">
        <v>2847</v>
      </c>
      <c r="E969" t="s">
        <v>33</v>
      </c>
      <c r="F969" t="s">
        <v>92</v>
      </c>
      <c r="G969" t="s">
        <v>22</v>
      </c>
      <c r="H969" t="s">
        <v>38</v>
      </c>
      <c r="I969" t="s">
        <v>3371</v>
      </c>
      <c r="J969">
        <v>1488.87</v>
      </c>
      <c r="K969" t="s">
        <v>39</v>
      </c>
      <c r="L969" t="s">
        <v>48</v>
      </c>
      <c r="M969" s="1">
        <v>45894.927777777775</v>
      </c>
      <c r="N969">
        <v>54</v>
      </c>
      <c r="O969" t="s">
        <v>23</v>
      </c>
      <c r="P969" t="s">
        <v>54</v>
      </c>
      <c r="Q969" t="s">
        <v>2908</v>
      </c>
      <c r="R969" t="str">
        <f t="shared" si="210"/>
        <v>John Al-Sayed</v>
      </c>
      <c r="S969" t="str">
        <f t="shared" si="211"/>
        <v>Sanjay Lopez</v>
      </c>
      <c r="T969" t="str">
        <f t="shared" si="212"/>
        <v>AUD</v>
      </c>
      <c r="U969" s="7" t="str">
        <f t="shared" si="213"/>
        <v>BRL</v>
      </c>
      <c r="V969" s="7" t="str">
        <f t="shared" si="214"/>
        <v>France</v>
      </c>
      <c r="W969" s="7" t="str">
        <f t="shared" si="215"/>
        <v>India</v>
      </c>
      <c r="X969" s="7" t="str">
        <f t="shared" si="216"/>
        <v>Outer-Transaction</v>
      </c>
      <c r="Y969" s="7">
        <f t="shared" si="217"/>
        <v>1488.87</v>
      </c>
      <c r="Z969" s="7">
        <f t="shared" si="218"/>
        <v>54</v>
      </c>
      <c r="AA969" s="7">
        <f t="shared" si="219"/>
        <v>2025</v>
      </c>
      <c r="AB969" s="7">
        <f t="shared" si="220"/>
        <v>8</v>
      </c>
      <c r="AC969" s="7">
        <f t="shared" si="221"/>
        <v>1</v>
      </c>
      <c r="AD969" s="7" t="str">
        <f t="shared" si="222"/>
        <v>No</v>
      </c>
      <c r="AE969" s="7" t="str">
        <f t="shared" si="223"/>
        <v>Normal</v>
      </c>
    </row>
    <row r="970" spans="1:31">
      <c r="A970" t="s">
        <v>2909</v>
      </c>
      <c r="B970">
        <v>81085877</v>
      </c>
      <c r="C970" t="s">
        <v>1159</v>
      </c>
      <c r="D970" t="s">
        <v>2910</v>
      </c>
      <c r="E970" t="s">
        <v>20</v>
      </c>
      <c r="F970" t="s">
        <v>98</v>
      </c>
      <c r="G970" t="s">
        <v>98</v>
      </c>
      <c r="H970" t="s">
        <v>38</v>
      </c>
      <c r="I970" t="s">
        <v>3378</v>
      </c>
      <c r="J970">
        <v>6220.65</v>
      </c>
      <c r="K970" t="s">
        <v>27</v>
      </c>
      <c r="L970" t="s">
        <v>28</v>
      </c>
      <c r="M970" s="1">
        <v>45352.506944444445</v>
      </c>
      <c r="N970">
        <v>71</v>
      </c>
      <c r="O970" t="s">
        <v>62</v>
      </c>
      <c r="P970" t="s">
        <v>54</v>
      </c>
      <c r="Q970" t="s">
        <v>2911</v>
      </c>
      <c r="R970" t="str">
        <f t="shared" si="210"/>
        <v>Priya Volkov</v>
      </c>
      <c r="S970" t="str">
        <f t="shared" si="211"/>
        <v>Lucas Dubois</v>
      </c>
      <c r="T970" t="str">
        <f t="shared" si="212"/>
        <v>JPY</v>
      </c>
      <c r="U970" s="7" t="str">
        <f t="shared" si="213"/>
        <v>JPY</v>
      </c>
      <c r="V970" s="7" t="str">
        <f t="shared" si="214"/>
        <v>Australia</v>
      </c>
      <c r="W970" s="7" t="str">
        <f t="shared" si="215"/>
        <v>India</v>
      </c>
      <c r="X970" s="7" t="str">
        <f t="shared" si="216"/>
        <v>Inter-Transaction</v>
      </c>
      <c r="Y970" s="7">
        <f t="shared" si="217"/>
        <v>6220.65</v>
      </c>
      <c r="Z970" s="7">
        <f t="shared" si="218"/>
        <v>71</v>
      </c>
      <c r="AA970" s="7">
        <f t="shared" si="219"/>
        <v>2024</v>
      </c>
      <c r="AB970" s="7">
        <f t="shared" si="220"/>
        <v>3</v>
      </c>
      <c r="AC970" s="7">
        <f t="shared" si="221"/>
        <v>1</v>
      </c>
      <c r="AD970" s="7" t="str">
        <f t="shared" si="222"/>
        <v>No</v>
      </c>
      <c r="AE970" s="7" t="str">
        <f t="shared" si="223"/>
        <v>Normal</v>
      </c>
    </row>
    <row r="971" spans="1:31">
      <c r="A971" t="s">
        <v>2912</v>
      </c>
      <c r="B971">
        <v>87748507</v>
      </c>
      <c r="C971" t="s">
        <v>1421</v>
      </c>
      <c r="D971" t="s">
        <v>1531</v>
      </c>
      <c r="E971" t="s">
        <v>20</v>
      </c>
      <c r="F971" t="s">
        <v>180</v>
      </c>
      <c r="G971" t="s">
        <v>116</v>
      </c>
      <c r="H971" t="s">
        <v>103</v>
      </c>
      <c r="I971" t="s">
        <v>3374</v>
      </c>
      <c r="J971">
        <v>8136.87</v>
      </c>
      <c r="K971" t="s">
        <v>39</v>
      </c>
      <c r="L971" t="s">
        <v>28</v>
      </c>
      <c r="M971" s="1">
        <v>44162.111111111109</v>
      </c>
      <c r="N971">
        <v>31</v>
      </c>
      <c r="O971" t="s">
        <v>62</v>
      </c>
      <c r="P971" t="s">
        <v>55</v>
      </c>
      <c r="Q971" t="s">
        <v>2913</v>
      </c>
      <c r="R971" t="str">
        <f t="shared" si="210"/>
        <v>John Jones</v>
      </c>
      <c r="S971" t="str">
        <f t="shared" si="211"/>
        <v>Carlos Garcia</v>
      </c>
      <c r="T971" t="str">
        <f t="shared" si="212"/>
        <v>zar</v>
      </c>
      <c r="U971" s="7" t="str">
        <f t="shared" si="213"/>
        <v>CHF</v>
      </c>
      <c r="V971" s="7" t="str">
        <f t="shared" si="214"/>
        <v>Australia</v>
      </c>
      <c r="W971" s="7" t="str">
        <f t="shared" si="215"/>
        <v>UK</v>
      </c>
      <c r="X971" s="7" t="str">
        <f t="shared" si="216"/>
        <v>External</v>
      </c>
      <c r="Y971" s="7">
        <f t="shared" si="217"/>
        <v>8136.87</v>
      </c>
      <c r="Z971" s="7">
        <f t="shared" si="218"/>
        <v>31</v>
      </c>
      <c r="AA971" s="7">
        <f t="shared" si="219"/>
        <v>2020</v>
      </c>
      <c r="AB971" s="7">
        <f t="shared" si="220"/>
        <v>11</v>
      </c>
      <c r="AC971" s="7">
        <f t="shared" si="221"/>
        <v>1</v>
      </c>
      <c r="AD971" s="7" t="str">
        <f t="shared" si="222"/>
        <v>No</v>
      </c>
      <c r="AE971" s="7" t="str">
        <f t="shared" si="223"/>
        <v>Normal</v>
      </c>
    </row>
    <row r="972" spans="1:31">
      <c r="A972" t="s">
        <v>2914</v>
      </c>
      <c r="B972">
        <v>37182451</v>
      </c>
      <c r="C972" t="s">
        <v>260</v>
      </c>
      <c r="D972" t="s">
        <v>735</v>
      </c>
      <c r="E972" t="s">
        <v>3373</v>
      </c>
      <c r="F972" t="s">
        <v>98</v>
      </c>
      <c r="G972" t="s">
        <v>98</v>
      </c>
      <c r="H972" t="s">
        <v>103</v>
      </c>
      <c r="I972" t="s">
        <v>3376</v>
      </c>
      <c r="J972">
        <v>981.38</v>
      </c>
      <c r="K972" t="s">
        <v>39</v>
      </c>
      <c r="L972" t="s">
        <v>28</v>
      </c>
      <c r="M972" s="1">
        <v>44381.222916666666</v>
      </c>
      <c r="N972">
        <v>72</v>
      </c>
      <c r="O972" t="s">
        <v>93</v>
      </c>
      <c r="P972" t="s">
        <v>23</v>
      </c>
      <c r="Q972" t="s">
        <v>2915</v>
      </c>
      <c r="R972" t="str">
        <f t="shared" si="210"/>
        <v>Christopher Taylor</v>
      </c>
      <c r="S972" t="str">
        <f t="shared" si="211"/>
        <v>Robert Khan</v>
      </c>
      <c r="T972" t="str">
        <f t="shared" si="212"/>
        <v>JPY</v>
      </c>
      <c r="U972" s="7" t="str">
        <f t="shared" si="213"/>
        <v>JPY</v>
      </c>
      <c r="V972" s="7" t="str">
        <f t="shared" si="214"/>
        <v>USA</v>
      </c>
      <c r="W972" s="7" t="str">
        <f t="shared" si="215"/>
        <v>France</v>
      </c>
      <c r="X972" s="7" t="str">
        <f t="shared" si="216"/>
        <v>Internal</v>
      </c>
      <c r="Y972" s="7">
        <f t="shared" si="217"/>
        <v>981.38</v>
      </c>
      <c r="Z972" s="7">
        <f t="shared" si="218"/>
        <v>72</v>
      </c>
      <c r="AA972" s="7">
        <f t="shared" si="219"/>
        <v>2021</v>
      </c>
      <c r="AB972" s="7">
        <f t="shared" si="220"/>
        <v>7</v>
      </c>
      <c r="AC972" s="7">
        <f t="shared" si="221"/>
        <v>1</v>
      </c>
      <c r="AD972" s="7" t="str">
        <f t="shared" si="222"/>
        <v>No</v>
      </c>
      <c r="AE972" s="7" t="str">
        <f t="shared" si="223"/>
        <v>Normal</v>
      </c>
    </row>
    <row r="973" spans="1:31">
      <c r="A973" t="s">
        <v>2916</v>
      </c>
      <c r="B973">
        <v>45376376</v>
      </c>
      <c r="C973" t="s">
        <v>825</v>
      </c>
      <c r="D973" t="s">
        <v>2917</v>
      </c>
      <c r="E973" t="s">
        <v>20</v>
      </c>
      <c r="F973" t="s">
        <v>80</v>
      </c>
      <c r="G973" t="s">
        <v>21</v>
      </c>
      <c r="I973" t="s">
        <v>3377</v>
      </c>
      <c r="J973">
        <v>2714.3</v>
      </c>
      <c r="K973" t="s">
        <v>27</v>
      </c>
      <c r="L973" t="s">
        <v>28</v>
      </c>
      <c r="M973" s="1">
        <v>45455.862500000003</v>
      </c>
      <c r="N973">
        <v>65</v>
      </c>
      <c r="O973" t="s">
        <v>68</v>
      </c>
      <c r="P973" t="s">
        <v>127</v>
      </c>
      <c r="Q973" t="s">
        <v>2918</v>
      </c>
      <c r="R973" t="str">
        <f t="shared" si="210"/>
        <v>Karen Taylor</v>
      </c>
      <c r="S973" t="str">
        <f t="shared" si="211"/>
        <v>Thomas Wilson</v>
      </c>
      <c r="T973" t="str">
        <f t="shared" si="212"/>
        <v>USD</v>
      </c>
      <c r="U973" s="7" t="str">
        <f t="shared" si="213"/>
        <v>GBP</v>
      </c>
      <c r="V973" s="7" t="str">
        <f t="shared" si="214"/>
        <v>UAE</v>
      </c>
      <c r="W973" s="7" t="str">
        <f t="shared" si="215"/>
        <v>Canada</v>
      </c>
      <c r="X973" s="7" t="str">
        <f t="shared" si="216"/>
        <v>Inter-Transaction</v>
      </c>
      <c r="Y973" s="7">
        <f t="shared" si="217"/>
        <v>2714.3</v>
      </c>
      <c r="Z973" s="7">
        <f t="shared" si="218"/>
        <v>65</v>
      </c>
      <c r="AA973" s="7">
        <f t="shared" si="219"/>
        <v>2024</v>
      </c>
      <c r="AB973" s="7">
        <f t="shared" si="220"/>
        <v>6</v>
      </c>
      <c r="AC973" s="7">
        <f t="shared" si="221"/>
        <v>1</v>
      </c>
      <c r="AD973" s="7" t="str">
        <f t="shared" si="222"/>
        <v>No</v>
      </c>
      <c r="AE973" s="7" t="str">
        <f t="shared" si="223"/>
        <v>Normal</v>
      </c>
    </row>
    <row r="974" spans="1:31">
      <c r="A974" t="s">
        <v>2919</v>
      </c>
      <c r="B974">
        <v>96379228</v>
      </c>
      <c r="C974" t="s">
        <v>2920</v>
      </c>
      <c r="D974" t="s">
        <v>1472</v>
      </c>
      <c r="E974" t="s">
        <v>3375</v>
      </c>
      <c r="F974" t="s">
        <v>98</v>
      </c>
      <c r="G974" t="s">
        <v>21</v>
      </c>
      <c r="I974" t="s">
        <v>3376</v>
      </c>
      <c r="J974">
        <v>559.35</v>
      </c>
      <c r="K974" t="s">
        <v>86</v>
      </c>
      <c r="L974" t="s">
        <v>28</v>
      </c>
      <c r="M974" s="1">
        <v>44772.659722222219</v>
      </c>
      <c r="N974">
        <v>24</v>
      </c>
      <c r="O974" t="s">
        <v>55</v>
      </c>
      <c r="P974" t="s">
        <v>54</v>
      </c>
      <c r="Q974" t="s">
        <v>2921</v>
      </c>
      <c r="R974" t="str">
        <f t="shared" si="210"/>
        <v>JOSEPH MALIK</v>
      </c>
      <c r="S974" t="str">
        <f t="shared" si="211"/>
        <v>Sanjay Silva</v>
      </c>
      <c r="T974" t="str">
        <f t="shared" si="212"/>
        <v>JPY</v>
      </c>
      <c r="U974" s="7" t="str">
        <f t="shared" si="213"/>
        <v>GBP</v>
      </c>
      <c r="V974" s="7" t="str">
        <f t="shared" si="214"/>
        <v>UK</v>
      </c>
      <c r="W974" s="7" t="str">
        <f t="shared" si="215"/>
        <v>India</v>
      </c>
      <c r="X974" s="7" t="str">
        <f t="shared" si="216"/>
        <v>Internal</v>
      </c>
      <c r="Y974" s="7">
        <f t="shared" si="217"/>
        <v>559.35</v>
      </c>
      <c r="Z974" s="7">
        <f t="shared" si="218"/>
        <v>24</v>
      </c>
      <c r="AA974" s="7">
        <f t="shared" si="219"/>
        <v>2022</v>
      </c>
      <c r="AB974" s="7">
        <f t="shared" si="220"/>
        <v>7</v>
      </c>
      <c r="AC974" s="7">
        <f t="shared" si="221"/>
        <v>1</v>
      </c>
      <c r="AD974" s="7" t="str">
        <f t="shared" si="222"/>
        <v>No</v>
      </c>
      <c r="AE974" s="7" t="str">
        <f t="shared" si="223"/>
        <v>Normal</v>
      </c>
    </row>
    <row r="975" spans="1:31">
      <c r="A975" t="s">
        <v>2922</v>
      </c>
      <c r="B975">
        <v>40051846</v>
      </c>
      <c r="C975" t="s">
        <v>1710</v>
      </c>
      <c r="D975" t="s">
        <v>597</v>
      </c>
      <c r="E975" t="s">
        <v>20</v>
      </c>
      <c r="F975" t="s">
        <v>92</v>
      </c>
      <c r="G975" t="s">
        <v>45</v>
      </c>
      <c r="H975" t="s">
        <v>56</v>
      </c>
      <c r="I975" t="s">
        <v>3372</v>
      </c>
      <c r="J975">
        <v>4925.28</v>
      </c>
      <c r="K975" t="s">
        <v>27</v>
      </c>
      <c r="L975" t="s">
        <v>81</v>
      </c>
      <c r="M975" s="1">
        <v>46134.197916666664</v>
      </c>
      <c r="N975">
        <v>24</v>
      </c>
      <c r="O975" t="s">
        <v>36</v>
      </c>
      <c r="P975" t="s">
        <v>37</v>
      </c>
      <c r="Q975" t="s">
        <v>2923</v>
      </c>
      <c r="R975" t="str">
        <f t="shared" si="210"/>
        <v>David Volkov</v>
      </c>
      <c r="S975" t="str">
        <f t="shared" si="211"/>
        <v>Elena Taylor</v>
      </c>
      <c r="T975" t="str">
        <f t="shared" si="212"/>
        <v>AUD</v>
      </c>
      <c r="U975" s="7" t="str">
        <f t="shared" si="213"/>
        <v>ZAR</v>
      </c>
      <c r="V975" s="7" t="str">
        <f t="shared" si="214"/>
        <v>Germany</v>
      </c>
      <c r="W975" s="7" t="str">
        <f t="shared" si="215"/>
        <v>South Africa</v>
      </c>
      <c r="X975" s="7" t="str">
        <f t="shared" si="216"/>
        <v>Outer-Transaction</v>
      </c>
      <c r="Y975" s="7">
        <f t="shared" si="217"/>
        <v>4925.28</v>
      </c>
      <c r="Z975" s="7">
        <f t="shared" si="218"/>
        <v>24</v>
      </c>
      <c r="AA975" s="7">
        <f t="shared" si="219"/>
        <v>2026</v>
      </c>
      <c r="AB975" s="7">
        <f t="shared" si="220"/>
        <v>4</v>
      </c>
      <c r="AC975" s="7">
        <f t="shared" si="221"/>
        <v>1</v>
      </c>
      <c r="AD975" s="7" t="str">
        <f t="shared" si="222"/>
        <v>No</v>
      </c>
      <c r="AE975" s="7" t="str">
        <f t="shared" si="223"/>
        <v>Normal</v>
      </c>
    </row>
    <row r="976" spans="1:31">
      <c r="A976" t="s">
        <v>2924</v>
      </c>
      <c r="B976">
        <v>98342130</v>
      </c>
      <c r="C976" t="s">
        <v>1808</v>
      </c>
      <c r="D976" t="s">
        <v>2925</v>
      </c>
      <c r="E976" t="s">
        <v>20</v>
      </c>
      <c r="F976" t="s">
        <v>393</v>
      </c>
      <c r="G976" t="s">
        <v>45</v>
      </c>
      <c r="H976" t="s">
        <v>74</v>
      </c>
      <c r="I976" t="s">
        <v>3374</v>
      </c>
      <c r="J976">
        <v>1413.28</v>
      </c>
      <c r="K976" t="s">
        <v>39</v>
      </c>
      <c r="L976" t="s">
        <v>48</v>
      </c>
      <c r="M976" s="1">
        <v>44558.69027777778</v>
      </c>
      <c r="N976">
        <v>50</v>
      </c>
      <c r="O976" t="s">
        <v>36</v>
      </c>
      <c r="P976" t="s">
        <v>93</v>
      </c>
      <c r="Q976" t="s">
        <v>2926</v>
      </c>
      <c r="R976" t="str">
        <f t="shared" si="210"/>
        <v>Carlos Volkov</v>
      </c>
      <c r="S976" t="str">
        <f t="shared" si="211"/>
        <v xml:space="preserve"> William Brown   </v>
      </c>
      <c r="T976" t="str">
        <f t="shared" si="212"/>
        <v>cad</v>
      </c>
      <c r="U976" s="7" t="str">
        <f t="shared" si="213"/>
        <v>ZAR</v>
      </c>
      <c r="V976" s="7" t="str">
        <f t="shared" si="214"/>
        <v>Germany</v>
      </c>
      <c r="W976" s="7" t="str">
        <f t="shared" si="215"/>
        <v>USA</v>
      </c>
      <c r="X976" s="7" t="str">
        <f t="shared" si="216"/>
        <v>External</v>
      </c>
      <c r="Y976" s="7">
        <f t="shared" si="217"/>
        <v>1413.28</v>
      </c>
      <c r="Z976" s="7">
        <f t="shared" si="218"/>
        <v>50</v>
      </c>
      <c r="AA976" s="7">
        <f t="shared" si="219"/>
        <v>2021</v>
      </c>
      <c r="AB976" s="7">
        <f t="shared" si="220"/>
        <v>12</v>
      </c>
      <c r="AC976" s="7">
        <f t="shared" si="221"/>
        <v>1</v>
      </c>
      <c r="AD976" s="7" t="str">
        <f t="shared" si="222"/>
        <v>No</v>
      </c>
      <c r="AE976" s="7" t="str">
        <f t="shared" si="223"/>
        <v>Normal</v>
      </c>
    </row>
    <row r="977" spans="1:31">
      <c r="A977" t="s">
        <v>2927</v>
      </c>
      <c r="B977">
        <v>51790477</v>
      </c>
      <c r="C977" t="s">
        <v>596</v>
      </c>
      <c r="D977" t="s">
        <v>1380</v>
      </c>
      <c r="E977">
        <v>1</v>
      </c>
      <c r="F977" t="s">
        <v>45</v>
      </c>
      <c r="G977" t="s">
        <v>22</v>
      </c>
      <c r="H977" t="s">
        <v>25</v>
      </c>
      <c r="I977" t="s">
        <v>3371</v>
      </c>
      <c r="J977">
        <v>6014.94</v>
      </c>
      <c r="K977" t="s">
        <v>39</v>
      </c>
      <c r="L977" t="s">
        <v>28</v>
      </c>
      <c r="M977" s="1">
        <v>44710.135416666664</v>
      </c>
      <c r="N977">
        <v>40</v>
      </c>
      <c r="O977" t="s">
        <v>37</v>
      </c>
      <c r="P977" t="s">
        <v>93</v>
      </c>
      <c r="Q977" t="s">
        <v>2928</v>
      </c>
      <c r="R977" t="str">
        <f t="shared" si="210"/>
        <v>Robert Martinez</v>
      </c>
      <c r="S977" t="str">
        <f t="shared" si="211"/>
        <v>Carlos Thomas</v>
      </c>
      <c r="T977" t="str">
        <f t="shared" si="212"/>
        <v>ZAR</v>
      </c>
      <c r="U977" s="7" t="str">
        <f t="shared" si="213"/>
        <v>BRL</v>
      </c>
      <c r="V977" s="7" t="str">
        <f t="shared" si="214"/>
        <v>South Africa</v>
      </c>
      <c r="W977" s="7" t="str">
        <f t="shared" si="215"/>
        <v>USA</v>
      </c>
      <c r="X977" s="7" t="str">
        <f t="shared" si="216"/>
        <v>Outer-Transaction</v>
      </c>
      <c r="Y977" s="7">
        <f t="shared" si="217"/>
        <v>6014.94</v>
      </c>
      <c r="Z977" s="7">
        <f t="shared" si="218"/>
        <v>40</v>
      </c>
      <c r="AA977" s="7">
        <f t="shared" si="219"/>
        <v>2022</v>
      </c>
      <c r="AB977" s="7">
        <f t="shared" si="220"/>
        <v>5</v>
      </c>
      <c r="AC977" s="7">
        <f t="shared" si="221"/>
        <v>1</v>
      </c>
      <c r="AD977" s="7" t="str">
        <f t="shared" si="222"/>
        <v>No</v>
      </c>
      <c r="AE977" s="7" t="str">
        <f t="shared" si="223"/>
        <v>Normal</v>
      </c>
    </row>
    <row r="978" spans="1:31">
      <c r="A978" t="s">
        <v>2929</v>
      </c>
      <c r="B978">
        <v>70442839</v>
      </c>
      <c r="C978" t="s">
        <v>1091</v>
      </c>
      <c r="D978" t="s">
        <v>2930</v>
      </c>
      <c r="E978" t="s">
        <v>3373</v>
      </c>
      <c r="F978" t="s">
        <v>21</v>
      </c>
      <c r="G978" t="s">
        <v>121</v>
      </c>
      <c r="H978" t="s">
        <v>103</v>
      </c>
      <c r="I978" t="s">
        <v>3378</v>
      </c>
      <c r="J978">
        <v>6186.09</v>
      </c>
      <c r="K978" t="s">
        <v>39</v>
      </c>
      <c r="L978" t="s">
        <v>75</v>
      </c>
      <c r="M978" s="1">
        <v>44479.638888888891</v>
      </c>
      <c r="N978">
        <v>36</v>
      </c>
      <c r="O978" t="s">
        <v>37</v>
      </c>
      <c r="P978" t="s">
        <v>55</v>
      </c>
      <c r="Q978" t="s">
        <v>2931</v>
      </c>
      <c r="R978" t="str">
        <f t="shared" si="210"/>
        <v>Nancy Anderson</v>
      </c>
      <c r="S978" t="str">
        <f t="shared" si="211"/>
        <v>Karen Johnson</v>
      </c>
      <c r="T978" t="str">
        <f t="shared" si="212"/>
        <v>GBP</v>
      </c>
      <c r="U978" s="7" t="str">
        <f t="shared" si="213"/>
        <v>INR</v>
      </c>
      <c r="V978" s="7" t="str">
        <f t="shared" si="214"/>
        <v>South Africa</v>
      </c>
      <c r="W978" s="7" t="str">
        <f t="shared" si="215"/>
        <v>UK</v>
      </c>
      <c r="X978" s="7" t="str">
        <f t="shared" si="216"/>
        <v>Inter-Transaction</v>
      </c>
      <c r="Y978" s="7">
        <f t="shared" si="217"/>
        <v>6186.09</v>
      </c>
      <c r="Z978" s="7">
        <f t="shared" si="218"/>
        <v>36</v>
      </c>
      <c r="AA978" s="7">
        <f t="shared" si="219"/>
        <v>2021</v>
      </c>
      <c r="AB978" s="7">
        <f t="shared" si="220"/>
        <v>10</v>
      </c>
      <c r="AC978" s="7">
        <f t="shared" si="221"/>
        <v>1</v>
      </c>
      <c r="AD978" s="7" t="str">
        <f t="shared" si="222"/>
        <v>No</v>
      </c>
      <c r="AE978" s="7" t="str">
        <f t="shared" si="223"/>
        <v>High Risk</v>
      </c>
    </row>
    <row r="979" spans="1:31">
      <c r="A979" t="s">
        <v>2932</v>
      </c>
      <c r="B979">
        <v>28080813</v>
      </c>
      <c r="C979" t="s">
        <v>836</v>
      </c>
      <c r="D979" t="s">
        <v>89</v>
      </c>
      <c r="E979" t="s">
        <v>3375</v>
      </c>
      <c r="F979" t="s">
        <v>98</v>
      </c>
      <c r="G979" t="s">
        <v>45</v>
      </c>
      <c r="H979" t="s">
        <v>74</v>
      </c>
      <c r="I979" t="s">
        <v>3376</v>
      </c>
      <c r="J979">
        <v>13651.08</v>
      </c>
      <c r="K979" t="s">
        <v>47</v>
      </c>
      <c r="L979" t="s">
        <v>81</v>
      </c>
      <c r="M979" s="1">
        <v>44830.137499999997</v>
      </c>
      <c r="N979">
        <v>36</v>
      </c>
      <c r="O979" t="s">
        <v>62</v>
      </c>
      <c r="P979" t="s">
        <v>54</v>
      </c>
      <c r="Q979" t="s">
        <v>2933</v>
      </c>
      <c r="R979" t="str">
        <f t="shared" si="210"/>
        <v>Nancy Hernandez</v>
      </c>
      <c r="S979" t="str">
        <f t="shared" si="211"/>
        <v>Sarah Miller</v>
      </c>
      <c r="T979" t="str">
        <f t="shared" si="212"/>
        <v>JPY</v>
      </c>
      <c r="U979" s="7" t="str">
        <f t="shared" si="213"/>
        <v>ZAR</v>
      </c>
      <c r="V979" s="7" t="str">
        <f t="shared" si="214"/>
        <v>Australia</v>
      </c>
      <c r="W979" s="7" t="str">
        <f t="shared" si="215"/>
        <v>India</v>
      </c>
      <c r="X979" s="7" t="str">
        <f t="shared" si="216"/>
        <v>Internal</v>
      </c>
      <c r="Y979" s="7">
        <f t="shared" si="217"/>
        <v>13651.08</v>
      </c>
      <c r="Z979" s="7">
        <f t="shared" si="218"/>
        <v>36</v>
      </c>
      <c r="AA979" s="7">
        <f t="shared" si="219"/>
        <v>2022</v>
      </c>
      <c r="AB979" s="7">
        <f t="shared" si="220"/>
        <v>9</v>
      </c>
      <c r="AC979" s="7">
        <f t="shared" si="221"/>
        <v>1</v>
      </c>
      <c r="AD979" s="7" t="str">
        <f t="shared" si="222"/>
        <v>No</v>
      </c>
      <c r="AE979" s="7" t="str">
        <f t="shared" si="223"/>
        <v>Normal</v>
      </c>
    </row>
    <row r="980" spans="1:31">
      <c r="A980" t="s">
        <v>2934</v>
      </c>
      <c r="B980">
        <v>54483342</v>
      </c>
      <c r="D980" t="s">
        <v>236</v>
      </c>
      <c r="E980" t="s">
        <v>20</v>
      </c>
      <c r="F980" t="s">
        <v>45</v>
      </c>
      <c r="G980" t="s">
        <v>21</v>
      </c>
      <c r="I980" t="s">
        <v>3378</v>
      </c>
      <c r="J980">
        <v>1043.9000000000001</v>
      </c>
      <c r="K980" t="s">
        <v>57</v>
      </c>
      <c r="L980" t="s">
        <v>75</v>
      </c>
      <c r="M980" s="1">
        <v>45352.697222222225</v>
      </c>
      <c r="N980">
        <v>53</v>
      </c>
      <c r="O980" t="s">
        <v>62</v>
      </c>
      <c r="P980" t="s">
        <v>68</v>
      </c>
      <c r="Q980" t="s">
        <v>2935</v>
      </c>
      <c r="R980" t="str">
        <f t="shared" si="210"/>
        <v/>
      </c>
      <c r="S980" t="str">
        <f t="shared" si="211"/>
        <v>Priya Rostova</v>
      </c>
      <c r="T980" t="str">
        <f t="shared" si="212"/>
        <v>ZAR</v>
      </c>
      <c r="U980" s="7" t="str">
        <f t="shared" si="213"/>
        <v>GBP</v>
      </c>
      <c r="V980" s="7" t="str">
        <f t="shared" si="214"/>
        <v>Australia</v>
      </c>
      <c r="W980" s="7" t="str">
        <f t="shared" si="215"/>
        <v>UAE</v>
      </c>
      <c r="X980" s="7" t="str">
        <f t="shared" si="216"/>
        <v>Inter-Transaction</v>
      </c>
      <c r="Y980" s="7">
        <f t="shared" si="217"/>
        <v>1043.9000000000001</v>
      </c>
      <c r="Z980" s="7">
        <f t="shared" si="218"/>
        <v>53</v>
      </c>
      <c r="AA980" s="7">
        <f t="shared" si="219"/>
        <v>2024</v>
      </c>
      <c r="AB980" s="7">
        <f t="shared" si="220"/>
        <v>3</v>
      </c>
      <c r="AC980" s="7">
        <f t="shared" si="221"/>
        <v>1</v>
      </c>
      <c r="AD980" s="7" t="str">
        <f t="shared" si="222"/>
        <v>No</v>
      </c>
      <c r="AE980" s="7" t="str">
        <f t="shared" si="223"/>
        <v>High Risk</v>
      </c>
    </row>
    <row r="981" spans="1:31">
      <c r="A981" t="s">
        <v>2936</v>
      </c>
      <c r="D981" t="s">
        <v>1409</v>
      </c>
      <c r="E981" t="s">
        <v>33</v>
      </c>
      <c r="F981" t="s">
        <v>34</v>
      </c>
      <c r="G981" t="s">
        <v>22</v>
      </c>
      <c r="H981" t="s">
        <v>103</v>
      </c>
      <c r="I981" t="s">
        <v>3374</v>
      </c>
      <c r="J981">
        <v>13979.05</v>
      </c>
      <c r="K981" t="s">
        <v>27</v>
      </c>
      <c r="L981" t="s">
        <v>28</v>
      </c>
      <c r="M981" s="1">
        <v>46349.912499999999</v>
      </c>
      <c r="N981">
        <v>46</v>
      </c>
      <c r="O981" t="s">
        <v>54</v>
      </c>
      <c r="P981" t="s">
        <v>24</v>
      </c>
      <c r="Q981" t="s">
        <v>2937</v>
      </c>
      <c r="R981" t="str">
        <f t="shared" si="210"/>
        <v/>
      </c>
      <c r="S981" t="str">
        <f t="shared" si="211"/>
        <v>Joseph Garcia</v>
      </c>
      <c r="T981" t="str">
        <f t="shared" si="212"/>
        <v>CAD</v>
      </c>
      <c r="U981" s="7" t="str">
        <f t="shared" si="213"/>
        <v>BRL</v>
      </c>
      <c r="V981" s="7" t="str">
        <f t="shared" si="214"/>
        <v>India</v>
      </c>
      <c r="W981" s="7" t="str">
        <f t="shared" si="215"/>
        <v>Brazil</v>
      </c>
      <c r="X981" s="7" t="str">
        <f t="shared" si="216"/>
        <v>External</v>
      </c>
      <c r="Y981" s="7">
        <f t="shared" si="217"/>
        <v>13979.05</v>
      </c>
      <c r="Z981" s="7">
        <f t="shared" si="218"/>
        <v>46</v>
      </c>
      <c r="AA981" s="7">
        <f t="shared" si="219"/>
        <v>2026</v>
      </c>
      <c r="AB981" s="7">
        <f t="shared" si="220"/>
        <v>11</v>
      </c>
      <c r="AC981" s="7">
        <f t="shared" si="221"/>
        <v>1</v>
      </c>
      <c r="AD981" s="7" t="str">
        <f t="shared" si="222"/>
        <v>No</v>
      </c>
      <c r="AE981" s="7" t="str">
        <f t="shared" si="223"/>
        <v>Normal</v>
      </c>
    </row>
    <row r="982" spans="1:31">
      <c r="A982" t="s">
        <v>2938</v>
      </c>
      <c r="C982" t="s">
        <v>2101</v>
      </c>
      <c r="D982" t="s">
        <v>685</v>
      </c>
      <c r="E982">
        <v>1</v>
      </c>
      <c r="F982" t="s">
        <v>35</v>
      </c>
      <c r="G982" t="s">
        <v>121</v>
      </c>
      <c r="H982" t="s">
        <v>25</v>
      </c>
      <c r="I982" t="s">
        <v>3374</v>
      </c>
      <c r="J982">
        <v>8866.07</v>
      </c>
      <c r="K982" t="s">
        <v>27</v>
      </c>
      <c r="L982" t="s">
        <v>48</v>
      </c>
      <c r="M982" s="1">
        <v>45443.977083333331</v>
      </c>
      <c r="N982">
        <v>77</v>
      </c>
      <c r="O982" t="s">
        <v>54</v>
      </c>
      <c r="P982" t="s">
        <v>127</v>
      </c>
      <c r="Q982" t="s">
        <v>2939</v>
      </c>
      <c r="R982" t="str">
        <f t="shared" si="210"/>
        <v>Karen Williams</v>
      </c>
      <c r="S982" t="str">
        <f t="shared" si="211"/>
        <v>Sanjay Khan</v>
      </c>
      <c r="T982" t="str">
        <f t="shared" si="212"/>
        <v>EUR</v>
      </c>
      <c r="U982" s="7" t="str">
        <f t="shared" si="213"/>
        <v>INR</v>
      </c>
      <c r="V982" s="7" t="str">
        <f t="shared" si="214"/>
        <v>India</v>
      </c>
      <c r="W982" s="7" t="str">
        <f t="shared" si="215"/>
        <v>Canada</v>
      </c>
      <c r="X982" s="7" t="str">
        <f t="shared" si="216"/>
        <v>External</v>
      </c>
      <c r="Y982" s="7">
        <f t="shared" si="217"/>
        <v>8866.07</v>
      </c>
      <c r="Z982" s="7">
        <f t="shared" si="218"/>
        <v>77</v>
      </c>
      <c r="AA982" s="7">
        <f t="shared" si="219"/>
        <v>2024</v>
      </c>
      <c r="AB982" s="7">
        <f t="shared" si="220"/>
        <v>5</v>
      </c>
      <c r="AC982" s="7">
        <f t="shared" si="221"/>
        <v>1</v>
      </c>
      <c r="AD982" s="7" t="str">
        <f t="shared" si="222"/>
        <v>No</v>
      </c>
      <c r="AE982" s="7" t="str">
        <f t="shared" si="223"/>
        <v>Normal</v>
      </c>
    </row>
    <row r="983" spans="1:31">
      <c r="A983" t="s">
        <v>2940</v>
      </c>
      <c r="B983">
        <v>99179347</v>
      </c>
      <c r="C983" t="s">
        <v>1966</v>
      </c>
      <c r="D983" t="s">
        <v>377</v>
      </c>
      <c r="E983">
        <v>0</v>
      </c>
      <c r="F983" t="s">
        <v>21</v>
      </c>
      <c r="G983" t="s">
        <v>92</v>
      </c>
      <c r="I983" t="s">
        <v>3376</v>
      </c>
      <c r="J983">
        <v>5773.22</v>
      </c>
      <c r="K983" t="s">
        <v>47</v>
      </c>
      <c r="L983" t="s">
        <v>28</v>
      </c>
      <c r="M983" s="1">
        <v>46385.029861111114</v>
      </c>
      <c r="N983">
        <v>19</v>
      </c>
      <c r="O983" t="s">
        <v>68</v>
      </c>
      <c r="P983" t="s">
        <v>37</v>
      </c>
      <c r="Q983" t="s">
        <v>2941</v>
      </c>
      <c r="R983" t="str">
        <f t="shared" si="210"/>
        <v>Sanjay Davis</v>
      </c>
      <c r="S983" t="str">
        <f t="shared" si="211"/>
        <v>William Dubois</v>
      </c>
      <c r="T983" t="str">
        <f t="shared" si="212"/>
        <v>GBP</v>
      </c>
      <c r="U983" s="7" t="str">
        <f t="shared" si="213"/>
        <v>AUD</v>
      </c>
      <c r="V983" s="7" t="str">
        <f t="shared" si="214"/>
        <v>UAE</v>
      </c>
      <c r="W983" s="7" t="str">
        <f t="shared" si="215"/>
        <v>South Africa</v>
      </c>
      <c r="X983" s="7" t="str">
        <f t="shared" si="216"/>
        <v>Internal</v>
      </c>
      <c r="Y983" s="7">
        <f t="shared" si="217"/>
        <v>5773.22</v>
      </c>
      <c r="Z983" s="7">
        <f t="shared" si="218"/>
        <v>19</v>
      </c>
      <c r="AA983" s="7">
        <f t="shared" si="219"/>
        <v>2026</v>
      </c>
      <c r="AB983" s="7">
        <f t="shared" si="220"/>
        <v>12</v>
      </c>
      <c r="AC983" s="7">
        <f t="shared" si="221"/>
        <v>1</v>
      </c>
      <c r="AD983" s="7" t="str">
        <f t="shared" si="222"/>
        <v>No</v>
      </c>
      <c r="AE983" s="7" t="str">
        <f t="shared" si="223"/>
        <v>Normal</v>
      </c>
    </row>
    <row r="984" spans="1:31">
      <c r="A984" t="s">
        <v>2942</v>
      </c>
      <c r="B984">
        <v>10200744</v>
      </c>
      <c r="C984" t="s">
        <v>983</v>
      </c>
      <c r="D984" t="s">
        <v>544</v>
      </c>
      <c r="E984">
        <v>0</v>
      </c>
      <c r="F984" t="s">
        <v>53</v>
      </c>
      <c r="G984" t="s">
        <v>21</v>
      </c>
      <c r="I984" t="s">
        <v>3374</v>
      </c>
      <c r="J984">
        <v>14682.94</v>
      </c>
      <c r="K984" t="s">
        <v>57</v>
      </c>
      <c r="L984" t="s">
        <v>28</v>
      </c>
      <c r="M984" s="1">
        <v>44840.154166666667</v>
      </c>
      <c r="N984">
        <v>18</v>
      </c>
      <c r="O984" t="s">
        <v>54</v>
      </c>
      <c r="P984" t="s">
        <v>23</v>
      </c>
      <c r="Q984" t="s">
        <v>2943</v>
      </c>
      <c r="R984" t="str">
        <f t="shared" si="210"/>
        <v>Michael Hernandez</v>
      </c>
      <c r="S984" t="str">
        <f t="shared" si="211"/>
        <v>Fatima Gonzalez</v>
      </c>
      <c r="T984" t="str">
        <f t="shared" si="212"/>
        <v>AED</v>
      </c>
      <c r="U984" s="7" t="str">
        <f t="shared" si="213"/>
        <v>GBP</v>
      </c>
      <c r="V984" s="7" t="str">
        <f t="shared" si="214"/>
        <v>India</v>
      </c>
      <c r="W984" s="7" t="str">
        <f t="shared" si="215"/>
        <v>France</v>
      </c>
      <c r="X984" s="7" t="str">
        <f t="shared" si="216"/>
        <v>External</v>
      </c>
      <c r="Y984" s="7">
        <f t="shared" si="217"/>
        <v>14682.94</v>
      </c>
      <c r="Z984" s="7">
        <f t="shared" si="218"/>
        <v>18</v>
      </c>
      <c r="AA984" s="7">
        <f t="shared" si="219"/>
        <v>2022</v>
      </c>
      <c r="AB984" s="7">
        <f t="shared" si="220"/>
        <v>10</v>
      </c>
      <c r="AC984" s="7">
        <f t="shared" si="221"/>
        <v>1</v>
      </c>
      <c r="AD984" s="7" t="str">
        <f t="shared" si="222"/>
        <v>No</v>
      </c>
      <c r="AE984" s="7" t="str">
        <f t="shared" si="223"/>
        <v>Normal</v>
      </c>
    </row>
    <row r="985" spans="1:31">
      <c r="A985" t="s">
        <v>2944</v>
      </c>
      <c r="B985">
        <v>22587924</v>
      </c>
      <c r="C985" t="s">
        <v>2218</v>
      </c>
      <c r="D985" t="s">
        <v>986</v>
      </c>
      <c r="E985" t="s">
        <v>20</v>
      </c>
      <c r="F985" t="s">
        <v>21</v>
      </c>
      <c r="G985" t="s">
        <v>45</v>
      </c>
      <c r="H985" t="s">
        <v>74</v>
      </c>
      <c r="I985" t="s">
        <v>3371</v>
      </c>
      <c r="J985">
        <v>11655.19</v>
      </c>
      <c r="K985" t="s">
        <v>57</v>
      </c>
      <c r="L985" t="s">
        <v>28</v>
      </c>
      <c r="M985" s="1">
        <v>45381.167361111111</v>
      </c>
      <c r="N985">
        <v>64</v>
      </c>
      <c r="O985" t="s">
        <v>55</v>
      </c>
      <c r="P985" t="s">
        <v>68</v>
      </c>
      <c r="Q985" t="s">
        <v>2945</v>
      </c>
      <c r="R985" t="str">
        <f t="shared" si="210"/>
        <v>Sarah Malik</v>
      </c>
      <c r="S985" t="str">
        <f t="shared" si="211"/>
        <v>Thomas Martin</v>
      </c>
      <c r="T985" t="str">
        <f t="shared" si="212"/>
        <v>GBP</v>
      </c>
      <c r="U985" s="7" t="str">
        <f t="shared" si="213"/>
        <v>ZAR</v>
      </c>
      <c r="V985" s="7" t="str">
        <f t="shared" si="214"/>
        <v>UK</v>
      </c>
      <c r="W985" s="7" t="str">
        <f t="shared" si="215"/>
        <v>UAE</v>
      </c>
      <c r="X985" s="7" t="str">
        <f t="shared" si="216"/>
        <v>Outer-Transaction</v>
      </c>
      <c r="Y985" s="7">
        <f t="shared" si="217"/>
        <v>11655.19</v>
      </c>
      <c r="Z985" s="7">
        <f t="shared" si="218"/>
        <v>64</v>
      </c>
      <c r="AA985" s="7">
        <f t="shared" si="219"/>
        <v>2024</v>
      </c>
      <c r="AB985" s="7">
        <f t="shared" si="220"/>
        <v>3</v>
      </c>
      <c r="AC985" s="7">
        <f t="shared" si="221"/>
        <v>1</v>
      </c>
      <c r="AD985" s="7" t="str">
        <f t="shared" si="222"/>
        <v>No</v>
      </c>
      <c r="AE985" s="7" t="str">
        <f t="shared" si="223"/>
        <v>Normal</v>
      </c>
    </row>
    <row r="986" spans="1:31">
      <c r="A986" t="s">
        <v>2946</v>
      </c>
      <c r="B986">
        <v>24769811</v>
      </c>
      <c r="C986" t="s">
        <v>678</v>
      </c>
      <c r="D986" t="s">
        <v>1911</v>
      </c>
      <c r="E986" t="s">
        <v>3375</v>
      </c>
      <c r="F986" t="s">
        <v>160</v>
      </c>
      <c r="G986" t="s">
        <v>121</v>
      </c>
      <c r="H986" t="s">
        <v>38</v>
      </c>
      <c r="I986" t="s">
        <v>3374</v>
      </c>
      <c r="J986">
        <v>5029.4799999999996</v>
      </c>
      <c r="K986" t="s">
        <v>27</v>
      </c>
      <c r="L986" t="s">
        <v>48</v>
      </c>
      <c r="M986" s="1">
        <v>44634.693749999999</v>
      </c>
      <c r="N986">
        <v>37</v>
      </c>
      <c r="O986" t="s">
        <v>55</v>
      </c>
      <c r="P986" t="s">
        <v>36</v>
      </c>
      <c r="Q986" t="s">
        <v>2947</v>
      </c>
      <c r="R986" t="str">
        <f t="shared" si="210"/>
        <v>Karen Gonzalez</v>
      </c>
      <c r="S986" t="str">
        <f t="shared" si="211"/>
        <v>Elizabeth Thomas</v>
      </c>
      <c r="T986" t="str">
        <f t="shared" si="212"/>
        <v>aud</v>
      </c>
      <c r="U986" s="7" t="str">
        <f t="shared" si="213"/>
        <v>INR</v>
      </c>
      <c r="V986" s="7" t="str">
        <f t="shared" si="214"/>
        <v>UK</v>
      </c>
      <c r="W986" s="7" t="str">
        <f t="shared" si="215"/>
        <v>Germany</v>
      </c>
      <c r="X986" s="7" t="str">
        <f t="shared" si="216"/>
        <v>External</v>
      </c>
      <c r="Y986" s="7">
        <f t="shared" si="217"/>
        <v>5029.4799999999996</v>
      </c>
      <c r="Z986" s="7">
        <f t="shared" si="218"/>
        <v>37</v>
      </c>
      <c r="AA986" s="7">
        <f t="shared" si="219"/>
        <v>2022</v>
      </c>
      <c r="AB986" s="7">
        <f t="shared" si="220"/>
        <v>3</v>
      </c>
      <c r="AC986" s="7">
        <f t="shared" si="221"/>
        <v>1</v>
      </c>
      <c r="AD986" s="7" t="str">
        <f t="shared" si="222"/>
        <v>No</v>
      </c>
      <c r="AE986" s="7" t="str">
        <f t="shared" si="223"/>
        <v>Normal</v>
      </c>
    </row>
    <row r="987" spans="1:31">
      <c r="A987" t="s">
        <v>2948</v>
      </c>
      <c r="B987">
        <v>83494016</v>
      </c>
      <c r="C987" t="s">
        <v>809</v>
      </c>
      <c r="D987" t="s">
        <v>2152</v>
      </c>
      <c r="E987" t="s">
        <v>3375</v>
      </c>
      <c r="F987" t="s">
        <v>34</v>
      </c>
      <c r="G987" t="s">
        <v>35</v>
      </c>
      <c r="H987" t="s">
        <v>103</v>
      </c>
      <c r="I987" t="s">
        <v>3374</v>
      </c>
      <c r="J987">
        <v>3844.71</v>
      </c>
      <c r="K987" t="s">
        <v>27</v>
      </c>
      <c r="L987" t="s">
        <v>81</v>
      </c>
      <c r="M987" s="1">
        <v>44044.222222222219</v>
      </c>
      <c r="N987">
        <v>28</v>
      </c>
      <c r="O987" t="s">
        <v>36</v>
      </c>
      <c r="P987" t="s">
        <v>68</v>
      </c>
      <c r="Q987" t="s">
        <v>2949</v>
      </c>
      <c r="R987" t="str">
        <f t="shared" si="210"/>
        <v>Richard Smith</v>
      </c>
      <c r="S987" t="str">
        <f t="shared" si="211"/>
        <v>Linda Al-Sayed</v>
      </c>
      <c r="T987" t="str">
        <f t="shared" si="212"/>
        <v>CAD</v>
      </c>
      <c r="U987" s="7" t="str">
        <f t="shared" si="213"/>
        <v>EUR</v>
      </c>
      <c r="V987" s="7" t="str">
        <f t="shared" si="214"/>
        <v>Germany</v>
      </c>
      <c r="W987" s="7" t="str">
        <f t="shared" si="215"/>
        <v>UAE</v>
      </c>
      <c r="X987" s="7" t="str">
        <f t="shared" si="216"/>
        <v>External</v>
      </c>
      <c r="Y987" s="7">
        <f t="shared" si="217"/>
        <v>3844.71</v>
      </c>
      <c r="Z987" s="7">
        <f t="shared" si="218"/>
        <v>28</v>
      </c>
      <c r="AA987" s="7">
        <f t="shared" si="219"/>
        <v>2020</v>
      </c>
      <c r="AB987" s="7">
        <f t="shared" si="220"/>
        <v>8</v>
      </c>
      <c r="AC987" s="7">
        <f t="shared" si="221"/>
        <v>1</v>
      </c>
      <c r="AD987" s="7" t="str">
        <f t="shared" si="222"/>
        <v>No</v>
      </c>
      <c r="AE987" s="7" t="str">
        <f t="shared" si="223"/>
        <v>Normal</v>
      </c>
    </row>
    <row r="988" spans="1:31">
      <c r="A988" t="s">
        <v>2950</v>
      </c>
      <c r="B988">
        <v>18872420</v>
      </c>
      <c r="C988" t="s">
        <v>1933</v>
      </c>
      <c r="D988" t="s">
        <v>2951</v>
      </c>
      <c r="E988" t="s">
        <v>20</v>
      </c>
      <c r="G988" t="s">
        <v>22</v>
      </c>
      <c r="I988" t="s">
        <v>3377</v>
      </c>
      <c r="J988">
        <v>3918.11</v>
      </c>
      <c r="K988" t="s">
        <v>27</v>
      </c>
      <c r="L988" t="s">
        <v>81</v>
      </c>
      <c r="M988" s="1">
        <v>43999.341666666667</v>
      </c>
      <c r="N988">
        <v>19</v>
      </c>
      <c r="O988" t="s">
        <v>24</v>
      </c>
      <c r="P988" t="s">
        <v>55</v>
      </c>
      <c r="Q988" t="s">
        <v>2952</v>
      </c>
      <c r="R988" t="str">
        <f t="shared" si="210"/>
        <v>David Souza</v>
      </c>
      <c r="S988" t="str">
        <f t="shared" si="211"/>
        <v>Susan Rodriguez</v>
      </c>
      <c r="T988" t="str">
        <f t="shared" si="212"/>
        <v/>
      </c>
      <c r="U988" s="7" t="str">
        <f t="shared" si="213"/>
        <v>BRL</v>
      </c>
      <c r="V988" s="7" t="str">
        <f t="shared" si="214"/>
        <v>Brazil</v>
      </c>
      <c r="W988" s="7" t="str">
        <f t="shared" si="215"/>
        <v>UK</v>
      </c>
      <c r="X988" s="7" t="str">
        <f t="shared" si="216"/>
        <v>Inter-Transaction</v>
      </c>
      <c r="Y988" s="7">
        <f t="shared" si="217"/>
        <v>3918.11</v>
      </c>
      <c r="Z988" s="7">
        <f t="shared" si="218"/>
        <v>19</v>
      </c>
      <c r="AA988" s="7">
        <f t="shared" si="219"/>
        <v>2020</v>
      </c>
      <c r="AB988" s="7">
        <f t="shared" si="220"/>
        <v>6</v>
      </c>
      <c r="AC988" s="7">
        <f t="shared" si="221"/>
        <v>1</v>
      </c>
      <c r="AD988" s="7" t="str">
        <f t="shared" si="222"/>
        <v>No</v>
      </c>
      <c r="AE988" s="7" t="str">
        <f t="shared" si="223"/>
        <v>Normal</v>
      </c>
    </row>
    <row r="989" spans="1:31">
      <c r="A989" t="s">
        <v>2953</v>
      </c>
      <c r="B989">
        <v>42730364</v>
      </c>
      <c r="C989" t="s">
        <v>2954</v>
      </c>
      <c r="D989" t="s">
        <v>1787</v>
      </c>
      <c r="E989" t="s">
        <v>20</v>
      </c>
      <c r="F989" t="s">
        <v>294</v>
      </c>
      <c r="G989" t="s">
        <v>121</v>
      </c>
      <c r="I989" t="s">
        <v>3376</v>
      </c>
      <c r="J989">
        <v>7211.54</v>
      </c>
      <c r="K989" t="s">
        <v>47</v>
      </c>
      <c r="L989" t="s">
        <v>28</v>
      </c>
      <c r="M989" s="1">
        <v>44808.427083333336</v>
      </c>
      <c r="N989">
        <v>84</v>
      </c>
      <c r="O989" t="s">
        <v>55</v>
      </c>
      <c r="P989" t="s">
        <v>127</v>
      </c>
      <c r="Q989" t="s">
        <v>2955</v>
      </c>
      <c r="R989" t="str">
        <f t="shared" si="210"/>
        <v>THOMAS THOMAS</v>
      </c>
      <c r="S989" t="str">
        <f t="shared" si="211"/>
        <v>Sanjay Wilson</v>
      </c>
      <c r="T989" t="str">
        <f t="shared" si="212"/>
        <v>jpy</v>
      </c>
      <c r="U989" s="7" t="str">
        <f t="shared" si="213"/>
        <v>INR</v>
      </c>
      <c r="V989" s="7" t="str">
        <f t="shared" si="214"/>
        <v>UK</v>
      </c>
      <c r="W989" s="7" t="str">
        <f t="shared" si="215"/>
        <v>Canada</v>
      </c>
      <c r="X989" s="7" t="str">
        <f t="shared" si="216"/>
        <v>Internal</v>
      </c>
      <c r="Y989" s="7">
        <f t="shared" si="217"/>
        <v>7211.54</v>
      </c>
      <c r="Z989" s="7">
        <f t="shared" si="218"/>
        <v>84</v>
      </c>
      <c r="AA989" s="7">
        <f t="shared" si="219"/>
        <v>2022</v>
      </c>
      <c r="AB989" s="7">
        <f t="shared" si="220"/>
        <v>9</v>
      </c>
      <c r="AC989" s="7">
        <f t="shared" si="221"/>
        <v>1</v>
      </c>
      <c r="AD989" s="7" t="str">
        <f t="shared" si="222"/>
        <v>No</v>
      </c>
      <c r="AE989" s="7" t="str">
        <f t="shared" si="223"/>
        <v>Normal</v>
      </c>
    </row>
    <row r="990" spans="1:31">
      <c r="A990" t="s">
        <v>2956</v>
      </c>
      <c r="B990">
        <v>94732636</v>
      </c>
      <c r="D990" t="s">
        <v>167</v>
      </c>
      <c r="E990" t="s">
        <v>3375</v>
      </c>
      <c r="F990" t="s">
        <v>35</v>
      </c>
      <c r="G990" t="s">
        <v>98</v>
      </c>
      <c r="H990" t="s">
        <v>103</v>
      </c>
      <c r="I990" t="s">
        <v>3371</v>
      </c>
      <c r="J990">
        <v>4966.72</v>
      </c>
      <c r="K990" t="s">
        <v>39</v>
      </c>
      <c r="L990" t="s">
        <v>28</v>
      </c>
      <c r="M990" s="1">
        <v>45159.665277777778</v>
      </c>
      <c r="N990">
        <v>29</v>
      </c>
      <c r="O990" t="s">
        <v>127</v>
      </c>
      <c r="P990" t="s">
        <v>62</v>
      </c>
      <c r="Q990" t="s">
        <v>2957</v>
      </c>
      <c r="R990" t="str">
        <f t="shared" si="210"/>
        <v/>
      </c>
      <c r="S990" t="str">
        <f t="shared" si="211"/>
        <v>John Thomas</v>
      </c>
      <c r="T990" t="str">
        <f t="shared" si="212"/>
        <v>EUR</v>
      </c>
      <c r="U990" s="7" t="str">
        <f t="shared" si="213"/>
        <v>JPY</v>
      </c>
      <c r="V990" s="7" t="str">
        <f t="shared" si="214"/>
        <v>Canada</v>
      </c>
      <c r="W990" s="7" t="str">
        <f t="shared" si="215"/>
        <v>Australia</v>
      </c>
      <c r="X990" s="7" t="str">
        <f t="shared" si="216"/>
        <v>Outer-Transaction</v>
      </c>
      <c r="Y990" s="7">
        <f t="shared" si="217"/>
        <v>4966.72</v>
      </c>
      <c r="Z990" s="7">
        <f t="shared" si="218"/>
        <v>29</v>
      </c>
      <c r="AA990" s="7">
        <f t="shared" si="219"/>
        <v>2023</v>
      </c>
      <c r="AB990" s="7">
        <f t="shared" si="220"/>
        <v>8</v>
      </c>
      <c r="AC990" s="7">
        <f t="shared" si="221"/>
        <v>1</v>
      </c>
      <c r="AD990" s="7" t="str">
        <f t="shared" si="222"/>
        <v>No</v>
      </c>
      <c r="AE990" s="7" t="str">
        <f t="shared" si="223"/>
        <v>Normal</v>
      </c>
    </row>
    <row r="991" spans="1:31">
      <c r="A991" t="s">
        <v>2958</v>
      </c>
      <c r="B991">
        <v>19677366</v>
      </c>
      <c r="C991" t="s">
        <v>2951</v>
      </c>
      <c r="D991" t="s">
        <v>1021</v>
      </c>
      <c r="E991" t="s">
        <v>33</v>
      </c>
      <c r="F991" t="s">
        <v>112</v>
      </c>
      <c r="G991" t="s">
        <v>160</v>
      </c>
      <c r="H991" t="s">
        <v>103</v>
      </c>
      <c r="I991" t="s">
        <v>3374</v>
      </c>
      <c r="J991">
        <v>10373.82</v>
      </c>
      <c r="K991" t="s">
        <v>57</v>
      </c>
      <c r="L991" t="s">
        <v>28</v>
      </c>
      <c r="M991" s="1">
        <v>43976.070138888892</v>
      </c>
      <c r="N991">
        <v>37</v>
      </c>
      <c r="O991" t="s">
        <v>62</v>
      </c>
      <c r="P991" t="s">
        <v>62</v>
      </c>
      <c r="Q991" t="s">
        <v>2959</v>
      </c>
      <c r="R991" t="str">
        <f t="shared" si="210"/>
        <v>Susan Rodriguez</v>
      </c>
      <c r="S991" t="str">
        <f t="shared" si="211"/>
        <v>Linda Rostova</v>
      </c>
      <c r="T991" t="str">
        <f t="shared" si="212"/>
        <v>usd</v>
      </c>
      <c r="U991" s="7" t="str">
        <f t="shared" si="213"/>
        <v>aud</v>
      </c>
      <c r="V991" s="7" t="str">
        <f t="shared" si="214"/>
        <v>Australia</v>
      </c>
      <c r="W991" s="7" t="str">
        <f t="shared" si="215"/>
        <v>Australia</v>
      </c>
      <c r="X991" s="7" t="str">
        <f t="shared" si="216"/>
        <v>External</v>
      </c>
      <c r="Y991" s="7">
        <f t="shared" si="217"/>
        <v>10373.82</v>
      </c>
      <c r="Z991" s="7">
        <f t="shared" si="218"/>
        <v>37</v>
      </c>
      <c r="AA991" s="7">
        <f t="shared" si="219"/>
        <v>2020</v>
      </c>
      <c r="AB991" s="7">
        <f t="shared" si="220"/>
        <v>5</v>
      </c>
      <c r="AC991" s="7">
        <f t="shared" si="221"/>
        <v>1</v>
      </c>
      <c r="AD991" s="7" t="str">
        <f t="shared" si="222"/>
        <v>No</v>
      </c>
      <c r="AE991" s="7" t="str">
        <f t="shared" si="223"/>
        <v>Normal</v>
      </c>
    </row>
    <row r="992" spans="1:31">
      <c r="A992" t="s">
        <v>2960</v>
      </c>
      <c r="B992">
        <v>23837417</v>
      </c>
      <c r="C992" t="s">
        <v>1319</v>
      </c>
      <c r="D992" t="s">
        <v>1483</v>
      </c>
      <c r="E992" t="s">
        <v>33</v>
      </c>
      <c r="F992" t="s">
        <v>1084</v>
      </c>
      <c r="G992" t="s">
        <v>21</v>
      </c>
      <c r="I992" t="s">
        <v>3376</v>
      </c>
      <c r="J992">
        <v>2118.34</v>
      </c>
      <c r="K992" t="s">
        <v>47</v>
      </c>
      <c r="L992" t="s">
        <v>48</v>
      </c>
      <c r="M992" s="1">
        <v>45629.463194444441</v>
      </c>
      <c r="N992">
        <v>22</v>
      </c>
      <c r="O992" t="s">
        <v>37</v>
      </c>
      <c r="P992" t="s">
        <v>54</v>
      </c>
      <c r="Q992" t="s">
        <v>2961</v>
      </c>
      <c r="R992" t="str">
        <f t="shared" si="210"/>
        <v>Richard Williams</v>
      </c>
      <c r="S992" t="str">
        <f t="shared" si="211"/>
        <v>David Hernandez</v>
      </c>
      <c r="T992" t="str">
        <f t="shared" si="212"/>
        <v>chf</v>
      </c>
      <c r="U992" s="7" t="str">
        <f t="shared" si="213"/>
        <v>GBP</v>
      </c>
      <c r="V992" s="7" t="str">
        <f t="shared" si="214"/>
        <v>South Africa</v>
      </c>
      <c r="W992" s="7" t="str">
        <f t="shared" si="215"/>
        <v>India</v>
      </c>
      <c r="X992" s="7" t="str">
        <f t="shared" si="216"/>
        <v>Internal</v>
      </c>
      <c r="Y992" s="7">
        <f t="shared" si="217"/>
        <v>2118.34</v>
      </c>
      <c r="Z992" s="7">
        <f t="shared" si="218"/>
        <v>22</v>
      </c>
      <c r="AA992" s="7">
        <f t="shared" si="219"/>
        <v>2024</v>
      </c>
      <c r="AB992" s="7">
        <f t="shared" si="220"/>
        <v>12</v>
      </c>
      <c r="AC992" s="7">
        <f t="shared" si="221"/>
        <v>1</v>
      </c>
      <c r="AD992" s="7" t="str">
        <f t="shared" si="222"/>
        <v>No</v>
      </c>
      <c r="AE992" s="7" t="str">
        <f t="shared" si="223"/>
        <v>Normal</v>
      </c>
    </row>
    <row r="993" spans="1:31">
      <c r="A993" t="s">
        <v>2962</v>
      </c>
      <c r="B993">
        <v>60704870</v>
      </c>
      <c r="C993" t="s">
        <v>939</v>
      </c>
      <c r="D993" t="s">
        <v>1465</v>
      </c>
      <c r="E993">
        <v>1</v>
      </c>
      <c r="F993" t="s">
        <v>22</v>
      </c>
      <c r="G993" t="s">
        <v>116</v>
      </c>
      <c r="H993" t="s">
        <v>74</v>
      </c>
      <c r="I993" t="s">
        <v>3371</v>
      </c>
      <c r="J993">
        <v>8642.3799999999992</v>
      </c>
      <c r="K993" t="s">
        <v>47</v>
      </c>
      <c r="L993" t="s">
        <v>48</v>
      </c>
      <c r="M993" s="1">
        <v>44346.445138888892</v>
      </c>
      <c r="N993">
        <v>54</v>
      </c>
      <c r="O993" t="s">
        <v>54</v>
      </c>
      <c r="P993" t="s">
        <v>54</v>
      </c>
      <c r="Q993" t="s">
        <v>2963</v>
      </c>
      <c r="R993" t="str">
        <f t="shared" si="210"/>
        <v>Michael Nair</v>
      </c>
      <c r="S993" t="str">
        <f t="shared" si="211"/>
        <v>John Brown</v>
      </c>
      <c r="T993" t="str">
        <f t="shared" si="212"/>
        <v>BRL</v>
      </c>
      <c r="U993" s="7" t="str">
        <f t="shared" si="213"/>
        <v>CHF</v>
      </c>
      <c r="V993" s="7" t="str">
        <f t="shared" si="214"/>
        <v>India</v>
      </c>
      <c r="W993" s="7" t="str">
        <f t="shared" si="215"/>
        <v>India</v>
      </c>
      <c r="X993" s="7" t="str">
        <f t="shared" si="216"/>
        <v>Outer-Transaction</v>
      </c>
      <c r="Y993" s="7">
        <f t="shared" si="217"/>
        <v>8642.3799999999992</v>
      </c>
      <c r="Z993" s="7">
        <f t="shared" si="218"/>
        <v>54</v>
      </c>
      <c r="AA993" s="7">
        <f t="shared" si="219"/>
        <v>2021</v>
      </c>
      <c r="AB993" s="7">
        <f t="shared" si="220"/>
        <v>5</v>
      </c>
      <c r="AC993" s="7">
        <f t="shared" si="221"/>
        <v>1</v>
      </c>
      <c r="AD993" s="7" t="str">
        <f t="shared" si="222"/>
        <v>No</v>
      </c>
      <c r="AE993" s="7" t="str">
        <f t="shared" si="223"/>
        <v>Normal</v>
      </c>
    </row>
    <row r="994" spans="1:31">
      <c r="A994" t="s">
        <v>2964</v>
      </c>
      <c r="B994">
        <v>55034753</v>
      </c>
      <c r="C994" t="s">
        <v>192</v>
      </c>
      <c r="D994" t="s">
        <v>1056</v>
      </c>
      <c r="E994" t="s">
        <v>20</v>
      </c>
      <c r="F994" t="s">
        <v>21</v>
      </c>
      <c r="G994" t="s">
        <v>121</v>
      </c>
      <c r="H994" t="s">
        <v>56</v>
      </c>
      <c r="I994" t="s">
        <v>3377</v>
      </c>
      <c r="J994">
        <v>2607.21</v>
      </c>
      <c r="K994" t="s">
        <v>27</v>
      </c>
      <c r="L994" t="s">
        <v>81</v>
      </c>
      <c r="M994" s="1">
        <v>44283.538888888892</v>
      </c>
      <c r="N994">
        <v>55</v>
      </c>
      <c r="O994" t="s">
        <v>36</v>
      </c>
      <c r="P994" t="s">
        <v>55</v>
      </c>
      <c r="Q994" t="s">
        <v>2965</v>
      </c>
      <c r="R994" t="str">
        <f t="shared" si="210"/>
        <v>Amir Malik</v>
      </c>
      <c r="S994" t="str">
        <f t="shared" si="211"/>
        <v>Jessica Velez</v>
      </c>
      <c r="T994" t="str">
        <f t="shared" si="212"/>
        <v>GBP</v>
      </c>
      <c r="U994" s="7" t="str">
        <f t="shared" si="213"/>
        <v>INR</v>
      </c>
      <c r="V994" s="7" t="str">
        <f t="shared" si="214"/>
        <v>Germany</v>
      </c>
      <c r="W994" s="7" t="str">
        <f t="shared" si="215"/>
        <v>UK</v>
      </c>
      <c r="X994" s="7" t="str">
        <f t="shared" si="216"/>
        <v>Inter-Transaction</v>
      </c>
      <c r="Y994" s="7">
        <f t="shared" si="217"/>
        <v>2607.21</v>
      </c>
      <c r="Z994" s="7">
        <f t="shared" si="218"/>
        <v>55</v>
      </c>
      <c r="AA994" s="7">
        <f t="shared" si="219"/>
        <v>2021</v>
      </c>
      <c r="AB994" s="7">
        <f t="shared" si="220"/>
        <v>3</v>
      </c>
      <c r="AC994" s="7">
        <f t="shared" si="221"/>
        <v>1</v>
      </c>
      <c r="AD994" s="7" t="str">
        <f t="shared" si="222"/>
        <v>No</v>
      </c>
      <c r="AE994" s="7" t="str">
        <f t="shared" si="223"/>
        <v>Normal</v>
      </c>
    </row>
    <row r="995" spans="1:31">
      <c r="A995" t="s">
        <v>2966</v>
      </c>
      <c r="B995">
        <v>95450709</v>
      </c>
      <c r="C995" t="s">
        <v>797</v>
      </c>
      <c r="D995" t="s">
        <v>164</v>
      </c>
      <c r="E995" t="s">
        <v>3373</v>
      </c>
      <c r="F995" t="s">
        <v>121</v>
      </c>
      <c r="G995" t="s">
        <v>53</v>
      </c>
      <c r="H995" t="s">
        <v>74</v>
      </c>
      <c r="I995" t="s">
        <v>3378</v>
      </c>
      <c r="J995">
        <v>6077.44</v>
      </c>
      <c r="K995" t="s">
        <v>86</v>
      </c>
      <c r="L995" t="s">
        <v>75</v>
      </c>
      <c r="M995" s="1">
        <v>43890.693055555559</v>
      </c>
      <c r="N995">
        <v>26</v>
      </c>
      <c r="O995" t="s">
        <v>93</v>
      </c>
      <c r="P995" t="s">
        <v>23</v>
      </c>
      <c r="Q995" t="s">
        <v>2967</v>
      </c>
      <c r="R995" t="str">
        <f t="shared" si="210"/>
        <v>Marta Thomas</v>
      </c>
      <c r="S995" t="str">
        <f t="shared" si="211"/>
        <v>Sanjay Volkov</v>
      </c>
      <c r="T995" t="str">
        <f t="shared" si="212"/>
        <v>INR</v>
      </c>
      <c r="U995" s="7" t="str">
        <f t="shared" si="213"/>
        <v>AED</v>
      </c>
      <c r="V995" s="7" t="str">
        <f t="shared" si="214"/>
        <v>USA</v>
      </c>
      <c r="W995" s="7" t="str">
        <f t="shared" si="215"/>
        <v>France</v>
      </c>
      <c r="X995" s="7" t="str">
        <f t="shared" si="216"/>
        <v>Inter-Transaction</v>
      </c>
      <c r="Y995" s="7">
        <f t="shared" si="217"/>
        <v>6077.44</v>
      </c>
      <c r="Z995" s="7">
        <f t="shared" si="218"/>
        <v>26</v>
      </c>
      <c r="AA995" s="7">
        <f t="shared" si="219"/>
        <v>2020</v>
      </c>
      <c r="AB995" s="7">
        <f t="shared" si="220"/>
        <v>2</v>
      </c>
      <c r="AC995" s="7">
        <f t="shared" si="221"/>
        <v>1</v>
      </c>
      <c r="AD995" s="7" t="str">
        <f t="shared" si="222"/>
        <v>No</v>
      </c>
      <c r="AE995" s="7" t="str">
        <f t="shared" si="223"/>
        <v>High Risk</v>
      </c>
    </row>
    <row r="996" spans="1:31">
      <c r="A996" t="s">
        <v>2968</v>
      </c>
      <c r="B996">
        <v>31166948</v>
      </c>
      <c r="C996" t="s">
        <v>2461</v>
      </c>
      <c r="D996" t="s">
        <v>208</v>
      </c>
      <c r="E996" t="s">
        <v>20</v>
      </c>
      <c r="F996" t="s">
        <v>80</v>
      </c>
      <c r="G996" t="s">
        <v>116</v>
      </c>
      <c r="H996" t="s">
        <v>74</v>
      </c>
      <c r="I996" t="s">
        <v>3371</v>
      </c>
      <c r="J996">
        <v>6070.75</v>
      </c>
      <c r="K996" t="s">
        <v>27</v>
      </c>
      <c r="L996" t="s">
        <v>75</v>
      </c>
      <c r="M996" s="1">
        <v>44358.959722222222</v>
      </c>
      <c r="N996">
        <v>70</v>
      </c>
      <c r="O996" t="s">
        <v>37</v>
      </c>
      <c r="P996" t="s">
        <v>54</v>
      </c>
      <c r="Q996" t="s">
        <v>2969</v>
      </c>
      <c r="R996" t="str">
        <f t="shared" si="210"/>
        <v>Susan Silva</v>
      </c>
      <c r="S996" t="str">
        <f t="shared" si="211"/>
        <v>Elizabeth Malik</v>
      </c>
      <c r="T996" t="str">
        <f t="shared" si="212"/>
        <v>USD</v>
      </c>
      <c r="U996" s="7" t="str">
        <f t="shared" si="213"/>
        <v>CHF</v>
      </c>
      <c r="V996" s="7" t="str">
        <f t="shared" si="214"/>
        <v>South Africa</v>
      </c>
      <c r="W996" s="7" t="str">
        <f t="shared" si="215"/>
        <v>India</v>
      </c>
      <c r="X996" s="7" t="str">
        <f t="shared" si="216"/>
        <v>Outer-Transaction</v>
      </c>
      <c r="Y996" s="7">
        <f t="shared" si="217"/>
        <v>6070.75</v>
      </c>
      <c r="Z996" s="7">
        <f t="shared" si="218"/>
        <v>70</v>
      </c>
      <c r="AA996" s="7">
        <f t="shared" si="219"/>
        <v>2021</v>
      </c>
      <c r="AB996" s="7">
        <f t="shared" si="220"/>
        <v>6</v>
      </c>
      <c r="AC996" s="7">
        <f t="shared" si="221"/>
        <v>1</v>
      </c>
      <c r="AD996" s="7" t="str">
        <f t="shared" si="222"/>
        <v>No</v>
      </c>
      <c r="AE996" s="7" t="str">
        <f t="shared" si="223"/>
        <v>High Risk</v>
      </c>
    </row>
    <row r="997" spans="1:31">
      <c r="A997" t="s">
        <v>2970</v>
      </c>
      <c r="B997">
        <v>41316383</v>
      </c>
      <c r="C997" t="s">
        <v>1183</v>
      </c>
      <c r="D997" t="s">
        <v>1971</v>
      </c>
      <c r="E997" t="s">
        <v>20</v>
      </c>
      <c r="F997" t="s">
        <v>22</v>
      </c>
      <c r="G997" t="s">
        <v>92</v>
      </c>
      <c r="H997" t="s">
        <v>74</v>
      </c>
      <c r="I997" t="s">
        <v>3371</v>
      </c>
      <c r="J997">
        <v>4351.6499999999996</v>
      </c>
      <c r="K997" t="s">
        <v>39</v>
      </c>
      <c r="L997" t="s">
        <v>81</v>
      </c>
      <c r="M997" s="1">
        <v>44854.8</v>
      </c>
      <c r="N997">
        <v>61</v>
      </c>
      <c r="O997" t="s">
        <v>127</v>
      </c>
      <c r="P997" t="s">
        <v>24</v>
      </c>
      <c r="Q997" t="s">
        <v>2971</v>
      </c>
      <c r="R997" t="str">
        <f t="shared" si="210"/>
        <v>Richard Miller</v>
      </c>
      <c r="S997" t="str">
        <f t="shared" si="211"/>
        <v>Karen Jackson</v>
      </c>
      <c r="T997" t="str">
        <f t="shared" si="212"/>
        <v>BRL</v>
      </c>
      <c r="U997" s="7" t="str">
        <f t="shared" si="213"/>
        <v>AUD</v>
      </c>
      <c r="V997" s="7" t="str">
        <f t="shared" si="214"/>
        <v>Canada</v>
      </c>
      <c r="W997" s="7" t="str">
        <f t="shared" si="215"/>
        <v>Brazil</v>
      </c>
      <c r="X997" s="7" t="str">
        <f t="shared" si="216"/>
        <v>Outer-Transaction</v>
      </c>
      <c r="Y997" s="7">
        <f t="shared" si="217"/>
        <v>4351.6499999999996</v>
      </c>
      <c r="Z997" s="7">
        <f t="shared" si="218"/>
        <v>61</v>
      </c>
      <c r="AA997" s="7">
        <f t="shared" si="219"/>
        <v>2022</v>
      </c>
      <c r="AB997" s="7">
        <f t="shared" si="220"/>
        <v>10</v>
      </c>
      <c r="AC997" s="7">
        <f t="shared" si="221"/>
        <v>1</v>
      </c>
      <c r="AD997" s="7" t="str">
        <f t="shared" si="222"/>
        <v>No</v>
      </c>
      <c r="AE997" s="7" t="str">
        <f t="shared" si="223"/>
        <v>Normal</v>
      </c>
    </row>
    <row r="998" spans="1:31">
      <c r="A998" t="s">
        <v>2972</v>
      </c>
      <c r="B998">
        <v>36375893</v>
      </c>
      <c r="C998" t="s">
        <v>453</v>
      </c>
      <c r="D998" t="s">
        <v>424</v>
      </c>
      <c r="E998" t="s">
        <v>20</v>
      </c>
      <c r="F998" t="s">
        <v>53</v>
      </c>
      <c r="G998" t="s">
        <v>121</v>
      </c>
      <c r="I998" t="s">
        <v>3376</v>
      </c>
      <c r="J998">
        <v>401.75</v>
      </c>
      <c r="K998" t="s">
        <v>86</v>
      </c>
      <c r="L998" t="s">
        <v>81</v>
      </c>
      <c r="M998" s="1">
        <v>46352.754166666666</v>
      </c>
      <c r="N998">
        <v>41</v>
      </c>
      <c r="O998" t="s">
        <v>54</v>
      </c>
      <c r="P998" t="s">
        <v>127</v>
      </c>
      <c r="Q998" t="s">
        <v>2973</v>
      </c>
      <c r="R998" t="str">
        <f t="shared" si="210"/>
        <v>Fatima Nair</v>
      </c>
      <c r="S998" t="str">
        <f t="shared" si="211"/>
        <v>Karen Souza</v>
      </c>
      <c r="T998" t="str">
        <f t="shared" si="212"/>
        <v>AED</v>
      </c>
      <c r="U998" s="7" t="str">
        <f t="shared" si="213"/>
        <v>INR</v>
      </c>
      <c r="V998" s="7" t="str">
        <f t="shared" si="214"/>
        <v>India</v>
      </c>
      <c r="W998" s="7" t="str">
        <f t="shared" si="215"/>
        <v>Canada</v>
      </c>
      <c r="X998" s="7" t="str">
        <f t="shared" si="216"/>
        <v>Internal</v>
      </c>
      <c r="Y998" s="7">
        <f t="shared" si="217"/>
        <v>401.75</v>
      </c>
      <c r="Z998" s="7">
        <f t="shared" si="218"/>
        <v>41</v>
      </c>
      <c r="AA998" s="7">
        <f t="shared" si="219"/>
        <v>2026</v>
      </c>
      <c r="AB998" s="7">
        <f t="shared" si="220"/>
        <v>11</v>
      </c>
      <c r="AC998" s="7">
        <f t="shared" si="221"/>
        <v>1</v>
      </c>
      <c r="AD998" s="7" t="str">
        <f t="shared" si="222"/>
        <v>No</v>
      </c>
      <c r="AE998" s="7" t="str">
        <f t="shared" si="223"/>
        <v>Normal</v>
      </c>
    </row>
    <row r="999" spans="1:31">
      <c r="A999" t="s">
        <v>2974</v>
      </c>
      <c r="B999">
        <v>20356771</v>
      </c>
      <c r="C999" t="s">
        <v>761</v>
      </c>
      <c r="D999" t="s">
        <v>829</v>
      </c>
      <c r="E999" t="s">
        <v>20</v>
      </c>
      <c r="F999" t="s">
        <v>98</v>
      </c>
      <c r="G999" t="s">
        <v>35</v>
      </c>
      <c r="I999" t="s">
        <v>3371</v>
      </c>
      <c r="J999">
        <v>356.59</v>
      </c>
      <c r="K999" t="s">
        <v>47</v>
      </c>
      <c r="L999" t="s">
        <v>81</v>
      </c>
      <c r="M999" s="1">
        <v>45395.345833333333</v>
      </c>
      <c r="N999">
        <v>47</v>
      </c>
      <c r="O999" t="s">
        <v>127</v>
      </c>
      <c r="P999" t="s">
        <v>55</v>
      </c>
      <c r="Q999" t="s">
        <v>2975</v>
      </c>
      <c r="R999" t="str">
        <f t="shared" si="210"/>
        <v>Jessica Brown</v>
      </c>
      <c r="S999" t="str">
        <f t="shared" si="211"/>
        <v>Susan Malik</v>
      </c>
      <c r="T999" t="str">
        <f t="shared" si="212"/>
        <v>JPY</v>
      </c>
      <c r="U999" s="7" t="str">
        <f t="shared" si="213"/>
        <v>EUR</v>
      </c>
      <c r="V999" s="7" t="str">
        <f t="shared" si="214"/>
        <v>Canada</v>
      </c>
      <c r="W999" s="7" t="str">
        <f t="shared" si="215"/>
        <v>UK</v>
      </c>
      <c r="X999" s="7" t="str">
        <f t="shared" si="216"/>
        <v>Outer-Transaction</v>
      </c>
      <c r="Y999" s="7">
        <f t="shared" si="217"/>
        <v>356.59</v>
      </c>
      <c r="Z999" s="7">
        <f t="shared" si="218"/>
        <v>47</v>
      </c>
      <c r="AA999" s="7">
        <f t="shared" si="219"/>
        <v>2024</v>
      </c>
      <c r="AB999" s="7">
        <f t="shared" si="220"/>
        <v>4</v>
      </c>
      <c r="AC999" s="7">
        <f t="shared" si="221"/>
        <v>1</v>
      </c>
      <c r="AD999" s="7" t="str">
        <f t="shared" si="222"/>
        <v>No</v>
      </c>
      <c r="AE999" s="7" t="str">
        <f t="shared" si="223"/>
        <v>Normal</v>
      </c>
    </row>
    <row r="1000" spans="1:31">
      <c r="A1000" t="s">
        <v>2976</v>
      </c>
      <c r="B1000">
        <v>66856278</v>
      </c>
      <c r="C1000" t="s">
        <v>593</v>
      </c>
      <c r="D1000" t="s">
        <v>2977</v>
      </c>
      <c r="E1000" t="s">
        <v>33</v>
      </c>
      <c r="F1000" t="s">
        <v>98</v>
      </c>
      <c r="G1000" t="s">
        <v>21</v>
      </c>
      <c r="H1000" t="s">
        <v>103</v>
      </c>
      <c r="I1000" t="s">
        <v>3372</v>
      </c>
      <c r="J1000">
        <v>11758.48</v>
      </c>
      <c r="K1000" t="s">
        <v>27</v>
      </c>
      <c r="L1000" t="s">
        <v>75</v>
      </c>
      <c r="M1000" s="1">
        <v>44933.536805555559</v>
      </c>
      <c r="N1000">
        <v>76</v>
      </c>
      <c r="O1000" t="s">
        <v>62</v>
      </c>
      <c r="P1000" t="s">
        <v>93</v>
      </c>
      <c r="Q1000" t="s">
        <v>2978</v>
      </c>
      <c r="R1000" t="str">
        <f t="shared" si="210"/>
        <v>Amir Thomas</v>
      </c>
      <c r="S1000" t="str">
        <f t="shared" si="211"/>
        <v>Karen Volkov</v>
      </c>
      <c r="T1000" t="str">
        <f t="shared" si="212"/>
        <v>JPY</v>
      </c>
      <c r="U1000" s="7" t="str">
        <f t="shared" si="213"/>
        <v>GBP</v>
      </c>
      <c r="V1000" s="7" t="str">
        <f t="shared" si="214"/>
        <v>Australia</v>
      </c>
      <c r="W1000" s="7" t="str">
        <f t="shared" si="215"/>
        <v>USA</v>
      </c>
      <c r="X1000" s="7" t="str">
        <f t="shared" si="216"/>
        <v>Outer-Transaction</v>
      </c>
      <c r="Y1000" s="7">
        <f t="shared" si="217"/>
        <v>11758.48</v>
      </c>
      <c r="Z1000" s="7">
        <f t="shared" si="218"/>
        <v>76</v>
      </c>
      <c r="AA1000" s="7">
        <f t="shared" si="219"/>
        <v>2023</v>
      </c>
      <c r="AB1000" s="7">
        <f t="shared" si="220"/>
        <v>1</v>
      </c>
      <c r="AC1000" s="7">
        <f t="shared" si="221"/>
        <v>1</v>
      </c>
      <c r="AD1000" s="7" t="str">
        <f t="shared" si="222"/>
        <v>No</v>
      </c>
      <c r="AE1000" s="7" t="str">
        <f t="shared" si="223"/>
        <v>High Risk</v>
      </c>
    </row>
    <row r="1001" spans="1:31">
      <c r="A1001" t="s">
        <v>2979</v>
      </c>
      <c r="B1001">
        <v>49800622</v>
      </c>
      <c r="C1001" t="s">
        <v>1659</v>
      </c>
      <c r="D1001" t="s">
        <v>1233</v>
      </c>
      <c r="E1001">
        <v>0</v>
      </c>
      <c r="F1001" t="s">
        <v>121</v>
      </c>
      <c r="G1001" t="s">
        <v>116</v>
      </c>
      <c r="H1001" t="s">
        <v>103</v>
      </c>
      <c r="I1001" t="s">
        <v>3377</v>
      </c>
      <c r="J1001">
        <v>3236.32</v>
      </c>
      <c r="K1001" t="s">
        <v>27</v>
      </c>
      <c r="L1001" t="s">
        <v>75</v>
      </c>
      <c r="M1001" s="1">
        <v>44263.306250000001</v>
      </c>
      <c r="N1001">
        <v>31</v>
      </c>
      <c r="O1001" t="s">
        <v>62</v>
      </c>
      <c r="P1001" t="s">
        <v>36</v>
      </c>
      <c r="Q1001" t="s">
        <v>2980</v>
      </c>
      <c r="R1001" t="str">
        <f t="shared" si="210"/>
        <v>Susan Dubois</v>
      </c>
      <c r="S1001" t="str">
        <f t="shared" si="211"/>
        <v>Joseph Miller</v>
      </c>
      <c r="T1001" t="str">
        <f t="shared" si="212"/>
        <v>INR</v>
      </c>
      <c r="U1001" s="7" t="str">
        <f t="shared" si="213"/>
        <v>CHF</v>
      </c>
      <c r="V1001" s="7" t="str">
        <f t="shared" si="214"/>
        <v>Australia</v>
      </c>
      <c r="W1001" s="7" t="str">
        <f t="shared" si="215"/>
        <v>Germany</v>
      </c>
      <c r="X1001" s="7" t="str">
        <f t="shared" si="216"/>
        <v>Inter-Transaction</v>
      </c>
      <c r="Y1001" s="7">
        <f t="shared" si="217"/>
        <v>3236.32</v>
      </c>
      <c r="Z1001" s="7">
        <f t="shared" si="218"/>
        <v>31</v>
      </c>
      <c r="AA1001" s="7">
        <f t="shared" si="219"/>
        <v>2021</v>
      </c>
      <c r="AB1001" s="7">
        <f t="shared" si="220"/>
        <v>3</v>
      </c>
      <c r="AC1001" s="7">
        <f t="shared" si="221"/>
        <v>1</v>
      </c>
      <c r="AD1001" s="7" t="str">
        <f t="shared" si="222"/>
        <v>No</v>
      </c>
      <c r="AE1001" s="7" t="str">
        <f t="shared" si="223"/>
        <v>High Risk</v>
      </c>
    </row>
    <row r="1002" spans="1:31">
      <c r="A1002" t="s">
        <v>2981</v>
      </c>
      <c r="B1002">
        <v>71762245</v>
      </c>
      <c r="C1002" t="s">
        <v>448</v>
      </c>
      <c r="D1002" t="s">
        <v>861</v>
      </c>
      <c r="E1002" t="b">
        <v>1</v>
      </c>
      <c r="F1002" t="s">
        <v>80</v>
      </c>
      <c r="G1002" t="s">
        <v>92</v>
      </c>
      <c r="H1002" t="s">
        <v>25</v>
      </c>
      <c r="I1002" t="s">
        <v>3372</v>
      </c>
      <c r="J1002">
        <v>1620.47</v>
      </c>
      <c r="K1002" t="s">
        <v>57</v>
      </c>
      <c r="L1002" t="s">
        <v>28</v>
      </c>
      <c r="M1002" s="1">
        <v>45007.723611111112</v>
      </c>
      <c r="N1002">
        <v>26</v>
      </c>
      <c r="O1002" t="s">
        <v>68</v>
      </c>
      <c r="P1002" t="s">
        <v>55</v>
      </c>
      <c r="Q1002" t="s">
        <v>2982</v>
      </c>
      <c r="R1002" t="str">
        <f t="shared" si="210"/>
        <v>Robert Martin</v>
      </c>
      <c r="S1002" t="str">
        <f t="shared" si="211"/>
        <v>Jessica Anderson</v>
      </c>
      <c r="T1002" t="str">
        <f t="shared" si="212"/>
        <v>USD</v>
      </c>
      <c r="U1002" s="7" t="str">
        <f t="shared" si="213"/>
        <v>AUD</v>
      </c>
      <c r="V1002" s="7" t="str">
        <f t="shared" si="214"/>
        <v>UAE</v>
      </c>
      <c r="W1002" s="7" t="str">
        <f t="shared" si="215"/>
        <v>UK</v>
      </c>
      <c r="X1002" s="7" t="str">
        <f t="shared" si="216"/>
        <v>Outer-Transaction</v>
      </c>
      <c r="Y1002" s="7">
        <f t="shared" si="217"/>
        <v>1620.47</v>
      </c>
      <c r="Z1002" s="7">
        <f t="shared" si="218"/>
        <v>26</v>
      </c>
      <c r="AA1002" s="7">
        <f t="shared" si="219"/>
        <v>2023</v>
      </c>
      <c r="AB1002" s="7">
        <f t="shared" si="220"/>
        <v>3</v>
      </c>
      <c r="AC1002" s="7">
        <f t="shared" si="221"/>
        <v>1</v>
      </c>
      <c r="AD1002" s="7" t="str">
        <f t="shared" si="222"/>
        <v>No</v>
      </c>
      <c r="AE1002" s="7" t="str">
        <f t="shared" si="223"/>
        <v>Normal</v>
      </c>
    </row>
    <row r="1003" spans="1:31">
      <c r="A1003" t="s">
        <v>2983</v>
      </c>
      <c r="B1003">
        <v>40389767</v>
      </c>
      <c r="C1003" t="s">
        <v>604</v>
      </c>
      <c r="D1003" t="s">
        <v>267</v>
      </c>
      <c r="E1003" t="s">
        <v>20</v>
      </c>
      <c r="F1003" t="s">
        <v>45</v>
      </c>
      <c r="G1003" t="s">
        <v>92</v>
      </c>
      <c r="H1003" t="s">
        <v>25</v>
      </c>
      <c r="I1003" t="s">
        <v>3378</v>
      </c>
      <c r="J1003">
        <v>693.4</v>
      </c>
      <c r="K1003" t="s">
        <v>27</v>
      </c>
      <c r="L1003" t="s">
        <v>75</v>
      </c>
      <c r="M1003" s="1">
        <v>44231.075694444444</v>
      </c>
      <c r="N1003">
        <v>57</v>
      </c>
      <c r="O1003" t="s">
        <v>36</v>
      </c>
      <c r="P1003" t="s">
        <v>55</v>
      </c>
      <c r="Q1003" t="s">
        <v>2984</v>
      </c>
      <c r="R1003" t="str">
        <f t="shared" si="210"/>
        <v>Elizabeth Rodriguez</v>
      </c>
      <c r="S1003" t="str">
        <f t="shared" si="211"/>
        <v>David Miller</v>
      </c>
      <c r="T1003" t="str">
        <f t="shared" si="212"/>
        <v>ZAR</v>
      </c>
      <c r="U1003" s="7" t="str">
        <f t="shared" si="213"/>
        <v>AUD</v>
      </c>
      <c r="V1003" s="7" t="str">
        <f t="shared" si="214"/>
        <v>Germany</v>
      </c>
      <c r="W1003" s="7" t="str">
        <f t="shared" si="215"/>
        <v>UK</v>
      </c>
      <c r="X1003" s="7" t="str">
        <f t="shared" si="216"/>
        <v>Inter-Transaction</v>
      </c>
      <c r="Y1003" s="7">
        <f t="shared" si="217"/>
        <v>693.4</v>
      </c>
      <c r="Z1003" s="7">
        <f t="shared" si="218"/>
        <v>57</v>
      </c>
      <c r="AA1003" s="7">
        <f t="shared" si="219"/>
        <v>2021</v>
      </c>
      <c r="AB1003" s="7">
        <f t="shared" si="220"/>
        <v>2</v>
      </c>
      <c r="AC1003" s="7">
        <f t="shared" si="221"/>
        <v>1</v>
      </c>
      <c r="AD1003" s="7" t="str">
        <f t="shared" si="222"/>
        <v>No</v>
      </c>
      <c r="AE1003" s="7" t="str">
        <f t="shared" si="223"/>
        <v>High Risk</v>
      </c>
    </row>
    <row r="1004" spans="1:31">
      <c r="A1004" t="s">
        <v>2985</v>
      </c>
      <c r="B1004">
        <v>83068652</v>
      </c>
      <c r="C1004" t="s">
        <v>2986</v>
      </c>
      <c r="D1004" t="s">
        <v>1938</v>
      </c>
      <c r="E1004" t="b">
        <v>1</v>
      </c>
      <c r="F1004" t="s">
        <v>116</v>
      </c>
      <c r="G1004" t="s">
        <v>45</v>
      </c>
      <c r="I1004" t="s">
        <v>3371</v>
      </c>
      <c r="J1004">
        <v>13405.54</v>
      </c>
      <c r="K1004" t="s">
        <v>86</v>
      </c>
      <c r="L1004" t="s">
        <v>48</v>
      </c>
      <c r="M1004" s="1">
        <v>45935.715277777781</v>
      </c>
      <c r="N1004">
        <v>83</v>
      </c>
      <c r="O1004" t="s">
        <v>37</v>
      </c>
      <c r="P1004" t="s">
        <v>62</v>
      </c>
      <c r="Q1004" t="s">
        <v>2987</v>
      </c>
      <c r="R1004" t="str">
        <f t="shared" si="210"/>
        <v>ROBERT BROWN</v>
      </c>
      <c r="S1004" t="str">
        <f t="shared" si="211"/>
        <v>Joseph Smith</v>
      </c>
      <c r="T1004" t="str">
        <f t="shared" si="212"/>
        <v>CHF</v>
      </c>
      <c r="U1004" s="7" t="str">
        <f t="shared" si="213"/>
        <v>ZAR</v>
      </c>
      <c r="V1004" s="7" t="str">
        <f t="shared" si="214"/>
        <v>South Africa</v>
      </c>
      <c r="W1004" s="7" t="str">
        <f t="shared" si="215"/>
        <v>Australia</v>
      </c>
      <c r="X1004" s="7" t="str">
        <f t="shared" si="216"/>
        <v>Outer-Transaction</v>
      </c>
      <c r="Y1004" s="7">
        <f t="shared" si="217"/>
        <v>13405.54</v>
      </c>
      <c r="Z1004" s="7">
        <f t="shared" si="218"/>
        <v>83</v>
      </c>
      <c r="AA1004" s="7">
        <f t="shared" si="219"/>
        <v>2025</v>
      </c>
      <c r="AB1004" s="7">
        <f t="shared" si="220"/>
        <v>10</v>
      </c>
      <c r="AC1004" s="7">
        <f t="shared" si="221"/>
        <v>1</v>
      </c>
      <c r="AD1004" s="7" t="str">
        <f t="shared" si="222"/>
        <v>No</v>
      </c>
      <c r="AE1004" s="7" t="str">
        <f t="shared" si="223"/>
        <v>Normal</v>
      </c>
    </row>
    <row r="1005" spans="1:31">
      <c r="A1005" t="s">
        <v>2988</v>
      </c>
      <c r="B1005">
        <v>15309049</v>
      </c>
      <c r="C1005" t="s">
        <v>171</v>
      </c>
      <c r="D1005" t="s">
        <v>970</v>
      </c>
      <c r="E1005">
        <v>1</v>
      </c>
      <c r="F1005" t="s">
        <v>121</v>
      </c>
      <c r="G1005" t="s">
        <v>53</v>
      </c>
      <c r="H1005" t="s">
        <v>25</v>
      </c>
      <c r="I1005" t="s">
        <v>3371</v>
      </c>
      <c r="J1005">
        <v>4795.58</v>
      </c>
      <c r="K1005" t="s">
        <v>86</v>
      </c>
      <c r="L1005" t="s">
        <v>81</v>
      </c>
      <c r="M1005" s="1">
        <v>46064.009027777778</v>
      </c>
      <c r="N1005">
        <v>42</v>
      </c>
      <c r="O1005" t="s">
        <v>23</v>
      </c>
      <c r="P1005" t="s">
        <v>37</v>
      </c>
      <c r="Q1005" t="s">
        <v>2989</v>
      </c>
      <c r="R1005" t="str">
        <f t="shared" si="210"/>
        <v>Elizabeth Martinez</v>
      </c>
      <c r="S1005" t="str">
        <f t="shared" si="211"/>
        <v>Michael Brown</v>
      </c>
      <c r="T1005" t="str">
        <f t="shared" si="212"/>
        <v>INR</v>
      </c>
      <c r="U1005" s="7" t="str">
        <f t="shared" si="213"/>
        <v>AED</v>
      </c>
      <c r="V1005" s="7" t="str">
        <f t="shared" si="214"/>
        <v>France</v>
      </c>
      <c r="W1005" s="7" t="str">
        <f t="shared" si="215"/>
        <v>South Africa</v>
      </c>
      <c r="X1005" s="7" t="str">
        <f t="shared" si="216"/>
        <v>Outer-Transaction</v>
      </c>
      <c r="Y1005" s="7">
        <f t="shared" si="217"/>
        <v>4795.58</v>
      </c>
      <c r="Z1005" s="7">
        <f t="shared" si="218"/>
        <v>42</v>
      </c>
      <c r="AA1005" s="7">
        <f t="shared" si="219"/>
        <v>2026</v>
      </c>
      <c r="AB1005" s="7">
        <f t="shared" si="220"/>
        <v>2</v>
      </c>
      <c r="AC1005" s="7">
        <f t="shared" si="221"/>
        <v>1</v>
      </c>
      <c r="AD1005" s="7" t="str">
        <f t="shared" si="222"/>
        <v>No</v>
      </c>
      <c r="AE1005" s="7" t="str">
        <f t="shared" si="223"/>
        <v>Normal</v>
      </c>
    </row>
    <row r="1006" spans="1:31">
      <c r="A1006" t="s">
        <v>2990</v>
      </c>
      <c r="B1006">
        <v>82953400</v>
      </c>
      <c r="C1006" t="s">
        <v>1519</v>
      </c>
      <c r="D1006" t="s">
        <v>2043</v>
      </c>
      <c r="E1006" t="s">
        <v>3375</v>
      </c>
      <c r="F1006" t="s">
        <v>35</v>
      </c>
      <c r="G1006" t="s">
        <v>22</v>
      </c>
      <c r="H1006" t="s">
        <v>25</v>
      </c>
      <c r="I1006" t="s">
        <v>3376</v>
      </c>
      <c r="J1006">
        <v>10230.86</v>
      </c>
      <c r="K1006" t="s">
        <v>86</v>
      </c>
      <c r="L1006" t="s">
        <v>48</v>
      </c>
      <c r="M1006" s="1">
        <v>46276.631944444445</v>
      </c>
      <c r="N1006">
        <v>39</v>
      </c>
      <c r="O1006" t="s">
        <v>23</v>
      </c>
      <c r="P1006" t="s">
        <v>23</v>
      </c>
      <c r="Q1006" t="s">
        <v>2991</v>
      </c>
      <c r="R1006" t="str">
        <f t="shared" si="210"/>
        <v>Joseph Johnson</v>
      </c>
      <c r="S1006" t="str">
        <f t="shared" si="211"/>
        <v>Robert Hernandez</v>
      </c>
      <c r="T1006" t="str">
        <f t="shared" si="212"/>
        <v>EUR</v>
      </c>
      <c r="U1006" s="7" t="str">
        <f t="shared" si="213"/>
        <v>BRL</v>
      </c>
      <c r="V1006" s="7" t="str">
        <f t="shared" si="214"/>
        <v>France</v>
      </c>
      <c r="W1006" s="7" t="str">
        <f t="shared" si="215"/>
        <v>France</v>
      </c>
      <c r="X1006" s="7" t="str">
        <f t="shared" si="216"/>
        <v>Internal</v>
      </c>
      <c r="Y1006" s="7">
        <f t="shared" si="217"/>
        <v>10230.86</v>
      </c>
      <c r="Z1006" s="7">
        <f t="shared" si="218"/>
        <v>39</v>
      </c>
      <c r="AA1006" s="7">
        <f t="shared" si="219"/>
        <v>2026</v>
      </c>
      <c r="AB1006" s="7">
        <f t="shared" si="220"/>
        <v>9</v>
      </c>
      <c r="AC1006" s="7">
        <f t="shared" si="221"/>
        <v>1</v>
      </c>
      <c r="AD1006" s="7" t="str">
        <f t="shared" si="222"/>
        <v>No</v>
      </c>
      <c r="AE1006" s="7" t="str">
        <f t="shared" si="223"/>
        <v>Normal</v>
      </c>
    </row>
    <row r="1007" spans="1:31">
      <c r="A1007" t="s">
        <v>2992</v>
      </c>
      <c r="B1007">
        <v>26002927</v>
      </c>
      <c r="C1007" t="s">
        <v>667</v>
      </c>
      <c r="D1007" t="s">
        <v>897</v>
      </c>
      <c r="E1007" t="s">
        <v>3373</v>
      </c>
      <c r="F1007" t="s">
        <v>53</v>
      </c>
      <c r="G1007" t="s">
        <v>34</v>
      </c>
      <c r="H1007" t="s">
        <v>56</v>
      </c>
      <c r="I1007" t="s">
        <v>3372</v>
      </c>
      <c r="J1007">
        <v>12738.51</v>
      </c>
      <c r="K1007" t="s">
        <v>57</v>
      </c>
      <c r="L1007" t="s">
        <v>81</v>
      </c>
      <c r="M1007" s="1">
        <v>44435.004166666666</v>
      </c>
      <c r="N1007">
        <v>21</v>
      </c>
      <c r="O1007" t="s">
        <v>37</v>
      </c>
      <c r="P1007" t="s">
        <v>37</v>
      </c>
      <c r="Q1007" t="s">
        <v>2993</v>
      </c>
      <c r="R1007" t="str">
        <f t="shared" si="210"/>
        <v>Michael Khan</v>
      </c>
      <c r="S1007" t="str">
        <f t="shared" si="211"/>
        <v>Karen Anderson</v>
      </c>
      <c r="T1007" t="str">
        <f t="shared" si="212"/>
        <v>AED</v>
      </c>
      <c r="U1007" s="7" t="str">
        <f t="shared" si="213"/>
        <v>CAD</v>
      </c>
      <c r="V1007" s="7" t="str">
        <f t="shared" si="214"/>
        <v>South Africa</v>
      </c>
      <c r="W1007" s="7" t="str">
        <f t="shared" si="215"/>
        <v>South Africa</v>
      </c>
      <c r="X1007" s="7" t="str">
        <f t="shared" si="216"/>
        <v>Outer-Transaction</v>
      </c>
      <c r="Y1007" s="7">
        <f t="shared" si="217"/>
        <v>12738.51</v>
      </c>
      <c r="Z1007" s="7">
        <f t="shared" si="218"/>
        <v>21</v>
      </c>
      <c r="AA1007" s="7">
        <f t="shared" si="219"/>
        <v>2021</v>
      </c>
      <c r="AB1007" s="7">
        <f t="shared" si="220"/>
        <v>8</v>
      </c>
      <c r="AC1007" s="7">
        <f t="shared" si="221"/>
        <v>1</v>
      </c>
      <c r="AD1007" s="7" t="str">
        <f t="shared" si="222"/>
        <v>No</v>
      </c>
      <c r="AE1007" s="7" t="str">
        <f t="shared" si="223"/>
        <v>Normal</v>
      </c>
    </row>
    <row r="1008" spans="1:31">
      <c r="A1008" t="s">
        <v>2994</v>
      </c>
      <c r="B1008">
        <v>77017197</v>
      </c>
      <c r="C1008" t="s">
        <v>1571</v>
      </c>
      <c r="D1008" t="s">
        <v>1864</v>
      </c>
      <c r="E1008" t="b">
        <v>1</v>
      </c>
      <c r="F1008" t="s">
        <v>35</v>
      </c>
      <c r="G1008" t="s">
        <v>116</v>
      </c>
      <c r="H1008" t="s">
        <v>25</v>
      </c>
      <c r="I1008" t="s">
        <v>3377</v>
      </c>
      <c r="J1008">
        <v>10652.7</v>
      </c>
      <c r="K1008" t="s">
        <v>86</v>
      </c>
      <c r="L1008" t="s">
        <v>75</v>
      </c>
      <c r="M1008" s="1">
        <v>46036.65625</v>
      </c>
      <c r="N1008">
        <v>43</v>
      </c>
      <c r="O1008" t="s">
        <v>93</v>
      </c>
      <c r="P1008" t="s">
        <v>24</v>
      </c>
      <c r="Q1008" t="s">
        <v>2995</v>
      </c>
      <c r="R1008" t="str">
        <f t="shared" si="210"/>
        <v>Barbara Martin</v>
      </c>
      <c r="S1008" t="str">
        <f t="shared" si="211"/>
        <v>Patricia Velez</v>
      </c>
      <c r="T1008" t="str">
        <f t="shared" si="212"/>
        <v>EUR</v>
      </c>
      <c r="U1008" s="7" t="str">
        <f t="shared" si="213"/>
        <v>CHF</v>
      </c>
      <c r="V1008" s="7" t="str">
        <f t="shared" si="214"/>
        <v>USA</v>
      </c>
      <c r="W1008" s="7" t="str">
        <f t="shared" si="215"/>
        <v>Brazil</v>
      </c>
      <c r="X1008" s="7" t="str">
        <f t="shared" si="216"/>
        <v>Inter-Transaction</v>
      </c>
      <c r="Y1008" s="7">
        <f t="shared" si="217"/>
        <v>10652.7</v>
      </c>
      <c r="Z1008" s="7">
        <f t="shared" si="218"/>
        <v>43</v>
      </c>
      <c r="AA1008" s="7">
        <f t="shared" si="219"/>
        <v>2026</v>
      </c>
      <c r="AB1008" s="7">
        <f t="shared" si="220"/>
        <v>1</v>
      </c>
      <c r="AC1008" s="7">
        <f t="shared" si="221"/>
        <v>1</v>
      </c>
      <c r="AD1008" s="7" t="str">
        <f t="shared" si="222"/>
        <v>No</v>
      </c>
      <c r="AE1008" s="7" t="str">
        <f t="shared" si="223"/>
        <v>High Risk</v>
      </c>
    </row>
    <row r="1009" spans="1:31">
      <c r="A1009" t="s">
        <v>2996</v>
      </c>
      <c r="B1009">
        <v>56223778</v>
      </c>
      <c r="C1009" t="s">
        <v>570</v>
      </c>
      <c r="D1009" t="s">
        <v>570</v>
      </c>
      <c r="E1009" t="s">
        <v>3375</v>
      </c>
      <c r="F1009" t="s">
        <v>44</v>
      </c>
      <c r="G1009" t="s">
        <v>22</v>
      </c>
      <c r="H1009" t="s">
        <v>25</v>
      </c>
      <c r="I1009" t="s">
        <v>3374</v>
      </c>
      <c r="J1009">
        <v>7003.5</v>
      </c>
      <c r="K1009" t="s">
        <v>27</v>
      </c>
      <c r="L1009" t="s">
        <v>75</v>
      </c>
      <c r="M1009" s="1">
        <v>45641.592361111114</v>
      </c>
      <c r="N1009">
        <v>75</v>
      </c>
      <c r="O1009" t="s">
        <v>36</v>
      </c>
      <c r="P1009" t="s">
        <v>93</v>
      </c>
      <c r="Q1009" t="s">
        <v>2997</v>
      </c>
      <c r="R1009" t="str">
        <f t="shared" si="210"/>
        <v>Richard Garcia</v>
      </c>
      <c r="S1009" t="str">
        <f t="shared" si="211"/>
        <v>Richard Garcia</v>
      </c>
      <c r="T1009" t="str">
        <f t="shared" si="212"/>
        <v>SGD</v>
      </c>
      <c r="U1009" s="7" t="str">
        <f t="shared" si="213"/>
        <v>BRL</v>
      </c>
      <c r="V1009" s="7" t="str">
        <f t="shared" si="214"/>
        <v>Germany</v>
      </c>
      <c r="W1009" s="7" t="str">
        <f t="shared" si="215"/>
        <v>USA</v>
      </c>
      <c r="X1009" s="7" t="str">
        <f t="shared" si="216"/>
        <v>External</v>
      </c>
      <c r="Y1009" s="7">
        <f t="shared" si="217"/>
        <v>7003.5</v>
      </c>
      <c r="Z1009" s="7">
        <f t="shared" si="218"/>
        <v>75</v>
      </c>
      <c r="AA1009" s="7">
        <f t="shared" si="219"/>
        <v>2024</v>
      </c>
      <c r="AB1009" s="7">
        <f t="shared" si="220"/>
        <v>12</v>
      </c>
      <c r="AC1009" s="7">
        <f t="shared" si="221"/>
        <v>1</v>
      </c>
      <c r="AD1009" s="7" t="str">
        <f t="shared" si="222"/>
        <v>No</v>
      </c>
      <c r="AE1009" s="7" t="str">
        <f t="shared" si="223"/>
        <v>High Risk</v>
      </c>
    </row>
    <row r="1010" spans="1:31">
      <c r="A1010" t="s">
        <v>2998</v>
      </c>
      <c r="B1010">
        <v>24222635</v>
      </c>
      <c r="C1010" t="s">
        <v>1575</v>
      </c>
      <c r="D1010" t="s">
        <v>335</v>
      </c>
      <c r="E1010" t="s">
        <v>20</v>
      </c>
      <c r="F1010" t="s">
        <v>44</v>
      </c>
      <c r="I1010" t="s">
        <v>3371</v>
      </c>
      <c r="J1010">
        <v>6729.34</v>
      </c>
      <c r="K1010" t="s">
        <v>86</v>
      </c>
      <c r="L1010" t="s">
        <v>81</v>
      </c>
      <c r="M1010" s="1">
        <v>45294.862500000003</v>
      </c>
      <c r="N1010">
        <v>46</v>
      </c>
      <c r="O1010" t="s">
        <v>127</v>
      </c>
      <c r="P1010" t="s">
        <v>62</v>
      </c>
      <c r="Q1010" t="s">
        <v>2999</v>
      </c>
      <c r="R1010" t="str">
        <f t="shared" si="210"/>
        <v>Christopher Nair</v>
      </c>
      <c r="S1010" t="str">
        <f t="shared" si="211"/>
        <v>Elena Al-Sayed</v>
      </c>
      <c r="T1010" t="str">
        <f t="shared" si="212"/>
        <v>SGD</v>
      </c>
      <c r="U1010" s="7" t="str">
        <f t="shared" si="213"/>
        <v/>
      </c>
      <c r="V1010" s="7" t="str">
        <f t="shared" si="214"/>
        <v>Canada</v>
      </c>
      <c r="W1010" s="7" t="str">
        <f t="shared" si="215"/>
        <v>Australia</v>
      </c>
      <c r="X1010" s="7" t="str">
        <f t="shared" si="216"/>
        <v>Outer-Transaction</v>
      </c>
      <c r="Y1010" s="7">
        <f t="shared" si="217"/>
        <v>6729.34</v>
      </c>
      <c r="Z1010" s="7">
        <f t="shared" si="218"/>
        <v>46</v>
      </c>
      <c r="AA1010" s="7">
        <f t="shared" si="219"/>
        <v>2024</v>
      </c>
      <c r="AB1010" s="7">
        <f t="shared" si="220"/>
        <v>1</v>
      </c>
      <c r="AC1010" s="7">
        <f t="shared" si="221"/>
        <v>1</v>
      </c>
      <c r="AD1010" s="7" t="str">
        <f t="shared" si="222"/>
        <v>No</v>
      </c>
      <c r="AE1010" s="7" t="str">
        <f t="shared" si="223"/>
        <v>Normal</v>
      </c>
    </row>
    <row r="1011" spans="1:31">
      <c r="A1011" t="s">
        <v>3000</v>
      </c>
      <c r="B1011">
        <v>13027327</v>
      </c>
      <c r="C1011" t="s">
        <v>3001</v>
      </c>
      <c r="D1011" t="s">
        <v>596</v>
      </c>
      <c r="E1011" t="s">
        <v>3373</v>
      </c>
      <c r="F1011" t="s">
        <v>45</v>
      </c>
      <c r="G1011" t="s">
        <v>53</v>
      </c>
      <c r="H1011" t="s">
        <v>56</v>
      </c>
      <c r="I1011" t="s">
        <v>3371</v>
      </c>
      <c r="J1011">
        <v>3917.55</v>
      </c>
      <c r="K1011" t="s">
        <v>27</v>
      </c>
      <c r="L1011" t="s">
        <v>81</v>
      </c>
      <c r="M1011" s="1">
        <v>46344.637499999997</v>
      </c>
      <c r="N1011">
        <v>54</v>
      </c>
      <c r="O1011" t="s">
        <v>93</v>
      </c>
      <c r="P1011" t="s">
        <v>93</v>
      </c>
      <c r="Q1011" t="s">
        <v>3002</v>
      </c>
      <c r="R1011" t="str">
        <f t="shared" si="210"/>
        <v>Marta Johnson</v>
      </c>
      <c r="S1011" t="str">
        <f t="shared" si="211"/>
        <v>Robert Martinez</v>
      </c>
      <c r="T1011" t="str">
        <f t="shared" si="212"/>
        <v>ZAR</v>
      </c>
      <c r="U1011" s="7" t="str">
        <f t="shared" si="213"/>
        <v>AED</v>
      </c>
      <c r="V1011" s="7" t="str">
        <f t="shared" si="214"/>
        <v>USA</v>
      </c>
      <c r="W1011" s="7" t="str">
        <f t="shared" si="215"/>
        <v>USA</v>
      </c>
      <c r="X1011" s="7" t="str">
        <f t="shared" si="216"/>
        <v>Outer-Transaction</v>
      </c>
      <c r="Y1011" s="7">
        <f t="shared" si="217"/>
        <v>3917.55</v>
      </c>
      <c r="Z1011" s="7">
        <f t="shared" si="218"/>
        <v>54</v>
      </c>
      <c r="AA1011" s="7">
        <f t="shared" si="219"/>
        <v>2026</v>
      </c>
      <c r="AB1011" s="7">
        <f t="shared" si="220"/>
        <v>11</v>
      </c>
      <c r="AC1011" s="7">
        <f t="shared" si="221"/>
        <v>1</v>
      </c>
      <c r="AD1011" s="7" t="str">
        <f t="shared" si="222"/>
        <v>No</v>
      </c>
      <c r="AE1011" s="7" t="str">
        <f t="shared" si="223"/>
        <v>Normal</v>
      </c>
    </row>
    <row r="1012" spans="1:31">
      <c r="A1012" t="s">
        <v>3003</v>
      </c>
      <c r="B1012">
        <v>23460777</v>
      </c>
      <c r="C1012" t="s">
        <v>1738</v>
      </c>
      <c r="D1012" t="s">
        <v>2664</v>
      </c>
      <c r="E1012" t="s">
        <v>20</v>
      </c>
      <c r="F1012" t="s">
        <v>92</v>
      </c>
      <c r="G1012" t="s">
        <v>21</v>
      </c>
      <c r="H1012" t="s">
        <v>74</v>
      </c>
      <c r="I1012" t="s">
        <v>3371</v>
      </c>
      <c r="J1012">
        <v>2150.9499999999998</v>
      </c>
      <c r="K1012" t="s">
        <v>47</v>
      </c>
      <c r="L1012" t="s">
        <v>48</v>
      </c>
      <c r="M1012" s="1">
        <v>46324.706944444442</v>
      </c>
      <c r="N1012">
        <v>35</v>
      </c>
      <c r="O1012" t="s">
        <v>24</v>
      </c>
      <c r="P1012" t="s">
        <v>24</v>
      </c>
      <c r="Q1012" t="s">
        <v>3004</v>
      </c>
      <c r="R1012" t="str">
        <f t="shared" si="210"/>
        <v>Sarah Jones</v>
      </c>
      <c r="S1012" t="str">
        <f t="shared" si="211"/>
        <v>Karen Jones</v>
      </c>
      <c r="T1012" t="str">
        <f t="shared" si="212"/>
        <v>AUD</v>
      </c>
      <c r="U1012" s="7" t="str">
        <f t="shared" si="213"/>
        <v>GBP</v>
      </c>
      <c r="V1012" s="7" t="str">
        <f t="shared" si="214"/>
        <v>Brazil</v>
      </c>
      <c r="W1012" s="7" t="str">
        <f t="shared" si="215"/>
        <v>Brazil</v>
      </c>
      <c r="X1012" s="7" t="str">
        <f t="shared" si="216"/>
        <v>Outer-Transaction</v>
      </c>
      <c r="Y1012" s="7">
        <f t="shared" si="217"/>
        <v>2150.9499999999998</v>
      </c>
      <c r="Z1012" s="7">
        <f t="shared" si="218"/>
        <v>35</v>
      </c>
      <c r="AA1012" s="7">
        <f t="shared" si="219"/>
        <v>2026</v>
      </c>
      <c r="AB1012" s="7">
        <f t="shared" si="220"/>
        <v>10</v>
      </c>
      <c r="AC1012" s="7">
        <f t="shared" si="221"/>
        <v>1</v>
      </c>
      <c r="AD1012" s="7" t="str">
        <f t="shared" si="222"/>
        <v>No</v>
      </c>
      <c r="AE1012" s="7" t="str">
        <f t="shared" si="223"/>
        <v>Normal</v>
      </c>
    </row>
    <row r="1013" spans="1:31">
      <c r="A1013" t="s">
        <v>3005</v>
      </c>
      <c r="B1013">
        <v>91335364</v>
      </c>
      <c r="C1013" t="s">
        <v>3006</v>
      </c>
      <c r="D1013" t="s">
        <v>480</v>
      </c>
      <c r="E1013" t="s">
        <v>20</v>
      </c>
      <c r="F1013" t="s">
        <v>35</v>
      </c>
      <c r="G1013" t="s">
        <v>80</v>
      </c>
      <c r="H1013" t="s">
        <v>25</v>
      </c>
      <c r="I1013" t="s">
        <v>3374</v>
      </c>
      <c r="J1013">
        <v>1740.76</v>
      </c>
      <c r="K1013" t="s">
        <v>47</v>
      </c>
      <c r="L1013" t="s">
        <v>75</v>
      </c>
      <c r="M1013" s="1">
        <v>45604.237500000003</v>
      </c>
      <c r="N1013">
        <v>59</v>
      </c>
      <c r="O1013" t="s">
        <v>37</v>
      </c>
      <c r="P1013" t="s">
        <v>37</v>
      </c>
      <c r="Q1013" t="s">
        <v>3007</v>
      </c>
      <c r="R1013" t="str">
        <f t="shared" si="210"/>
        <v>Christopher Martin</v>
      </c>
      <c r="S1013" t="str">
        <f t="shared" si="211"/>
        <v>Barbara Johnson</v>
      </c>
      <c r="T1013" t="str">
        <f t="shared" si="212"/>
        <v>EUR</v>
      </c>
      <c r="U1013" s="7" t="str">
        <f t="shared" si="213"/>
        <v>USD</v>
      </c>
      <c r="V1013" s="7" t="str">
        <f t="shared" si="214"/>
        <v>South Africa</v>
      </c>
      <c r="W1013" s="7" t="str">
        <f t="shared" si="215"/>
        <v>South Africa</v>
      </c>
      <c r="X1013" s="7" t="str">
        <f t="shared" si="216"/>
        <v>External</v>
      </c>
      <c r="Y1013" s="7">
        <f t="shared" si="217"/>
        <v>1740.76</v>
      </c>
      <c r="Z1013" s="7">
        <f t="shared" si="218"/>
        <v>59</v>
      </c>
      <c r="AA1013" s="7">
        <f t="shared" si="219"/>
        <v>2024</v>
      </c>
      <c r="AB1013" s="7">
        <f t="shared" si="220"/>
        <v>11</v>
      </c>
      <c r="AC1013" s="7">
        <f t="shared" si="221"/>
        <v>1</v>
      </c>
      <c r="AD1013" s="7" t="str">
        <f t="shared" si="222"/>
        <v>No</v>
      </c>
      <c r="AE1013" s="7" t="str">
        <f t="shared" si="223"/>
        <v>High Risk</v>
      </c>
    </row>
    <row r="1014" spans="1:31">
      <c r="A1014" t="s">
        <v>3008</v>
      </c>
      <c r="B1014">
        <v>27616344</v>
      </c>
      <c r="C1014" t="s">
        <v>304</v>
      </c>
      <c r="D1014" t="s">
        <v>734</v>
      </c>
      <c r="E1014">
        <v>0</v>
      </c>
      <c r="F1014" t="s">
        <v>53</v>
      </c>
      <c r="G1014" t="s">
        <v>35</v>
      </c>
      <c r="H1014" t="s">
        <v>38</v>
      </c>
      <c r="I1014" t="s">
        <v>3372</v>
      </c>
      <c r="J1014">
        <v>7867.62</v>
      </c>
      <c r="K1014" t="s">
        <v>86</v>
      </c>
      <c r="L1014" t="s">
        <v>48</v>
      </c>
      <c r="M1014" s="1">
        <v>45384.672222222223</v>
      </c>
      <c r="N1014">
        <v>58</v>
      </c>
      <c r="O1014" t="s">
        <v>127</v>
      </c>
      <c r="P1014" t="s">
        <v>55</v>
      </c>
      <c r="Q1014" t="s">
        <v>3009</v>
      </c>
      <c r="R1014" t="str">
        <f t="shared" si="210"/>
        <v>Priya Khan</v>
      </c>
      <c r="S1014" t="str">
        <f t="shared" si="211"/>
        <v>John Silva</v>
      </c>
      <c r="T1014" t="str">
        <f t="shared" si="212"/>
        <v>AED</v>
      </c>
      <c r="U1014" s="7" t="str">
        <f t="shared" si="213"/>
        <v>EUR</v>
      </c>
      <c r="V1014" s="7" t="str">
        <f t="shared" si="214"/>
        <v>Canada</v>
      </c>
      <c r="W1014" s="7" t="str">
        <f t="shared" si="215"/>
        <v>UK</v>
      </c>
      <c r="X1014" s="7" t="str">
        <f t="shared" si="216"/>
        <v>Outer-Transaction</v>
      </c>
      <c r="Y1014" s="7">
        <f t="shared" si="217"/>
        <v>7867.62</v>
      </c>
      <c r="Z1014" s="7">
        <f t="shared" si="218"/>
        <v>58</v>
      </c>
      <c r="AA1014" s="7">
        <f t="shared" si="219"/>
        <v>2024</v>
      </c>
      <c r="AB1014" s="7">
        <f t="shared" si="220"/>
        <v>4</v>
      </c>
      <c r="AC1014" s="7">
        <f t="shared" si="221"/>
        <v>1</v>
      </c>
      <c r="AD1014" s="7" t="str">
        <f t="shared" si="222"/>
        <v>No</v>
      </c>
      <c r="AE1014" s="7" t="str">
        <f t="shared" si="223"/>
        <v>Normal</v>
      </c>
    </row>
    <row r="1015" spans="1:31">
      <c r="A1015" t="s">
        <v>3010</v>
      </c>
      <c r="B1015">
        <v>20361782</v>
      </c>
      <c r="C1015" t="s">
        <v>836</v>
      </c>
      <c r="D1015" t="s">
        <v>139</v>
      </c>
      <c r="E1015" t="s">
        <v>20</v>
      </c>
      <c r="F1015" t="s">
        <v>98</v>
      </c>
      <c r="G1015" t="s">
        <v>35</v>
      </c>
      <c r="I1015" t="s">
        <v>3374</v>
      </c>
      <c r="J1015">
        <v>1942.1</v>
      </c>
      <c r="K1015" t="s">
        <v>86</v>
      </c>
      <c r="L1015" t="s">
        <v>48</v>
      </c>
      <c r="M1015" s="1">
        <v>44927.719444444447</v>
      </c>
      <c r="N1015">
        <v>55</v>
      </c>
      <c r="O1015" t="s">
        <v>23</v>
      </c>
      <c r="P1015" t="s">
        <v>54</v>
      </c>
      <c r="Q1015" t="s">
        <v>3011</v>
      </c>
      <c r="R1015" t="str">
        <f t="shared" si="210"/>
        <v>Nancy Hernandez</v>
      </c>
      <c r="S1015" t="str">
        <f t="shared" si="211"/>
        <v>Zayn Dubois</v>
      </c>
      <c r="T1015" t="str">
        <f t="shared" si="212"/>
        <v>JPY</v>
      </c>
      <c r="U1015" s="7" t="str">
        <f t="shared" si="213"/>
        <v>EUR</v>
      </c>
      <c r="V1015" s="7" t="str">
        <f t="shared" si="214"/>
        <v>France</v>
      </c>
      <c r="W1015" s="7" t="str">
        <f t="shared" si="215"/>
        <v>India</v>
      </c>
      <c r="X1015" s="7" t="str">
        <f t="shared" si="216"/>
        <v>External</v>
      </c>
      <c r="Y1015" s="7">
        <f t="shared" si="217"/>
        <v>1942.1</v>
      </c>
      <c r="Z1015" s="7">
        <f t="shared" si="218"/>
        <v>55</v>
      </c>
      <c r="AA1015" s="7">
        <f t="shared" si="219"/>
        <v>2023</v>
      </c>
      <c r="AB1015" s="7">
        <f t="shared" si="220"/>
        <v>1</v>
      </c>
      <c r="AC1015" s="7">
        <f t="shared" si="221"/>
        <v>1</v>
      </c>
      <c r="AD1015" s="7" t="str">
        <f t="shared" si="222"/>
        <v>No</v>
      </c>
      <c r="AE1015" s="7" t="str">
        <f t="shared" si="223"/>
        <v>Normal</v>
      </c>
    </row>
    <row r="1016" spans="1:31">
      <c r="A1016" t="s">
        <v>3012</v>
      </c>
      <c r="B1016">
        <v>85060646</v>
      </c>
      <c r="C1016" t="s">
        <v>1279</v>
      </c>
      <c r="D1016" t="s">
        <v>2067</v>
      </c>
      <c r="E1016" t="b">
        <v>0</v>
      </c>
      <c r="F1016" t="s">
        <v>44</v>
      </c>
      <c r="G1016" t="s">
        <v>98</v>
      </c>
      <c r="I1016" t="s">
        <v>3374</v>
      </c>
      <c r="J1016">
        <v>6675.05</v>
      </c>
      <c r="K1016" t="s">
        <v>47</v>
      </c>
      <c r="L1016" t="s">
        <v>81</v>
      </c>
      <c r="M1016" s="1">
        <v>44759.473611111112</v>
      </c>
      <c r="N1016">
        <v>51</v>
      </c>
      <c r="O1016" t="s">
        <v>55</v>
      </c>
      <c r="P1016" t="s">
        <v>54</v>
      </c>
      <c r="Q1016" t="s">
        <v>3013</v>
      </c>
      <c r="R1016" t="str">
        <f t="shared" si="210"/>
        <v>Sanjay Rostova</v>
      </c>
      <c r="S1016" t="str">
        <f t="shared" si="211"/>
        <v>John Velez</v>
      </c>
      <c r="T1016" t="str">
        <f t="shared" si="212"/>
        <v>SGD</v>
      </c>
      <c r="U1016" s="7" t="str">
        <f t="shared" si="213"/>
        <v>JPY</v>
      </c>
      <c r="V1016" s="7" t="str">
        <f t="shared" si="214"/>
        <v>UK</v>
      </c>
      <c r="W1016" s="7" t="str">
        <f t="shared" si="215"/>
        <v>India</v>
      </c>
      <c r="X1016" s="7" t="str">
        <f t="shared" si="216"/>
        <v>External</v>
      </c>
      <c r="Y1016" s="7">
        <f t="shared" si="217"/>
        <v>6675.05</v>
      </c>
      <c r="Z1016" s="7">
        <f t="shared" si="218"/>
        <v>51</v>
      </c>
      <c r="AA1016" s="7">
        <f t="shared" si="219"/>
        <v>2022</v>
      </c>
      <c r="AB1016" s="7">
        <f t="shared" si="220"/>
        <v>7</v>
      </c>
      <c r="AC1016" s="7">
        <f t="shared" si="221"/>
        <v>1</v>
      </c>
      <c r="AD1016" s="7" t="str">
        <f t="shared" si="222"/>
        <v>No</v>
      </c>
      <c r="AE1016" s="7" t="str">
        <f t="shared" si="223"/>
        <v>Normal</v>
      </c>
    </row>
    <row r="1017" spans="1:31">
      <c r="A1017" t="s">
        <v>3014</v>
      </c>
      <c r="B1017">
        <v>12799227</v>
      </c>
      <c r="C1017" t="s">
        <v>916</v>
      </c>
      <c r="D1017" t="s">
        <v>2078</v>
      </c>
      <c r="E1017" t="s">
        <v>20</v>
      </c>
      <c r="F1017" t="s">
        <v>22</v>
      </c>
      <c r="G1017" t="s">
        <v>80</v>
      </c>
      <c r="H1017" t="s">
        <v>103</v>
      </c>
      <c r="I1017" t="s">
        <v>3371</v>
      </c>
      <c r="J1017">
        <v>7802.13</v>
      </c>
      <c r="K1017" t="s">
        <v>27</v>
      </c>
      <c r="L1017" t="s">
        <v>81</v>
      </c>
      <c r="M1017" s="1">
        <v>45782.911805555559</v>
      </c>
      <c r="N1017">
        <v>34</v>
      </c>
      <c r="O1017" t="s">
        <v>68</v>
      </c>
      <c r="P1017" t="s">
        <v>68</v>
      </c>
      <c r="Q1017" t="s">
        <v>3015</v>
      </c>
      <c r="R1017" t="str">
        <f t="shared" si="210"/>
        <v>Karen Dubois</v>
      </c>
      <c r="S1017" t="str">
        <f t="shared" si="211"/>
        <v>David Garcia</v>
      </c>
      <c r="T1017" t="str">
        <f t="shared" si="212"/>
        <v>BRL</v>
      </c>
      <c r="U1017" s="7" t="str">
        <f t="shared" si="213"/>
        <v>USD</v>
      </c>
      <c r="V1017" s="7" t="str">
        <f t="shared" si="214"/>
        <v>UAE</v>
      </c>
      <c r="W1017" s="7" t="str">
        <f t="shared" si="215"/>
        <v>UAE</v>
      </c>
      <c r="X1017" s="7" t="str">
        <f t="shared" si="216"/>
        <v>Outer-Transaction</v>
      </c>
      <c r="Y1017" s="7">
        <f t="shared" si="217"/>
        <v>7802.13</v>
      </c>
      <c r="Z1017" s="7">
        <f t="shared" si="218"/>
        <v>34</v>
      </c>
      <c r="AA1017" s="7">
        <f t="shared" si="219"/>
        <v>2025</v>
      </c>
      <c r="AB1017" s="7">
        <f t="shared" si="220"/>
        <v>5</v>
      </c>
      <c r="AC1017" s="7">
        <f t="shared" si="221"/>
        <v>1</v>
      </c>
      <c r="AD1017" s="7" t="str">
        <f t="shared" si="222"/>
        <v>No</v>
      </c>
      <c r="AE1017" s="7" t="str">
        <f t="shared" si="223"/>
        <v>Normal</v>
      </c>
    </row>
    <row r="1018" spans="1:31">
      <c r="A1018" t="s">
        <v>3016</v>
      </c>
      <c r="B1018">
        <v>69599673</v>
      </c>
      <c r="C1018" t="s">
        <v>2790</v>
      </c>
      <c r="D1018" t="s">
        <v>2693</v>
      </c>
      <c r="E1018" t="s">
        <v>20</v>
      </c>
      <c r="F1018" t="s">
        <v>44</v>
      </c>
      <c r="G1018" t="s">
        <v>92</v>
      </c>
      <c r="H1018" t="s">
        <v>38</v>
      </c>
      <c r="I1018" t="s">
        <v>3377</v>
      </c>
      <c r="J1018">
        <v>2108.8000000000002</v>
      </c>
      <c r="K1018" t="s">
        <v>47</v>
      </c>
      <c r="L1018" t="s">
        <v>28</v>
      </c>
      <c r="M1018" s="1">
        <v>45804.195833333331</v>
      </c>
      <c r="N1018">
        <v>54</v>
      </c>
      <c r="O1018" t="s">
        <v>23</v>
      </c>
      <c r="P1018" t="s">
        <v>36</v>
      </c>
      <c r="Q1018" t="s">
        <v>3017</v>
      </c>
      <c r="R1018" t="str">
        <f t="shared" si="210"/>
        <v>CARLOS JOHNSON</v>
      </c>
      <c r="S1018" t="str">
        <f t="shared" si="211"/>
        <v>Robert Gonzalez</v>
      </c>
      <c r="T1018" t="str">
        <f t="shared" si="212"/>
        <v>SGD</v>
      </c>
      <c r="U1018" s="7" t="str">
        <f t="shared" si="213"/>
        <v>AUD</v>
      </c>
      <c r="V1018" s="7" t="str">
        <f t="shared" si="214"/>
        <v>France</v>
      </c>
      <c r="W1018" s="7" t="str">
        <f t="shared" si="215"/>
        <v>Germany</v>
      </c>
      <c r="X1018" s="7" t="str">
        <f t="shared" si="216"/>
        <v>Inter-Transaction</v>
      </c>
      <c r="Y1018" s="7">
        <f t="shared" si="217"/>
        <v>2108.8000000000002</v>
      </c>
      <c r="Z1018" s="7">
        <f t="shared" si="218"/>
        <v>54</v>
      </c>
      <c r="AA1018" s="7">
        <f t="shared" si="219"/>
        <v>2025</v>
      </c>
      <c r="AB1018" s="7">
        <f t="shared" si="220"/>
        <v>5</v>
      </c>
      <c r="AC1018" s="7">
        <f t="shared" si="221"/>
        <v>1</v>
      </c>
      <c r="AD1018" s="7" t="str">
        <f t="shared" si="222"/>
        <v>No</v>
      </c>
      <c r="AE1018" s="7" t="str">
        <f t="shared" si="223"/>
        <v>Normal</v>
      </c>
    </row>
    <row r="1019" spans="1:31">
      <c r="A1019" t="s">
        <v>3018</v>
      </c>
      <c r="B1019">
        <v>71717603</v>
      </c>
      <c r="C1019" t="s">
        <v>3019</v>
      </c>
      <c r="D1019" t="s">
        <v>2218</v>
      </c>
      <c r="E1019">
        <v>0</v>
      </c>
      <c r="F1019" t="s">
        <v>34</v>
      </c>
      <c r="G1019" t="s">
        <v>80</v>
      </c>
      <c r="H1019" t="s">
        <v>74</v>
      </c>
      <c r="I1019" t="s">
        <v>3378</v>
      </c>
      <c r="J1019">
        <v>7689.13</v>
      </c>
      <c r="K1019" t="s">
        <v>86</v>
      </c>
      <c r="L1019" t="s">
        <v>75</v>
      </c>
      <c r="M1019" s="1">
        <v>45895.165277777778</v>
      </c>
      <c r="N1019">
        <v>42</v>
      </c>
      <c r="O1019" t="s">
        <v>36</v>
      </c>
      <c r="P1019" t="s">
        <v>23</v>
      </c>
      <c r="Q1019" t="s">
        <v>3020</v>
      </c>
      <c r="R1019" t="str">
        <f t="shared" si="210"/>
        <v>Jean-Pierre Khan</v>
      </c>
      <c r="S1019" t="str">
        <f t="shared" si="211"/>
        <v>Sarah Malik</v>
      </c>
      <c r="T1019" t="str">
        <f t="shared" si="212"/>
        <v>CAD</v>
      </c>
      <c r="U1019" s="7" t="str">
        <f t="shared" si="213"/>
        <v>USD</v>
      </c>
      <c r="V1019" s="7" t="str">
        <f t="shared" si="214"/>
        <v>Germany</v>
      </c>
      <c r="W1019" s="7" t="str">
        <f t="shared" si="215"/>
        <v>France</v>
      </c>
      <c r="X1019" s="7" t="str">
        <f t="shared" si="216"/>
        <v>Inter-Transaction</v>
      </c>
      <c r="Y1019" s="7">
        <f t="shared" si="217"/>
        <v>7689.13</v>
      </c>
      <c r="Z1019" s="7">
        <f t="shared" si="218"/>
        <v>42</v>
      </c>
      <c r="AA1019" s="7">
        <f t="shared" si="219"/>
        <v>2025</v>
      </c>
      <c r="AB1019" s="7">
        <f t="shared" si="220"/>
        <v>8</v>
      </c>
      <c r="AC1019" s="7">
        <f t="shared" si="221"/>
        <v>1</v>
      </c>
      <c r="AD1019" s="7" t="str">
        <f t="shared" si="222"/>
        <v>No</v>
      </c>
      <c r="AE1019" s="7" t="str">
        <f t="shared" si="223"/>
        <v>High Risk</v>
      </c>
    </row>
    <row r="1020" spans="1:31">
      <c r="A1020" t="s">
        <v>3021</v>
      </c>
      <c r="B1020">
        <v>53973507</v>
      </c>
      <c r="C1020" t="s">
        <v>1051</v>
      </c>
      <c r="D1020" t="s">
        <v>1858</v>
      </c>
      <c r="E1020" t="s">
        <v>20</v>
      </c>
      <c r="F1020" t="s">
        <v>116</v>
      </c>
      <c r="G1020" t="s">
        <v>80</v>
      </c>
      <c r="H1020" t="s">
        <v>74</v>
      </c>
      <c r="I1020" t="s">
        <v>3378</v>
      </c>
      <c r="J1020">
        <v>6788.15</v>
      </c>
      <c r="K1020" t="s">
        <v>47</v>
      </c>
      <c r="L1020" t="s">
        <v>48</v>
      </c>
      <c r="M1020" s="1">
        <v>45385.126388888886</v>
      </c>
      <c r="N1020">
        <v>44</v>
      </c>
      <c r="O1020" t="s">
        <v>62</v>
      </c>
      <c r="P1020" t="s">
        <v>24</v>
      </c>
      <c r="Q1020" t="s">
        <v>3022</v>
      </c>
      <c r="R1020" t="str">
        <f t="shared" si="210"/>
        <v>Karen Hernandez</v>
      </c>
      <c r="S1020" t="str">
        <f t="shared" si="211"/>
        <v>Richard Anderson</v>
      </c>
      <c r="T1020" t="str">
        <f t="shared" si="212"/>
        <v>CHF</v>
      </c>
      <c r="U1020" s="7" t="str">
        <f t="shared" si="213"/>
        <v>USD</v>
      </c>
      <c r="V1020" s="7" t="str">
        <f t="shared" si="214"/>
        <v>Australia</v>
      </c>
      <c r="W1020" s="7" t="str">
        <f t="shared" si="215"/>
        <v>Brazil</v>
      </c>
      <c r="X1020" s="7" t="str">
        <f t="shared" si="216"/>
        <v>Inter-Transaction</v>
      </c>
      <c r="Y1020" s="7">
        <f t="shared" si="217"/>
        <v>6788.15</v>
      </c>
      <c r="Z1020" s="7">
        <f t="shared" si="218"/>
        <v>44</v>
      </c>
      <c r="AA1020" s="7">
        <f t="shared" si="219"/>
        <v>2024</v>
      </c>
      <c r="AB1020" s="7">
        <f t="shared" si="220"/>
        <v>4</v>
      </c>
      <c r="AC1020" s="7">
        <f t="shared" si="221"/>
        <v>1</v>
      </c>
      <c r="AD1020" s="7" t="str">
        <f t="shared" si="222"/>
        <v>No</v>
      </c>
      <c r="AE1020" s="7" t="str">
        <f t="shared" si="223"/>
        <v>Normal</v>
      </c>
    </row>
    <row r="1021" spans="1:31">
      <c r="A1021" t="s">
        <v>3023</v>
      </c>
      <c r="B1021">
        <v>53239383</v>
      </c>
      <c r="C1021" t="s">
        <v>578</v>
      </c>
      <c r="D1021" t="s">
        <v>533</v>
      </c>
      <c r="E1021" t="s">
        <v>20</v>
      </c>
      <c r="F1021" t="s">
        <v>160</v>
      </c>
      <c r="G1021" t="s">
        <v>121</v>
      </c>
      <c r="I1021" t="s">
        <v>3376</v>
      </c>
      <c r="J1021">
        <v>9005.41</v>
      </c>
      <c r="K1021" t="s">
        <v>39</v>
      </c>
      <c r="L1021" t="s">
        <v>48</v>
      </c>
      <c r="M1021" s="1">
        <v>44156.995833333334</v>
      </c>
      <c r="N1021">
        <v>74</v>
      </c>
      <c r="O1021" t="s">
        <v>55</v>
      </c>
      <c r="P1021" t="s">
        <v>36</v>
      </c>
      <c r="Q1021" t="s">
        <v>3024</v>
      </c>
      <c r="R1021" t="str">
        <f t="shared" si="210"/>
        <v>Sanjay Moore</v>
      </c>
      <c r="S1021" t="str">
        <f t="shared" si="211"/>
        <v>Priya Silva</v>
      </c>
      <c r="T1021" t="str">
        <f t="shared" si="212"/>
        <v>aud</v>
      </c>
      <c r="U1021" s="7" t="str">
        <f t="shared" si="213"/>
        <v>INR</v>
      </c>
      <c r="V1021" s="7" t="str">
        <f t="shared" si="214"/>
        <v>UK</v>
      </c>
      <c r="W1021" s="7" t="str">
        <f t="shared" si="215"/>
        <v>Germany</v>
      </c>
      <c r="X1021" s="7" t="str">
        <f t="shared" si="216"/>
        <v>Internal</v>
      </c>
      <c r="Y1021" s="7">
        <f t="shared" si="217"/>
        <v>9005.41</v>
      </c>
      <c r="Z1021" s="7">
        <f t="shared" si="218"/>
        <v>74</v>
      </c>
      <c r="AA1021" s="7">
        <f t="shared" si="219"/>
        <v>2020</v>
      </c>
      <c r="AB1021" s="7">
        <f t="shared" si="220"/>
        <v>11</v>
      </c>
      <c r="AC1021" s="7">
        <f t="shared" si="221"/>
        <v>1</v>
      </c>
      <c r="AD1021" s="7" t="str">
        <f t="shared" si="222"/>
        <v>No</v>
      </c>
      <c r="AE1021" s="7" t="str">
        <f t="shared" si="223"/>
        <v>Normal</v>
      </c>
    </row>
    <row r="1022" spans="1:31">
      <c r="A1022" t="s">
        <v>3025</v>
      </c>
      <c r="B1022">
        <v>33734184</v>
      </c>
      <c r="C1022" t="s">
        <v>1508</v>
      </c>
      <c r="D1022" t="s">
        <v>1505</v>
      </c>
      <c r="E1022" t="s">
        <v>20</v>
      </c>
      <c r="G1022" t="s">
        <v>92</v>
      </c>
      <c r="H1022" t="s">
        <v>74</v>
      </c>
      <c r="I1022" t="s">
        <v>3378</v>
      </c>
      <c r="J1022">
        <v>11275.35</v>
      </c>
      <c r="K1022" t="s">
        <v>47</v>
      </c>
      <c r="L1022" t="s">
        <v>28</v>
      </c>
      <c r="M1022" s="1">
        <v>44825.693055555559</v>
      </c>
      <c r="N1022">
        <v>48</v>
      </c>
      <c r="O1022" t="s">
        <v>68</v>
      </c>
      <c r="P1022" t="s">
        <v>23</v>
      </c>
      <c r="Q1022" t="s">
        <v>3026</v>
      </c>
      <c r="R1022" t="str">
        <f t="shared" si="210"/>
        <v>Carlos Brown</v>
      </c>
      <c r="S1022" t="str">
        <f t="shared" si="211"/>
        <v>Susan Velez</v>
      </c>
      <c r="T1022" t="str">
        <f t="shared" si="212"/>
        <v/>
      </c>
      <c r="U1022" s="7" t="str">
        <f t="shared" si="213"/>
        <v>AUD</v>
      </c>
      <c r="V1022" s="7" t="str">
        <f t="shared" si="214"/>
        <v>UAE</v>
      </c>
      <c r="W1022" s="7" t="str">
        <f t="shared" si="215"/>
        <v>France</v>
      </c>
      <c r="X1022" s="7" t="str">
        <f t="shared" si="216"/>
        <v>Inter-Transaction</v>
      </c>
      <c r="Y1022" s="7">
        <f t="shared" si="217"/>
        <v>11275.35</v>
      </c>
      <c r="Z1022" s="7">
        <f t="shared" si="218"/>
        <v>48</v>
      </c>
      <c r="AA1022" s="7">
        <f t="shared" si="219"/>
        <v>2022</v>
      </c>
      <c r="AB1022" s="7">
        <f t="shared" si="220"/>
        <v>9</v>
      </c>
      <c r="AC1022" s="7">
        <f t="shared" si="221"/>
        <v>1</v>
      </c>
      <c r="AD1022" s="7" t="str">
        <f t="shared" si="222"/>
        <v>No</v>
      </c>
      <c r="AE1022" s="7" t="str">
        <f t="shared" si="223"/>
        <v>Normal</v>
      </c>
    </row>
    <row r="1023" spans="1:31">
      <c r="A1023" t="s">
        <v>3027</v>
      </c>
      <c r="B1023">
        <v>66101245</v>
      </c>
      <c r="C1023" t="s">
        <v>1864</v>
      </c>
      <c r="D1023" t="s">
        <v>690</v>
      </c>
      <c r="E1023" t="s">
        <v>20</v>
      </c>
      <c r="F1023" t="s">
        <v>121</v>
      </c>
      <c r="G1023" t="s">
        <v>45</v>
      </c>
      <c r="H1023" t="s">
        <v>25</v>
      </c>
      <c r="I1023" t="s">
        <v>3377</v>
      </c>
      <c r="J1023">
        <v>881.44</v>
      </c>
      <c r="K1023" t="s">
        <v>86</v>
      </c>
      <c r="L1023" t="s">
        <v>48</v>
      </c>
      <c r="M1023" s="1">
        <v>44443.162499999999</v>
      </c>
      <c r="N1023">
        <v>23</v>
      </c>
      <c r="O1023" t="s">
        <v>68</v>
      </c>
      <c r="P1023" t="s">
        <v>36</v>
      </c>
      <c r="Q1023" t="s">
        <v>3028</v>
      </c>
      <c r="R1023" t="str">
        <f t="shared" si="210"/>
        <v>Patricia Velez</v>
      </c>
      <c r="S1023" t="str">
        <f t="shared" si="211"/>
        <v>Christopher Johnson</v>
      </c>
      <c r="T1023" t="str">
        <f t="shared" si="212"/>
        <v>INR</v>
      </c>
      <c r="U1023" s="7" t="str">
        <f t="shared" si="213"/>
        <v>ZAR</v>
      </c>
      <c r="V1023" s="7" t="str">
        <f t="shared" si="214"/>
        <v>UAE</v>
      </c>
      <c r="W1023" s="7" t="str">
        <f t="shared" si="215"/>
        <v>Germany</v>
      </c>
      <c r="X1023" s="7" t="str">
        <f t="shared" si="216"/>
        <v>Inter-Transaction</v>
      </c>
      <c r="Y1023" s="7">
        <f t="shared" si="217"/>
        <v>881.44</v>
      </c>
      <c r="Z1023" s="7">
        <f t="shared" si="218"/>
        <v>23</v>
      </c>
      <c r="AA1023" s="7">
        <f t="shared" si="219"/>
        <v>2021</v>
      </c>
      <c r="AB1023" s="7">
        <f t="shared" si="220"/>
        <v>9</v>
      </c>
      <c r="AC1023" s="7">
        <f t="shared" si="221"/>
        <v>1</v>
      </c>
      <c r="AD1023" s="7" t="str">
        <f t="shared" si="222"/>
        <v>No</v>
      </c>
      <c r="AE1023" s="7" t="str">
        <f t="shared" si="223"/>
        <v>Normal</v>
      </c>
    </row>
    <row r="1024" spans="1:31">
      <c r="A1024" t="s">
        <v>3029</v>
      </c>
      <c r="B1024">
        <v>18588637</v>
      </c>
      <c r="C1024" t="s">
        <v>3030</v>
      </c>
      <c r="D1024" t="s">
        <v>601</v>
      </c>
      <c r="E1024">
        <v>1</v>
      </c>
      <c r="F1024" t="s">
        <v>53</v>
      </c>
      <c r="G1024" t="s">
        <v>80</v>
      </c>
      <c r="H1024" t="s">
        <v>103</v>
      </c>
      <c r="I1024" t="s">
        <v>3378</v>
      </c>
      <c r="J1024">
        <v>10907.08</v>
      </c>
      <c r="K1024" t="s">
        <v>47</v>
      </c>
      <c r="L1024" t="s">
        <v>48</v>
      </c>
      <c r="M1024" s="1">
        <v>44426.507638888892</v>
      </c>
      <c r="N1024">
        <v>57</v>
      </c>
      <c r="O1024" t="s">
        <v>24</v>
      </c>
      <c r="P1024" t="s">
        <v>37</v>
      </c>
      <c r="Q1024" t="s">
        <v>3031</v>
      </c>
      <c r="R1024" t="str">
        <f t="shared" si="210"/>
        <v>Charles Al-Sayed</v>
      </c>
      <c r="S1024" t="str">
        <f t="shared" si="211"/>
        <v>Susan Lopez</v>
      </c>
      <c r="T1024" t="str">
        <f t="shared" si="212"/>
        <v>AED</v>
      </c>
      <c r="U1024" s="7" t="str">
        <f t="shared" si="213"/>
        <v>USD</v>
      </c>
      <c r="V1024" s="7" t="str">
        <f t="shared" si="214"/>
        <v>Brazil</v>
      </c>
      <c r="W1024" s="7" t="str">
        <f t="shared" si="215"/>
        <v>South Africa</v>
      </c>
      <c r="X1024" s="7" t="str">
        <f t="shared" si="216"/>
        <v>Inter-Transaction</v>
      </c>
      <c r="Y1024" s="7">
        <f t="shared" si="217"/>
        <v>10907.08</v>
      </c>
      <c r="Z1024" s="7">
        <f t="shared" si="218"/>
        <v>57</v>
      </c>
      <c r="AA1024" s="7">
        <f t="shared" si="219"/>
        <v>2021</v>
      </c>
      <c r="AB1024" s="7">
        <f t="shared" si="220"/>
        <v>8</v>
      </c>
      <c r="AC1024" s="7">
        <f t="shared" si="221"/>
        <v>1</v>
      </c>
      <c r="AD1024" s="7" t="str">
        <f t="shared" si="222"/>
        <v>No</v>
      </c>
      <c r="AE1024" s="7" t="str">
        <f t="shared" si="223"/>
        <v>Normal</v>
      </c>
    </row>
    <row r="1025" spans="1:31">
      <c r="A1025" t="s">
        <v>3032</v>
      </c>
      <c r="B1025">
        <v>48872850</v>
      </c>
      <c r="C1025" t="s">
        <v>1578</v>
      </c>
      <c r="D1025" t="s">
        <v>1296</v>
      </c>
      <c r="E1025" t="s">
        <v>20</v>
      </c>
      <c r="F1025" t="s">
        <v>80</v>
      </c>
      <c r="G1025" t="s">
        <v>22</v>
      </c>
      <c r="H1025" t="s">
        <v>25</v>
      </c>
      <c r="I1025" t="s">
        <v>3377</v>
      </c>
      <c r="J1025">
        <v>10054.5</v>
      </c>
      <c r="K1025" t="s">
        <v>39</v>
      </c>
      <c r="L1025" t="s">
        <v>81</v>
      </c>
      <c r="M1025" s="1">
        <v>44751.013888888891</v>
      </c>
      <c r="N1025">
        <v>29</v>
      </c>
      <c r="O1025" t="s">
        <v>24</v>
      </c>
      <c r="P1025" t="s">
        <v>23</v>
      </c>
      <c r="Q1025" t="s">
        <v>3033</v>
      </c>
      <c r="R1025" t="str">
        <f t="shared" si="210"/>
        <v>Thomas Al-Sayed</v>
      </c>
      <c r="S1025" t="str">
        <f t="shared" si="211"/>
        <v>Barbara Khan</v>
      </c>
      <c r="T1025" t="str">
        <f t="shared" si="212"/>
        <v>USD</v>
      </c>
      <c r="U1025" s="7" t="str">
        <f t="shared" si="213"/>
        <v>BRL</v>
      </c>
      <c r="V1025" s="7" t="str">
        <f t="shared" si="214"/>
        <v>Brazil</v>
      </c>
      <c r="W1025" s="7" t="str">
        <f t="shared" si="215"/>
        <v>France</v>
      </c>
      <c r="X1025" s="7" t="str">
        <f t="shared" si="216"/>
        <v>Inter-Transaction</v>
      </c>
      <c r="Y1025" s="7">
        <f t="shared" si="217"/>
        <v>10054.5</v>
      </c>
      <c r="Z1025" s="7">
        <f t="shared" si="218"/>
        <v>29</v>
      </c>
      <c r="AA1025" s="7">
        <f t="shared" si="219"/>
        <v>2022</v>
      </c>
      <c r="AB1025" s="7">
        <f t="shared" si="220"/>
        <v>7</v>
      </c>
      <c r="AC1025" s="7">
        <f t="shared" si="221"/>
        <v>1</v>
      </c>
      <c r="AD1025" s="7" t="str">
        <f t="shared" si="222"/>
        <v>No</v>
      </c>
      <c r="AE1025" s="7" t="str">
        <f t="shared" si="223"/>
        <v>Normal</v>
      </c>
    </row>
    <row r="1026" spans="1:31">
      <c r="A1026" t="s">
        <v>3034</v>
      </c>
      <c r="B1026">
        <v>13557133</v>
      </c>
      <c r="C1026" t="s">
        <v>2111</v>
      </c>
      <c r="E1026" t="s">
        <v>20</v>
      </c>
      <c r="F1026" t="s">
        <v>22</v>
      </c>
      <c r="G1026" t="s">
        <v>45</v>
      </c>
      <c r="H1026" t="s">
        <v>25</v>
      </c>
      <c r="I1026" t="s">
        <v>3371</v>
      </c>
      <c r="J1026">
        <v>1989.36</v>
      </c>
      <c r="K1026" t="s">
        <v>86</v>
      </c>
      <c r="L1026" t="s">
        <v>28</v>
      </c>
      <c r="M1026" s="1">
        <v>44672.763888888891</v>
      </c>
      <c r="N1026">
        <v>70</v>
      </c>
      <c r="O1026" t="s">
        <v>54</v>
      </c>
      <c r="P1026" t="s">
        <v>37</v>
      </c>
      <c r="Q1026" t="s">
        <v>3035</v>
      </c>
      <c r="R1026" t="str">
        <f t="shared" ref="R1026:R1089" si="224">TRIM(C1026)</f>
        <v>Lucas Jackson</v>
      </c>
      <c r="S1026" t="str">
        <f t="shared" ref="S1026:S1089" si="225">PROPER(D1026)</f>
        <v/>
      </c>
      <c r="T1026" t="str">
        <f t="shared" ref="T1026:T1089" si="226">TRIM(F1026)</f>
        <v>BRL</v>
      </c>
      <c r="U1026" s="7" t="str">
        <f t="shared" ref="U1026:U1089" si="227">TRIM(G1026)</f>
        <v>ZAR</v>
      </c>
      <c r="V1026" s="7" t="str">
        <f t="shared" ref="V1026:V1089" si="228">TRIM(O1026)</f>
        <v>India</v>
      </c>
      <c r="W1026" s="7" t="str">
        <f t="shared" ref="W1026:W1089" si="229">TRIM(P1026)</f>
        <v>South Africa</v>
      </c>
      <c r="X1026" s="7" t="str">
        <f t="shared" ref="X1026:X1089" si="230">PROPER(I1026)</f>
        <v>Outer-Transaction</v>
      </c>
      <c r="Y1026" s="7">
        <f t="shared" ref="Y1026:Y1089" si="231">IF(J1026="",AVERAGE($J:$J),J1026)</f>
        <v>1989.36</v>
      </c>
      <c r="Z1026" s="7">
        <f t="shared" ref="Z1026:Z1089" si="232">IF(N1026="",AVERAGE($N:$N),N1026)</f>
        <v>70</v>
      </c>
      <c r="AA1026" s="7">
        <f t="shared" ref="AA1026:AA1089" si="233">YEAR(M1026)</f>
        <v>2022</v>
      </c>
      <c r="AB1026" s="7">
        <f t="shared" ref="AB1026:AB1089" si="234">MONTH(M1026)</f>
        <v>4</v>
      </c>
      <c r="AC1026" s="7">
        <f t="shared" ref="AC1026:AC1089" si="235">COUNTIF(A:A,A1026)</f>
        <v>1</v>
      </c>
      <c r="AD1026" s="7" t="str">
        <f t="shared" ref="AD1026:AD1089" si="236">IF(C1026="YES","Yes","No")</f>
        <v>No</v>
      </c>
      <c r="AE1026" s="7" t="str">
        <f t="shared" ref="AE1026:AE1089" si="237">IF(L1026="HIGH","High Risk","Normal")</f>
        <v>Normal</v>
      </c>
    </row>
    <row r="1027" spans="1:31">
      <c r="A1027" t="s">
        <v>3036</v>
      </c>
      <c r="B1027">
        <v>55003155</v>
      </c>
      <c r="C1027" t="s">
        <v>2214</v>
      </c>
      <c r="D1027" t="s">
        <v>2221</v>
      </c>
      <c r="E1027" t="s">
        <v>20</v>
      </c>
      <c r="F1027" t="s">
        <v>35</v>
      </c>
      <c r="G1027" t="s">
        <v>98</v>
      </c>
      <c r="I1027" t="s">
        <v>3378</v>
      </c>
      <c r="J1027">
        <v>9710.35</v>
      </c>
      <c r="K1027" t="s">
        <v>57</v>
      </c>
      <c r="L1027" t="s">
        <v>81</v>
      </c>
      <c r="M1027" s="1">
        <v>45056.803472222222</v>
      </c>
      <c r="N1027">
        <v>27</v>
      </c>
      <c r="O1027" t="s">
        <v>23</v>
      </c>
      <c r="P1027" t="s">
        <v>55</v>
      </c>
      <c r="Q1027" t="s">
        <v>3037</v>
      </c>
      <c r="R1027" t="str">
        <f t="shared" si="224"/>
        <v>Elizabeth Jones</v>
      </c>
      <c r="S1027" t="str">
        <f t="shared" si="225"/>
        <v>Michael Miller</v>
      </c>
      <c r="T1027" t="str">
        <f t="shared" si="226"/>
        <v>EUR</v>
      </c>
      <c r="U1027" s="7" t="str">
        <f t="shared" si="227"/>
        <v>JPY</v>
      </c>
      <c r="V1027" s="7" t="str">
        <f t="shared" si="228"/>
        <v>France</v>
      </c>
      <c r="W1027" s="7" t="str">
        <f t="shared" si="229"/>
        <v>UK</v>
      </c>
      <c r="X1027" s="7" t="str">
        <f t="shared" si="230"/>
        <v>Inter-Transaction</v>
      </c>
      <c r="Y1027" s="7">
        <f t="shared" si="231"/>
        <v>9710.35</v>
      </c>
      <c r="Z1027" s="7">
        <f t="shared" si="232"/>
        <v>27</v>
      </c>
      <c r="AA1027" s="7">
        <f t="shared" si="233"/>
        <v>2023</v>
      </c>
      <c r="AB1027" s="7">
        <f t="shared" si="234"/>
        <v>5</v>
      </c>
      <c r="AC1027" s="7">
        <f t="shared" si="235"/>
        <v>1</v>
      </c>
      <c r="AD1027" s="7" t="str">
        <f t="shared" si="236"/>
        <v>No</v>
      </c>
      <c r="AE1027" s="7" t="str">
        <f t="shared" si="237"/>
        <v>Normal</v>
      </c>
    </row>
    <row r="1028" spans="1:31">
      <c r="A1028" t="s">
        <v>3038</v>
      </c>
      <c r="B1028">
        <v>42862031</v>
      </c>
      <c r="C1028" t="s">
        <v>3039</v>
      </c>
      <c r="D1028" t="s">
        <v>243</v>
      </c>
      <c r="E1028">
        <v>0</v>
      </c>
      <c r="F1028" t="s">
        <v>116</v>
      </c>
      <c r="G1028" t="s">
        <v>98</v>
      </c>
      <c r="H1028" t="s">
        <v>74</v>
      </c>
      <c r="I1028" t="s">
        <v>3378</v>
      </c>
      <c r="J1028">
        <v>6565.93</v>
      </c>
      <c r="K1028" t="s">
        <v>27</v>
      </c>
      <c r="L1028" t="s">
        <v>81</v>
      </c>
      <c r="M1028" s="1">
        <v>44174.45208333333</v>
      </c>
      <c r="N1028">
        <v>62</v>
      </c>
      <c r="O1028" t="s">
        <v>23</v>
      </c>
      <c r="P1028" t="s">
        <v>62</v>
      </c>
      <c r="Q1028" t="s">
        <v>3040</v>
      </c>
      <c r="R1028" t="str">
        <f t="shared" si="224"/>
        <v>Thomas Khan</v>
      </c>
      <c r="S1028" t="str">
        <f t="shared" si="225"/>
        <v>Richard Dubois</v>
      </c>
      <c r="T1028" t="str">
        <f t="shared" si="226"/>
        <v>CHF</v>
      </c>
      <c r="U1028" s="7" t="str">
        <f t="shared" si="227"/>
        <v>JPY</v>
      </c>
      <c r="V1028" s="7" t="str">
        <f t="shared" si="228"/>
        <v>France</v>
      </c>
      <c r="W1028" s="7" t="str">
        <f t="shared" si="229"/>
        <v>Australia</v>
      </c>
      <c r="X1028" s="7" t="str">
        <f t="shared" si="230"/>
        <v>Inter-Transaction</v>
      </c>
      <c r="Y1028" s="7">
        <f t="shared" si="231"/>
        <v>6565.93</v>
      </c>
      <c r="Z1028" s="7">
        <f t="shared" si="232"/>
        <v>62</v>
      </c>
      <c r="AA1028" s="7">
        <f t="shared" si="233"/>
        <v>2020</v>
      </c>
      <c r="AB1028" s="7">
        <f t="shared" si="234"/>
        <v>12</v>
      </c>
      <c r="AC1028" s="7">
        <f t="shared" si="235"/>
        <v>1</v>
      </c>
      <c r="AD1028" s="7" t="str">
        <f t="shared" si="236"/>
        <v>No</v>
      </c>
      <c r="AE1028" s="7" t="str">
        <f t="shared" si="237"/>
        <v>Normal</v>
      </c>
    </row>
    <row r="1029" spans="1:31">
      <c r="A1029" t="s">
        <v>3041</v>
      </c>
      <c r="B1029">
        <v>37072445</v>
      </c>
      <c r="C1029" t="s">
        <v>1073</v>
      </c>
      <c r="D1029" t="s">
        <v>1815</v>
      </c>
      <c r="E1029" t="s">
        <v>20</v>
      </c>
      <c r="F1029" t="s">
        <v>35</v>
      </c>
      <c r="G1029" t="s">
        <v>34</v>
      </c>
      <c r="I1029" t="s">
        <v>3377</v>
      </c>
      <c r="J1029">
        <v>12219.73</v>
      </c>
      <c r="K1029" t="s">
        <v>57</v>
      </c>
      <c r="L1029" t="s">
        <v>48</v>
      </c>
      <c r="M1029" s="1">
        <v>45707.116666666669</v>
      </c>
      <c r="N1029">
        <v>34</v>
      </c>
      <c r="O1029" t="s">
        <v>23</v>
      </c>
      <c r="P1029" t="s">
        <v>37</v>
      </c>
      <c r="Q1029" t="s">
        <v>3042</v>
      </c>
      <c r="R1029" t="str">
        <f t="shared" si="224"/>
        <v>Lucas Velez</v>
      </c>
      <c r="S1029" t="str">
        <f t="shared" si="225"/>
        <v>Sarah Wilson</v>
      </c>
      <c r="T1029" t="str">
        <f t="shared" si="226"/>
        <v>EUR</v>
      </c>
      <c r="U1029" s="7" t="str">
        <f t="shared" si="227"/>
        <v>CAD</v>
      </c>
      <c r="V1029" s="7" t="str">
        <f t="shared" si="228"/>
        <v>France</v>
      </c>
      <c r="W1029" s="7" t="str">
        <f t="shared" si="229"/>
        <v>South Africa</v>
      </c>
      <c r="X1029" s="7" t="str">
        <f t="shared" si="230"/>
        <v>Inter-Transaction</v>
      </c>
      <c r="Y1029" s="7">
        <f t="shared" si="231"/>
        <v>12219.73</v>
      </c>
      <c r="Z1029" s="7">
        <f t="shared" si="232"/>
        <v>34</v>
      </c>
      <c r="AA1029" s="7">
        <f t="shared" si="233"/>
        <v>2025</v>
      </c>
      <c r="AB1029" s="7">
        <f t="shared" si="234"/>
        <v>2</v>
      </c>
      <c r="AC1029" s="7">
        <f t="shared" si="235"/>
        <v>1</v>
      </c>
      <c r="AD1029" s="7" t="str">
        <f t="shared" si="236"/>
        <v>No</v>
      </c>
      <c r="AE1029" s="7" t="str">
        <f t="shared" si="237"/>
        <v>Normal</v>
      </c>
    </row>
    <row r="1030" spans="1:31">
      <c r="A1030" t="s">
        <v>3043</v>
      </c>
      <c r="B1030">
        <v>29394450</v>
      </c>
      <c r="C1030" t="s">
        <v>731</v>
      </c>
      <c r="D1030" t="s">
        <v>1483</v>
      </c>
      <c r="E1030">
        <v>1</v>
      </c>
      <c r="F1030" t="s">
        <v>121</v>
      </c>
      <c r="G1030" t="s">
        <v>121</v>
      </c>
      <c r="H1030" t="s">
        <v>38</v>
      </c>
      <c r="I1030" t="s">
        <v>3372</v>
      </c>
      <c r="J1030">
        <v>14661.64</v>
      </c>
      <c r="K1030" t="s">
        <v>57</v>
      </c>
      <c r="L1030" t="s">
        <v>81</v>
      </c>
      <c r="M1030" s="1">
        <v>44689.479861111111</v>
      </c>
      <c r="N1030">
        <v>43</v>
      </c>
      <c r="O1030" t="s">
        <v>54</v>
      </c>
      <c r="P1030" t="s">
        <v>54</v>
      </c>
      <c r="Q1030" t="s">
        <v>3044</v>
      </c>
      <c r="R1030" t="str">
        <f t="shared" si="224"/>
        <v>Sarah Garcia</v>
      </c>
      <c r="S1030" t="str">
        <f t="shared" si="225"/>
        <v>David Hernandez</v>
      </c>
      <c r="T1030" t="str">
        <f t="shared" si="226"/>
        <v>INR</v>
      </c>
      <c r="U1030" s="7" t="str">
        <f t="shared" si="227"/>
        <v>INR</v>
      </c>
      <c r="V1030" s="7" t="str">
        <f t="shared" si="228"/>
        <v>India</v>
      </c>
      <c r="W1030" s="7" t="str">
        <f t="shared" si="229"/>
        <v>India</v>
      </c>
      <c r="X1030" s="7" t="str">
        <f t="shared" si="230"/>
        <v>Outer-Transaction</v>
      </c>
      <c r="Y1030" s="7">
        <f t="shared" si="231"/>
        <v>14661.64</v>
      </c>
      <c r="Z1030" s="7">
        <f t="shared" si="232"/>
        <v>43</v>
      </c>
      <c r="AA1030" s="7">
        <f t="shared" si="233"/>
        <v>2022</v>
      </c>
      <c r="AB1030" s="7">
        <f t="shared" si="234"/>
        <v>5</v>
      </c>
      <c r="AC1030" s="7">
        <f t="shared" si="235"/>
        <v>1</v>
      </c>
      <c r="AD1030" s="7" t="str">
        <f t="shared" si="236"/>
        <v>No</v>
      </c>
      <c r="AE1030" s="7" t="str">
        <f t="shared" si="237"/>
        <v>Normal</v>
      </c>
    </row>
    <row r="1031" spans="1:31">
      <c r="A1031" t="s">
        <v>3045</v>
      </c>
      <c r="B1031">
        <v>12909870</v>
      </c>
      <c r="C1031" t="s">
        <v>1676</v>
      </c>
      <c r="D1031" t="s">
        <v>188</v>
      </c>
      <c r="E1031" t="s">
        <v>20</v>
      </c>
      <c r="F1031" t="s">
        <v>92</v>
      </c>
      <c r="G1031" t="s">
        <v>116</v>
      </c>
      <c r="H1031" t="s">
        <v>25</v>
      </c>
      <c r="I1031" t="s">
        <v>3371</v>
      </c>
      <c r="J1031">
        <v>12278.17</v>
      </c>
      <c r="K1031" t="s">
        <v>86</v>
      </c>
      <c r="L1031" t="s">
        <v>81</v>
      </c>
      <c r="M1031" s="1">
        <v>45254.402083333334</v>
      </c>
      <c r="N1031">
        <v>79</v>
      </c>
      <c r="O1031" t="s">
        <v>93</v>
      </c>
      <c r="P1031" t="s">
        <v>36</v>
      </c>
      <c r="Q1031" t="s">
        <v>3046</v>
      </c>
      <c r="R1031" t="str">
        <f t="shared" si="224"/>
        <v>Barbara Wilson</v>
      </c>
      <c r="S1031" t="str">
        <f t="shared" si="225"/>
        <v>Sanjay Jones</v>
      </c>
      <c r="T1031" t="str">
        <f t="shared" si="226"/>
        <v>AUD</v>
      </c>
      <c r="U1031" s="7" t="str">
        <f t="shared" si="227"/>
        <v>CHF</v>
      </c>
      <c r="V1031" s="7" t="str">
        <f t="shared" si="228"/>
        <v>USA</v>
      </c>
      <c r="W1031" s="7" t="str">
        <f t="shared" si="229"/>
        <v>Germany</v>
      </c>
      <c r="X1031" s="7" t="str">
        <f t="shared" si="230"/>
        <v>Outer-Transaction</v>
      </c>
      <c r="Y1031" s="7">
        <f t="shared" si="231"/>
        <v>12278.17</v>
      </c>
      <c r="Z1031" s="7">
        <f t="shared" si="232"/>
        <v>79</v>
      </c>
      <c r="AA1031" s="7">
        <f t="shared" si="233"/>
        <v>2023</v>
      </c>
      <c r="AB1031" s="7">
        <f t="shared" si="234"/>
        <v>11</v>
      </c>
      <c r="AC1031" s="7">
        <f t="shared" si="235"/>
        <v>1</v>
      </c>
      <c r="AD1031" s="7" t="str">
        <f t="shared" si="236"/>
        <v>No</v>
      </c>
      <c r="AE1031" s="7" t="str">
        <f t="shared" si="237"/>
        <v>Normal</v>
      </c>
    </row>
    <row r="1032" spans="1:31">
      <c r="A1032" t="s">
        <v>3047</v>
      </c>
      <c r="B1032">
        <v>69169839</v>
      </c>
      <c r="C1032" t="s">
        <v>3048</v>
      </c>
      <c r="D1032" t="s">
        <v>705</v>
      </c>
      <c r="E1032" t="s">
        <v>20</v>
      </c>
      <c r="F1032" t="s">
        <v>176</v>
      </c>
      <c r="G1032" t="s">
        <v>21</v>
      </c>
      <c r="H1032" t="s">
        <v>25</v>
      </c>
      <c r="I1032" t="s">
        <v>3371</v>
      </c>
      <c r="J1032">
        <v>2218.69</v>
      </c>
      <c r="K1032" t="s">
        <v>47</v>
      </c>
      <c r="L1032" t="s">
        <v>75</v>
      </c>
      <c r="M1032" s="1">
        <v>44275.586111111108</v>
      </c>
      <c r="N1032">
        <v>63</v>
      </c>
      <c r="O1032" t="s">
        <v>68</v>
      </c>
      <c r="P1032" t="s">
        <v>68</v>
      </c>
      <c r="Q1032" t="s">
        <v>3049</v>
      </c>
      <c r="R1032" t="str">
        <f t="shared" si="224"/>
        <v>Christopher Dubois</v>
      </c>
      <c r="S1032" t="str">
        <f t="shared" si="225"/>
        <v>William Rodriguez</v>
      </c>
      <c r="T1032" t="str">
        <f t="shared" si="226"/>
        <v>aed</v>
      </c>
      <c r="U1032" s="7" t="str">
        <f t="shared" si="227"/>
        <v>GBP</v>
      </c>
      <c r="V1032" s="7" t="str">
        <f t="shared" si="228"/>
        <v>UAE</v>
      </c>
      <c r="W1032" s="7" t="str">
        <f t="shared" si="229"/>
        <v>UAE</v>
      </c>
      <c r="X1032" s="7" t="str">
        <f t="shared" si="230"/>
        <v>Outer-Transaction</v>
      </c>
      <c r="Y1032" s="7">
        <f t="shared" si="231"/>
        <v>2218.69</v>
      </c>
      <c r="Z1032" s="7">
        <f t="shared" si="232"/>
        <v>63</v>
      </c>
      <c r="AA1032" s="7">
        <f t="shared" si="233"/>
        <v>2021</v>
      </c>
      <c r="AB1032" s="7">
        <f t="shared" si="234"/>
        <v>3</v>
      </c>
      <c r="AC1032" s="7">
        <f t="shared" si="235"/>
        <v>1</v>
      </c>
      <c r="AD1032" s="7" t="str">
        <f t="shared" si="236"/>
        <v>No</v>
      </c>
      <c r="AE1032" s="7" t="str">
        <f t="shared" si="237"/>
        <v>High Risk</v>
      </c>
    </row>
    <row r="1033" spans="1:31">
      <c r="A1033" t="s">
        <v>3050</v>
      </c>
      <c r="B1033">
        <v>56290206</v>
      </c>
      <c r="C1033" t="s">
        <v>3051</v>
      </c>
      <c r="D1033" t="s">
        <v>3052</v>
      </c>
      <c r="E1033" t="s">
        <v>3373</v>
      </c>
      <c r="F1033" t="s">
        <v>21</v>
      </c>
      <c r="G1033" t="s">
        <v>34</v>
      </c>
      <c r="H1033" t="s">
        <v>74</v>
      </c>
      <c r="I1033" t="s">
        <v>3374</v>
      </c>
      <c r="J1033">
        <v>9168.35</v>
      </c>
      <c r="K1033" t="s">
        <v>47</v>
      </c>
      <c r="L1033" t="s">
        <v>28</v>
      </c>
      <c r="M1033" s="1">
        <v>45619.164583333331</v>
      </c>
      <c r="N1033">
        <v>81</v>
      </c>
      <c r="O1033" t="s">
        <v>55</v>
      </c>
      <c r="P1033" t="s">
        <v>127</v>
      </c>
      <c r="Q1033" t="s">
        <v>3053</v>
      </c>
      <c r="R1033" t="str">
        <f t="shared" si="224"/>
        <v>SARAH AL-SAYED</v>
      </c>
      <c r="S1033" t="str">
        <f t="shared" si="225"/>
        <v xml:space="preserve"> Christopher Anderson   </v>
      </c>
      <c r="T1033" t="str">
        <f t="shared" si="226"/>
        <v>GBP</v>
      </c>
      <c r="U1033" s="7" t="str">
        <f t="shared" si="227"/>
        <v>CAD</v>
      </c>
      <c r="V1033" s="7" t="str">
        <f t="shared" si="228"/>
        <v>UK</v>
      </c>
      <c r="W1033" s="7" t="str">
        <f t="shared" si="229"/>
        <v>Canada</v>
      </c>
      <c r="X1033" s="7" t="str">
        <f t="shared" si="230"/>
        <v>External</v>
      </c>
      <c r="Y1033" s="7">
        <f t="shared" si="231"/>
        <v>9168.35</v>
      </c>
      <c r="Z1033" s="7">
        <f t="shared" si="232"/>
        <v>81</v>
      </c>
      <c r="AA1033" s="7">
        <f t="shared" si="233"/>
        <v>2024</v>
      </c>
      <c r="AB1033" s="7">
        <f t="shared" si="234"/>
        <v>11</v>
      </c>
      <c r="AC1033" s="7">
        <f t="shared" si="235"/>
        <v>1</v>
      </c>
      <c r="AD1033" s="7" t="str">
        <f t="shared" si="236"/>
        <v>No</v>
      </c>
      <c r="AE1033" s="7" t="str">
        <f t="shared" si="237"/>
        <v>Normal</v>
      </c>
    </row>
    <row r="1034" spans="1:31">
      <c r="A1034" t="s">
        <v>3054</v>
      </c>
      <c r="B1034">
        <v>30946019</v>
      </c>
      <c r="C1034" t="s">
        <v>858</v>
      </c>
      <c r="D1034" t="s">
        <v>1059</v>
      </c>
      <c r="E1034" t="s">
        <v>20</v>
      </c>
      <c r="F1034" t="s">
        <v>176</v>
      </c>
      <c r="G1034" t="s">
        <v>34</v>
      </c>
      <c r="H1034" t="s">
        <v>56</v>
      </c>
      <c r="I1034" t="s">
        <v>3371</v>
      </c>
      <c r="J1034">
        <v>6110.87</v>
      </c>
      <c r="K1034" t="s">
        <v>47</v>
      </c>
      <c r="L1034" t="s">
        <v>48</v>
      </c>
      <c r="M1034" s="1">
        <v>44052.868750000001</v>
      </c>
      <c r="N1034">
        <v>19</v>
      </c>
      <c r="O1034" t="s">
        <v>36</v>
      </c>
      <c r="P1034" t="s">
        <v>23</v>
      </c>
      <c r="Q1034" t="s">
        <v>3055</v>
      </c>
      <c r="R1034" t="str">
        <f t="shared" si="224"/>
        <v>Elena Johnson</v>
      </c>
      <c r="S1034" t="str">
        <f t="shared" si="225"/>
        <v>Priya Jackson</v>
      </c>
      <c r="T1034" t="str">
        <f t="shared" si="226"/>
        <v>aed</v>
      </c>
      <c r="U1034" s="7" t="str">
        <f t="shared" si="227"/>
        <v>CAD</v>
      </c>
      <c r="V1034" s="7" t="str">
        <f t="shared" si="228"/>
        <v>Germany</v>
      </c>
      <c r="W1034" s="7" t="str">
        <f t="shared" si="229"/>
        <v>France</v>
      </c>
      <c r="X1034" s="7" t="str">
        <f t="shared" si="230"/>
        <v>Outer-Transaction</v>
      </c>
      <c r="Y1034" s="7">
        <f t="shared" si="231"/>
        <v>6110.87</v>
      </c>
      <c r="Z1034" s="7">
        <f t="shared" si="232"/>
        <v>19</v>
      </c>
      <c r="AA1034" s="7">
        <f t="shared" si="233"/>
        <v>2020</v>
      </c>
      <c r="AB1034" s="7">
        <f t="shared" si="234"/>
        <v>8</v>
      </c>
      <c r="AC1034" s="7">
        <f t="shared" si="235"/>
        <v>1</v>
      </c>
      <c r="AD1034" s="7" t="str">
        <f t="shared" si="236"/>
        <v>No</v>
      </c>
      <c r="AE1034" s="7" t="str">
        <f t="shared" si="237"/>
        <v>Normal</v>
      </c>
    </row>
    <row r="1035" spans="1:31">
      <c r="A1035" t="s">
        <v>3056</v>
      </c>
      <c r="B1035">
        <v>16578058</v>
      </c>
      <c r="C1035" t="s">
        <v>1808</v>
      </c>
      <c r="D1035" t="s">
        <v>232</v>
      </c>
      <c r="E1035" t="s">
        <v>20</v>
      </c>
      <c r="F1035" t="s">
        <v>98</v>
      </c>
      <c r="G1035" t="s">
        <v>53</v>
      </c>
      <c r="H1035" t="s">
        <v>74</v>
      </c>
      <c r="I1035" t="s">
        <v>3372</v>
      </c>
      <c r="J1035">
        <v>12738.24</v>
      </c>
      <c r="K1035" t="s">
        <v>27</v>
      </c>
      <c r="L1035" t="s">
        <v>81</v>
      </c>
      <c r="M1035" s="1">
        <v>44422.786111111112</v>
      </c>
      <c r="N1035">
        <v>71</v>
      </c>
      <c r="O1035" t="s">
        <v>68</v>
      </c>
      <c r="P1035" t="s">
        <v>24</v>
      </c>
      <c r="Q1035" t="s">
        <v>3057</v>
      </c>
      <c r="R1035" t="str">
        <f t="shared" si="224"/>
        <v>Carlos Volkov</v>
      </c>
      <c r="S1035" t="str">
        <f t="shared" si="225"/>
        <v>Fatima Velez</v>
      </c>
      <c r="T1035" t="str">
        <f t="shared" si="226"/>
        <v>JPY</v>
      </c>
      <c r="U1035" s="7" t="str">
        <f t="shared" si="227"/>
        <v>AED</v>
      </c>
      <c r="V1035" s="7" t="str">
        <f t="shared" si="228"/>
        <v>UAE</v>
      </c>
      <c r="W1035" s="7" t="str">
        <f t="shared" si="229"/>
        <v>Brazil</v>
      </c>
      <c r="X1035" s="7" t="str">
        <f t="shared" si="230"/>
        <v>Outer-Transaction</v>
      </c>
      <c r="Y1035" s="7">
        <f t="shared" si="231"/>
        <v>12738.24</v>
      </c>
      <c r="Z1035" s="7">
        <f t="shared" si="232"/>
        <v>71</v>
      </c>
      <c r="AA1035" s="7">
        <f t="shared" si="233"/>
        <v>2021</v>
      </c>
      <c r="AB1035" s="7">
        <f t="shared" si="234"/>
        <v>8</v>
      </c>
      <c r="AC1035" s="7">
        <f t="shared" si="235"/>
        <v>1</v>
      </c>
      <c r="AD1035" s="7" t="str">
        <f t="shared" si="236"/>
        <v>No</v>
      </c>
      <c r="AE1035" s="7" t="str">
        <f t="shared" si="237"/>
        <v>Normal</v>
      </c>
    </row>
    <row r="1036" spans="1:31">
      <c r="A1036" t="s">
        <v>3058</v>
      </c>
      <c r="B1036">
        <v>37762332</v>
      </c>
      <c r="C1036" t="s">
        <v>1938</v>
      </c>
      <c r="D1036" t="s">
        <v>3059</v>
      </c>
      <c r="E1036" t="s">
        <v>20</v>
      </c>
      <c r="F1036" t="s">
        <v>53</v>
      </c>
      <c r="G1036" t="s">
        <v>116</v>
      </c>
      <c r="H1036" t="s">
        <v>103</v>
      </c>
      <c r="I1036" t="s">
        <v>3372</v>
      </c>
      <c r="J1036">
        <v>4206.18</v>
      </c>
      <c r="K1036" t="s">
        <v>86</v>
      </c>
      <c r="L1036" t="s">
        <v>28</v>
      </c>
      <c r="M1036" s="1">
        <v>44861.134722222225</v>
      </c>
      <c r="N1036">
        <v>82</v>
      </c>
      <c r="O1036" t="s">
        <v>24</v>
      </c>
      <c r="P1036" t="s">
        <v>68</v>
      </c>
      <c r="Q1036" t="s">
        <v>3060</v>
      </c>
      <c r="R1036" t="str">
        <f t="shared" si="224"/>
        <v>Joseph Smith</v>
      </c>
      <c r="S1036" t="str">
        <f t="shared" si="225"/>
        <v xml:space="preserve"> Zayn Hernandez   </v>
      </c>
      <c r="T1036" t="str">
        <f t="shared" si="226"/>
        <v>AED</v>
      </c>
      <c r="U1036" s="7" t="str">
        <f t="shared" si="227"/>
        <v>CHF</v>
      </c>
      <c r="V1036" s="7" t="str">
        <f t="shared" si="228"/>
        <v>Brazil</v>
      </c>
      <c r="W1036" s="7" t="str">
        <f t="shared" si="229"/>
        <v>UAE</v>
      </c>
      <c r="X1036" s="7" t="str">
        <f t="shared" si="230"/>
        <v>Outer-Transaction</v>
      </c>
      <c r="Y1036" s="7">
        <f t="shared" si="231"/>
        <v>4206.18</v>
      </c>
      <c r="Z1036" s="7">
        <f t="shared" si="232"/>
        <v>82</v>
      </c>
      <c r="AA1036" s="7">
        <f t="shared" si="233"/>
        <v>2022</v>
      </c>
      <c r="AB1036" s="7">
        <f t="shared" si="234"/>
        <v>10</v>
      </c>
      <c r="AC1036" s="7">
        <f t="shared" si="235"/>
        <v>1</v>
      </c>
      <c r="AD1036" s="7" t="str">
        <f t="shared" si="236"/>
        <v>No</v>
      </c>
      <c r="AE1036" s="7" t="str">
        <f t="shared" si="237"/>
        <v>Normal</v>
      </c>
    </row>
    <row r="1037" spans="1:31">
      <c r="A1037" t="s">
        <v>3061</v>
      </c>
      <c r="B1037">
        <v>97655433</v>
      </c>
      <c r="C1037" t="s">
        <v>115</v>
      </c>
      <c r="D1037" t="s">
        <v>2816</v>
      </c>
      <c r="E1037" t="s">
        <v>20</v>
      </c>
      <c r="F1037" t="s">
        <v>34</v>
      </c>
      <c r="G1037" t="s">
        <v>53</v>
      </c>
      <c r="I1037" t="s">
        <v>3374</v>
      </c>
      <c r="J1037">
        <v>909.62</v>
      </c>
      <c r="K1037" t="s">
        <v>86</v>
      </c>
      <c r="L1037" t="s">
        <v>48</v>
      </c>
      <c r="M1037" s="1">
        <v>45126.696527777778</v>
      </c>
      <c r="N1037">
        <v>68</v>
      </c>
      <c r="O1037" t="s">
        <v>127</v>
      </c>
      <c r="P1037" t="s">
        <v>54</v>
      </c>
      <c r="Q1037" t="s">
        <v>3062</v>
      </c>
      <c r="R1037" t="str">
        <f t="shared" si="224"/>
        <v>Carlos Malik</v>
      </c>
      <c r="S1037" t="str">
        <f t="shared" si="225"/>
        <v>John Williams</v>
      </c>
      <c r="T1037" t="str">
        <f t="shared" si="226"/>
        <v>CAD</v>
      </c>
      <c r="U1037" s="7" t="str">
        <f t="shared" si="227"/>
        <v>AED</v>
      </c>
      <c r="V1037" s="7" t="str">
        <f t="shared" si="228"/>
        <v>Canada</v>
      </c>
      <c r="W1037" s="7" t="str">
        <f t="shared" si="229"/>
        <v>India</v>
      </c>
      <c r="X1037" s="7" t="str">
        <f t="shared" si="230"/>
        <v>External</v>
      </c>
      <c r="Y1037" s="7">
        <f t="shared" si="231"/>
        <v>909.62</v>
      </c>
      <c r="Z1037" s="7">
        <f t="shared" si="232"/>
        <v>68</v>
      </c>
      <c r="AA1037" s="7">
        <f t="shared" si="233"/>
        <v>2023</v>
      </c>
      <c r="AB1037" s="7">
        <f t="shared" si="234"/>
        <v>7</v>
      </c>
      <c r="AC1037" s="7">
        <f t="shared" si="235"/>
        <v>1</v>
      </c>
      <c r="AD1037" s="7" t="str">
        <f t="shared" si="236"/>
        <v>No</v>
      </c>
      <c r="AE1037" s="7" t="str">
        <f t="shared" si="237"/>
        <v>Normal</v>
      </c>
    </row>
    <row r="1038" spans="1:31">
      <c r="A1038" t="s">
        <v>3063</v>
      </c>
      <c r="B1038">
        <v>42479386</v>
      </c>
      <c r="C1038" t="s">
        <v>679</v>
      </c>
      <c r="D1038" t="s">
        <v>935</v>
      </c>
      <c r="E1038" t="s">
        <v>3373</v>
      </c>
      <c r="F1038" t="s">
        <v>34</v>
      </c>
      <c r="G1038" t="s">
        <v>35</v>
      </c>
      <c r="H1038" t="s">
        <v>38</v>
      </c>
      <c r="I1038" t="s">
        <v>3374</v>
      </c>
      <c r="J1038">
        <v>3266.45</v>
      </c>
      <c r="K1038" t="s">
        <v>57</v>
      </c>
      <c r="L1038" t="s">
        <v>81</v>
      </c>
      <c r="M1038" s="1">
        <v>44848.089583333334</v>
      </c>
      <c r="N1038">
        <v>70</v>
      </c>
      <c r="O1038" t="s">
        <v>62</v>
      </c>
      <c r="P1038" t="s">
        <v>37</v>
      </c>
      <c r="Q1038" t="s">
        <v>3064</v>
      </c>
      <c r="R1038" t="str">
        <f t="shared" si="224"/>
        <v>Robert Lopez</v>
      </c>
      <c r="S1038" t="str">
        <f t="shared" si="225"/>
        <v>Joseph Gonzalez</v>
      </c>
      <c r="T1038" t="str">
        <f t="shared" si="226"/>
        <v>CAD</v>
      </c>
      <c r="U1038" s="7" t="str">
        <f t="shared" si="227"/>
        <v>EUR</v>
      </c>
      <c r="V1038" s="7" t="str">
        <f t="shared" si="228"/>
        <v>Australia</v>
      </c>
      <c r="W1038" s="7" t="str">
        <f t="shared" si="229"/>
        <v>South Africa</v>
      </c>
      <c r="X1038" s="7" t="str">
        <f t="shared" si="230"/>
        <v>External</v>
      </c>
      <c r="Y1038" s="7">
        <f t="shared" si="231"/>
        <v>3266.45</v>
      </c>
      <c r="Z1038" s="7">
        <f t="shared" si="232"/>
        <v>70</v>
      </c>
      <c r="AA1038" s="7">
        <f t="shared" si="233"/>
        <v>2022</v>
      </c>
      <c r="AB1038" s="7">
        <f t="shared" si="234"/>
        <v>10</v>
      </c>
      <c r="AC1038" s="7">
        <f t="shared" si="235"/>
        <v>1</v>
      </c>
      <c r="AD1038" s="7" t="str">
        <f t="shared" si="236"/>
        <v>No</v>
      </c>
      <c r="AE1038" s="7" t="str">
        <f t="shared" si="237"/>
        <v>Normal</v>
      </c>
    </row>
    <row r="1039" spans="1:31">
      <c r="A1039" t="s">
        <v>3065</v>
      </c>
      <c r="B1039">
        <v>61195094</v>
      </c>
      <c r="C1039" t="s">
        <v>1916</v>
      </c>
      <c r="D1039" t="s">
        <v>1757</v>
      </c>
      <c r="E1039" t="s">
        <v>3375</v>
      </c>
      <c r="F1039" t="s">
        <v>44</v>
      </c>
      <c r="G1039" t="s">
        <v>98</v>
      </c>
      <c r="I1039" t="s">
        <v>3377</v>
      </c>
      <c r="J1039">
        <v>6077.93</v>
      </c>
      <c r="K1039" t="s">
        <v>27</v>
      </c>
      <c r="L1039" t="s">
        <v>48</v>
      </c>
      <c r="M1039" s="1">
        <v>45894.611805555556</v>
      </c>
      <c r="N1039">
        <v>53</v>
      </c>
      <c r="O1039" t="s">
        <v>54</v>
      </c>
      <c r="P1039" t="s">
        <v>62</v>
      </c>
      <c r="Q1039" t="s">
        <v>3066</v>
      </c>
      <c r="R1039" t="str">
        <f t="shared" si="224"/>
        <v>BARBARA ANDERSON</v>
      </c>
      <c r="S1039" t="str">
        <f t="shared" si="225"/>
        <v>Patricia Thomas</v>
      </c>
      <c r="T1039" t="str">
        <f t="shared" si="226"/>
        <v>SGD</v>
      </c>
      <c r="U1039" s="7" t="str">
        <f t="shared" si="227"/>
        <v>JPY</v>
      </c>
      <c r="V1039" s="7" t="str">
        <f t="shared" si="228"/>
        <v>India</v>
      </c>
      <c r="W1039" s="7" t="str">
        <f t="shared" si="229"/>
        <v>Australia</v>
      </c>
      <c r="X1039" s="7" t="str">
        <f t="shared" si="230"/>
        <v>Inter-Transaction</v>
      </c>
      <c r="Y1039" s="7">
        <f t="shared" si="231"/>
        <v>6077.93</v>
      </c>
      <c r="Z1039" s="7">
        <f t="shared" si="232"/>
        <v>53</v>
      </c>
      <c r="AA1039" s="7">
        <f t="shared" si="233"/>
        <v>2025</v>
      </c>
      <c r="AB1039" s="7">
        <f t="shared" si="234"/>
        <v>8</v>
      </c>
      <c r="AC1039" s="7">
        <f t="shared" si="235"/>
        <v>1</v>
      </c>
      <c r="AD1039" s="7" t="str">
        <f t="shared" si="236"/>
        <v>No</v>
      </c>
      <c r="AE1039" s="7" t="str">
        <f t="shared" si="237"/>
        <v>Normal</v>
      </c>
    </row>
    <row r="1040" spans="1:31">
      <c r="A1040" t="s">
        <v>3067</v>
      </c>
      <c r="B1040">
        <v>66692915</v>
      </c>
      <c r="C1040" t="s">
        <v>569</v>
      </c>
      <c r="D1040" t="s">
        <v>1587</v>
      </c>
      <c r="E1040" t="s">
        <v>20</v>
      </c>
      <c r="F1040" t="s">
        <v>92</v>
      </c>
      <c r="G1040" t="s">
        <v>44</v>
      </c>
      <c r="H1040" t="s">
        <v>25</v>
      </c>
      <c r="I1040" t="s">
        <v>3372</v>
      </c>
      <c r="J1040">
        <v>13048.08</v>
      </c>
      <c r="K1040" t="s">
        <v>57</v>
      </c>
      <c r="L1040" t="s">
        <v>28</v>
      </c>
      <c r="M1040" s="1">
        <v>45278.973611111112</v>
      </c>
      <c r="N1040">
        <v>43</v>
      </c>
      <c r="O1040" t="s">
        <v>37</v>
      </c>
      <c r="P1040" t="s">
        <v>55</v>
      </c>
      <c r="Q1040" t="s">
        <v>3068</v>
      </c>
      <c r="R1040" t="str">
        <f t="shared" si="224"/>
        <v>Patricia Williams</v>
      </c>
      <c r="S1040" t="str">
        <f t="shared" si="225"/>
        <v>Christopher Jackson</v>
      </c>
      <c r="T1040" t="str">
        <f t="shared" si="226"/>
        <v>AUD</v>
      </c>
      <c r="U1040" s="7" t="str">
        <f t="shared" si="227"/>
        <v>SGD</v>
      </c>
      <c r="V1040" s="7" t="str">
        <f t="shared" si="228"/>
        <v>South Africa</v>
      </c>
      <c r="W1040" s="7" t="str">
        <f t="shared" si="229"/>
        <v>UK</v>
      </c>
      <c r="X1040" s="7" t="str">
        <f t="shared" si="230"/>
        <v>Outer-Transaction</v>
      </c>
      <c r="Y1040" s="7">
        <f t="shared" si="231"/>
        <v>13048.08</v>
      </c>
      <c r="Z1040" s="7">
        <f t="shared" si="232"/>
        <v>43</v>
      </c>
      <c r="AA1040" s="7">
        <f t="shared" si="233"/>
        <v>2023</v>
      </c>
      <c r="AB1040" s="7">
        <f t="shared" si="234"/>
        <v>12</v>
      </c>
      <c r="AC1040" s="7">
        <f t="shared" si="235"/>
        <v>1</v>
      </c>
      <c r="AD1040" s="7" t="str">
        <f t="shared" si="236"/>
        <v>No</v>
      </c>
      <c r="AE1040" s="7" t="str">
        <f t="shared" si="237"/>
        <v>Normal</v>
      </c>
    </row>
    <row r="1041" spans="1:31">
      <c r="A1041" t="s">
        <v>3069</v>
      </c>
      <c r="B1041">
        <v>30126105</v>
      </c>
      <c r="C1041" t="s">
        <v>2549</v>
      </c>
      <c r="D1041" t="s">
        <v>614</v>
      </c>
      <c r="E1041">
        <v>1</v>
      </c>
      <c r="F1041" t="s">
        <v>121</v>
      </c>
      <c r="G1041" t="s">
        <v>116</v>
      </c>
      <c r="I1041" t="s">
        <v>3371</v>
      </c>
      <c r="J1041">
        <v>1423.02</v>
      </c>
      <c r="K1041" t="s">
        <v>39</v>
      </c>
      <c r="L1041" t="s">
        <v>75</v>
      </c>
      <c r="M1041" s="1">
        <v>45876.708333333336</v>
      </c>
      <c r="N1041">
        <v>46</v>
      </c>
      <c r="O1041" t="s">
        <v>127</v>
      </c>
      <c r="P1041" t="s">
        <v>127</v>
      </c>
      <c r="Q1041" t="s">
        <v>3070</v>
      </c>
      <c r="R1041" t="str">
        <f t="shared" si="224"/>
        <v>Karen Lopez</v>
      </c>
      <c r="S1041" t="str">
        <f t="shared" si="225"/>
        <v>Elizabeth Lopez</v>
      </c>
      <c r="T1041" t="str">
        <f t="shared" si="226"/>
        <v>INR</v>
      </c>
      <c r="U1041" s="7" t="str">
        <f t="shared" si="227"/>
        <v>CHF</v>
      </c>
      <c r="V1041" s="7" t="str">
        <f t="shared" si="228"/>
        <v>Canada</v>
      </c>
      <c r="W1041" s="7" t="str">
        <f t="shared" si="229"/>
        <v>Canada</v>
      </c>
      <c r="X1041" s="7" t="str">
        <f t="shared" si="230"/>
        <v>Outer-Transaction</v>
      </c>
      <c r="Y1041" s="7">
        <f t="shared" si="231"/>
        <v>1423.02</v>
      </c>
      <c r="Z1041" s="7">
        <f t="shared" si="232"/>
        <v>46</v>
      </c>
      <c r="AA1041" s="7">
        <f t="shared" si="233"/>
        <v>2025</v>
      </c>
      <c r="AB1041" s="7">
        <f t="shared" si="234"/>
        <v>8</v>
      </c>
      <c r="AC1041" s="7">
        <f t="shared" si="235"/>
        <v>1</v>
      </c>
      <c r="AD1041" s="7" t="str">
        <f t="shared" si="236"/>
        <v>No</v>
      </c>
      <c r="AE1041" s="7" t="str">
        <f t="shared" si="237"/>
        <v>High Risk</v>
      </c>
    </row>
    <row r="1042" spans="1:31">
      <c r="A1042" t="s">
        <v>3071</v>
      </c>
      <c r="B1042">
        <v>10577198</v>
      </c>
      <c r="C1042" t="s">
        <v>192</v>
      </c>
      <c r="D1042" t="s">
        <v>183</v>
      </c>
      <c r="E1042" t="s">
        <v>20</v>
      </c>
      <c r="F1042" t="s">
        <v>98</v>
      </c>
      <c r="G1042" t="s">
        <v>34</v>
      </c>
      <c r="H1042" t="s">
        <v>38</v>
      </c>
      <c r="I1042" t="s">
        <v>3376</v>
      </c>
      <c r="J1042">
        <v>12168.67</v>
      </c>
      <c r="K1042" t="s">
        <v>47</v>
      </c>
      <c r="L1042" t="s">
        <v>75</v>
      </c>
      <c r="M1042" s="1">
        <v>44354.119444444441</v>
      </c>
      <c r="N1042">
        <v>38</v>
      </c>
      <c r="O1042" t="s">
        <v>36</v>
      </c>
      <c r="P1042" t="s">
        <v>93</v>
      </c>
      <c r="Q1042" t="s">
        <v>3072</v>
      </c>
      <c r="R1042" t="str">
        <f t="shared" si="224"/>
        <v>Amir Malik</v>
      </c>
      <c r="S1042" t="str">
        <f t="shared" si="225"/>
        <v>Jean-Pierre Miller</v>
      </c>
      <c r="T1042" t="str">
        <f t="shared" si="226"/>
        <v>JPY</v>
      </c>
      <c r="U1042" s="7" t="str">
        <f t="shared" si="227"/>
        <v>CAD</v>
      </c>
      <c r="V1042" s="7" t="str">
        <f t="shared" si="228"/>
        <v>Germany</v>
      </c>
      <c r="W1042" s="7" t="str">
        <f t="shared" si="229"/>
        <v>USA</v>
      </c>
      <c r="X1042" s="7" t="str">
        <f t="shared" si="230"/>
        <v>Internal</v>
      </c>
      <c r="Y1042" s="7">
        <f t="shared" si="231"/>
        <v>12168.67</v>
      </c>
      <c r="Z1042" s="7">
        <f t="shared" si="232"/>
        <v>38</v>
      </c>
      <c r="AA1042" s="7">
        <f t="shared" si="233"/>
        <v>2021</v>
      </c>
      <c r="AB1042" s="7">
        <f t="shared" si="234"/>
        <v>6</v>
      </c>
      <c r="AC1042" s="7">
        <f t="shared" si="235"/>
        <v>1</v>
      </c>
      <c r="AD1042" s="7" t="str">
        <f t="shared" si="236"/>
        <v>No</v>
      </c>
      <c r="AE1042" s="7" t="str">
        <f t="shared" si="237"/>
        <v>High Risk</v>
      </c>
    </row>
    <row r="1043" spans="1:31">
      <c r="A1043" t="s">
        <v>3073</v>
      </c>
      <c r="B1043">
        <v>50241725</v>
      </c>
      <c r="C1043" t="s">
        <v>761</v>
      </c>
      <c r="D1043" t="s">
        <v>79</v>
      </c>
      <c r="E1043" t="s">
        <v>3375</v>
      </c>
      <c r="F1043" t="s">
        <v>44</v>
      </c>
      <c r="G1043" t="s">
        <v>121</v>
      </c>
      <c r="I1043" t="s">
        <v>3377</v>
      </c>
      <c r="J1043">
        <v>9587.24</v>
      </c>
      <c r="K1043" t="s">
        <v>47</v>
      </c>
      <c r="L1043" t="s">
        <v>48</v>
      </c>
      <c r="M1043" s="1">
        <v>45899.458333333336</v>
      </c>
      <c r="N1043">
        <v>28</v>
      </c>
      <c r="O1043" t="s">
        <v>23</v>
      </c>
      <c r="P1043" t="s">
        <v>68</v>
      </c>
      <c r="Q1043" t="s">
        <v>3074</v>
      </c>
      <c r="R1043" t="str">
        <f t="shared" si="224"/>
        <v>Jessica Brown</v>
      </c>
      <c r="S1043" t="str">
        <f t="shared" si="225"/>
        <v>Elizabeth Smith</v>
      </c>
      <c r="T1043" t="str">
        <f t="shared" si="226"/>
        <v>SGD</v>
      </c>
      <c r="U1043" s="7" t="str">
        <f t="shared" si="227"/>
        <v>INR</v>
      </c>
      <c r="V1043" s="7" t="str">
        <f t="shared" si="228"/>
        <v>France</v>
      </c>
      <c r="W1043" s="7" t="str">
        <f t="shared" si="229"/>
        <v>UAE</v>
      </c>
      <c r="X1043" s="7" t="str">
        <f t="shared" si="230"/>
        <v>Inter-Transaction</v>
      </c>
      <c r="Y1043" s="7">
        <f t="shared" si="231"/>
        <v>9587.24</v>
      </c>
      <c r="Z1043" s="7">
        <f t="shared" si="232"/>
        <v>28</v>
      </c>
      <c r="AA1043" s="7">
        <f t="shared" si="233"/>
        <v>2025</v>
      </c>
      <c r="AB1043" s="7">
        <f t="shared" si="234"/>
        <v>8</v>
      </c>
      <c r="AC1043" s="7">
        <f t="shared" si="235"/>
        <v>1</v>
      </c>
      <c r="AD1043" s="7" t="str">
        <f t="shared" si="236"/>
        <v>No</v>
      </c>
      <c r="AE1043" s="7" t="str">
        <f t="shared" si="237"/>
        <v>Normal</v>
      </c>
    </row>
    <row r="1044" spans="1:31">
      <c r="A1044" t="s">
        <v>3075</v>
      </c>
      <c r="B1044">
        <v>52820746</v>
      </c>
      <c r="C1044" t="s">
        <v>460</v>
      </c>
      <c r="D1044" t="s">
        <v>1461</v>
      </c>
      <c r="E1044" t="s">
        <v>20</v>
      </c>
      <c r="F1044" t="s">
        <v>160</v>
      </c>
      <c r="G1044" t="s">
        <v>126</v>
      </c>
      <c r="H1044" t="s">
        <v>25</v>
      </c>
      <c r="I1044" t="s">
        <v>3371</v>
      </c>
      <c r="J1044">
        <v>10747.76</v>
      </c>
      <c r="K1044" t="s">
        <v>57</v>
      </c>
      <c r="L1044" t="s">
        <v>48</v>
      </c>
      <c r="M1044" s="1">
        <v>46106.084722222222</v>
      </c>
      <c r="N1044">
        <v>57</v>
      </c>
      <c r="O1044" t="s">
        <v>24</v>
      </c>
      <c r="P1044" t="s">
        <v>62</v>
      </c>
      <c r="Q1044" t="s">
        <v>3076</v>
      </c>
      <c r="R1044" t="str">
        <f t="shared" si="224"/>
        <v>Michael Rostova</v>
      </c>
      <c r="S1044" t="str">
        <f t="shared" si="225"/>
        <v>Fatima Thomas</v>
      </c>
      <c r="T1044" t="str">
        <f t="shared" si="226"/>
        <v>aud</v>
      </c>
      <c r="U1044" s="7" t="str">
        <f t="shared" si="227"/>
        <v>inr</v>
      </c>
      <c r="V1044" s="7" t="str">
        <f t="shared" si="228"/>
        <v>Brazil</v>
      </c>
      <c r="W1044" s="7" t="str">
        <f t="shared" si="229"/>
        <v>Australia</v>
      </c>
      <c r="X1044" s="7" t="str">
        <f t="shared" si="230"/>
        <v>Outer-Transaction</v>
      </c>
      <c r="Y1044" s="7">
        <f t="shared" si="231"/>
        <v>10747.76</v>
      </c>
      <c r="Z1044" s="7">
        <f t="shared" si="232"/>
        <v>57</v>
      </c>
      <c r="AA1044" s="7">
        <f t="shared" si="233"/>
        <v>2026</v>
      </c>
      <c r="AB1044" s="7">
        <f t="shared" si="234"/>
        <v>3</v>
      </c>
      <c r="AC1044" s="7">
        <f t="shared" si="235"/>
        <v>1</v>
      </c>
      <c r="AD1044" s="7" t="str">
        <f t="shared" si="236"/>
        <v>No</v>
      </c>
      <c r="AE1044" s="7" t="str">
        <f t="shared" si="237"/>
        <v>Normal</v>
      </c>
    </row>
    <row r="1045" spans="1:31">
      <c r="A1045" t="s">
        <v>3077</v>
      </c>
      <c r="B1045">
        <v>98881010</v>
      </c>
      <c r="C1045" t="s">
        <v>1476</v>
      </c>
      <c r="D1045" t="s">
        <v>784</v>
      </c>
      <c r="E1045" t="s">
        <v>20</v>
      </c>
      <c r="F1045" t="s">
        <v>22</v>
      </c>
      <c r="G1045" t="s">
        <v>92</v>
      </c>
      <c r="I1045" t="s">
        <v>3376</v>
      </c>
      <c r="J1045">
        <v>6523.19</v>
      </c>
      <c r="K1045" t="s">
        <v>39</v>
      </c>
      <c r="L1045" t="s">
        <v>81</v>
      </c>
      <c r="M1045" s="1">
        <v>45639.179166666669</v>
      </c>
      <c r="N1045">
        <v>28</v>
      </c>
      <c r="O1045" t="s">
        <v>24</v>
      </c>
      <c r="P1045" t="s">
        <v>93</v>
      </c>
      <c r="Q1045" t="s">
        <v>3078</v>
      </c>
      <c r="R1045" t="str">
        <f t="shared" si="224"/>
        <v>Thomas Thomas</v>
      </c>
      <c r="S1045" t="str">
        <f t="shared" si="225"/>
        <v>Patricia Dubois</v>
      </c>
      <c r="T1045" t="str">
        <f t="shared" si="226"/>
        <v>BRL</v>
      </c>
      <c r="U1045" s="7" t="str">
        <f t="shared" si="227"/>
        <v>AUD</v>
      </c>
      <c r="V1045" s="7" t="str">
        <f t="shared" si="228"/>
        <v>Brazil</v>
      </c>
      <c r="W1045" s="7" t="str">
        <f t="shared" si="229"/>
        <v>USA</v>
      </c>
      <c r="X1045" s="7" t="str">
        <f t="shared" si="230"/>
        <v>Internal</v>
      </c>
      <c r="Y1045" s="7">
        <f t="shared" si="231"/>
        <v>6523.19</v>
      </c>
      <c r="Z1045" s="7">
        <f t="shared" si="232"/>
        <v>28</v>
      </c>
      <c r="AA1045" s="7">
        <f t="shared" si="233"/>
        <v>2024</v>
      </c>
      <c r="AB1045" s="7">
        <f t="shared" si="234"/>
        <v>12</v>
      </c>
      <c r="AC1045" s="7">
        <f t="shared" si="235"/>
        <v>1</v>
      </c>
      <c r="AD1045" s="7" t="str">
        <f t="shared" si="236"/>
        <v>No</v>
      </c>
      <c r="AE1045" s="7" t="str">
        <f t="shared" si="237"/>
        <v>Normal</v>
      </c>
    </row>
    <row r="1046" spans="1:31">
      <c r="A1046" t="s">
        <v>3079</v>
      </c>
      <c r="B1046">
        <v>45703830</v>
      </c>
      <c r="C1046" t="s">
        <v>1117</v>
      </c>
      <c r="D1046" t="s">
        <v>629</v>
      </c>
      <c r="E1046" t="s">
        <v>20</v>
      </c>
      <c r="F1046" t="s">
        <v>21</v>
      </c>
      <c r="G1046" t="s">
        <v>53</v>
      </c>
      <c r="I1046" t="s">
        <v>3376</v>
      </c>
      <c r="J1046">
        <v>3012.36</v>
      </c>
      <c r="K1046" t="s">
        <v>47</v>
      </c>
      <c r="L1046" t="s">
        <v>48</v>
      </c>
      <c r="M1046" s="1">
        <v>45142.024305555555</v>
      </c>
      <c r="N1046">
        <v>53</v>
      </c>
      <c r="O1046" t="s">
        <v>24</v>
      </c>
      <c r="P1046" t="s">
        <v>127</v>
      </c>
      <c r="Q1046" t="s">
        <v>3080</v>
      </c>
      <c r="R1046" t="str">
        <f t="shared" si="224"/>
        <v>John Smith</v>
      </c>
      <c r="S1046" t="str">
        <f t="shared" si="225"/>
        <v>Nancy Rostova</v>
      </c>
      <c r="T1046" t="str">
        <f t="shared" si="226"/>
        <v>GBP</v>
      </c>
      <c r="U1046" s="7" t="str">
        <f t="shared" si="227"/>
        <v>AED</v>
      </c>
      <c r="V1046" s="7" t="str">
        <f t="shared" si="228"/>
        <v>Brazil</v>
      </c>
      <c r="W1046" s="7" t="str">
        <f t="shared" si="229"/>
        <v>Canada</v>
      </c>
      <c r="X1046" s="7" t="str">
        <f t="shared" si="230"/>
        <v>Internal</v>
      </c>
      <c r="Y1046" s="7">
        <f t="shared" si="231"/>
        <v>3012.36</v>
      </c>
      <c r="Z1046" s="7">
        <f t="shared" si="232"/>
        <v>53</v>
      </c>
      <c r="AA1046" s="7">
        <f t="shared" si="233"/>
        <v>2023</v>
      </c>
      <c r="AB1046" s="7">
        <f t="shared" si="234"/>
        <v>8</v>
      </c>
      <c r="AC1046" s="7">
        <f t="shared" si="235"/>
        <v>1</v>
      </c>
      <c r="AD1046" s="7" t="str">
        <f t="shared" si="236"/>
        <v>No</v>
      </c>
      <c r="AE1046" s="7" t="str">
        <f t="shared" si="237"/>
        <v>Normal</v>
      </c>
    </row>
    <row r="1047" spans="1:31">
      <c r="A1047" t="s">
        <v>3081</v>
      </c>
      <c r="B1047">
        <v>74188387</v>
      </c>
      <c r="C1047" t="s">
        <v>550</v>
      </c>
      <c r="D1047" t="s">
        <v>3082</v>
      </c>
      <c r="E1047" t="s">
        <v>3375</v>
      </c>
      <c r="F1047" t="s">
        <v>34</v>
      </c>
      <c r="G1047" t="s">
        <v>44</v>
      </c>
      <c r="I1047" t="s">
        <v>3377</v>
      </c>
      <c r="J1047">
        <v>667.4</v>
      </c>
      <c r="K1047" t="s">
        <v>39</v>
      </c>
      <c r="L1047" t="s">
        <v>48</v>
      </c>
      <c r="M1047" s="1">
        <v>45137.158333333333</v>
      </c>
      <c r="N1047">
        <v>76</v>
      </c>
      <c r="O1047" t="s">
        <v>23</v>
      </c>
      <c r="P1047" t="s">
        <v>24</v>
      </c>
      <c r="Q1047" t="s">
        <v>3083</v>
      </c>
      <c r="R1047" t="str">
        <f t="shared" si="224"/>
        <v>Marta Davis</v>
      </c>
      <c r="S1047" t="str">
        <f t="shared" si="225"/>
        <v xml:space="preserve"> Jessica Johnson   </v>
      </c>
      <c r="T1047" t="str">
        <f t="shared" si="226"/>
        <v>CAD</v>
      </c>
      <c r="U1047" s="7" t="str">
        <f t="shared" si="227"/>
        <v>SGD</v>
      </c>
      <c r="V1047" s="7" t="str">
        <f t="shared" si="228"/>
        <v>France</v>
      </c>
      <c r="W1047" s="7" t="str">
        <f t="shared" si="229"/>
        <v>Brazil</v>
      </c>
      <c r="X1047" s="7" t="str">
        <f t="shared" si="230"/>
        <v>Inter-Transaction</v>
      </c>
      <c r="Y1047" s="7">
        <f t="shared" si="231"/>
        <v>667.4</v>
      </c>
      <c r="Z1047" s="7">
        <f t="shared" si="232"/>
        <v>76</v>
      </c>
      <c r="AA1047" s="7">
        <f t="shared" si="233"/>
        <v>2023</v>
      </c>
      <c r="AB1047" s="7">
        <f t="shared" si="234"/>
        <v>7</v>
      </c>
      <c r="AC1047" s="7">
        <f t="shared" si="235"/>
        <v>1</v>
      </c>
      <c r="AD1047" s="7" t="str">
        <f t="shared" si="236"/>
        <v>No</v>
      </c>
      <c r="AE1047" s="7" t="str">
        <f t="shared" si="237"/>
        <v>Normal</v>
      </c>
    </row>
    <row r="1048" spans="1:31">
      <c r="A1048" t="s">
        <v>3084</v>
      </c>
      <c r="B1048">
        <v>72911386</v>
      </c>
      <c r="C1048" t="s">
        <v>2208</v>
      </c>
      <c r="D1048" t="s">
        <v>1091</v>
      </c>
      <c r="E1048" t="s">
        <v>3373</v>
      </c>
      <c r="F1048" t="s">
        <v>121</v>
      </c>
      <c r="G1048" t="s">
        <v>121</v>
      </c>
      <c r="H1048" t="s">
        <v>38</v>
      </c>
      <c r="I1048" t="s">
        <v>3371</v>
      </c>
      <c r="J1048">
        <v>1625.88</v>
      </c>
      <c r="K1048" t="s">
        <v>27</v>
      </c>
      <c r="L1048" t="s">
        <v>81</v>
      </c>
      <c r="M1048" s="1">
        <v>46282.575694444444</v>
      </c>
      <c r="N1048">
        <v>56</v>
      </c>
      <c r="O1048" t="s">
        <v>37</v>
      </c>
      <c r="P1048" t="s">
        <v>24</v>
      </c>
      <c r="Q1048" t="s">
        <v>3085</v>
      </c>
      <c r="R1048" t="str">
        <f t="shared" si="224"/>
        <v>Priya Hernandez</v>
      </c>
      <c r="S1048" t="str">
        <f t="shared" si="225"/>
        <v>Nancy Anderson</v>
      </c>
      <c r="T1048" t="str">
        <f t="shared" si="226"/>
        <v>INR</v>
      </c>
      <c r="U1048" s="7" t="str">
        <f t="shared" si="227"/>
        <v>INR</v>
      </c>
      <c r="V1048" s="7" t="str">
        <f t="shared" si="228"/>
        <v>South Africa</v>
      </c>
      <c r="W1048" s="7" t="str">
        <f t="shared" si="229"/>
        <v>Brazil</v>
      </c>
      <c r="X1048" s="7" t="str">
        <f t="shared" si="230"/>
        <v>Outer-Transaction</v>
      </c>
      <c r="Y1048" s="7">
        <f t="shared" si="231"/>
        <v>1625.88</v>
      </c>
      <c r="Z1048" s="7">
        <f t="shared" si="232"/>
        <v>56</v>
      </c>
      <c r="AA1048" s="7">
        <f t="shared" si="233"/>
        <v>2026</v>
      </c>
      <c r="AB1048" s="7">
        <f t="shared" si="234"/>
        <v>9</v>
      </c>
      <c r="AC1048" s="7">
        <f t="shared" si="235"/>
        <v>2</v>
      </c>
      <c r="AD1048" s="7" t="str">
        <f t="shared" si="236"/>
        <v>No</v>
      </c>
      <c r="AE1048" s="7" t="str">
        <f t="shared" si="237"/>
        <v>Normal</v>
      </c>
    </row>
    <row r="1049" spans="1:31">
      <c r="A1049" t="s">
        <v>3086</v>
      </c>
      <c r="B1049">
        <v>61987708</v>
      </c>
      <c r="C1049" t="s">
        <v>1332</v>
      </c>
      <c r="D1049" t="s">
        <v>2479</v>
      </c>
      <c r="E1049" t="s">
        <v>20</v>
      </c>
      <c r="F1049" t="s">
        <v>21</v>
      </c>
      <c r="G1049" t="s">
        <v>80</v>
      </c>
      <c r="I1049" t="s">
        <v>3372</v>
      </c>
      <c r="J1049">
        <v>6355.01</v>
      </c>
      <c r="K1049" t="s">
        <v>47</v>
      </c>
      <c r="L1049" t="s">
        <v>48</v>
      </c>
      <c r="M1049" s="1">
        <v>44920.01458333333</v>
      </c>
      <c r="N1049">
        <v>71</v>
      </c>
      <c r="O1049" t="s">
        <v>54</v>
      </c>
      <c r="P1049" t="s">
        <v>36</v>
      </c>
      <c r="Q1049" t="s">
        <v>3087</v>
      </c>
      <c r="R1049" t="str">
        <f t="shared" si="224"/>
        <v>Zayn Martinez</v>
      </c>
      <c r="S1049" t="str">
        <f t="shared" si="225"/>
        <v>Marta Khan</v>
      </c>
      <c r="T1049" t="str">
        <f t="shared" si="226"/>
        <v>GBP</v>
      </c>
      <c r="U1049" s="7" t="str">
        <f t="shared" si="227"/>
        <v>USD</v>
      </c>
      <c r="V1049" s="7" t="str">
        <f t="shared" si="228"/>
        <v>India</v>
      </c>
      <c r="W1049" s="7" t="str">
        <f t="shared" si="229"/>
        <v>Germany</v>
      </c>
      <c r="X1049" s="7" t="str">
        <f t="shared" si="230"/>
        <v>Outer-Transaction</v>
      </c>
      <c r="Y1049" s="7">
        <f t="shared" si="231"/>
        <v>6355.01</v>
      </c>
      <c r="Z1049" s="7">
        <f t="shared" si="232"/>
        <v>71</v>
      </c>
      <c r="AA1049" s="7">
        <f t="shared" si="233"/>
        <v>2022</v>
      </c>
      <c r="AB1049" s="7">
        <f t="shared" si="234"/>
        <v>12</v>
      </c>
      <c r="AC1049" s="7">
        <f t="shared" si="235"/>
        <v>1</v>
      </c>
      <c r="AD1049" s="7" t="str">
        <f t="shared" si="236"/>
        <v>No</v>
      </c>
      <c r="AE1049" s="7" t="str">
        <f t="shared" si="237"/>
        <v>Normal</v>
      </c>
    </row>
    <row r="1050" spans="1:31">
      <c r="A1050" t="s">
        <v>3088</v>
      </c>
      <c r="B1050">
        <v>48936328</v>
      </c>
      <c r="C1050" t="s">
        <v>3089</v>
      </c>
      <c r="D1050" t="s">
        <v>882</v>
      </c>
      <c r="E1050" t="s">
        <v>20</v>
      </c>
      <c r="F1050" t="s">
        <v>22</v>
      </c>
      <c r="G1050" t="s">
        <v>45</v>
      </c>
      <c r="I1050" t="s">
        <v>3372</v>
      </c>
      <c r="J1050">
        <v>11850.76</v>
      </c>
      <c r="K1050" t="s">
        <v>57</v>
      </c>
      <c r="L1050" t="s">
        <v>28</v>
      </c>
      <c r="M1050" s="1">
        <v>45503.626388888886</v>
      </c>
      <c r="N1050">
        <v>72</v>
      </c>
      <c r="O1050" t="s">
        <v>127</v>
      </c>
      <c r="P1050" t="s">
        <v>127</v>
      </c>
      <c r="Q1050" t="s">
        <v>3090</v>
      </c>
      <c r="R1050" t="str">
        <f t="shared" si="224"/>
        <v>JOHN JOHNSON</v>
      </c>
      <c r="S1050" t="str">
        <f t="shared" si="225"/>
        <v>Lucas Johnson</v>
      </c>
      <c r="T1050" t="str">
        <f t="shared" si="226"/>
        <v>BRL</v>
      </c>
      <c r="U1050" s="7" t="str">
        <f t="shared" si="227"/>
        <v>ZAR</v>
      </c>
      <c r="V1050" s="7" t="str">
        <f t="shared" si="228"/>
        <v>Canada</v>
      </c>
      <c r="W1050" s="7" t="str">
        <f t="shared" si="229"/>
        <v>Canada</v>
      </c>
      <c r="X1050" s="7" t="str">
        <f t="shared" si="230"/>
        <v>Outer-Transaction</v>
      </c>
      <c r="Y1050" s="7">
        <f t="shared" si="231"/>
        <v>11850.76</v>
      </c>
      <c r="Z1050" s="7">
        <f t="shared" si="232"/>
        <v>72</v>
      </c>
      <c r="AA1050" s="7">
        <f t="shared" si="233"/>
        <v>2024</v>
      </c>
      <c r="AB1050" s="7">
        <f t="shared" si="234"/>
        <v>7</v>
      </c>
      <c r="AC1050" s="7">
        <f t="shared" si="235"/>
        <v>1</v>
      </c>
      <c r="AD1050" s="7" t="str">
        <f t="shared" si="236"/>
        <v>No</v>
      </c>
      <c r="AE1050" s="7" t="str">
        <f t="shared" si="237"/>
        <v>Normal</v>
      </c>
    </row>
    <row r="1051" spans="1:31">
      <c r="A1051" t="s">
        <v>3091</v>
      </c>
      <c r="B1051">
        <v>17653101</v>
      </c>
      <c r="C1051" t="s">
        <v>3092</v>
      </c>
      <c r="D1051" t="s">
        <v>335</v>
      </c>
      <c r="E1051" t="s">
        <v>20</v>
      </c>
      <c r="F1051" t="s">
        <v>121</v>
      </c>
      <c r="G1051" t="s">
        <v>34</v>
      </c>
      <c r="H1051" t="s">
        <v>74</v>
      </c>
      <c r="I1051" t="s">
        <v>3377</v>
      </c>
      <c r="J1051">
        <v>1350.24</v>
      </c>
      <c r="K1051" t="s">
        <v>86</v>
      </c>
      <c r="L1051" t="s">
        <v>28</v>
      </c>
      <c r="M1051" s="1">
        <v>44267.930555555555</v>
      </c>
      <c r="N1051">
        <v>41</v>
      </c>
      <c r="O1051" t="s">
        <v>23</v>
      </c>
      <c r="P1051" t="s">
        <v>127</v>
      </c>
      <c r="Q1051" t="s">
        <v>3093</v>
      </c>
      <c r="R1051" t="str">
        <f t="shared" si="224"/>
        <v>Carlos Nair</v>
      </c>
      <c r="S1051" t="str">
        <f t="shared" si="225"/>
        <v>Elena Al-Sayed</v>
      </c>
      <c r="T1051" t="str">
        <f t="shared" si="226"/>
        <v>INR</v>
      </c>
      <c r="U1051" s="7" t="str">
        <f t="shared" si="227"/>
        <v>CAD</v>
      </c>
      <c r="V1051" s="7" t="str">
        <f t="shared" si="228"/>
        <v>France</v>
      </c>
      <c r="W1051" s="7" t="str">
        <f t="shared" si="229"/>
        <v>Canada</v>
      </c>
      <c r="X1051" s="7" t="str">
        <f t="shared" si="230"/>
        <v>Inter-Transaction</v>
      </c>
      <c r="Y1051" s="7">
        <f t="shared" si="231"/>
        <v>1350.24</v>
      </c>
      <c r="Z1051" s="7">
        <f t="shared" si="232"/>
        <v>41</v>
      </c>
      <c r="AA1051" s="7">
        <f t="shared" si="233"/>
        <v>2021</v>
      </c>
      <c r="AB1051" s="7">
        <f t="shared" si="234"/>
        <v>3</v>
      </c>
      <c r="AC1051" s="7">
        <f t="shared" si="235"/>
        <v>1</v>
      </c>
      <c r="AD1051" s="7" t="str">
        <f t="shared" si="236"/>
        <v>No</v>
      </c>
      <c r="AE1051" s="7" t="str">
        <f t="shared" si="237"/>
        <v>Normal</v>
      </c>
    </row>
    <row r="1052" spans="1:31">
      <c r="A1052" t="s">
        <v>3094</v>
      </c>
      <c r="B1052">
        <v>51570260</v>
      </c>
      <c r="C1052" t="s">
        <v>483</v>
      </c>
      <c r="D1052" t="s">
        <v>2930</v>
      </c>
      <c r="E1052" t="s">
        <v>20</v>
      </c>
      <c r="F1052" t="s">
        <v>45</v>
      </c>
      <c r="G1052" t="s">
        <v>126</v>
      </c>
      <c r="H1052" t="s">
        <v>74</v>
      </c>
      <c r="I1052" t="s">
        <v>3376</v>
      </c>
      <c r="J1052">
        <v>10247.31</v>
      </c>
      <c r="K1052" t="s">
        <v>27</v>
      </c>
      <c r="L1052" t="s">
        <v>48</v>
      </c>
      <c r="M1052" s="1">
        <v>44659.348611111112</v>
      </c>
      <c r="N1052">
        <v>39</v>
      </c>
      <c r="O1052" t="s">
        <v>36</v>
      </c>
      <c r="P1052" t="s">
        <v>93</v>
      </c>
      <c r="Q1052" t="s">
        <v>3095</v>
      </c>
      <c r="R1052" t="str">
        <f t="shared" si="224"/>
        <v>Zayn Khan</v>
      </c>
      <c r="S1052" t="str">
        <f t="shared" si="225"/>
        <v>Karen Johnson</v>
      </c>
      <c r="T1052" t="str">
        <f t="shared" si="226"/>
        <v>ZAR</v>
      </c>
      <c r="U1052" s="7" t="str">
        <f t="shared" si="227"/>
        <v>inr</v>
      </c>
      <c r="V1052" s="7" t="str">
        <f t="shared" si="228"/>
        <v>Germany</v>
      </c>
      <c r="W1052" s="7" t="str">
        <f t="shared" si="229"/>
        <v>USA</v>
      </c>
      <c r="X1052" s="7" t="str">
        <f t="shared" si="230"/>
        <v>Internal</v>
      </c>
      <c r="Y1052" s="7">
        <f t="shared" si="231"/>
        <v>10247.31</v>
      </c>
      <c r="Z1052" s="7">
        <f t="shared" si="232"/>
        <v>39</v>
      </c>
      <c r="AA1052" s="7">
        <f t="shared" si="233"/>
        <v>2022</v>
      </c>
      <c r="AB1052" s="7">
        <f t="shared" si="234"/>
        <v>4</v>
      </c>
      <c r="AC1052" s="7">
        <f t="shared" si="235"/>
        <v>1</v>
      </c>
      <c r="AD1052" s="7" t="str">
        <f t="shared" si="236"/>
        <v>No</v>
      </c>
      <c r="AE1052" s="7" t="str">
        <f t="shared" si="237"/>
        <v>Normal</v>
      </c>
    </row>
    <row r="1053" spans="1:31">
      <c r="A1053" t="s">
        <v>3096</v>
      </c>
      <c r="B1053">
        <v>96261359</v>
      </c>
      <c r="C1053" t="s">
        <v>657</v>
      </c>
      <c r="D1053" t="s">
        <v>2040</v>
      </c>
      <c r="E1053" t="s">
        <v>20</v>
      </c>
      <c r="F1053" t="s">
        <v>21</v>
      </c>
      <c r="G1053" t="s">
        <v>45</v>
      </c>
      <c r="H1053" t="s">
        <v>103</v>
      </c>
      <c r="I1053" t="s">
        <v>3372</v>
      </c>
      <c r="J1053">
        <v>13413</v>
      </c>
      <c r="K1053" t="s">
        <v>57</v>
      </c>
      <c r="L1053" t="s">
        <v>81</v>
      </c>
      <c r="M1053" s="1">
        <v>44089.138888888891</v>
      </c>
      <c r="N1053">
        <v>73</v>
      </c>
      <c r="O1053" t="s">
        <v>54</v>
      </c>
      <c r="P1053" t="s">
        <v>62</v>
      </c>
      <c r="Q1053" t="s">
        <v>3097</v>
      </c>
      <c r="R1053" t="str">
        <f t="shared" si="224"/>
        <v>John Taylor</v>
      </c>
      <c r="S1053" t="str">
        <f t="shared" si="225"/>
        <v>Lucas Silva</v>
      </c>
      <c r="T1053" t="str">
        <f t="shared" si="226"/>
        <v>GBP</v>
      </c>
      <c r="U1053" s="7" t="str">
        <f t="shared" si="227"/>
        <v>ZAR</v>
      </c>
      <c r="V1053" s="7" t="str">
        <f t="shared" si="228"/>
        <v>India</v>
      </c>
      <c r="W1053" s="7" t="str">
        <f t="shared" si="229"/>
        <v>Australia</v>
      </c>
      <c r="X1053" s="7" t="str">
        <f t="shared" si="230"/>
        <v>Outer-Transaction</v>
      </c>
      <c r="Y1053" s="7">
        <f t="shared" si="231"/>
        <v>13413</v>
      </c>
      <c r="Z1053" s="7">
        <f t="shared" si="232"/>
        <v>73</v>
      </c>
      <c r="AA1053" s="7">
        <f t="shared" si="233"/>
        <v>2020</v>
      </c>
      <c r="AB1053" s="7">
        <f t="shared" si="234"/>
        <v>9</v>
      </c>
      <c r="AC1053" s="7">
        <f t="shared" si="235"/>
        <v>1</v>
      </c>
      <c r="AD1053" s="7" t="str">
        <f t="shared" si="236"/>
        <v>No</v>
      </c>
      <c r="AE1053" s="7" t="str">
        <f t="shared" si="237"/>
        <v>Normal</v>
      </c>
    </row>
    <row r="1054" spans="1:31">
      <c r="A1054" t="s">
        <v>3098</v>
      </c>
      <c r="B1054">
        <v>83615758</v>
      </c>
      <c r="C1054" t="s">
        <v>2599</v>
      </c>
      <c r="D1054" t="s">
        <v>689</v>
      </c>
      <c r="E1054" t="s">
        <v>20</v>
      </c>
      <c r="F1054" t="s">
        <v>116</v>
      </c>
      <c r="G1054" t="s">
        <v>92</v>
      </c>
      <c r="H1054" t="s">
        <v>25</v>
      </c>
      <c r="I1054" t="s">
        <v>3376</v>
      </c>
      <c r="J1054">
        <v>8772.1</v>
      </c>
      <c r="K1054" t="s">
        <v>86</v>
      </c>
      <c r="L1054" t="s">
        <v>75</v>
      </c>
      <c r="M1054" s="1">
        <v>45834.195833333331</v>
      </c>
      <c r="N1054">
        <v>50</v>
      </c>
      <c r="O1054" t="s">
        <v>36</v>
      </c>
      <c r="P1054" t="s">
        <v>23</v>
      </c>
      <c r="Q1054" t="s">
        <v>3099</v>
      </c>
      <c r="R1054" t="str">
        <f t="shared" si="224"/>
        <v>William Velez</v>
      </c>
      <c r="S1054" t="str">
        <f t="shared" si="225"/>
        <v>Jean-Pierre Al-Sayed</v>
      </c>
      <c r="T1054" t="str">
        <f t="shared" si="226"/>
        <v>CHF</v>
      </c>
      <c r="U1054" s="7" t="str">
        <f t="shared" si="227"/>
        <v>AUD</v>
      </c>
      <c r="V1054" s="7" t="str">
        <f t="shared" si="228"/>
        <v>Germany</v>
      </c>
      <c r="W1054" s="7" t="str">
        <f t="shared" si="229"/>
        <v>France</v>
      </c>
      <c r="X1054" s="7" t="str">
        <f t="shared" si="230"/>
        <v>Internal</v>
      </c>
      <c r="Y1054" s="7">
        <f t="shared" si="231"/>
        <v>8772.1</v>
      </c>
      <c r="Z1054" s="7">
        <f t="shared" si="232"/>
        <v>50</v>
      </c>
      <c r="AA1054" s="7">
        <f t="shared" si="233"/>
        <v>2025</v>
      </c>
      <c r="AB1054" s="7">
        <f t="shared" si="234"/>
        <v>6</v>
      </c>
      <c r="AC1054" s="7">
        <f t="shared" si="235"/>
        <v>1</v>
      </c>
      <c r="AD1054" s="7" t="str">
        <f t="shared" si="236"/>
        <v>No</v>
      </c>
      <c r="AE1054" s="7" t="str">
        <f t="shared" si="237"/>
        <v>High Risk</v>
      </c>
    </row>
    <row r="1055" spans="1:31">
      <c r="A1055" t="s">
        <v>3100</v>
      </c>
      <c r="B1055">
        <v>23937948</v>
      </c>
      <c r="C1055" t="s">
        <v>413</v>
      </c>
      <c r="D1055" t="s">
        <v>1815</v>
      </c>
      <c r="E1055" t="s">
        <v>20</v>
      </c>
      <c r="F1055" t="s">
        <v>35</v>
      </c>
      <c r="G1055" t="s">
        <v>98</v>
      </c>
      <c r="H1055" t="s">
        <v>74</v>
      </c>
      <c r="I1055" t="s">
        <v>3372</v>
      </c>
      <c r="J1055">
        <v>13903.29</v>
      </c>
      <c r="K1055" t="s">
        <v>39</v>
      </c>
      <c r="L1055" t="s">
        <v>75</v>
      </c>
      <c r="M1055" s="1">
        <v>45820.850694444445</v>
      </c>
      <c r="N1055">
        <v>53</v>
      </c>
      <c r="O1055" t="s">
        <v>54</v>
      </c>
      <c r="P1055" t="s">
        <v>93</v>
      </c>
      <c r="Q1055" t="s">
        <v>3101</v>
      </c>
      <c r="R1055" t="str">
        <f t="shared" si="224"/>
        <v>Joseph Silva</v>
      </c>
      <c r="S1055" t="str">
        <f t="shared" si="225"/>
        <v>Sarah Wilson</v>
      </c>
      <c r="T1055" t="str">
        <f t="shared" si="226"/>
        <v>EUR</v>
      </c>
      <c r="U1055" s="7" t="str">
        <f t="shared" si="227"/>
        <v>JPY</v>
      </c>
      <c r="V1055" s="7" t="str">
        <f t="shared" si="228"/>
        <v>India</v>
      </c>
      <c r="W1055" s="7" t="str">
        <f t="shared" si="229"/>
        <v>USA</v>
      </c>
      <c r="X1055" s="7" t="str">
        <f t="shared" si="230"/>
        <v>Outer-Transaction</v>
      </c>
      <c r="Y1055" s="7">
        <f t="shared" si="231"/>
        <v>13903.29</v>
      </c>
      <c r="Z1055" s="7">
        <f t="shared" si="232"/>
        <v>53</v>
      </c>
      <c r="AA1055" s="7">
        <f t="shared" si="233"/>
        <v>2025</v>
      </c>
      <c r="AB1055" s="7">
        <f t="shared" si="234"/>
        <v>6</v>
      </c>
      <c r="AC1055" s="7">
        <f t="shared" si="235"/>
        <v>1</v>
      </c>
      <c r="AD1055" s="7" t="str">
        <f t="shared" si="236"/>
        <v>No</v>
      </c>
      <c r="AE1055" s="7" t="str">
        <f t="shared" si="237"/>
        <v>High Risk</v>
      </c>
    </row>
    <row r="1056" spans="1:31">
      <c r="A1056" t="s">
        <v>3102</v>
      </c>
      <c r="B1056">
        <v>31329251</v>
      </c>
      <c r="C1056" t="s">
        <v>2569</v>
      </c>
      <c r="D1056" t="s">
        <v>3103</v>
      </c>
      <c r="E1056" t="s">
        <v>20</v>
      </c>
      <c r="F1056" t="s">
        <v>392</v>
      </c>
      <c r="G1056" t="s">
        <v>98</v>
      </c>
      <c r="H1056" t="s">
        <v>56</v>
      </c>
      <c r="I1056" t="s">
        <v>3378</v>
      </c>
      <c r="J1056">
        <v>2543.4299999999998</v>
      </c>
      <c r="K1056" t="s">
        <v>27</v>
      </c>
      <c r="L1056" t="s">
        <v>28</v>
      </c>
      <c r="M1056" s="1">
        <v>43933.372916666667</v>
      </c>
      <c r="N1056">
        <v>37</v>
      </c>
      <c r="O1056" t="s">
        <v>37</v>
      </c>
      <c r="P1056" t="s">
        <v>55</v>
      </c>
      <c r="Q1056" t="s">
        <v>3104</v>
      </c>
      <c r="R1056" t="str">
        <f t="shared" si="224"/>
        <v>Linda Wilson</v>
      </c>
      <c r="S1056" t="str">
        <f t="shared" si="225"/>
        <v>Jessica Wilson</v>
      </c>
      <c r="T1056" t="str">
        <f t="shared" si="226"/>
        <v>brl</v>
      </c>
      <c r="U1056" s="7" t="str">
        <f t="shared" si="227"/>
        <v>JPY</v>
      </c>
      <c r="V1056" s="7" t="str">
        <f t="shared" si="228"/>
        <v>South Africa</v>
      </c>
      <c r="W1056" s="7" t="str">
        <f t="shared" si="229"/>
        <v>UK</v>
      </c>
      <c r="X1056" s="7" t="str">
        <f t="shared" si="230"/>
        <v>Inter-Transaction</v>
      </c>
      <c r="Y1056" s="7">
        <f t="shared" si="231"/>
        <v>2543.4299999999998</v>
      </c>
      <c r="Z1056" s="7">
        <f t="shared" si="232"/>
        <v>37</v>
      </c>
      <c r="AA1056" s="7">
        <f t="shared" si="233"/>
        <v>2020</v>
      </c>
      <c r="AB1056" s="7">
        <f t="shared" si="234"/>
        <v>4</v>
      </c>
      <c r="AC1056" s="7">
        <f t="shared" si="235"/>
        <v>1</v>
      </c>
      <c r="AD1056" s="7" t="str">
        <f t="shared" si="236"/>
        <v>No</v>
      </c>
      <c r="AE1056" s="7" t="str">
        <f t="shared" si="237"/>
        <v>Normal</v>
      </c>
    </row>
    <row r="1057" spans="1:31">
      <c r="A1057" t="s">
        <v>3105</v>
      </c>
      <c r="B1057">
        <v>74461050</v>
      </c>
      <c r="C1057" t="s">
        <v>3106</v>
      </c>
      <c r="D1057" t="s">
        <v>130</v>
      </c>
      <c r="E1057" t="b">
        <v>1</v>
      </c>
      <c r="F1057" t="s">
        <v>44</v>
      </c>
      <c r="G1057" t="s">
        <v>92</v>
      </c>
      <c r="H1057" t="s">
        <v>38</v>
      </c>
      <c r="I1057" t="s">
        <v>3377</v>
      </c>
      <c r="J1057">
        <v>4763.1499999999996</v>
      </c>
      <c r="K1057" t="s">
        <v>86</v>
      </c>
      <c r="L1057" t="s">
        <v>75</v>
      </c>
      <c r="M1057" s="1">
        <v>44823.109027777777</v>
      </c>
      <c r="N1057">
        <v>79</v>
      </c>
      <c r="O1057" t="s">
        <v>62</v>
      </c>
      <c r="P1057" t="s">
        <v>24</v>
      </c>
      <c r="Q1057" t="s">
        <v>3107</v>
      </c>
      <c r="R1057" t="str">
        <f t="shared" si="224"/>
        <v>Thomas Jones</v>
      </c>
      <c r="S1057" t="str">
        <f t="shared" si="225"/>
        <v>Jessica Hernandez</v>
      </c>
      <c r="T1057" t="str">
        <f t="shared" si="226"/>
        <v>SGD</v>
      </c>
      <c r="U1057" s="7" t="str">
        <f t="shared" si="227"/>
        <v>AUD</v>
      </c>
      <c r="V1057" s="7" t="str">
        <f t="shared" si="228"/>
        <v>Australia</v>
      </c>
      <c r="W1057" s="7" t="str">
        <f t="shared" si="229"/>
        <v>Brazil</v>
      </c>
      <c r="X1057" s="7" t="str">
        <f t="shared" si="230"/>
        <v>Inter-Transaction</v>
      </c>
      <c r="Y1057" s="7">
        <f t="shared" si="231"/>
        <v>4763.1499999999996</v>
      </c>
      <c r="Z1057" s="7">
        <f t="shared" si="232"/>
        <v>79</v>
      </c>
      <c r="AA1057" s="7">
        <f t="shared" si="233"/>
        <v>2022</v>
      </c>
      <c r="AB1057" s="7">
        <f t="shared" si="234"/>
        <v>9</v>
      </c>
      <c r="AC1057" s="7">
        <f t="shared" si="235"/>
        <v>1</v>
      </c>
      <c r="AD1057" s="7" t="str">
        <f t="shared" si="236"/>
        <v>No</v>
      </c>
      <c r="AE1057" s="7" t="str">
        <f t="shared" si="237"/>
        <v>High Risk</v>
      </c>
    </row>
    <row r="1058" spans="1:31">
      <c r="A1058" t="s">
        <v>3108</v>
      </c>
      <c r="B1058">
        <v>28666346</v>
      </c>
      <c r="C1058" t="s">
        <v>1978</v>
      </c>
      <c r="D1058" t="s">
        <v>829</v>
      </c>
      <c r="E1058" t="s">
        <v>20</v>
      </c>
      <c r="F1058" t="s">
        <v>35</v>
      </c>
      <c r="G1058" t="s">
        <v>98</v>
      </c>
      <c r="H1058" t="s">
        <v>25</v>
      </c>
      <c r="I1058" t="s">
        <v>3377</v>
      </c>
      <c r="J1058">
        <v>13096.83</v>
      </c>
      <c r="K1058" t="s">
        <v>57</v>
      </c>
      <c r="L1058" t="s">
        <v>28</v>
      </c>
      <c r="M1058" s="1">
        <v>44599.965277777781</v>
      </c>
      <c r="N1058">
        <v>43</v>
      </c>
      <c r="O1058" t="s">
        <v>36</v>
      </c>
      <c r="P1058" t="s">
        <v>24</v>
      </c>
      <c r="Q1058" t="s">
        <v>3109</v>
      </c>
      <c r="R1058" t="str">
        <f t="shared" si="224"/>
        <v>Christopher Malik</v>
      </c>
      <c r="S1058" t="str">
        <f t="shared" si="225"/>
        <v>Susan Malik</v>
      </c>
      <c r="T1058" t="str">
        <f t="shared" si="226"/>
        <v>EUR</v>
      </c>
      <c r="U1058" s="7" t="str">
        <f t="shared" si="227"/>
        <v>JPY</v>
      </c>
      <c r="V1058" s="7" t="str">
        <f t="shared" si="228"/>
        <v>Germany</v>
      </c>
      <c r="W1058" s="7" t="str">
        <f t="shared" si="229"/>
        <v>Brazil</v>
      </c>
      <c r="X1058" s="7" t="str">
        <f t="shared" si="230"/>
        <v>Inter-Transaction</v>
      </c>
      <c r="Y1058" s="7">
        <f t="shared" si="231"/>
        <v>13096.83</v>
      </c>
      <c r="Z1058" s="7">
        <f t="shared" si="232"/>
        <v>43</v>
      </c>
      <c r="AA1058" s="7">
        <f t="shared" si="233"/>
        <v>2022</v>
      </c>
      <c r="AB1058" s="7">
        <f t="shared" si="234"/>
        <v>2</v>
      </c>
      <c r="AC1058" s="7">
        <f t="shared" si="235"/>
        <v>1</v>
      </c>
      <c r="AD1058" s="7" t="str">
        <f t="shared" si="236"/>
        <v>No</v>
      </c>
      <c r="AE1058" s="7" t="str">
        <f t="shared" si="237"/>
        <v>Normal</v>
      </c>
    </row>
    <row r="1059" spans="1:31">
      <c r="A1059" t="s">
        <v>3110</v>
      </c>
      <c r="B1059">
        <v>75937854</v>
      </c>
      <c r="C1059" t="s">
        <v>790</v>
      </c>
      <c r="E1059" t="s">
        <v>20</v>
      </c>
      <c r="F1059" t="s">
        <v>45</v>
      </c>
      <c r="G1059" t="s">
        <v>112</v>
      </c>
      <c r="H1059" t="s">
        <v>103</v>
      </c>
      <c r="I1059" t="s">
        <v>3374</v>
      </c>
      <c r="J1059">
        <v>207.76</v>
      </c>
      <c r="K1059" t="s">
        <v>27</v>
      </c>
      <c r="L1059" t="s">
        <v>81</v>
      </c>
      <c r="M1059" s="1">
        <v>44955.352777777778</v>
      </c>
      <c r="N1059">
        <v>83</v>
      </c>
      <c r="O1059" t="s">
        <v>23</v>
      </c>
      <c r="P1059" t="s">
        <v>36</v>
      </c>
      <c r="Q1059" t="s">
        <v>3111</v>
      </c>
      <c r="R1059" t="str">
        <f t="shared" si="224"/>
        <v>Susan Nair</v>
      </c>
      <c r="S1059" t="str">
        <f t="shared" si="225"/>
        <v/>
      </c>
      <c r="T1059" t="str">
        <f t="shared" si="226"/>
        <v>ZAR</v>
      </c>
      <c r="U1059" s="7" t="str">
        <f t="shared" si="227"/>
        <v>usd</v>
      </c>
      <c r="V1059" s="7" t="str">
        <f t="shared" si="228"/>
        <v>France</v>
      </c>
      <c r="W1059" s="7" t="str">
        <f t="shared" si="229"/>
        <v>Germany</v>
      </c>
      <c r="X1059" s="7" t="str">
        <f t="shared" si="230"/>
        <v>External</v>
      </c>
      <c r="Y1059" s="7">
        <f t="shared" si="231"/>
        <v>207.76</v>
      </c>
      <c r="Z1059" s="7">
        <f t="shared" si="232"/>
        <v>83</v>
      </c>
      <c r="AA1059" s="7">
        <f t="shared" si="233"/>
        <v>2023</v>
      </c>
      <c r="AB1059" s="7">
        <f t="shared" si="234"/>
        <v>1</v>
      </c>
      <c r="AC1059" s="7">
        <f t="shared" si="235"/>
        <v>1</v>
      </c>
      <c r="AD1059" s="7" t="str">
        <f t="shared" si="236"/>
        <v>No</v>
      </c>
      <c r="AE1059" s="7" t="str">
        <f t="shared" si="237"/>
        <v>Normal</v>
      </c>
    </row>
    <row r="1060" spans="1:31">
      <c r="A1060" t="s">
        <v>3112</v>
      </c>
      <c r="B1060">
        <v>34314630</v>
      </c>
      <c r="C1060" t="s">
        <v>3113</v>
      </c>
      <c r="D1060" t="s">
        <v>1670</v>
      </c>
      <c r="E1060" t="s">
        <v>20</v>
      </c>
      <c r="F1060" t="s">
        <v>121</v>
      </c>
      <c r="G1060" t="s">
        <v>35</v>
      </c>
      <c r="H1060" t="s">
        <v>56</v>
      </c>
      <c r="I1060" t="s">
        <v>3374</v>
      </c>
      <c r="J1060">
        <v>2941.53</v>
      </c>
      <c r="K1060" t="s">
        <v>47</v>
      </c>
      <c r="L1060" t="s">
        <v>75</v>
      </c>
      <c r="M1060" s="1">
        <v>45052.620833333334</v>
      </c>
      <c r="N1060">
        <v>57</v>
      </c>
      <c r="O1060" t="s">
        <v>54</v>
      </c>
      <c r="P1060" t="s">
        <v>55</v>
      </c>
      <c r="Q1060" t="s">
        <v>3114</v>
      </c>
      <c r="R1060" t="str">
        <f t="shared" si="224"/>
        <v>LINDA DAVIS</v>
      </c>
      <c r="S1060" t="str">
        <f t="shared" si="225"/>
        <v>Zayn Miller</v>
      </c>
      <c r="T1060" t="str">
        <f t="shared" si="226"/>
        <v>INR</v>
      </c>
      <c r="U1060" s="7" t="str">
        <f t="shared" si="227"/>
        <v>EUR</v>
      </c>
      <c r="V1060" s="7" t="str">
        <f t="shared" si="228"/>
        <v>India</v>
      </c>
      <c r="W1060" s="7" t="str">
        <f t="shared" si="229"/>
        <v>UK</v>
      </c>
      <c r="X1060" s="7" t="str">
        <f t="shared" si="230"/>
        <v>External</v>
      </c>
      <c r="Y1060" s="7">
        <f t="shared" si="231"/>
        <v>2941.53</v>
      </c>
      <c r="Z1060" s="7">
        <f t="shared" si="232"/>
        <v>57</v>
      </c>
      <c r="AA1060" s="7">
        <f t="shared" si="233"/>
        <v>2023</v>
      </c>
      <c r="AB1060" s="7">
        <f t="shared" si="234"/>
        <v>5</v>
      </c>
      <c r="AC1060" s="7">
        <f t="shared" si="235"/>
        <v>1</v>
      </c>
      <c r="AD1060" s="7" t="str">
        <f t="shared" si="236"/>
        <v>No</v>
      </c>
      <c r="AE1060" s="7" t="str">
        <f t="shared" si="237"/>
        <v>High Risk</v>
      </c>
    </row>
    <row r="1061" spans="1:31">
      <c r="A1061" t="s">
        <v>3115</v>
      </c>
      <c r="B1061">
        <v>95235819</v>
      </c>
      <c r="C1061" t="s">
        <v>1022</v>
      </c>
      <c r="D1061" t="s">
        <v>2413</v>
      </c>
      <c r="E1061" t="s">
        <v>20</v>
      </c>
      <c r="F1061" t="s">
        <v>22</v>
      </c>
      <c r="G1061" t="s">
        <v>35</v>
      </c>
      <c r="H1061" t="s">
        <v>103</v>
      </c>
      <c r="I1061" t="s">
        <v>3372</v>
      </c>
      <c r="J1061">
        <v>10177.56</v>
      </c>
      <c r="K1061" t="s">
        <v>39</v>
      </c>
      <c r="L1061" t="s">
        <v>75</v>
      </c>
      <c r="M1061" s="1">
        <v>46104.083333333336</v>
      </c>
      <c r="N1061">
        <v>34</v>
      </c>
      <c r="O1061" t="s">
        <v>24</v>
      </c>
      <c r="P1061" t="s">
        <v>24</v>
      </c>
      <c r="Q1061" t="s">
        <v>3116</v>
      </c>
      <c r="R1061" t="str">
        <f t="shared" si="224"/>
        <v>Barbara Smith</v>
      </c>
      <c r="S1061" t="str">
        <f t="shared" si="225"/>
        <v>Elena Silva</v>
      </c>
      <c r="T1061" t="str">
        <f t="shared" si="226"/>
        <v>BRL</v>
      </c>
      <c r="U1061" s="7" t="str">
        <f t="shared" si="227"/>
        <v>EUR</v>
      </c>
      <c r="V1061" s="7" t="str">
        <f t="shared" si="228"/>
        <v>Brazil</v>
      </c>
      <c r="W1061" s="7" t="str">
        <f t="shared" si="229"/>
        <v>Brazil</v>
      </c>
      <c r="X1061" s="7" t="str">
        <f t="shared" si="230"/>
        <v>Outer-Transaction</v>
      </c>
      <c r="Y1061" s="7">
        <f t="shared" si="231"/>
        <v>10177.56</v>
      </c>
      <c r="Z1061" s="7">
        <f t="shared" si="232"/>
        <v>34</v>
      </c>
      <c r="AA1061" s="7">
        <f t="shared" si="233"/>
        <v>2026</v>
      </c>
      <c r="AB1061" s="7">
        <f t="shared" si="234"/>
        <v>3</v>
      </c>
      <c r="AC1061" s="7">
        <f t="shared" si="235"/>
        <v>1</v>
      </c>
      <c r="AD1061" s="7" t="str">
        <f t="shared" si="236"/>
        <v>No</v>
      </c>
      <c r="AE1061" s="7" t="str">
        <f t="shared" si="237"/>
        <v>High Risk</v>
      </c>
    </row>
    <row r="1062" spans="1:31">
      <c r="A1062" t="s">
        <v>3117</v>
      </c>
      <c r="B1062">
        <v>44143101</v>
      </c>
      <c r="C1062" t="s">
        <v>2854</v>
      </c>
      <c r="D1062" t="s">
        <v>854</v>
      </c>
      <c r="E1062" t="s">
        <v>20</v>
      </c>
      <c r="F1062" t="s">
        <v>92</v>
      </c>
      <c r="G1062" t="s">
        <v>98</v>
      </c>
      <c r="I1062" t="s">
        <v>3374</v>
      </c>
      <c r="J1062">
        <v>13089.99</v>
      </c>
      <c r="K1062" t="s">
        <v>27</v>
      </c>
      <c r="L1062" t="s">
        <v>48</v>
      </c>
      <c r="M1062" s="1">
        <v>46341.828472222223</v>
      </c>
      <c r="N1062">
        <v>18</v>
      </c>
      <c r="O1062" t="s">
        <v>68</v>
      </c>
      <c r="P1062" t="s">
        <v>93</v>
      </c>
      <c r="Q1062" t="s">
        <v>3118</v>
      </c>
      <c r="R1062" t="str">
        <f t="shared" si="224"/>
        <v>Richard Al-Sayed</v>
      </c>
      <c r="S1062" t="str">
        <f t="shared" si="225"/>
        <v>Robert Rodriguez</v>
      </c>
      <c r="T1062" t="str">
        <f t="shared" si="226"/>
        <v>AUD</v>
      </c>
      <c r="U1062" s="7" t="str">
        <f t="shared" si="227"/>
        <v>JPY</v>
      </c>
      <c r="V1062" s="7" t="str">
        <f t="shared" si="228"/>
        <v>UAE</v>
      </c>
      <c r="W1062" s="7" t="str">
        <f t="shared" si="229"/>
        <v>USA</v>
      </c>
      <c r="X1062" s="7" t="str">
        <f t="shared" si="230"/>
        <v>External</v>
      </c>
      <c r="Y1062" s="7">
        <f t="shared" si="231"/>
        <v>13089.99</v>
      </c>
      <c r="Z1062" s="7">
        <f t="shared" si="232"/>
        <v>18</v>
      </c>
      <c r="AA1062" s="7">
        <f t="shared" si="233"/>
        <v>2026</v>
      </c>
      <c r="AB1062" s="7">
        <f t="shared" si="234"/>
        <v>11</v>
      </c>
      <c r="AC1062" s="7">
        <f t="shared" si="235"/>
        <v>1</v>
      </c>
      <c r="AD1062" s="7" t="str">
        <f t="shared" si="236"/>
        <v>No</v>
      </c>
      <c r="AE1062" s="7" t="str">
        <f t="shared" si="237"/>
        <v>Normal</v>
      </c>
    </row>
    <row r="1063" spans="1:31">
      <c r="A1063" t="s">
        <v>3119</v>
      </c>
      <c r="B1063">
        <v>65900464</v>
      </c>
      <c r="C1063" t="s">
        <v>593</v>
      </c>
      <c r="D1063" t="s">
        <v>3120</v>
      </c>
      <c r="E1063" t="b">
        <v>1</v>
      </c>
      <c r="F1063" t="s">
        <v>53</v>
      </c>
      <c r="G1063" t="s">
        <v>98</v>
      </c>
      <c r="H1063" t="s">
        <v>38</v>
      </c>
      <c r="I1063" t="s">
        <v>3372</v>
      </c>
      <c r="J1063">
        <v>78.59</v>
      </c>
      <c r="K1063" t="s">
        <v>27</v>
      </c>
      <c r="L1063" t="s">
        <v>75</v>
      </c>
      <c r="M1063" s="1">
        <v>44067.78125</v>
      </c>
      <c r="N1063">
        <v>78</v>
      </c>
      <c r="O1063" t="s">
        <v>24</v>
      </c>
      <c r="P1063" t="s">
        <v>55</v>
      </c>
      <c r="Q1063" t="s">
        <v>3121</v>
      </c>
      <c r="R1063" t="str">
        <f t="shared" si="224"/>
        <v>Amir Thomas</v>
      </c>
      <c r="S1063" t="str">
        <f t="shared" si="225"/>
        <v>William Wilson</v>
      </c>
      <c r="T1063" t="str">
        <f t="shared" si="226"/>
        <v>AED</v>
      </c>
      <c r="U1063" s="7" t="str">
        <f t="shared" si="227"/>
        <v>JPY</v>
      </c>
      <c r="V1063" s="7" t="str">
        <f t="shared" si="228"/>
        <v>Brazil</v>
      </c>
      <c r="W1063" s="7" t="str">
        <f t="shared" si="229"/>
        <v>UK</v>
      </c>
      <c r="X1063" s="7" t="str">
        <f t="shared" si="230"/>
        <v>Outer-Transaction</v>
      </c>
      <c r="Y1063" s="7">
        <f t="shared" si="231"/>
        <v>78.59</v>
      </c>
      <c r="Z1063" s="7">
        <f t="shared" si="232"/>
        <v>78</v>
      </c>
      <c r="AA1063" s="7">
        <f t="shared" si="233"/>
        <v>2020</v>
      </c>
      <c r="AB1063" s="7">
        <f t="shared" si="234"/>
        <v>8</v>
      </c>
      <c r="AC1063" s="7">
        <f t="shared" si="235"/>
        <v>1</v>
      </c>
      <c r="AD1063" s="7" t="str">
        <f t="shared" si="236"/>
        <v>No</v>
      </c>
      <c r="AE1063" s="7" t="str">
        <f t="shared" si="237"/>
        <v>High Risk</v>
      </c>
    </row>
    <row r="1064" spans="1:31">
      <c r="A1064" t="s">
        <v>3122</v>
      </c>
      <c r="B1064">
        <v>50368134</v>
      </c>
      <c r="C1064" t="s">
        <v>208</v>
      </c>
      <c r="D1064" t="s">
        <v>1349</v>
      </c>
      <c r="E1064" t="b">
        <v>0</v>
      </c>
      <c r="F1064" t="s">
        <v>22</v>
      </c>
      <c r="G1064" t="s">
        <v>393</v>
      </c>
      <c r="H1064" t="s">
        <v>25</v>
      </c>
      <c r="I1064" t="s">
        <v>3378</v>
      </c>
      <c r="J1064">
        <v>14917.95</v>
      </c>
      <c r="K1064" t="s">
        <v>86</v>
      </c>
      <c r="L1064" t="s">
        <v>48</v>
      </c>
      <c r="M1064" s="1">
        <v>44975.681250000001</v>
      </c>
      <c r="N1064">
        <v>60</v>
      </c>
      <c r="O1064" t="s">
        <v>93</v>
      </c>
      <c r="P1064" t="s">
        <v>93</v>
      </c>
      <c r="Q1064" t="s">
        <v>3123</v>
      </c>
      <c r="R1064" t="str">
        <f t="shared" si="224"/>
        <v>Elizabeth Malik</v>
      </c>
      <c r="S1064" t="str">
        <f t="shared" si="225"/>
        <v>Fatima Wilson</v>
      </c>
      <c r="T1064" t="str">
        <f t="shared" si="226"/>
        <v>BRL</v>
      </c>
      <c r="U1064" s="7" t="str">
        <f t="shared" si="227"/>
        <v>cad</v>
      </c>
      <c r="V1064" s="7" t="str">
        <f t="shared" si="228"/>
        <v>USA</v>
      </c>
      <c r="W1064" s="7" t="str">
        <f t="shared" si="229"/>
        <v>USA</v>
      </c>
      <c r="X1064" s="7" t="str">
        <f t="shared" si="230"/>
        <v>Inter-Transaction</v>
      </c>
      <c r="Y1064" s="7">
        <f t="shared" si="231"/>
        <v>14917.95</v>
      </c>
      <c r="Z1064" s="7">
        <f t="shared" si="232"/>
        <v>60</v>
      </c>
      <c r="AA1064" s="7">
        <f t="shared" si="233"/>
        <v>2023</v>
      </c>
      <c r="AB1064" s="7">
        <f t="shared" si="234"/>
        <v>2</v>
      </c>
      <c r="AC1064" s="7">
        <f t="shared" si="235"/>
        <v>1</v>
      </c>
      <c r="AD1064" s="7" t="str">
        <f t="shared" si="236"/>
        <v>No</v>
      </c>
      <c r="AE1064" s="7" t="str">
        <f t="shared" si="237"/>
        <v>Normal</v>
      </c>
    </row>
    <row r="1065" spans="1:31">
      <c r="A1065" t="s">
        <v>3124</v>
      </c>
      <c r="B1065">
        <v>91001528</v>
      </c>
      <c r="C1065" t="s">
        <v>183</v>
      </c>
      <c r="D1065" t="s">
        <v>690</v>
      </c>
      <c r="E1065" t="s">
        <v>20</v>
      </c>
      <c r="F1065" t="s">
        <v>44</v>
      </c>
      <c r="G1065" t="s">
        <v>121</v>
      </c>
      <c r="I1065" t="s">
        <v>3378</v>
      </c>
      <c r="J1065">
        <v>10007.65</v>
      </c>
      <c r="K1065" t="s">
        <v>86</v>
      </c>
      <c r="L1065" t="s">
        <v>48</v>
      </c>
      <c r="M1065" s="1">
        <v>46384.574999999997</v>
      </c>
      <c r="N1065">
        <v>59</v>
      </c>
      <c r="O1065" t="s">
        <v>62</v>
      </c>
      <c r="P1065" t="s">
        <v>23</v>
      </c>
      <c r="Q1065" t="s">
        <v>3125</v>
      </c>
      <c r="R1065" t="str">
        <f t="shared" si="224"/>
        <v>Jean-Pierre Miller</v>
      </c>
      <c r="S1065" t="str">
        <f t="shared" si="225"/>
        <v>Christopher Johnson</v>
      </c>
      <c r="T1065" t="str">
        <f t="shared" si="226"/>
        <v>SGD</v>
      </c>
      <c r="U1065" s="7" t="str">
        <f t="shared" si="227"/>
        <v>INR</v>
      </c>
      <c r="V1065" s="7" t="str">
        <f t="shared" si="228"/>
        <v>Australia</v>
      </c>
      <c r="W1065" s="7" t="str">
        <f t="shared" si="229"/>
        <v>France</v>
      </c>
      <c r="X1065" s="7" t="str">
        <f t="shared" si="230"/>
        <v>Inter-Transaction</v>
      </c>
      <c r="Y1065" s="7">
        <f t="shared" si="231"/>
        <v>10007.65</v>
      </c>
      <c r="Z1065" s="7">
        <f t="shared" si="232"/>
        <v>59</v>
      </c>
      <c r="AA1065" s="7">
        <f t="shared" si="233"/>
        <v>2026</v>
      </c>
      <c r="AB1065" s="7">
        <f t="shared" si="234"/>
        <v>12</v>
      </c>
      <c r="AC1065" s="7">
        <f t="shared" si="235"/>
        <v>1</v>
      </c>
      <c r="AD1065" s="7" t="str">
        <f t="shared" si="236"/>
        <v>No</v>
      </c>
      <c r="AE1065" s="7" t="str">
        <f t="shared" si="237"/>
        <v>Normal</v>
      </c>
    </row>
    <row r="1066" spans="1:31">
      <c r="A1066" t="s">
        <v>3126</v>
      </c>
      <c r="B1066">
        <v>95365934</v>
      </c>
      <c r="C1066" t="s">
        <v>2421</v>
      </c>
      <c r="D1066" t="s">
        <v>809</v>
      </c>
      <c r="E1066" t="s">
        <v>20</v>
      </c>
      <c r="F1066" t="s">
        <v>98</v>
      </c>
      <c r="G1066" t="s">
        <v>35</v>
      </c>
      <c r="H1066" t="s">
        <v>103</v>
      </c>
      <c r="I1066" t="s">
        <v>3374</v>
      </c>
      <c r="J1066">
        <v>10303.1</v>
      </c>
      <c r="K1066" t="s">
        <v>47</v>
      </c>
      <c r="L1066" t="s">
        <v>48</v>
      </c>
      <c r="M1066" s="1">
        <v>44597.571527777778</v>
      </c>
      <c r="N1066">
        <v>42</v>
      </c>
      <c r="O1066" t="s">
        <v>62</v>
      </c>
      <c r="P1066" t="s">
        <v>23</v>
      </c>
      <c r="Q1066" t="s">
        <v>3127</v>
      </c>
      <c r="R1066" t="str">
        <f t="shared" si="224"/>
        <v>John Martinez</v>
      </c>
      <c r="S1066" t="str">
        <f t="shared" si="225"/>
        <v>Richard Smith</v>
      </c>
      <c r="T1066" t="str">
        <f t="shared" si="226"/>
        <v>JPY</v>
      </c>
      <c r="U1066" s="7" t="str">
        <f t="shared" si="227"/>
        <v>EUR</v>
      </c>
      <c r="V1066" s="7" t="str">
        <f t="shared" si="228"/>
        <v>Australia</v>
      </c>
      <c r="W1066" s="7" t="str">
        <f t="shared" si="229"/>
        <v>France</v>
      </c>
      <c r="X1066" s="7" t="str">
        <f t="shared" si="230"/>
        <v>External</v>
      </c>
      <c r="Y1066" s="7">
        <f t="shared" si="231"/>
        <v>10303.1</v>
      </c>
      <c r="Z1066" s="7">
        <f t="shared" si="232"/>
        <v>42</v>
      </c>
      <c r="AA1066" s="7">
        <f t="shared" si="233"/>
        <v>2022</v>
      </c>
      <c r="AB1066" s="7">
        <f t="shared" si="234"/>
        <v>2</v>
      </c>
      <c r="AC1066" s="7">
        <f t="shared" si="235"/>
        <v>1</v>
      </c>
      <c r="AD1066" s="7" t="str">
        <f t="shared" si="236"/>
        <v>No</v>
      </c>
      <c r="AE1066" s="7" t="str">
        <f t="shared" si="237"/>
        <v>Normal</v>
      </c>
    </row>
    <row r="1067" spans="1:31">
      <c r="A1067" t="s">
        <v>3128</v>
      </c>
      <c r="B1067">
        <v>42078118</v>
      </c>
      <c r="C1067" t="s">
        <v>330</v>
      </c>
      <c r="D1067" t="s">
        <v>1549</v>
      </c>
      <c r="E1067" t="s">
        <v>20</v>
      </c>
      <c r="F1067" t="s">
        <v>21</v>
      </c>
      <c r="G1067" t="s">
        <v>92</v>
      </c>
      <c r="I1067" t="s">
        <v>3372</v>
      </c>
      <c r="J1067">
        <v>13592.6</v>
      </c>
      <c r="K1067" t="s">
        <v>57</v>
      </c>
      <c r="L1067" t="s">
        <v>28</v>
      </c>
      <c r="M1067" s="1">
        <v>44821.647222222222</v>
      </c>
      <c r="N1067">
        <v>56</v>
      </c>
      <c r="O1067" t="s">
        <v>24</v>
      </c>
      <c r="P1067" t="s">
        <v>24</v>
      </c>
      <c r="Q1067" t="s">
        <v>3129</v>
      </c>
      <c r="R1067" t="str">
        <f t="shared" si="224"/>
        <v>Marta Lopez</v>
      </c>
      <c r="S1067" t="str">
        <f t="shared" si="225"/>
        <v>Christopher Smith</v>
      </c>
      <c r="T1067" t="str">
        <f t="shared" si="226"/>
        <v>GBP</v>
      </c>
      <c r="U1067" s="7" t="str">
        <f t="shared" si="227"/>
        <v>AUD</v>
      </c>
      <c r="V1067" s="7" t="str">
        <f t="shared" si="228"/>
        <v>Brazil</v>
      </c>
      <c r="W1067" s="7" t="str">
        <f t="shared" si="229"/>
        <v>Brazil</v>
      </c>
      <c r="X1067" s="7" t="str">
        <f t="shared" si="230"/>
        <v>Outer-Transaction</v>
      </c>
      <c r="Y1067" s="7">
        <f t="shared" si="231"/>
        <v>13592.6</v>
      </c>
      <c r="Z1067" s="7">
        <f t="shared" si="232"/>
        <v>56</v>
      </c>
      <c r="AA1067" s="7">
        <f t="shared" si="233"/>
        <v>2022</v>
      </c>
      <c r="AB1067" s="7">
        <f t="shared" si="234"/>
        <v>9</v>
      </c>
      <c r="AC1067" s="7">
        <f t="shared" si="235"/>
        <v>1</v>
      </c>
      <c r="AD1067" s="7" t="str">
        <f t="shared" si="236"/>
        <v>No</v>
      </c>
      <c r="AE1067" s="7" t="str">
        <f t="shared" si="237"/>
        <v>Normal</v>
      </c>
    </row>
    <row r="1068" spans="1:31">
      <c r="A1068" t="s">
        <v>3130</v>
      </c>
      <c r="B1068">
        <v>20770572</v>
      </c>
      <c r="C1068" t="s">
        <v>2241</v>
      </c>
      <c r="D1068" t="s">
        <v>2174</v>
      </c>
      <c r="E1068" t="b">
        <v>1</v>
      </c>
      <c r="F1068" t="s">
        <v>116</v>
      </c>
      <c r="G1068" t="s">
        <v>45</v>
      </c>
      <c r="H1068" t="s">
        <v>103</v>
      </c>
      <c r="I1068" t="s">
        <v>3378</v>
      </c>
      <c r="J1068">
        <v>12433.67</v>
      </c>
      <c r="K1068" t="s">
        <v>57</v>
      </c>
      <c r="L1068" t="s">
        <v>48</v>
      </c>
      <c r="M1068" s="1">
        <v>45590.525694444441</v>
      </c>
      <c r="N1068">
        <v>52</v>
      </c>
      <c r="O1068" t="s">
        <v>127</v>
      </c>
      <c r="P1068" t="s">
        <v>24</v>
      </c>
      <c r="Q1068" t="s">
        <v>3131</v>
      </c>
      <c r="R1068" t="str">
        <f t="shared" si="224"/>
        <v>David Nair</v>
      </c>
      <c r="S1068" t="str">
        <f t="shared" si="225"/>
        <v>Jean-Pierre Wilson</v>
      </c>
      <c r="T1068" t="str">
        <f t="shared" si="226"/>
        <v>CHF</v>
      </c>
      <c r="U1068" s="7" t="str">
        <f t="shared" si="227"/>
        <v>ZAR</v>
      </c>
      <c r="V1068" s="7" t="str">
        <f t="shared" si="228"/>
        <v>Canada</v>
      </c>
      <c r="W1068" s="7" t="str">
        <f t="shared" si="229"/>
        <v>Brazil</v>
      </c>
      <c r="X1068" s="7" t="str">
        <f t="shared" si="230"/>
        <v>Inter-Transaction</v>
      </c>
      <c r="Y1068" s="7">
        <f t="shared" si="231"/>
        <v>12433.67</v>
      </c>
      <c r="Z1068" s="7">
        <f t="shared" si="232"/>
        <v>52</v>
      </c>
      <c r="AA1068" s="7">
        <f t="shared" si="233"/>
        <v>2024</v>
      </c>
      <c r="AB1068" s="7">
        <f t="shared" si="234"/>
        <v>10</v>
      </c>
      <c r="AC1068" s="7">
        <f t="shared" si="235"/>
        <v>1</v>
      </c>
      <c r="AD1068" s="7" t="str">
        <f t="shared" si="236"/>
        <v>No</v>
      </c>
      <c r="AE1068" s="7" t="str">
        <f t="shared" si="237"/>
        <v>Normal</v>
      </c>
    </row>
    <row r="1069" spans="1:31">
      <c r="A1069" t="s">
        <v>3132</v>
      </c>
      <c r="B1069">
        <v>43212275</v>
      </c>
      <c r="C1069" t="s">
        <v>142</v>
      </c>
      <c r="D1069" t="s">
        <v>2169</v>
      </c>
      <c r="E1069" t="b">
        <v>0</v>
      </c>
      <c r="F1069" t="s">
        <v>21</v>
      </c>
      <c r="G1069" t="s">
        <v>35</v>
      </c>
      <c r="I1069" t="s">
        <v>3371</v>
      </c>
      <c r="J1069">
        <v>11418.15</v>
      </c>
      <c r="K1069" t="s">
        <v>57</v>
      </c>
      <c r="L1069" t="s">
        <v>28</v>
      </c>
      <c r="M1069" s="1">
        <v>46151.674305555556</v>
      </c>
      <c r="N1069">
        <v>20</v>
      </c>
      <c r="O1069" t="s">
        <v>37</v>
      </c>
      <c r="P1069" t="s">
        <v>62</v>
      </c>
      <c r="Q1069" t="s">
        <v>3133</v>
      </c>
      <c r="R1069" t="str">
        <f t="shared" si="224"/>
        <v>Thomas Rodriguez</v>
      </c>
      <c r="S1069" t="str">
        <f t="shared" si="225"/>
        <v>Joseph Brown</v>
      </c>
      <c r="T1069" t="str">
        <f t="shared" si="226"/>
        <v>GBP</v>
      </c>
      <c r="U1069" s="7" t="str">
        <f t="shared" si="227"/>
        <v>EUR</v>
      </c>
      <c r="V1069" s="7" t="str">
        <f t="shared" si="228"/>
        <v>South Africa</v>
      </c>
      <c r="W1069" s="7" t="str">
        <f t="shared" si="229"/>
        <v>Australia</v>
      </c>
      <c r="X1069" s="7" t="str">
        <f t="shared" si="230"/>
        <v>Outer-Transaction</v>
      </c>
      <c r="Y1069" s="7">
        <f t="shared" si="231"/>
        <v>11418.15</v>
      </c>
      <c r="Z1069" s="7">
        <f t="shared" si="232"/>
        <v>20</v>
      </c>
      <c r="AA1069" s="7">
        <f t="shared" si="233"/>
        <v>2026</v>
      </c>
      <c r="AB1069" s="7">
        <f t="shared" si="234"/>
        <v>5</v>
      </c>
      <c r="AC1069" s="7">
        <f t="shared" si="235"/>
        <v>1</v>
      </c>
      <c r="AD1069" s="7" t="str">
        <f t="shared" si="236"/>
        <v>No</v>
      </c>
      <c r="AE1069" s="7" t="str">
        <f t="shared" si="237"/>
        <v>Normal</v>
      </c>
    </row>
    <row r="1070" spans="1:31">
      <c r="A1070" t="s">
        <v>3134</v>
      </c>
      <c r="B1070">
        <v>89075105</v>
      </c>
      <c r="C1070" t="s">
        <v>922</v>
      </c>
      <c r="D1070" t="s">
        <v>2387</v>
      </c>
      <c r="E1070" t="s">
        <v>20</v>
      </c>
      <c r="F1070" t="s">
        <v>35</v>
      </c>
      <c r="G1070" t="s">
        <v>116</v>
      </c>
      <c r="H1070" t="s">
        <v>103</v>
      </c>
      <c r="I1070" t="s">
        <v>3377</v>
      </c>
      <c r="J1070">
        <v>6543.04</v>
      </c>
      <c r="K1070" t="s">
        <v>39</v>
      </c>
      <c r="L1070" t="s">
        <v>28</v>
      </c>
      <c r="M1070" s="1">
        <v>46110.951388888891</v>
      </c>
      <c r="N1070">
        <v>61</v>
      </c>
      <c r="O1070" t="s">
        <v>36</v>
      </c>
      <c r="P1070" t="s">
        <v>23</v>
      </c>
      <c r="Q1070" t="s">
        <v>3135</v>
      </c>
      <c r="R1070" t="str">
        <f t="shared" si="224"/>
        <v>Nancy Souza</v>
      </c>
      <c r="S1070" t="str">
        <f t="shared" si="225"/>
        <v>Mary Wilson</v>
      </c>
      <c r="T1070" t="str">
        <f t="shared" si="226"/>
        <v>EUR</v>
      </c>
      <c r="U1070" s="7" t="str">
        <f t="shared" si="227"/>
        <v>CHF</v>
      </c>
      <c r="V1070" s="7" t="str">
        <f t="shared" si="228"/>
        <v>Germany</v>
      </c>
      <c r="W1070" s="7" t="str">
        <f t="shared" si="229"/>
        <v>France</v>
      </c>
      <c r="X1070" s="7" t="str">
        <f t="shared" si="230"/>
        <v>Inter-Transaction</v>
      </c>
      <c r="Y1070" s="7">
        <f t="shared" si="231"/>
        <v>6543.04</v>
      </c>
      <c r="Z1070" s="7">
        <f t="shared" si="232"/>
        <v>61</v>
      </c>
      <c r="AA1070" s="7">
        <f t="shared" si="233"/>
        <v>2026</v>
      </c>
      <c r="AB1070" s="7">
        <f t="shared" si="234"/>
        <v>3</v>
      </c>
      <c r="AC1070" s="7">
        <f t="shared" si="235"/>
        <v>1</v>
      </c>
      <c r="AD1070" s="7" t="str">
        <f t="shared" si="236"/>
        <v>No</v>
      </c>
      <c r="AE1070" s="7" t="str">
        <f t="shared" si="237"/>
        <v>Normal</v>
      </c>
    </row>
    <row r="1071" spans="1:31">
      <c r="A1071" t="s">
        <v>3136</v>
      </c>
      <c r="B1071">
        <v>66206761</v>
      </c>
      <c r="C1071" t="s">
        <v>239</v>
      </c>
      <c r="D1071" t="s">
        <v>3137</v>
      </c>
      <c r="E1071" t="s">
        <v>20</v>
      </c>
      <c r="F1071" t="s">
        <v>21</v>
      </c>
      <c r="G1071" t="s">
        <v>121</v>
      </c>
      <c r="H1071" t="s">
        <v>25</v>
      </c>
      <c r="I1071" t="s">
        <v>3378</v>
      </c>
      <c r="J1071">
        <v>7536.21</v>
      </c>
      <c r="K1071" t="s">
        <v>86</v>
      </c>
      <c r="L1071" t="s">
        <v>75</v>
      </c>
      <c r="M1071" s="1">
        <v>44326.234722222223</v>
      </c>
      <c r="N1071">
        <v>68</v>
      </c>
      <c r="O1071" t="s">
        <v>23</v>
      </c>
      <c r="P1071" t="s">
        <v>68</v>
      </c>
      <c r="Q1071" t="s">
        <v>3138</v>
      </c>
      <c r="R1071" t="str">
        <f t="shared" si="224"/>
        <v>Thomas Davis</v>
      </c>
      <c r="S1071" t="str">
        <f t="shared" si="225"/>
        <v>Marta Silva</v>
      </c>
      <c r="T1071" t="str">
        <f t="shared" si="226"/>
        <v>GBP</v>
      </c>
      <c r="U1071" s="7" t="str">
        <f t="shared" si="227"/>
        <v>INR</v>
      </c>
      <c r="V1071" s="7" t="str">
        <f t="shared" si="228"/>
        <v>France</v>
      </c>
      <c r="W1071" s="7" t="str">
        <f t="shared" si="229"/>
        <v>UAE</v>
      </c>
      <c r="X1071" s="7" t="str">
        <f t="shared" si="230"/>
        <v>Inter-Transaction</v>
      </c>
      <c r="Y1071" s="7">
        <f t="shared" si="231"/>
        <v>7536.21</v>
      </c>
      <c r="Z1071" s="7">
        <f t="shared" si="232"/>
        <v>68</v>
      </c>
      <c r="AA1071" s="7">
        <f t="shared" si="233"/>
        <v>2021</v>
      </c>
      <c r="AB1071" s="7">
        <f t="shared" si="234"/>
        <v>5</v>
      </c>
      <c r="AC1071" s="7">
        <f t="shared" si="235"/>
        <v>1</v>
      </c>
      <c r="AD1071" s="7" t="str">
        <f t="shared" si="236"/>
        <v>No</v>
      </c>
      <c r="AE1071" s="7" t="str">
        <f t="shared" si="237"/>
        <v>High Risk</v>
      </c>
    </row>
    <row r="1072" spans="1:31">
      <c r="A1072" t="s">
        <v>3139</v>
      </c>
      <c r="B1072">
        <v>33582622</v>
      </c>
      <c r="C1072" t="s">
        <v>2366</v>
      </c>
      <c r="D1072" t="s">
        <v>574</v>
      </c>
      <c r="E1072" t="s">
        <v>20</v>
      </c>
      <c r="F1072" t="s">
        <v>21</v>
      </c>
      <c r="G1072" t="s">
        <v>44</v>
      </c>
      <c r="H1072" t="s">
        <v>25</v>
      </c>
      <c r="I1072" t="s">
        <v>3374</v>
      </c>
      <c r="J1072">
        <v>4975.22</v>
      </c>
      <c r="K1072" t="s">
        <v>27</v>
      </c>
      <c r="L1072" t="s">
        <v>28</v>
      </c>
      <c r="M1072" s="1">
        <v>44878.022222222222</v>
      </c>
      <c r="N1072">
        <v>29</v>
      </c>
      <c r="O1072" t="s">
        <v>62</v>
      </c>
      <c r="P1072" t="s">
        <v>68</v>
      </c>
      <c r="Q1072" t="s">
        <v>3140</v>
      </c>
      <c r="R1072" t="str">
        <f t="shared" si="224"/>
        <v>Lucas Al-Sayed</v>
      </c>
      <c r="S1072" t="str">
        <f t="shared" si="225"/>
        <v>Elizabeth Brown</v>
      </c>
      <c r="T1072" t="str">
        <f t="shared" si="226"/>
        <v>GBP</v>
      </c>
      <c r="U1072" s="7" t="str">
        <f t="shared" si="227"/>
        <v>SGD</v>
      </c>
      <c r="V1072" s="7" t="str">
        <f t="shared" si="228"/>
        <v>Australia</v>
      </c>
      <c r="W1072" s="7" t="str">
        <f t="shared" si="229"/>
        <v>UAE</v>
      </c>
      <c r="X1072" s="7" t="str">
        <f t="shared" si="230"/>
        <v>External</v>
      </c>
      <c r="Y1072" s="7">
        <f t="shared" si="231"/>
        <v>4975.22</v>
      </c>
      <c r="Z1072" s="7">
        <f t="shared" si="232"/>
        <v>29</v>
      </c>
      <c r="AA1072" s="7">
        <f t="shared" si="233"/>
        <v>2022</v>
      </c>
      <c r="AB1072" s="7">
        <f t="shared" si="234"/>
        <v>11</v>
      </c>
      <c r="AC1072" s="7">
        <f t="shared" si="235"/>
        <v>1</v>
      </c>
      <c r="AD1072" s="7" t="str">
        <f t="shared" si="236"/>
        <v>No</v>
      </c>
      <c r="AE1072" s="7" t="str">
        <f t="shared" si="237"/>
        <v>Normal</v>
      </c>
    </row>
    <row r="1073" spans="1:31">
      <c r="A1073" t="s">
        <v>3141</v>
      </c>
      <c r="B1073">
        <v>92548875</v>
      </c>
      <c r="C1073" t="s">
        <v>311</v>
      </c>
      <c r="D1073" t="s">
        <v>533</v>
      </c>
      <c r="E1073" t="s">
        <v>20</v>
      </c>
      <c r="F1073" t="s">
        <v>80</v>
      </c>
      <c r="G1073" t="s">
        <v>45</v>
      </c>
      <c r="I1073" t="s">
        <v>3377</v>
      </c>
      <c r="J1073">
        <v>4817.1899999999996</v>
      </c>
      <c r="K1073" t="s">
        <v>39</v>
      </c>
      <c r="L1073" t="s">
        <v>48</v>
      </c>
      <c r="M1073" s="1">
        <v>45557.170138888891</v>
      </c>
      <c r="N1073">
        <v>36</v>
      </c>
      <c r="O1073" t="s">
        <v>24</v>
      </c>
      <c r="P1073" t="s">
        <v>36</v>
      </c>
      <c r="Q1073" t="s">
        <v>3142</v>
      </c>
      <c r="R1073" t="str">
        <f t="shared" si="224"/>
        <v>Susan Davis</v>
      </c>
      <c r="S1073" t="str">
        <f t="shared" si="225"/>
        <v>Priya Silva</v>
      </c>
      <c r="T1073" t="str">
        <f t="shared" si="226"/>
        <v>USD</v>
      </c>
      <c r="U1073" s="7" t="str">
        <f t="shared" si="227"/>
        <v>ZAR</v>
      </c>
      <c r="V1073" s="7" t="str">
        <f t="shared" si="228"/>
        <v>Brazil</v>
      </c>
      <c r="W1073" s="7" t="str">
        <f t="shared" si="229"/>
        <v>Germany</v>
      </c>
      <c r="X1073" s="7" t="str">
        <f t="shared" si="230"/>
        <v>Inter-Transaction</v>
      </c>
      <c r="Y1073" s="7">
        <f t="shared" si="231"/>
        <v>4817.1899999999996</v>
      </c>
      <c r="Z1073" s="7">
        <f t="shared" si="232"/>
        <v>36</v>
      </c>
      <c r="AA1073" s="7">
        <f t="shared" si="233"/>
        <v>2024</v>
      </c>
      <c r="AB1073" s="7">
        <f t="shared" si="234"/>
        <v>9</v>
      </c>
      <c r="AC1073" s="7">
        <f t="shared" si="235"/>
        <v>1</v>
      </c>
      <c r="AD1073" s="7" t="str">
        <f t="shared" si="236"/>
        <v>No</v>
      </c>
      <c r="AE1073" s="7" t="str">
        <f t="shared" si="237"/>
        <v>Normal</v>
      </c>
    </row>
    <row r="1074" spans="1:31">
      <c r="A1074" t="s">
        <v>3143</v>
      </c>
      <c r="B1074">
        <v>38672861</v>
      </c>
      <c r="C1074" t="s">
        <v>640</v>
      </c>
      <c r="D1074" t="s">
        <v>125</v>
      </c>
      <c r="E1074" t="s">
        <v>3375</v>
      </c>
      <c r="F1074" t="s">
        <v>21</v>
      </c>
      <c r="G1074" t="s">
        <v>45</v>
      </c>
      <c r="H1074" t="s">
        <v>74</v>
      </c>
      <c r="I1074" t="s">
        <v>3371</v>
      </c>
      <c r="J1074">
        <v>1478.27</v>
      </c>
      <c r="K1074" t="s">
        <v>27</v>
      </c>
      <c r="L1074" t="s">
        <v>48</v>
      </c>
      <c r="M1074" s="1">
        <v>46380.645833333336</v>
      </c>
      <c r="N1074">
        <v>61</v>
      </c>
      <c r="O1074" t="s">
        <v>24</v>
      </c>
      <c r="P1074" t="s">
        <v>23</v>
      </c>
      <c r="Q1074" t="s">
        <v>3144</v>
      </c>
      <c r="R1074" t="str">
        <f t="shared" si="224"/>
        <v>Zayn Garcia</v>
      </c>
      <c r="S1074" t="str">
        <f t="shared" si="225"/>
        <v>Charles Brown</v>
      </c>
      <c r="T1074" t="str">
        <f t="shared" si="226"/>
        <v>GBP</v>
      </c>
      <c r="U1074" s="7" t="str">
        <f t="shared" si="227"/>
        <v>ZAR</v>
      </c>
      <c r="V1074" s="7" t="str">
        <f t="shared" si="228"/>
        <v>Brazil</v>
      </c>
      <c r="W1074" s="7" t="str">
        <f t="shared" si="229"/>
        <v>France</v>
      </c>
      <c r="X1074" s="7" t="str">
        <f t="shared" si="230"/>
        <v>Outer-Transaction</v>
      </c>
      <c r="Y1074" s="7">
        <f t="shared" si="231"/>
        <v>1478.27</v>
      </c>
      <c r="Z1074" s="7">
        <f t="shared" si="232"/>
        <v>61</v>
      </c>
      <c r="AA1074" s="7">
        <f t="shared" si="233"/>
        <v>2026</v>
      </c>
      <c r="AB1074" s="7">
        <f t="shared" si="234"/>
        <v>12</v>
      </c>
      <c r="AC1074" s="7">
        <f t="shared" si="235"/>
        <v>1</v>
      </c>
      <c r="AD1074" s="7" t="str">
        <f t="shared" si="236"/>
        <v>No</v>
      </c>
      <c r="AE1074" s="7" t="str">
        <f t="shared" si="237"/>
        <v>Normal</v>
      </c>
    </row>
    <row r="1075" spans="1:31">
      <c r="A1075" t="s">
        <v>3145</v>
      </c>
      <c r="C1075" t="s">
        <v>995</v>
      </c>
      <c r="E1075" t="s">
        <v>20</v>
      </c>
      <c r="F1075" t="s">
        <v>44</v>
      </c>
      <c r="G1075" t="s">
        <v>80</v>
      </c>
      <c r="H1075" t="s">
        <v>25</v>
      </c>
      <c r="I1075" t="s">
        <v>3378</v>
      </c>
      <c r="J1075">
        <v>12952.2</v>
      </c>
      <c r="K1075" t="s">
        <v>86</v>
      </c>
      <c r="L1075" t="s">
        <v>75</v>
      </c>
      <c r="M1075" s="1">
        <v>45903.65625</v>
      </c>
      <c r="N1075">
        <v>76</v>
      </c>
      <c r="O1075" t="s">
        <v>37</v>
      </c>
      <c r="P1075" t="s">
        <v>93</v>
      </c>
      <c r="Q1075" t="s">
        <v>3146</v>
      </c>
      <c r="R1075" t="str">
        <f t="shared" si="224"/>
        <v>Susan Jones</v>
      </c>
      <c r="S1075" t="str">
        <f t="shared" si="225"/>
        <v/>
      </c>
      <c r="T1075" t="str">
        <f t="shared" si="226"/>
        <v>SGD</v>
      </c>
      <c r="U1075" s="7" t="str">
        <f t="shared" si="227"/>
        <v>USD</v>
      </c>
      <c r="V1075" s="7" t="str">
        <f t="shared" si="228"/>
        <v>South Africa</v>
      </c>
      <c r="W1075" s="7" t="str">
        <f t="shared" si="229"/>
        <v>USA</v>
      </c>
      <c r="X1075" s="7" t="str">
        <f t="shared" si="230"/>
        <v>Inter-Transaction</v>
      </c>
      <c r="Y1075" s="7">
        <f t="shared" si="231"/>
        <v>12952.2</v>
      </c>
      <c r="Z1075" s="7">
        <f t="shared" si="232"/>
        <v>76</v>
      </c>
      <c r="AA1075" s="7">
        <f t="shared" si="233"/>
        <v>2025</v>
      </c>
      <c r="AB1075" s="7">
        <f t="shared" si="234"/>
        <v>9</v>
      </c>
      <c r="AC1075" s="7">
        <f t="shared" si="235"/>
        <v>1</v>
      </c>
      <c r="AD1075" s="7" t="str">
        <f t="shared" si="236"/>
        <v>No</v>
      </c>
      <c r="AE1075" s="7" t="str">
        <f t="shared" si="237"/>
        <v>High Risk</v>
      </c>
    </row>
    <row r="1076" spans="1:31">
      <c r="A1076" t="s">
        <v>3147</v>
      </c>
      <c r="B1076">
        <v>42753932</v>
      </c>
      <c r="C1076" t="s">
        <v>1905</v>
      </c>
      <c r="D1076" t="s">
        <v>1192</v>
      </c>
      <c r="E1076" t="s">
        <v>20</v>
      </c>
      <c r="F1076" t="s">
        <v>121</v>
      </c>
      <c r="G1076" t="s">
        <v>22</v>
      </c>
      <c r="H1076" t="s">
        <v>56</v>
      </c>
      <c r="I1076" t="s">
        <v>3372</v>
      </c>
      <c r="J1076">
        <v>11420.87</v>
      </c>
      <c r="K1076" t="s">
        <v>86</v>
      </c>
      <c r="L1076" t="s">
        <v>48</v>
      </c>
      <c r="M1076" s="1">
        <v>46166.008333333331</v>
      </c>
      <c r="N1076">
        <v>66</v>
      </c>
      <c r="O1076" t="s">
        <v>37</v>
      </c>
      <c r="P1076" t="s">
        <v>93</v>
      </c>
      <c r="Q1076" t="s">
        <v>3148</v>
      </c>
      <c r="R1076" t="str">
        <f t="shared" si="224"/>
        <v>Karen Thomas</v>
      </c>
      <c r="S1076" t="str">
        <f t="shared" si="225"/>
        <v>Karen Martin</v>
      </c>
      <c r="T1076" t="str">
        <f t="shared" si="226"/>
        <v>INR</v>
      </c>
      <c r="U1076" s="7" t="str">
        <f t="shared" si="227"/>
        <v>BRL</v>
      </c>
      <c r="V1076" s="7" t="str">
        <f t="shared" si="228"/>
        <v>South Africa</v>
      </c>
      <c r="W1076" s="7" t="str">
        <f t="shared" si="229"/>
        <v>USA</v>
      </c>
      <c r="X1076" s="7" t="str">
        <f t="shared" si="230"/>
        <v>Outer-Transaction</v>
      </c>
      <c r="Y1076" s="7">
        <f t="shared" si="231"/>
        <v>11420.87</v>
      </c>
      <c r="Z1076" s="7">
        <f t="shared" si="232"/>
        <v>66</v>
      </c>
      <c r="AA1076" s="7">
        <f t="shared" si="233"/>
        <v>2026</v>
      </c>
      <c r="AB1076" s="7">
        <f t="shared" si="234"/>
        <v>5</v>
      </c>
      <c r="AC1076" s="7">
        <f t="shared" si="235"/>
        <v>1</v>
      </c>
      <c r="AD1076" s="7" t="str">
        <f t="shared" si="236"/>
        <v>No</v>
      </c>
      <c r="AE1076" s="7" t="str">
        <f t="shared" si="237"/>
        <v>Normal</v>
      </c>
    </row>
    <row r="1077" spans="1:31">
      <c r="A1077" t="s">
        <v>3149</v>
      </c>
      <c r="B1077">
        <v>49942852</v>
      </c>
      <c r="C1077" t="s">
        <v>278</v>
      </c>
      <c r="D1077" t="s">
        <v>111</v>
      </c>
      <c r="E1077" t="s">
        <v>33</v>
      </c>
      <c r="G1077" t="s">
        <v>160</v>
      </c>
      <c r="H1077" t="s">
        <v>74</v>
      </c>
      <c r="I1077" t="s">
        <v>3372</v>
      </c>
      <c r="J1077">
        <v>2596.12</v>
      </c>
      <c r="K1077" t="s">
        <v>86</v>
      </c>
      <c r="L1077" t="s">
        <v>75</v>
      </c>
      <c r="M1077" s="1">
        <v>44168.79791666667</v>
      </c>
      <c r="N1077">
        <v>78</v>
      </c>
      <c r="O1077" t="s">
        <v>55</v>
      </c>
      <c r="P1077" t="s">
        <v>54</v>
      </c>
      <c r="Q1077" t="s">
        <v>3150</v>
      </c>
      <c r="R1077" t="str">
        <f t="shared" si="224"/>
        <v>Sanjay Williams</v>
      </c>
      <c r="S1077" t="str">
        <f t="shared" si="225"/>
        <v>Karen Rostova</v>
      </c>
      <c r="T1077" t="str">
        <f t="shared" si="226"/>
        <v/>
      </c>
      <c r="U1077" s="7" t="str">
        <f t="shared" si="227"/>
        <v>aud</v>
      </c>
      <c r="V1077" s="7" t="str">
        <f t="shared" si="228"/>
        <v>UK</v>
      </c>
      <c r="W1077" s="7" t="str">
        <f t="shared" si="229"/>
        <v>India</v>
      </c>
      <c r="X1077" s="7" t="str">
        <f t="shared" si="230"/>
        <v>Outer-Transaction</v>
      </c>
      <c r="Y1077" s="7">
        <f t="shared" si="231"/>
        <v>2596.12</v>
      </c>
      <c r="Z1077" s="7">
        <f t="shared" si="232"/>
        <v>78</v>
      </c>
      <c r="AA1077" s="7">
        <f t="shared" si="233"/>
        <v>2020</v>
      </c>
      <c r="AB1077" s="7">
        <f t="shared" si="234"/>
        <v>12</v>
      </c>
      <c r="AC1077" s="7">
        <f t="shared" si="235"/>
        <v>1</v>
      </c>
      <c r="AD1077" s="7" t="str">
        <f t="shared" si="236"/>
        <v>No</v>
      </c>
      <c r="AE1077" s="7" t="str">
        <f t="shared" si="237"/>
        <v>High Risk</v>
      </c>
    </row>
    <row r="1078" spans="1:31">
      <c r="A1078" t="s">
        <v>3151</v>
      </c>
      <c r="B1078">
        <v>98252710</v>
      </c>
      <c r="C1078" t="s">
        <v>865</v>
      </c>
      <c r="D1078" t="s">
        <v>2461</v>
      </c>
      <c r="E1078" t="s">
        <v>20</v>
      </c>
      <c r="F1078" t="s">
        <v>80</v>
      </c>
      <c r="G1078" t="s">
        <v>294</v>
      </c>
      <c r="H1078" t="s">
        <v>25</v>
      </c>
      <c r="I1078" t="s">
        <v>3374</v>
      </c>
      <c r="J1078">
        <v>11698.23</v>
      </c>
      <c r="K1078" t="s">
        <v>39</v>
      </c>
      <c r="L1078" t="s">
        <v>48</v>
      </c>
      <c r="M1078" s="1">
        <v>45768.964583333334</v>
      </c>
      <c r="N1078">
        <v>34</v>
      </c>
      <c r="O1078" t="s">
        <v>55</v>
      </c>
      <c r="P1078" t="s">
        <v>55</v>
      </c>
      <c r="Q1078" t="s">
        <v>3152</v>
      </c>
      <c r="R1078" t="str">
        <f t="shared" si="224"/>
        <v>Karen Garcia</v>
      </c>
      <c r="S1078" t="str">
        <f t="shared" si="225"/>
        <v>Susan Silva</v>
      </c>
      <c r="T1078" t="str">
        <f t="shared" si="226"/>
        <v>USD</v>
      </c>
      <c r="U1078" s="7" t="str">
        <f t="shared" si="227"/>
        <v>jpy</v>
      </c>
      <c r="V1078" s="7" t="str">
        <f t="shared" si="228"/>
        <v>UK</v>
      </c>
      <c r="W1078" s="7" t="str">
        <f t="shared" si="229"/>
        <v>UK</v>
      </c>
      <c r="X1078" s="7" t="str">
        <f t="shared" si="230"/>
        <v>External</v>
      </c>
      <c r="Y1078" s="7">
        <f t="shared" si="231"/>
        <v>11698.23</v>
      </c>
      <c r="Z1078" s="7">
        <f t="shared" si="232"/>
        <v>34</v>
      </c>
      <c r="AA1078" s="7">
        <f t="shared" si="233"/>
        <v>2025</v>
      </c>
      <c r="AB1078" s="7">
        <f t="shared" si="234"/>
        <v>4</v>
      </c>
      <c r="AC1078" s="7">
        <f t="shared" si="235"/>
        <v>1</v>
      </c>
      <c r="AD1078" s="7" t="str">
        <f t="shared" si="236"/>
        <v>No</v>
      </c>
      <c r="AE1078" s="7" t="str">
        <f t="shared" si="237"/>
        <v>Normal</v>
      </c>
    </row>
    <row r="1079" spans="1:31">
      <c r="A1079" t="s">
        <v>3153</v>
      </c>
      <c r="B1079">
        <v>61053150</v>
      </c>
      <c r="C1079" t="s">
        <v>3154</v>
      </c>
      <c r="D1079" t="s">
        <v>1578</v>
      </c>
      <c r="E1079" t="s">
        <v>20</v>
      </c>
      <c r="F1079" t="s">
        <v>22</v>
      </c>
      <c r="G1079" t="s">
        <v>53</v>
      </c>
      <c r="H1079" t="s">
        <v>25</v>
      </c>
      <c r="I1079" t="s">
        <v>3378</v>
      </c>
      <c r="J1079">
        <v>10484.25</v>
      </c>
      <c r="K1079" t="s">
        <v>86</v>
      </c>
      <c r="L1079" t="s">
        <v>28</v>
      </c>
      <c r="M1079" s="1">
        <v>45648.354166666664</v>
      </c>
      <c r="N1079">
        <v>74</v>
      </c>
      <c r="O1079" t="s">
        <v>127</v>
      </c>
      <c r="P1079" t="s">
        <v>37</v>
      </c>
      <c r="Q1079" t="s">
        <v>3155</v>
      </c>
      <c r="R1079" t="str">
        <f t="shared" si="224"/>
        <v>NANCY SMITH</v>
      </c>
      <c r="S1079" t="str">
        <f t="shared" si="225"/>
        <v>Thomas Al-Sayed</v>
      </c>
      <c r="T1079" t="str">
        <f t="shared" si="226"/>
        <v>BRL</v>
      </c>
      <c r="U1079" s="7" t="str">
        <f t="shared" si="227"/>
        <v>AED</v>
      </c>
      <c r="V1079" s="7" t="str">
        <f t="shared" si="228"/>
        <v>Canada</v>
      </c>
      <c r="W1079" s="7" t="str">
        <f t="shared" si="229"/>
        <v>South Africa</v>
      </c>
      <c r="X1079" s="7" t="str">
        <f t="shared" si="230"/>
        <v>Inter-Transaction</v>
      </c>
      <c r="Y1079" s="7">
        <f t="shared" si="231"/>
        <v>10484.25</v>
      </c>
      <c r="Z1079" s="7">
        <f t="shared" si="232"/>
        <v>74</v>
      </c>
      <c r="AA1079" s="7">
        <f t="shared" si="233"/>
        <v>2024</v>
      </c>
      <c r="AB1079" s="7">
        <f t="shared" si="234"/>
        <v>12</v>
      </c>
      <c r="AC1079" s="7">
        <f t="shared" si="235"/>
        <v>1</v>
      </c>
      <c r="AD1079" s="7" t="str">
        <f t="shared" si="236"/>
        <v>No</v>
      </c>
      <c r="AE1079" s="7" t="str">
        <f t="shared" si="237"/>
        <v>Normal</v>
      </c>
    </row>
    <row r="1080" spans="1:31">
      <c r="A1080" t="s">
        <v>3156</v>
      </c>
      <c r="B1080">
        <v>81555890</v>
      </c>
      <c r="C1080" t="s">
        <v>2130</v>
      </c>
      <c r="D1080" t="s">
        <v>3157</v>
      </c>
      <c r="E1080" t="s">
        <v>20</v>
      </c>
      <c r="F1080" t="s">
        <v>44</v>
      </c>
      <c r="G1080" t="s">
        <v>80</v>
      </c>
      <c r="H1080" t="s">
        <v>38</v>
      </c>
      <c r="I1080" t="s">
        <v>3378</v>
      </c>
      <c r="J1080">
        <v>11980.23</v>
      </c>
      <c r="K1080" t="s">
        <v>57</v>
      </c>
      <c r="L1080" t="s">
        <v>75</v>
      </c>
      <c r="M1080" s="1">
        <v>43967.501388888886</v>
      </c>
      <c r="N1080">
        <v>72</v>
      </c>
      <c r="O1080" t="s">
        <v>127</v>
      </c>
      <c r="P1080" t="s">
        <v>68</v>
      </c>
      <c r="Q1080" t="s">
        <v>3158</v>
      </c>
      <c r="R1080" t="str">
        <f t="shared" si="224"/>
        <v>Amir Martin</v>
      </c>
      <c r="S1080" t="str">
        <f t="shared" si="225"/>
        <v>Richard Brown</v>
      </c>
      <c r="T1080" t="str">
        <f t="shared" si="226"/>
        <v>SGD</v>
      </c>
      <c r="U1080" s="7" t="str">
        <f t="shared" si="227"/>
        <v>USD</v>
      </c>
      <c r="V1080" s="7" t="str">
        <f t="shared" si="228"/>
        <v>Canada</v>
      </c>
      <c r="W1080" s="7" t="str">
        <f t="shared" si="229"/>
        <v>UAE</v>
      </c>
      <c r="X1080" s="7" t="str">
        <f t="shared" si="230"/>
        <v>Inter-Transaction</v>
      </c>
      <c r="Y1080" s="7">
        <f t="shared" si="231"/>
        <v>11980.23</v>
      </c>
      <c r="Z1080" s="7">
        <f t="shared" si="232"/>
        <v>72</v>
      </c>
      <c r="AA1080" s="7">
        <f t="shared" si="233"/>
        <v>2020</v>
      </c>
      <c r="AB1080" s="7">
        <f t="shared" si="234"/>
        <v>5</v>
      </c>
      <c r="AC1080" s="7">
        <f t="shared" si="235"/>
        <v>1</v>
      </c>
      <c r="AD1080" s="7" t="str">
        <f t="shared" si="236"/>
        <v>No</v>
      </c>
      <c r="AE1080" s="7" t="str">
        <f t="shared" si="237"/>
        <v>High Risk</v>
      </c>
    </row>
    <row r="1081" spans="1:31">
      <c r="A1081" t="s">
        <v>3159</v>
      </c>
      <c r="B1081">
        <v>70870360</v>
      </c>
      <c r="C1081" t="s">
        <v>1346</v>
      </c>
      <c r="D1081" t="s">
        <v>2015</v>
      </c>
      <c r="E1081" t="s">
        <v>20</v>
      </c>
      <c r="F1081" t="s">
        <v>22</v>
      </c>
      <c r="G1081" t="s">
        <v>45</v>
      </c>
      <c r="H1081" t="s">
        <v>56</v>
      </c>
      <c r="I1081" t="s">
        <v>3371</v>
      </c>
      <c r="J1081">
        <v>8773.9699999999993</v>
      </c>
      <c r="K1081" t="s">
        <v>39</v>
      </c>
      <c r="L1081" t="s">
        <v>28</v>
      </c>
      <c r="M1081" s="1">
        <v>46386.743750000001</v>
      </c>
      <c r="N1081">
        <v>64</v>
      </c>
      <c r="O1081" t="s">
        <v>93</v>
      </c>
      <c r="P1081" t="s">
        <v>24</v>
      </c>
      <c r="Q1081" t="s">
        <v>3160</v>
      </c>
      <c r="R1081" t="str">
        <f t="shared" si="224"/>
        <v>Jessica Thomas</v>
      </c>
      <c r="S1081" t="str">
        <f t="shared" si="225"/>
        <v>Robert Davis</v>
      </c>
      <c r="T1081" t="str">
        <f t="shared" si="226"/>
        <v>BRL</v>
      </c>
      <c r="U1081" s="7" t="str">
        <f t="shared" si="227"/>
        <v>ZAR</v>
      </c>
      <c r="V1081" s="7" t="str">
        <f t="shared" si="228"/>
        <v>USA</v>
      </c>
      <c r="W1081" s="7" t="str">
        <f t="shared" si="229"/>
        <v>Brazil</v>
      </c>
      <c r="X1081" s="7" t="str">
        <f t="shared" si="230"/>
        <v>Outer-Transaction</v>
      </c>
      <c r="Y1081" s="7">
        <f t="shared" si="231"/>
        <v>8773.9699999999993</v>
      </c>
      <c r="Z1081" s="7">
        <f t="shared" si="232"/>
        <v>64</v>
      </c>
      <c r="AA1081" s="7">
        <f t="shared" si="233"/>
        <v>2026</v>
      </c>
      <c r="AB1081" s="7">
        <f t="shared" si="234"/>
        <v>12</v>
      </c>
      <c r="AC1081" s="7">
        <f t="shared" si="235"/>
        <v>1</v>
      </c>
      <c r="AD1081" s="7" t="str">
        <f t="shared" si="236"/>
        <v>No</v>
      </c>
      <c r="AE1081" s="7" t="str">
        <f t="shared" si="237"/>
        <v>Normal</v>
      </c>
    </row>
    <row r="1082" spans="1:31">
      <c r="A1082" t="s">
        <v>3161</v>
      </c>
      <c r="B1082">
        <v>76359778</v>
      </c>
      <c r="C1082" t="s">
        <v>742</v>
      </c>
      <c r="D1082" t="s">
        <v>529</v>
      </c>
      <c r="E1082" t="s">
        <v>20</v>
      </c>
      <c r="F1082" t="s">
        <v>98</v>
      </c>
      <c r="I1082" t="s">
        <v>3374</v>
      </c>
      <c r="J1082">
        <v>11423.76</v>
      </c>
      <c r="K1082" t="s">
        <v>57</v>
      </c>
      <c r="L1082" t="s">
        <v>81</v>
      </c>
      <c r="M1082" s="1">
        <v>46105.074999999997</v>
      </c>
      <c r="N1082">
        <v>29</v>
      </c>
      <c r="O1082" t="s">
        <v>127</v>
      </c>
      <c r="P1082" t="s">
        <v>36</v>
      </c>
      <c r="Q1082" t="s">
        <v>3162</v>
      </c>
      <c r="R1082" t="str">
        <f t="shared" si="224"/>
        <v>William Anderson</v>
      </c>
      <c r="S1082" t="str">
        <f t="shared" si="225"/>
        <v>Patricia Miller</v>
      </c>
      <c r="T1082" t="str">
        <f t="shared" si="226"/>
        <v>JPY</v>
      </c>
      <c r="U1082" s="7" t="str">
        <f t="shared" si="227"/>
        <v/>
      </c>
      <c r="V1082" s="7" t="str">
        <f t="shared" si="228"/>
        <v>Canada</v>
      </c>
      <c r="W1082" s="7" t="str">
        <f t="shared" si="229"/>
        <v>Germany</v>
      </c>
      <c r="X1082" s="7" t="str">
        <f t="shared" si="230"/>
        <v>External</v>
      </c>
      <c r="Y1082" s="7">
        <f t="shared" si="231"/>
        <v>11423.76</v>
      </c>
      <c r="Z1082" s="7">
        <f t="shared" si="232"/>
        <v>29</v>
      </c>
      <c r="AA1082" s="7">
        <f t="shared" si="233"/>
        <v>2026</v>
      </c>
      <c r="AB1082" s="7">
        <f t="shared" si="234"/>
        <v>3</v>
      </c>
      <c r="AC1082" s="7">
        <f t="shared" si="235"/>
        <v>1</v>
      </c>
      <c r="AD1082" s="7" t="str">
        <f t="shared" si="236"/>
        <v>No</v>
      </c>
      <c r="AE1082" s="7" t="str">
        <f t="shared" si="237"/>
        <v>Normal</v>
      </c>
    </row>
    <row r="1083" spans="1:31">
      <c r="A1083" t="s">
        <v>3163</v>
      </c>
      <c r="C1083" t="s">
        <v>1163</v>
      </c>
      <c r="D1083" t="s">
        <v>2917</v>
      </c>
      <c r="E1083" t="s">
        <v>3375</v>
      </c>
      <c r="F1083" t="s">
        <v>45</v>
      </c>
      <c r="G1083" t="s">
        <v>53</v>
      </c>
      <c r="H1083" t="s">
        <v>38</v>
      </c>
      <c r="I1083" t="s">
        <v>3372</v>
      </c>
      <c r="J1083">
        <v>14855.35</v>
      </c>
      <c r="K1083" t="s">
        <v>39</v>
      </c>
      <c r="L1083" t="s">
        <v>48</v>
      </c>
      <c r="M1083" s="1">
        <v>44150.765277777777</v>
      </c>
      <c r="N1083">
        <v>79</v>
      </c>
      <c r="O1083" t="s">
        <v>54</v>
      </c>
      <c r="P1083" t="s">
        <v>37</v>
      </c>
      <c r="Q1083" t="s">
        <v>3164</v>
      </c>
      <c r="R1083" t="str">
        <f t="shared" si="224"/>
        <v>Robert Silva</v>
      </c>
      <c r="S1083" t="str">
        <f t="shared" si="225"/>
        <v>Thomas Wilson</v>
      </c>
      <c r="T1083" t="str">
        <f t="shared" si="226"/>
        <v>ZAR</v>
      </c>
      <c r="U1083" s="7" t="str">
        <f t="shared" si="227"/>
        <v>AED</v>
      </c>
      <c r="V1083" s="7" t="str">
        <f t="shared" si="228"/>
        <v>India</v>
      </c>
      <c r="W1083" s="7" t="str">
        <f t="shared" si="229"/>
        <v>South Africa</v>
      </c>
      <c r="X1083" s="7" t="str">
        <f t="shared" si="230"/>
        <v>Outer-Transaction</v>
      </c>
      <c r="Y1083" s="7">
        <f t="shared" si="231"/>
        <v>14855.35</v>
      </c>
      <c r="Z1083" s="7">
        <f t="shared" si="232"/>
        <v>79</v>
      </c>
      <c r="AA1083" s="7">
        <f t="shared" si="233"/>
        <v>2020</v>
      </c>
      <c r="AB1083" s="7">
        <f t="shared" si="234"/>
        <v>11</v>
      </c>
      <c r="AC1083" s="7">
        <f t="shared" si="235"/>
        <v>1</v>
      </c>
      <c r="AD1083" s="7" t="str">
        <f t="shared" si="236"/>
        <v>No</v>
      </c>
      <c r="AE1083" s="7" t="str">
        <f t="shared" si="237"/>
        <v>Normal</v>
      </c>
    </row>
    <row r="1084" spans="1:31">
      <c r="A1084" t="s">
        <v>3165</v>
      </c>
      <c r="B1084">
        <v>74832029</v>
      </c>
      <c r="C1084" t="s">
        <v>3166</v>
      </c>
      <c r="D1084" t="s">
        <v>2202</v>
      </c>
      <c r="E1084" t="s">
        <v>20</v>
      </c>
      <c r="F1084" t="s">
        <v>126</v>
      </c>
      <c r="G1084" t="s">
        <v>80</v>
      </c>
      <c r="H1084" t="s">
        <v>56</v>
      </c>
      <c r="I1084" t="s">
        <v>3374</v>
      </c>
      <c r="J1084">
        <v>3412.93</v>
      </c>
      <c r="K1084" t="s">
        <v>86</v>
      </c>
      <c r="L1084" t="s">
        <v>75</v>
      </c>
      <c r="M1084" s="1">
        <v>45694.521527777775</v>
      </c>
      <c r="N1084">
        <v>25</v>
      </c>
      <c r="O1084" t="s">
        <v>37</v>
      </c>
      <c r="P1084" t="s">
        <v>127</v>
      </c>
      <c r="Q1084" t="s">
        <v>3167</v>
      </c>
      <c r="R1084" t="str">
        <f t="shared" si="224"/>
        <v>Priya Smith</v>
      </c>
      <c r="S1084" t="str">
        <f t="shared" si="225"/>
        <v>William Gonzalez</v>
      </c>
      <c r="T1084" t="str">
        <f t="shared" si="226"/>
        <v>inr</v>
      </c>
      <c r="U1084" s="7" t="str">
        <f t="shared" si="227"/>
        <v>USD</v>
      </c>
      <c r="V1084" s="7" t="str">
        <f t="shared" si="228"/>
        <v>South Africa</v>
      </c>
      <c r="W1084" s="7" t="str">
        <f t="shared" si="229"/>
        <v>Canada</v>
      </c>
      <c r="X1084" s="7" t="str">
        <f t="shared" si="230"/>
        <v>External</v>
      </c>
      <c r="Y1084" s="7">
        <f t="shared" si="231"/>
        <v>3412.93</v>
      </c>
      <c r="Z1084" s="7">
        <f t="shared" si="232"/>
        <v>25</v>
      </c>
      <c r="AA1084" s="7">
        <f t="shared" si="233"/>
        <v>2025</v>
      </c>
      <c r="AB1084" s="7">
        <f t="shared" si="234"/>
        <v>2</v>
      </c>
      <c r="AC1084" s="7">
        <f t="shared" si="235"/>
        <v>1</v>
      </c>
      <c r="AD1084" s="7" t="str">
        <f t="shared" si="236"/>
        <v>No</v>
      </c>
      <c r="AE1084" s="7" t="str">
        <f t="shared" si="237"/>
        <v>High Risk</v>
      </c>
    </row>
    <row r="1085" spans="1:31">
      <c r="A1085" t="s">
        <v>3168</v>
      </c>
      <c r="B1085">
        <v>17737798</v>
      </c>
      <c r="C1085" t="s">
        <v>3169</v>
      </c>
      <c r="D1085" t="s">
        <v>1135</v>
      </c>
      <c r="E1085" t="s">
        <v>20</v>
      </c>
      <c r="F1085" t="s">
        <v>112</v>
      </c>
      <c r="G1085" t="s">
        <v>53</v>
      </c>
      <c r="H1085" t="s">
        <v>56</v>
      </c>
      <c r="I1085" t="s">
        <v>3371</v>
      </c>
      <c r="J1085">
        <v>1932.95</v>
      </c>
      <c r="K1085" t="s">
        <v>47</v>
      </c>
      <c r="L1085" t="s">
        <v>75</v>
      </c>
      <c r="M1085" s="1">
        <v>44746.522222222222</v>
      </c>
      <c r="N1085">
        <v>38</v>
      </c>
      <c r="O1085" t="s">
        <v>23</v>
      </c>
      <c r="P1085" t="s">
        <v>36</v>
      </c>
      <c r="Q1085" t="s">
        <v>3170</v>
      </c>
      <c r="R1085" t="str">
        <f t="shared" si="224"/>
        <v>Joseph Hernandez</v>
      </c>
      <c r="S1085" t="str">
        <f t="shared" si="225"/>
        <v>Nancy Davis</v>
      </c>
      <c r="T1085" t="str">
        <f t="shared" si="226"/>
        <v>usd</v>
      </c>
      <c r="U1085" s="7" t="str">
        <f t="shared" si="227"/>
        <v>AED</v>
      </c>
      <c r="V1085" s="7" t="str">
        <f t="shared" si="228"/>
        <v>France</v>
      </c>
      <c r="W1085" s="7" t="str">
        <f t="shared" si="229"/>
        <v>Germany</v>
      </c>
      <c r="X1085" s="7" t="str">
        <f t="shared" si="230"/>
        <v>Outer-Transaction</v>
      </c>
      <c r="Y1085" s="7">
        <f t="shared" si="231"/>
        <v>1932.95</v>
      </c>
      <c r="Z1085" s="7">
        <f t="shared" si="232"/>
        <v>38</v>
      </c>
      <c r="AA1085" s="7">
        <f t="shared" si="233"/>
        <v>2022</v>
      </c>
      <c r="AB1085" s="7">
        <f t="shared" si="234"/>
        <v>7</v>
      </c>
      <c r="AC1085" s="7">
        <f t="shared" si="235"/>
        <v>1</v>
      </c>
      <c r="AD1085" s="7" t="str">
        <f t="shared" si="236"/>
        <v>No</v>
      </c>
      <c r="AE1085" s="7" t="str">
        <f t="shared" si="237"/>
        <v>High Risk</v>
      </c>
    </row>
    <row r="1086" spans="1:31">
      <c r="A1086" t="s">
        <v>3171</v>
      </c>
      <c r="B1086">
        <v>97510445</v>
      </c>
      <c r="C1086" t="s">
        <v>3172</v>
      </c>
      <c r="D1086" t="s">
        <v>593</v>
      </c>
      <c r="E1086" t="s">
        <v>20</v>
      </c>
      <c r="F1086" t="s">
        <v>44</v>
      </c>
      <c r="G1086" t="s">
        <v>98</v>
      </c>
      <c r="H1086" t="s">
        <v>56</v>
      </c>
      <c r="I1086" t="s">
        <v>3378</v>
      </c>
      <c r="J1086">
        <v>8728.7099999999991</v>
      </c>
      <c r="K1086" t="s">
        <v>39</v>
      </c>
      <c r="L1086" t="s">
        <v>28</v>
      </c>
      <c r="M1086" s="1">
        <v>45036.063888888886</v>
      </c>
      <c r="N1086">
        <v>42</v>
      </c>
      <c r="O1086" t="s">
        <v>54</v>
      </c>
      <c r="P1086" t="s">
        <v>127</v>
      </c>
      <c r="Q1086" t="s">
        <v>3173</v>
      </c>
      <c r="R1086" t="str">
        <f t="shared" si="224"/>
        <v>Mary Malik</v>
      </c>
      <c r="S1086" t="str">
        <f t="shared" si="225"/>
        <v>Amir Thomas</v>
      </c>
      <c r="T1086" t="str">
        <f t="shared" si="226"/>
        <v>SGD</v>
      </c>
      <c r="U1086" s="7" t="str">
        <f t="shared" si="227"/>
        <v>JPY</v>
      </c>
      <c r="V1086" s="7" t="str">
        <f t="shared" si="228"/>
        <v>India</v>
      </c>
      <c r="W1086" s="7" t="str">
        <f t="shared" si="229"/>
        <v>Canada</v>
      </c>
      <c r="X1086" s="7" t="str">
        <f t="shared" si="230"/>
        <v>Inter-Transaction</v>
      </c>
      <c r="Y1086" s="7">
        <f t="shared" si="231"/>
        <v>8728.7099999999991</v>
      </c>
      <c r="Z1086" s="7">
        <f t="shared" si="232"/>
        <v>42</v>
      </c>
      <c r="AA1086" s="7">
        <f t="shared" si="233"/>
        <v>2023</v>
      </c>
      <c r="AB1086" s="7">
        <f t="shared" si="234"/>
        <v>4</v>
      </c>
      <c r="AC1086" s="7">
        <f t="shared" si="235"/>
        <v>1</v>
      </c>
      <c r="AD1086" s="7" t="str">
        <f t="shared" si="236"/>
        <v>No</v>
      </c>
      <c r="AE1086" s="7" t="str">
        <f t="shared" si="237"/>
        <v>Normal</v>
      </c>
    </row>
    <row r="1087" spans="1:31">
      <c r="A1087" t="s">
        <v>3174</v>
      </c>
      <c r="B1087">
        <v>66037099</v>
      </c>
      <c r="C1087" t="s">
        <v>338</v>
      </c>
      <c r="D1087" t="s">
        <v>146</v>
      </c>
      <c r="E1087" t="s">
        <v>20</v>
      </c>
      <c r="F1087" t="s">
        <v>98</v>
      </c>
      <c r="G1087" t="s">
        <v>45</v>
      </c>
      <c r="I1087" t="s">
        <v>3374</v>
      </c>
      <c r="J1087">
        <v>12813.8</v>
      </c>
      <c r="K1087" t="s">
        <v>57</v>
      </c>
      <c r="L1087" t="s">
        <v>81</v>
      </c>
      <c r="M1087" s="1">
        <v>45728.961111111108</v>
      </c>
      <c r="N1087">
        <v>29</v>
      </c>
      <c r="O1087" t="s">
        <v>36</v>
      </c>
      <c r="P1087" t="s">
        <v>23</v>
      </c>
      <c r="Q1087" t="s">
        <v>2222</v>
      </c>
      <c r="R1087" t="str">
        <f t="shared" si="224"/>
        <v>Susan Taylor</v>
      </c>
      <c r="S1087" t="str">
        <f t="shared" si="225"/>
        <v>Fatima Brown</v>
      </c>
      <c r="T1087" t="str">
        <f t="shared" si="226"/>
        <v>JPY</v>
      </c>
      <c r="U1087" s="7" t="str">
        <f t="shared" si="227"/>
        <v>ZAR</v>
      </c>
      <c r="V1087" s="7" t="str">
        <f t="shared" si="228"/>
        <v>Germany</v>
      </c>
      <c r="W1087" s="7" t="str">
        <f t="shared" si="229"/>
        <v>France</v>
      </c>
      <c r="X1087" s="7" t="str">
        <f t="shared" si="230"/>
        <v>External</v>
      </c>
      <c r="Y1087" s="7">
        <f t="shared" si="231"/>
        <v>12813.8</v>
      </c>
      <c r="Z1087" s="7">
        <f t="shared" si="232"/>
        <v>29</v>
      </c>
      <c r="AA1087" s="7">
        <f t="shared" si="233"/>
        <v>2025</v>
      </c>
      <c r="AB1087" s="7">
        <f t="shared" si="234"/>
        <v>3</v>
      </c>
      <c r="AC1087" s="7">
        <f t="shared" si="235"/>
        <v>1</v>
      </c>
      <c r="AD1087" s="7" t="str">
        <f t="shared" si="236"/>
        <v>No</v>
      </c>
      <c r="AE1087" s="7" t="str">
        <f t="shared" si="237"/>
        <v>Normal</v>
      </c>
    </row>
    <row r="1088" spans="1:31">
      <c r="A1088" t="s">
        <v>3175</v>
      </c>
      <c r="B1088">
        <v>33891892</v>
      </c>
      <c r="C1088" t="s">
        <v>346</v>
      </c>
      <c r="D1088" t="s">
        <v>2174</v>
      </c>
      <c r="E1088" t="s">
        <v>20</v>
      </c>
      <c r="F1088" t="s">
        <v>116</v>
      </c>
      <c r="G1088" t="s">
        <v>53</v>
      </c>
      <c r="H1088" t="s">
        <v>74</v>
      </c>
      <c r="I1088" t="s">
        <v>3376</v>
      </c>
      <c r="J1088">
        <v>12795.65</v>
      </c>
      <c r="K1088" t="s">
        <v>27</v>
      </c>
      <c r="L1088" t="s">
        <v>28</v>
      </c>
      <c r="M1088" s="1">
        <v>45964.959722222222</v>
      </c>
      <c r="N1088">
        <v>32</v>
      </c>
      <c r="O1088" t="s">
        <v>24</v>
      </c>
      <c r="P1088" t="s">
        <v>127</v>
      </c>
      <c r="Q1088" t="s">
        <v>3176</v>
      </c>
      <c r="R1088" t="str">
        <f t="shared" si="224"/>
        <v>Fatima Malik</v>
      </c>
      <c r="S1088" t="str">
        <f t="shared" si="225"/>
        <v>Jean-Pierre Wilson</v>
      </c>
      <c r="T1088" t="str">
        <f t="shared" si="226"/>
        <v>CHF</v>
      </c>
      <c r="U1088" s="7" t="str">
        <f t="shared" si="227"/>
        <v>AED</v>
      </c>
      <c r="V1088" s="7" t="str">
        <f t="shared" si="228"/>
        <v>Brazil</v>
      </c>
      <c r="W1088" s="7" t="str">
        <f t="shared" si="229"/>
        <v>Canada</v>
      </c>
      <c r="X1088" s="7" t="str">
        <f t="shared" si="230"/>
        <v>Internal</v>
      </c>
      <c r="Y1088" s="7">
        <f t="shared" si="231"/>
        <v>12795.65</v>
      </c>
      <c r="Z1088" s="7">
        <f t="shared" si="232"/>
        <v>32</v>
      </c>
      <c r="AA1088" s="7">
        <f t="shared" si="233"/>
        <v>2025</v>
      </c>
      <c r="AB1088" s="7">
        <f t="shared" si="234"/>
        <v>11</v>
      </c>
      <c r="AC1088" s="7">
        <f t="shared" si="235"/>
        <v>1</v>
      </c>
      <c r="AD1088" s="7" t="str">
        <f t="shared" si="236"/>
        <v>No</v>
      </c>
      <c r="AE1088" s="7" t="str">
        <f t="shared" si="237"/>
        <v>Normal</v>
      </c>
    </row>
    <row r="1089" spans="1:31">
      <c r="A1089" t="s">
        <v>3177</v>
      </c>
      <c r="B1089">
        <v>76270221</v>
      </c>
      <c r="C1089" t="s">
        <v>1499</v>
      </c>
      <c r="D1089" t="s">
        <v>1073</v>
      </c>
      <c r="E1089" t="s">
        <v>20</v>
      </c>
      <c r="F1089" t="s">
        <v>35</v>
      </c>
      <c r="G1089" t="s">
        <v>92</v>
      </c>
      <c r="H1089" t="s">
        <v>74</v>
      </c>
      <c r="I1089" t="s">
        <v>3377</v>
      </c>
      <c r="J1089">
        <v>7058.39</v>
      </c>
      <c r="K1089" t="s">
        <v>27</v>
      </c>
      <c r="L1089" t="s">
        <v>75</v>
      </c>
      <c r="M1089" s="1">
        <v>44756.265972222223</v>
      </c>
      <c r="N1089">
        <v>76</v>
      </c>
      <c r="O1089" t="s">
        <v>127</v>
      </c>
      <c r="P1089" t="s">
        <v>127</v>
      </c>
      <c r="Q1089" t="s">
        <v>3178</v>
      </c>
      <c r="R1089" t="str">
        <f t="shared" si="224"/>
        <v>Susan Miller</v>
      </c>
      <c r="S1089" t="str">
        <f t="shared" si="225"/>
        <v>Lucas Velez</v>
      </c>
      <c r="T1089" t="str">
        <f t="shared" si="226"/>
        <v>EUR</v>
      </c>
      <c r="U1089" s="7" t="str">
        <f t="shared" si="227"/>
        <v>AUD</v>
      </c>
      <c r="V1089" s="7" t="str">
        <f t="shared" si="228"/>
        <v>Canada</v>
      </c>
      <c r="W1089" s="7" t="str">
        <f t="shared" si="229"/>
        <v>Canada</v>
      </c>
      <c r="X1089" s="7" t="str">
        <f t="shared" si="230"/>
        <v>Inter-Transaction</v>
      </c>
      <c r="Y1089" s="7">
        <f t="shared" si="231"/>
        <v>7058.39</v>
      </c>
      <c r="Z1089" s="7">
        <f t="shared" si="232"/>
        <v>76</v>
      </c>
      <c r="AA1089" s="7">
        <f t="shared" si="233"/>
        <v>2022</v>
      </c>
      <c r="AB1089" s="7">
        <f t="shared" si="234"/>
        <v>7</v>
      </c>
      <c r="AC1089" s="7">
        <f t="shared" si="235"/>
        <v>1</v>
      </c>
      <c r="AD1089" s="7" t="str">
        <f t="shared" si="236"/>
        <v>No</v>
      </c>
      <c r="AE1089" s="7" t="str">
        <f t="shared" si="237"/>
        <v>High Risk</v>
      </c>
    </row>
    <row r="1090" spans="1:31">
      <c r="A1090" t="s">
        <v>3179</v>
      </c>
      <c r="B1090">
        <v>90715400</v>
      </c>
      <c r="C1090" t="s">
        <v>1683</v>
      </c>
      <c r="D1090" t="s">
        <v>3180</v>
      </c>
      <c r="E1090" t="s">
        <v>20</v>
      </c>
      <c r="F1090" t="s">
        <v>34</v>
      </c>
      <c r="G1090" t="s">
        <v>98</v>
      </c>
      <c r="H1090" t="s">
        <v>38</v>
      </c>
      <c r="I1090" t="s">
        <v>3376</v>
      </c>
      <c r="J1090">
        <v>8226.9</v>
      </c>
      <c r="K1090" t="s">
        <v>86</v>
      </c>
      <c r="L1090" t="s">
        <v>48</v>
      </c>
      <c r="M1090" s="1">
        <v>45931.905555555553</v>
      </c>
      <c r="N1090">
        <v>43</v>
      </c>
      <c r="O1090" t="s">
        <v>24</v>
      </c>
      <c r="P1090" t="s">
        <v>62</v>
      </c>
      <c r="Q1090" t="s">
        <v>3181</v>
      </c>
      <c r="R1090" t="str">
        <f t="shared" ref="R1090:R1153" si="238">TRIM(C1090)</f>
        <v>Susan Al-Sayed</v>
      </c>
      <c r="S1090" t="str">
        <f t="shared" ref="S1090:S1153" si="239">PROPER(D1090)</f>
        <v>Barbara Lopez</v>
      </c>
      <c r="T1090" t="str">
        <f t="shared" ref="T1090:T1153" si="240">TRIM(F1090)</f>
        <v>CAD</v>
      </c>
      <c r="U1090" s="7" t="str">
        <f t="shared" ref="U1090:U1153" si="241">TRIM(G1090)</f>
        <v>JPY</v>
      </c>
      <c r="V1090" s="7" t="str">
        <f t="shared" ref="V1090:V1153" si="242">TRIM(O1090)</f>
        <v>Brazil</v>
      </c>
      <c r="W1090" s="7" t="str">
        <f t="shared" ref="W1090:W1153" si="243">TRIM(P1090)</f>
        <v>Australia</v>
      </c>
      <c r="X1090" s="7" t="str">
        <f t="shared" ref="X1090:X1153" si="244">PROPER(I1090)</f>
        <v>Internal</v>
      </c>
      <c r="Y1090" s="7">
        <f t="shared" ref="Y1090:Y1153" si="245">IF(J1090="",AVERAGE($J:$J),J1090)</f>
        <v>8226.9</v>
      </c>
      <c r="Z1090" s="7">
        <f t="shared" ref="Z1090:Z1153" si="246">IF(N1090="",AVERAGE($N:$N),N1090)</f>
        <v>43</v>
      </c>
      <c r="AA1090" s="7">
        <f t="shared" ref="AA1090:AA1153" si="247">YEAR(M1090)</f>
        <v>2025</v>
      </c>
      <c r="AB1090" s="7">
        <f t="shared" ref="AB1090:AB1153" si="248">MONTH(M1090)</f>
        <v>10</v>
      </c>
      <c r="AC1090" s="7">
        <f t="shared" ref="AC1090:AC1153" si="249">COUNTIF(A:A,A1090)</f>
        <v>1</v>
      </c>
      <c r="AD1090" s="7" t="str">
        <f t="shared" ref="AD1090:AD1153" si="250">IF(C1090="YES","Yes","No")</f>
        <v>No</v>
      </c>
      <c r="AE1090" s="7" t="str">
        <f t="shared" ref="AE1090:AE1153" si="251">IF(L1090="HIGH","High Risk","Normal")</f>
        <v>Normal</v>
      </c>
    </row>
    <row r="1091" spans="1:31">
      <c r="A1091" t="s">
        <v>3182</v>
      </c>
      <c r="B1091">
        <v>68780031</v>
      </c>
      <c r="C1091" t="s">
        <v>2088</v>
      </c>
      <c r="D1091" t="s">
        <v>735</v>
      </c>
      <c r="E1091" t="s">
        <v>20</v>
      </c>
      <c r="F1091" t="s">
        <v>22</v>
      </c>
      <c r="G1091" t="s">
        <v>91</v>
      </c>
      <c r="H1091" t="s">
        <v>103</v>
      </c>
      <c r="I1091" t="s">
        <v>3372</v>
      </c>
      <c r="J1091">
        <v>13016.02</v>
      </c>
      <c r="K1091" t="s">
        <v>47</v>
      </c>
      <c r="L1091" t="s">
        <v>28</v>
      </c>
      <c r="M1091" s="1">
        <v>45089.936805555553</v>
      </c>
      <c r="N1091">
        <v>43</v>
      </c>
      <c r="O1091" t="s">
        <v>62</v>
      </c>
      <c r="P1091" t="s">
        <v>62</v>
      </c>
      <c r="Q1091" t="s">
        <v>3183</v>
      </c>
      <c r="R1091" t="str">
        <f t="shared" si="238"/>
        <v>Lucas Rodriguez</v>
      </c>
      <c r="S1091" t="str">
        <f t="shared" si="239"/>
        <v>Robert Khan</v>
      </c>
      <c r="T1091" t="str">
        <f t="shared" si="240"/>
        <v>BRL</v>
      </c>
      <c r="U1091" s="7" t="str">
        <f t="shared" si="241"/>
        <v>gbp</v>
      </c>
      <c r="V1091" s="7" t="str">
        <f t="shared" si="242"/>
        <v>Australia</v>
      </c>
      <c r="W1091" s="7" t="str">
        <f t="shared" si="243"/>
        <v>Australia</v>
      </c>
      <c r="X1091" s="7" t="str">
        <f t="shared" si="244"/>
        <v>Outer-Transaction</v>
      </c>
      <c r="Y1091" s="7">
        <f t="shared" si="245"/>
        <v>13016.02</v>
      </c>
      <c r="Z1091" s="7">
        <f t="shared" si="246"/>
        <v>43</v>
      </c>
      <c r="AA1091" s="7">
        <f t="shared" si="247"/>
        <v>2023</v>
      </c>
      <c r="AB1091" s="7">
        <f t="shared" si="248"/>
        <v>6</v>
      </c>
      <c r="AC1091" s="7">
        <f t="shared" si="249"/>
        <v>1</v>
      </c>
      <c r="AD1091" s="7" t="str">
        <f t="shared" si="250"/>
        <v>No</v>
      </c>
      <c r="AE1091" s="7" t="str">
        <f t="shared" si="251"/>
        <v>Normal</v>
      </c>
    </row>
    <row r="1092" spans="1:31">
      <c r="A1092" t="s">
        <v>3184</v>
      </c>
      <c r="B1092">
        <v>44656091</v>
      </c>
      <c r="C1092" t="s">
        <v>3185</v>
      </c>
      <c r="D1092" t="s">
        <v>2273</v>
      </c>
      <c r="E1092" t="s">
        <v>3375</v>
      </c>
      <c r="F1092" t="s">
        <v>53</v>
      </c>
      <c r="G1092" t="s">
        <v>34</v>
      </c>
      <c r="H1092" t="s">
        <v>56</v>
      </c>
      <c r="I1092" t="s">
        <v>3376</v>
      </c>
      <c r="J1092">
        <v>6005.14</v>
      </c>
      <c r="K1092" t="s">
        <v>57</v>
      </c>
      <c r="L1092" t="s">
        <v>28</v>
      </c>
      <c r="M1092" s="1">
        <v>45813.729861111111</v>
      </c>
      <c r="N1092">
        <v>64</v>
      </c>
      <c r="O1092" t="s">
        <v>93</v>
      </c>
      <c r="P1092" t="s">
        <v>62</v>
      </c>
      <c r="Q1092" t="s">
        <v>3186</v>
      </c>
      <c r="R1092" t="str">
        <f t="shared" si="238"/>
        <v>PATRICIA KHAN</v>
      </c>
      <c r="S1092" t="str">
        <f t="shared" si="239"/>
        <v>William Al-Sayed</v>
      </c>
      <c r="T1092" t="str">
        <f t="shared" si="240"/>
        <v>AED</v>
      </c>
      <c r="U1092" s="7" t="str">
        <f t="shared" si="241"/>
        <v>CAD</v>
      </c>
      <c r="V1092" s="7" t="str">
        <f t="shared" si="242"/>
        <v>USA</v>
      </c>
      <c r="W1092" s="7" t="str">
        <f t="shared" si="243"/>
        <v>Australia</v>
      </c>
      <c r="X1092" s="7" t="str">
        <f t="shared" si="244"/>
        <v>Internal</v>
      </c>
      <c r="Y1092" s="7">
        <f t="shared" si="245"/>
        <v>6005.14</v>
      </c>
      <c r="Z1092" s="7">
        <f t="shared" si="246"/>
        <v>64</v>
      </c>
      <c r="AA1092" s="7">
        <f t="shared" si="247"/>
        <v>2025</v>
      </c>
      <c r="AB1092" s="7">
        <f t="shared" si="248"/>
        <v>6</v>
      </c>
      <c r="AC1092" s="7">
        <f t="shared" si="249"/>
        <v>1</v>
      </c>
      <c r="AD1092" s="7" t="str">
        <f t="shared" si="250"/>
        <v>No</v>
      </c>
      <c r="AE1092" s="7" t="str">
        <f t="shared" si="251"/>
        <v>Normal</v>
      </c>
    </row>
    <row r="1093" spans="1:31">
      <c r="A1093" t="s">
        <v>3187</v>
      </c>
      <c r="B1093">
        <v>14309791</v>
      </c>
      <c r="C1093" t="s">
        <v>682</v>
      </c>
      <c r="D1093" t="s">
        <v>1002</v>
      </c>
      <c r="E1093" t="s">
        <v>3373</v>
      </c>
      <c r="F1093" t="s">
        <v>22</v>
      </c>
      <c r="G1093" t="s">
        <v>35</v>
      </c>
      <c r="H1093" t="s">
        <v>25</v>
      </c>
      <c r="I1093" t="s">
        <v>3372</v>
      </c>
      <c r="J1093">
        <v>6012.9</v>
      </c>
      <c r="K1093" t="s">
        <v>86</v>
      </c>
      <c r="L1093" t="s">
        <v>28</v>
      </c>
      <c r="M1093" s="1">
        <v>44263.994444444441</v>
      </c>
      <c r="N1093">
        <v>49</v>
      </c>
      <c r="O1093" t="s">
        <v>62</v>
      </c>
      <c r="P1093" t="s">
        <v>23</v>
      </c>
      <c r="Q1093" t="s">
        <v>3188</v>
      </c>
      <c r="R1093" t="str">
        <f t="shared" si="238"/>
        <v>Karen Al-Sayed</v>
      </c>
      <c r="S1093" t="str">
        <f t="shared" si="239"/>
        <v>Nancy Martin</v>
      </c>
      <c r="T1093" t="str">
        <f t="shared" si="240"/>
        <v>BRL</v>
      </c>
      <c r="U1093" s="7" t="str">
        <f t="shared" si="241"/>
        <v>EUR</v>
      </c>
      <c r="V1093" s="7" t="str">
        <f t="shared" si="242"/>
        <v>Australia</v>
      </c>
      <c r="W1093" s="7" t="str">
        <f t="shared" si="243"/>
        <v>France</v>
      </c>
      <c r="X1093" s="7" t="str">
        <f t="shared" si="244"/>
        <v>Outer-Transaction</v>
      </c>
      <c r="Y1093" s="7">
        <f t="shared" si="245"/>
        <v>6012.9</v>
      </c>
      <c r="Z1093" s="7">
        <f t="shared" si="246"/>
        <v>49</v>
      </c>
      <c r="AA1093" s="7">
        <f t="shared" si="247"/>
        <v>2021</v>
      </c>
      <c r="AB1093" s="7">
        <f t="shared" si="248"/>
        <v>3</v>
      </c>
      <c r="AC1093" s="7">
        <f t="shared" si="249"/>
        <v>1</v>
      </c>
      <c r="AD1093" s="7" t="str">
        <f t="shared" si="250"/>
        <v>No</v>
      </c>
      <c r="AE1093" s="7" t="str">
        <f t="shared" si="251"/>
        <v>Normal</v>
      </c>
    </row>
    <row r="1094" spans="1:31">
      <c r="A1094" t="s">
        <v>3189</v>
      </c>
      <c r="B1094">
        <v>40381915</v>
      </c>
      <c r="C1094" t="s">
        <v>216</v>
      </c>
      <c r="D1094" t="s">
        <v>3190</v>
      </c>
      <c r="E1094">
        <v>0</v>
      </c>
      <c r="G1094" t="s">
        <v>21</v>
      </c>
      <c r="H1094" t="s">
        <v>38</v>
      </c>
      <c r="I1094" t="s">
        <v>3376</v>
      </c>
      <c r="J1094">
        <v>13194.59</v>
      </c>
      <c r="K1094" t="s">
        <v>47</v>
      </c>
      <c r="L1094" t="s">
        <v>28</v>
      </c>
      <c r="M1094" s="1">
        <v>44829.272222222222</v>
      </c>
      <c r="N1094">
        <v>27</v>
      </c>
      <c r="O1094" t="s">
        <v>93</v>
      </c>
      <c r="P1094" t="s">
        <v>37</v>
      </c>
      <c r="Q1094" t="s">
        <v>3191</v>
      </c>
      <c r="R1094" t="str">
        <f t="shared" si="238"/>
        <v>Elena Martinez</v>
      </c>
      <c r="S1094" t="str">
        <f t="shared" si="239"/>
        <v>John Rostova</v>
      </c>
      <c r="T1094" t="str">
        <f t="shared" si="240"/>
        <v/>
      </c>
      <c r="U1094" s="7" t="str">
        <f t="shared" si="241"/>
        <v>GBP</v>
      </c>
      <c r="V1094" s="7" t="str">
        <f t="shared" si="242"/>
        <v>USA</v>
      </c>
      <c r="W1094" s="7" t="str">
        <f t="shared" si="243"/>
        <v>South Africa</v>
      </c>
      <c r="X1094" s="7" t="str">
        <f t="shared" si="244"/>
        <v>Internal</v>
      </c>
      <c r="Y1094" s="7">
        <f t="shared" si="245"/>
        <v>13194.59</v>
      </c>
      <c r="Z1094" s="7">
        <f t="shared" si="246"/>
        <v>27</v>
      </c>
      <c r="AA1094" s="7">
        <f t="shared" si="247"/>
        <v>2022</v>
      </c>
      <c r="AB1094" s="7">
        <f t="shared" si="248"/>
        <v>9</v>
      </c>
      <c r="AC1094" s="7">
        <f t="shared" si="249"/>
        <v>1</v>
      </c>
      <c r="AD1094" s="7" t="str">
        <f t="shared" si="250"/>
        <v>No</v>
      </c>
      <c r="AE1094" s="7" t="str">
        <f t="shared" si="251"/>
        <v>Normal</v>
      </c>
    </row>
    <row r="1095" spans="1:31">
      <c r="A1095" t="s">
        <v>3192</v>
      </c>
      <c r="B1095">
        <v>23405403</v>
      </c>
      <c r="C1095" t="s">
        <v>1472</v>
      </c>
      <c r="D1095" t="s">
        <v>573</v>
      </c>
      <c r="E1095" t="s">
        <v>20</v>
      </c>
      <c r="F1095" t="s">
        <v>53</v>
      </c>
      <c r="G1095" t="s">
        <v>98</v>
      </c>
      <c r="H1095" t="s">
        <v>103</v>
      </c>
      <c r="I1095" t="s">
        <v>3371</v>
      </c>
      <c r="J1095">
        <v>12129.56</v>
      </c>
      <c r="K1095" t="s">
        <v>57</v>
      </c>
      <c r="L1095" t="s">
        <v>28</v>
      </c>
      <c r="M1095" s="1">
        <v>45978.2</v>
      </c>
      <c r="N1095">
        <v>33</v>
      </c>
      <c r="O1095" t="s">
        <v>55</v>
      </c>
      <c r="P1095" t="s">
        <v>36</v>
      </c>
      <c r="Q1095" t="s">
        <v>3193</v>
      </c>
      <c r="R1095" t="str">
        <f t="shared" si="238"/>
        <v>Sanjay Silva</v>
      </c>
      <c r="S1095" t="str">
        <f t="shared" si="239"/>
        <v>Barbara Martinez</v>
      </c>
      <c r="T1095" t="str">
        <f t="shared" si="240"/>
        <v>AED</v>
      </c>
      <c r="U1095" s="7" t="str">
        <f t="shared" si="241"/>
        <v>JPY</v>
      </c>
      <c r="V1095" s="7" t="str">
        <f t="shared" si="242"/>
        <v>UK</v>
      </c>
      <c r="W1095" s="7" t="str">
        <f t="shared" si="243"/>
        <v>Germany</v>
      </c>
      <c r="X1095" s="7" t="str">
        <f t="shared" si="244"/>
        <v>Outer-Transaction</v>
      </c>
      <c r="Y1095" s="7">
        <f t="shared" si="245"/>
        <v>12129.56</v>
      </c>
      <c r="Z1095" s="7">
        <f t="shared" si="246"/>
        <v>33</v>
      </c>
      <c r="AA1095" s="7">
        <f t="shared" si="247"/>
        <v>2025</v>
      </c>
      <c r="AB1095" s="7">
        <f t="shared" si="248"/>
        <v>11</v>
      </c>
      <c r="AC1095" s="7">
        <f t="shared" si="249"/>
        <v>1</v>
      </c>
      <c r="AD1095" s="7" t="str">
        <f t="shared" si="250"/>
        <v>No</v>
      </c>
      <c r="AE1095" s="7" t="str">
        <f t="shared" si="251"/>
        <v>Normal</v>
      </c>
    </row>
    <row r="1096" spans="1:31">
      <c r="A1096" t="s">
        <v>3194</v>
      </c>
      <c r="B1096">
        <v>55145882</v>
      </c>
      <c r="C1096" t="s">
        <v>3195</v>
      </c>
      <c r="D1096" t="s">
        <v>3196</v>
      </c>
      <c r="E1096" t="s">
        <v>3375</v>
      </c>
      <c r="F1096" t="s">
        <v>53</v>
      </c>
      <c r="G1096" t="s">
        <v>35</v>
      </c>
      <c r="H1096" t="s">
        <v>74</v>
      </c>
      <c r="I1096" t="s">
        <v>3372</v>
      </c>
      <c r="J1096">
        <v>593.58000000000004</v>
      </c>
      <c r="K1096" t="s">
        <v>57</v>
      </c>
      <c r="L1096" t="s">
        <v>48</v>
      </c>
      <c r="M1096" s="1">
        <v>44820.301388888889</v>
      </c>
      <c r="N1096">
        <v>34</v>
      </c>
      <c r="O1096" t="s">
        <v>24</v>
      </c>
      <c r="P1096" t="s">
        <v>36</v>
      </c>
      <c r="Q1096" t="s">
        <v>3197</v>
      </c>
      <c r="R1096" t="str">
        <f t="shared" si="238"/>
        <v>Jessica Rodriguez</v>
      </c>
      <c r="S1096" t="str">
        <f t="shared" si="239"/>
        <v xml:space="preserve"> John Martin   </v>
      </c>
      <c r="T1096" t="str">
        <f t="shared" si="240"/>
        <v>AED</v>
      </c>
      <c r="U1096" s="7" t="str">
        <f t="shared" si="241"/>
        <v>EUR</v>
      </c>
      <c r="V1096" s="7" t="str">
        <f t="shared" si="242"/>
        <v>Brazil</v>
      </c>
      <c r="W1096" s="7" t="str">
        <f t="shared" si="243"/>
        <v>Germany</v>
      </c>
      <c r="X1096" s="7" t="str">
        <f t="shared" si="244"/>
        <v>Outer-Transaction</v>
      </c>
      <c r="Y1096" s="7">
        <f t="shared" si="245"/>
        <v>593.58000000000004</v>
      </c>
      <c r="Z1096" s="7">
        <f t="shared" si="246"/>
        <v>34</v>
      </c>
      <c r="AA1096" s="7">
        <f t="shared" si="247"/>
        <v>2022</v>
      </c>
      <c r="AB1096" s="7">
        <f t="shared" si="248"/>
        <v>9</v>
      </c>
      <c r="AC1096" s="7">
        <f t="shared" si="249"/>
        <v>1</v>
      </c>
      <c r="AD1096" s="7" t="str">
        <f t="shared" si="250"/>
        <v>No</v>
      </c>
      <c r="AE1096" s="7" t="str">
        <f t="shared" si="251"/>
        <v>Normal</v>
      </c>
    </row>
    <row r="1097" spans="1:31">
      <c r="A1097" t="s">
        <v>3198</v>
      </c>
      <c r="B1097">
        <v>19475654</v>
      </c>
      <c r="C1097" t="s">
        <v>3199</v>
      </c>
      <c r="D1097" t="s">
        <v>2451</v>
      </c>
      <c r="E1097" t="s">
        <v>20</v>
      </c>
      <c r="F1097" t="s">
        <v>116</v>
      </c>
      <c r="G1097" t="s">
        <v>53</v>
      </c>
      <c r="H1097" t="s">
        <v>74</v>
      </c>
      <c r="I1097" t="s">
        <v>3372</v>
      </c>
      <c r="J1097">
        <v>5739.64</v>
      </c>
      <c r="K1097" t="s">
        <v>39</v>
      </c>
      <c r="L1097" t="s">
        <v>81</v>
      </c>
      <c r="M1097" s="1">
        <v>44429.793749999997</v>
      </c>
      <c r="N1097">
        <v>40</v>
      </c>
      <c r="O1097" t="s">
        <v>93</v>
      </c>
      <c r="P1097" t="s">
        <v>24</v>
      </c>
      <c r="Q1097" t="s">
        <v>3200</v>
      </c>
      <c r="R1097" t="str">
        <f t="shared" si="238"/>
        <v>JOHN NAIR</v>
      </c>
      <c r="S1097" t="str">
        <f t="shared" si="239"/>
        <v>William Hernandez</v>
      </c>
      <c r="T1097" t="str">
        <f t="shared" si="240"/>
        <v>CHF</v>
      </c>
      <c r="U1097" s="7" t="str">
        <f t="shared" si="241"/>
        <v>AED</v>
      </c>
      <c r="V1097" s="7" t="str">
        <f t="shared" si="242"/>
        <v>USA</v>
      </c>
      <c r="W1097" s="7" t="str">
        <f t="shared" si="243"/>
        <v>Brazil</v>
      </c>
      <c r="X1097" s="7" t="str">
        <f t="shared" si="244"/>
        <v>Outer-Transaction</v>
      </c>
      <c r="Y1097" s="7">
        <f t="shared" si="245"/>
        <v>5739.64</v>
      </c>
      <c r="Z1097" s="7">
        <f t="shared" si="246"/>
        <v>40</v>
      </c>
      <c r="AA1097" s="7">
        <f t="shared" si="247"/>
        <v>2021</v>
      </c>
      <c r="AB1097" s="7">
        <f t="shared" si="248"/>
        <v>8</v>
      </c>
      <c r="AC1097" s="7">
        <f t="shared" si="249"/>
        <v>1</v>
      </c>
      <c r="AD1097" s="7" t="str">
        <f t="shared" si="250"/>
        <v>No</v>
      </c>
      <c r="AE1097" s="7" t="str">
        <f t="shared" si="251"/>
        <v>Normal</v>
      </c>
    </row>
    <row r="1098" spans="1:31">
      <c r="A1098" t="s">
        <v>3201</v>
      </c>
      <c r="B1098">
        <v>18781194</v>
      </c>
      <c r="C1098" t="s">
        <v>685</v>
      </c>
      <c r="D1098" t="s">
        <v>1593</v>
      </c>
      <c r="E1098" t="s">
        <v>3375</v>
      </c>
      <c r="F1098" t="s">
        <v>1084</v>
      </c>
      <c r="G1098" t="s">
        <v>45</v>
      </c>
      <c r="I1098" t="s">
        <v>3374</v>
      </c>
      <c r="J1098">
        <v>12881.34</v>
      </c>
      <c r="K1098" t="s">
        <v>57</v>
      </c>
      <c r="L1098" t="s">
        <v>28</v>
      </c>
      <c r="M1098" s="1">
        <v>46281.044444444444</v>
      </c>
      <c r="N1098">
        <v>43</v>
      </c>
      <c r="O1098" t="s">
        <v>68</v>
      </c>
      <c r="P1098" t="s">
        <v>62</v>
      </c>
      <c r="Q1098" t="s">
        <v>3202</v>
      </c>
      <c r="R1098" t="str">
        <f t="shared" si="238"/>
        <v>Sanjay Khan</v>
      </c>
      <c r="S1098" t="str">
        <f t="shared" si="239"/>
        <v>Karen Silva</v>
      </c>
      <c r="T1098" t="str">
        <f t="shared" si="240"/>
        <v>chf</v>
      </c>
      <c r="U1098" s="7" t="str">
        <f t="shared" si="241"/>
        <v>ZAR</v>
      </c>
      <c r="V1098" s="7" t="str">
        <f t="shared" si="242"/>
        <v>UAE</v>
      </c>
      <c r="W1098" s="7" t="str">
        <f t="shared" si="243"/>
        <v>Australia</v>
      </c>
      <c r="X1098" s="7" t="str">
        <f t="shared" si="244"/>
        <v>External</v>
      </c>
      <c r="Y1098" s="7">
        <f t="shared" si="245"/>
        <v>12881.34</v>
      </c>
      <c r="Z1098" s="7">
        <f t="shared" si="246"/>
        <v>43</v>
      </c>
      <c r="AA1098" s="7">
        <f t="shared" si="247"/>
        <v>2026</v>
      </c>
      <c r="AB1098" s="7">
        <f t="shared" si="248"/>
        <v>9</v>
      </c>
      <c r="AC1098" s="7">
        <f t="shared" si="249"/>
        <v>1</v>
      </c>
      <c r="AD1098" s="7" t="str">
        <f t="shared" si="250"/>
        <v>No</v>
      </c>
      <c r="AE1098" s="7" t="str">
        <f t="shared" si="251"/>
        <v>Normal</v>
      </c>
    </row>
    <row r="1099" spans="1:31">
      <c r="A1099" t="s">
        <v>3203</v>
      </c>
      <c r="B1099">
        <v>82316237</v>
      </c>
      <c r="C1099" t="s">
        <v>1135</v>
      </c>
      <c r="D1099" t="s">
        <v>604</v>
      </c>
      <c r="E1099" t="s">
        <v>20</v>
      </c>
      <c r="F1099" t="s">
        <v>34</v>
      </c>
      <c r="G1099" t="s">
        <v>35</v>
      </c>
      <c r="H1099" t="s">
        <v>25</v>
      </c>
      <c r="I1099" t="s">
        <v>3376</v>
      </c>
      <c r="J1099">
        <v>6525.52</v>
      </c>
      <c r="K1099" t="s">
        <v>57</v>
      </c>
      <c r="L1099" t="s">
        <v>75</v>
      </c>
      <c r="M1099" s="1">
        <v>44226.038888888892</v>
      </c>
      <c r="N1099">
        <v>24</v>
      </c>
      <c r="O1099" t="s">
        <v>54</v>
      </c>
      <c r="P1099" t="s">
        <v>23</v>
      </c>
      <c r="Q1099" t="s">
        <v>3204</v>
      </c>
      <c r="R1099" t="str">
        <f t="shared" si="238"/>
        <v>Nancy Davis</v>
      </c>
      <c r="S1099" t="str">
        <f t="shared" si="239"/>
        <v>Elizabeth Rodriguez</v>
      </c>
      <c r="T1099" t="str">
        <f t="shared" si="240"/>
        <v>CAD</v>
      </c>
      <c r="U1099" s="7" t="str">
        <f t="shared" si="241"/>
        <v>EUR</v>
      </c>
      <c r="V1099" s="7" t="str">
        <f t="shared" si="242"/>
        <v>India</v>
      </c>
      <c r="W1099" s="7" t="str">
        <f t="shared" si="243"/>
        <v>France</v>
      </c>
      <c r="X1099" s="7" t="str">
        <f t="shared" si="244"/>
        <v>Internal</v>
      </c>
      <c r="Y1099" s="7">
        <f t="shared" si="245"/>
        <v>6525.52</v>
      </c>
      <c r="Z1099" s="7">
        <f t="shared" si="246"/>
        <v>24</v>
      </c>
      <c r="AA1099" s="7">
        <f t="shared" si="247"/>
        <v>2021</v>
      </c>
      <c r="AB1099" s="7">
        <f t="shared" si="248"/>
        <v>1</v>
      </c>
      <c r="AC1099" s="7">
        <f t="shared" si="249"/>
        <v>1</v>
      </c>
      <c r="AD1099" s="7" t="str">
        <f t="shared" si="250"/>
        <v>No</v>
      </c>
      <c r="AE1099" s="7" t="str">
        <f t="shared" si="251"/>
        <v>High Risk</v>
      </c>
    </row>
    <row r="1100" spans="1:31">
      <c r="A1100" t="s">
        <v>3205</v>
      </c>
      <c r="B1100">
        <v>70366677</v>
      </c>
      <c r="C1100" t="s">
        <v>267</v>
      </c>
      <c r="D1100" t="s">
        <v>3206</v>
      </c>
      <c r="E1100" t="s">
        <v>3375</v>
      </c>
      <c r="F1100" t="s">
        <v>116</v>
      </c>
      <c r="G1100" t="s">
        <v>34</v>
      </c>
      <c r="H1100" t="s">
        <v>38</v>
      </c>
      <c r="I1100" t="s">
        <v>3378</v>
      </c>
      <c r="J1100">
        <v>9135.59</v>
      </c>
      <c r="K1100" t="s">
        <v>39</v>
      </c>
      <c r="L1100" t="s">
        <v>28</v>
      </c>
      <c r="M1100" s="1">
        <v>44245.192361111112</v>
      </c>
      <c r="N1100">
        <v>31</v>
      </c>
      <c r="O1100" t="s">
        <v>93</v>
      </c>
      <c r="P1100" t="s">
        <v>24</v>
      </c>
      <c r="Q1100" t="s">
        <v>3207</v>
      </c>
      <c r="R1100" t="str">
        <f t="shared" si="238"/>
        <v>David Miller</v>
      </c>
      <c r="S1100" t="str">
        <f t="shared" si="239"/>
        <v>Richard Khan</v>
      </c>
      <c r="T1100" t="str">
        <f t="shared" si="240"/>
        <v>CHF</v>
      </c>
      <c r="U1100" s="7" t="str">
        <f t="shared" si="241"/>
        <v>CAD</v>
      </c>
      <c r="V1100" s="7" t="str">
        <f t="shared" si="242"/>
        <v>USA</v>
      </c>
      <c r="W1100" s="7" t="str">
        <f t="shared" si="243"/>
        <v>Brazil</v>
      </c>
      <c r="X1100" s="7" t="str">
        <f t="shared" si="244"/>
        <v>Inter-Transaction</v>
      </c>
      <c r="Y1100" s="7">
        <f t="shared" si="245"/>
        <v>9135.59</v>
      </c>
      <c r="Z1100" s="7">
        <f t="shared" si="246"/>
        <v>31</v>
      </c>
      <c r="AA1100" s="7">
        <f t="shared" si="247"/>
        <v>2021</v>
      </c>
      <c r="AB1100" s="7">
        <f t="shared" si="248"/>
        <v>2</v>
      </c>
      <c r="AC1100" s="7">
        <f t="shared" si="249"/>
        <v>1</v>
      </c>
      <c r="AD1100" s="7" t="str">
        <f t="shared" si="250"/>
        <v>No</v>
      </c>
      <c r="AE1100" s="7" t="str">
        <f t="shared" si="251"/>
        <v>Normal</v>
      </c>
    </row>
    <row r="1101" spans="1:31">
      <c r="A1101" t="s">
        <v>3208</v>
      </c>
      <c r="B1101">
        <v>73125832</v>
      </c>
      <c r="C1101" t="s">
        <v>3169</v>
      </c>
      <c r="D1101" t="s">
        <v>969</v>
      </c>
      <c r="E1101" t="s">
        <v>20</v>
      </c>
      <c r="F1101" t="s">
        <v>98</v>
      </c>
      <c r="G1101" t="s">
        <v>98</v>
      </c>
      <c r="H1101" t="s">
        <v>38</v>
      </c>
      <c r="I1101" t="s">
        <v>3376</v>
      </c>
      <c r="J1101">
        <v>14243.6</v>
      </c>
      <c r="K1101" t="s">
        <v>47</v>
      </c>
      <c r="L1101" t="s">
        <v>75</v>
      </c>
      <c r="M1101" s="1">
        <v>44769.081250000003</v>
      </c>
      <c r="N1101">
        <v>24</v>
      </c>
      <c r="O1101" t="s">
        <v>93</v>
      </c>
      <c r="P1101" t="s">
        <v>55</v>
      </c>
      <c r="Q1101" t="s">
        <v>3209</v>
      </c>
      <c r="R1101" t="str">
        <f t="shared" si="238"/>
        <v>Joseph Hernandez</v>
      </c>
      <c r="S1101" t="str">
        <f t="shared" si="239"/>
        <v>Mary Rodriguez</v>
      </c>
      <c r="T1101" t="str">
        <f t="shared" si="240"/>
        <v>JPY</v>
      </c>
      <c r="U1101" s="7" t="str">
        <f t="shared" si="241"/>
        <v>JPY</v>
      </c>
      <c r="V1101" s="7" t="str">
        <f t="shared" si="242"/>
        <v>USA</v>
      </c>
      <c r="W1101" s="7" t="str">
        <f t="shared" si="243"/>
        <v>UK</v>
      </c>
      <c r="X1101" s="7" t="str">
        <f t="shared" si="244"/>
        <v>Internal</v>
      </c>
      <c r="Y1101" s="7">
        <f t="shared" si="245"/>
        <v>14243.6</v>
      </c>
      <c r="Z1101" s="7">
        <f t="shared" si="246"/>
        <v>24</v>
      </c>
      <c r="AA1101" s="7">
        <f t="shared" si="247"/>
        <v>2022</v>
      </c>
      <c r="AB1101" s="7">
        <f t="shared" si="248"/>
        <v>7</v>
      </c>
      <c r="AC1101" s="7">
        <f t="shared" si="249"/>
        <v>1</v>
      </c>
      <c r="AD1101" s="7" t="str">
        <f t="shared" si="250"/>
        <v>No</v>
      </c>
      <c r="AE1101" s="7" t="str">
        <f t="shared" si="251"/>
        <v>High Risk</v>
      </c>
    </row>
    <row r="1102" spans="1:31">
      <c r="A1102" t="s">
        <v>3210</v>
      </c>
      <c r="B1102">
        <v>92046026</v>
      </c>
      <c r="C1102" t="s">
        <v>343</v>
      </c>
      <c r="D1102" t="s">
        <v>2108</v>
      </c>
      <c r="E1102" t="s">
        <v>20</v>
      </c>
      <c r="F1102" t="s">
        <v>35</v>
      </c>
      <c r="G1102" t="s">
        <v>686</v>
      </c>
      <c r="H1102" t="s">
        <v>38</v>
      </c>
      <c r="I1102" t="s">
        <v>3377</v>
      </c>
      <c r="J1102">
        <v>1284.2</v>
      </c>
      <c r="K1102" t="s">
        <v>57</v>
      </c>
      <c r="L1102" t="s">
        <v>81</v>
      </c>
      <c r="M1102" s="1">
        <v>45467.002083333333</v>
      </c>
      <c r="N1102">
        <v>26</v>
      </c>
      <c r="O1102" t="s">
        <v>54</v>
      </c>
      <c r="P1102" t="s">
        <v>24</v>
      </c>
      <c r="Q1102" t="s">
        <v>3211</v>
      </c>
      <c r="R1102" t="str">
        <f t="shared" si="238"/>
        <v>Christopher Rodriguez</v>
      </c>
      <c r="S1102" t="str">
        <f t="shared" si="239"/>
        <v>Thomas Smith</v>
      </c>
      <c r="T1102" t="str">
        <f t="shared" si="240"/>
        <v>EUR</v>
      </c>
      <c r="U1102" s="7" t="str">
        <f t="shared" si="241"/>
        <v>sgd</v>
      </c>
      <c r="V1102" s="7" t="str">
        <f t="shared" si="242"/>
        <v>India</v>
      </c>
      <c r="W1102" s="7" t="str">
        <f t="shared" si="243"/>
        <v>Brazil</v>
      </c>
      <c r="X1102" s="7" t="str">
        <f t="shared" si="244"/>
        <v>Inter-Transaction</v>
      </c>
      <c r="Y1102" s="7">
        <f t="shared" si="245"/>
        <v>1284.2</v>
      </c>
      <c r="Z1102" s="7">
        <f t="shared" si="246"/>
        <v>26</v>
      </c>
      <c r="AA1102" s="7">
        <f t="shared" si="247"/>
        <v>2024</v>
      </c>
      <c r="AB1102" s="7">
        <f t="shared" si="248"/>
        <v>6</v>
      </c>
      <c r="AC1102" s="7">
        <f t="shared" si="249"/>
        <v>1</v>
      </c>
      <c r="AD1102" s="7" t="str">
        <f t="shared" si="250"/>
        <v>No</v>
      </c>
      <c r="AE1102" s="7" t="str">
        <f t="shared" si="251"/>
        <v>Normal</v>
      </c>
    </row>
    <row r="1103" spans="1:31">
      <c r="A1103" t="s">
        <v>3212</v>
      </c>
      <c r="B1103">
        <v>70133687</v>
      </c>
      <c r="C1103" t="s">
        <v>500</v>
      </c>
      <c r="D1103" t="s">
        <v>179</v>
      </c>
      <c r="E1103" t="s">
        <v>3375</v>
      </c>
      <c r="F1103" t="s">
        <v>92</v>
      </c>
      <c r="G1103" t="s">
        <v>92</v>
      </c>
      <c r="H1103" t="s">
        <v>25</v>
      </c>
      <c r="I1103" t="s">
        <v>3374</v>
      </c>
      <c r="J1103">
        <v>1447.87</v>
      </c>
      <c r="K1103" t="s">
        <v>39</v>
      </c>
      <c r="L1103" t="s">
        <v>75</v>
      </c>
      <c r="M1103" s="1">
        <v>46341.286805555559</v>
      </c>
      <c r="N1103">
        <v>65</v>
      </c>
      <c r="O1103" t="s">
        <v>24</v>
      </c>
      <c r="P1103" t="s">
        <v>37</v>
      </c>
      <c r="Q1103" t="s">
        <v>3213</v>
      </c>
      <c r="R1103" t="str">
        <f t="shared" si="238"/>
        <v>Patricia Hernandez</v>
      </c>
      <c r="S1103" t="str">
        <f t="shared" si="239"/>
        <v>Joseph Thomas</v>
      </c>
      <c r="T1103" t="str">
        <f t="shared" si="240"/>
        <v>AUD</v>
      </c>
      <c r="U1103" s="7" t="str">
        <f t="shared" si="241"/>
        <v>AUD</v>
      </c>
      <c r="V1103" s="7" t="str">
        <f t="shared" si="242"/>
        <v>Brazil</v>
      </c>
      <c r="W1103" s="7" t="str">
        <f t="shared" si="243"/>
        <v>South Africa</v>
      </c>
      <c r="X1103" s="7" t="str">
        <f t="shared" si="244"/>
        <v>External</v>
      </c>
      <c r="Y1103" s="7">
        <f t="shared" si="245"/>
        <v>1447.87</v>
      </c>
      <c r="Z1103" s="7">
        <f t="shared" si="246"/>
        <v>65</v>
      </c>
      <c r="AA1103" s="7">
        <f t="shared" si="247"/>
        <v>2026</v>
      </c>
      <c r="AB1103" s="7">
        <f t="shared" si="248"/>
        <v>11</v>
      </c>
      <c r="AC1103" s="7">
        <f t="shared" si="249"/>
        <v>1</v>
      </c>
      <c r="AD1103" s="7" t="str">
        <f t="shared" si="250"/>
        <v>No</v>
      </c>
      <c r="AE1103" s="7" t="str">
        <f t="shared" si="251"/>
        <v>High Risk</v>
      </c>
    </row>
    <row r="1104" spans="1:31">
      <c r="A1104" t="s">
        <v>3214</v>
      </c>
      <c r="B1104">
        <v>95853878</v>
      </c>
      <c r="C1104" t="s">
        <v>3215</v>
      </c>
      <c r="D1104" t="s">
        <v>929</v>
      </c>
      <c r="E1104" t="s">
        <v>20</v>
      </c>
      <c r="F1104" t="s">
        <v>53</v>
      </c>
      <c r="G1104" t="s">
        <v>34</v>
      </c>
      <c r="H1104" t="s">
        <v>38</v>
      </c>
      <c r="I1104" t="s">
        <v>3371</v>
      </c>
      <c r="J1104">
        <v>7272.24</v>
      </c>
      <c r="K1104" t="s">
        <v>57</v>
      </c>
      <c r="L1104" t="s">
        <v>28</v>
      </c>
      <c r="M1104" s="1">
        <v>44371.022222222222</v>
      </c>
      <c r="N1104">
        <v>76</v>
      </c>
      <c r="O1104" t="s">
        <v>24</v>
      </c>
      <c r="P1104" t="s">
        <v>68</v>
      </c>
      <c r="Q1104" t="s">
        <v>3216</v>
      </c>
      <c r="R1104" t="str">
        <f t="shared" si="238"/>
        <v>Jessica Jackson</v>
      </c>
      <c r="S1104" t="str">
        <f t="shared" si="239"/>
        <v>Charles Hernandez</v>
      </c>
      <c r="T1104" t="str">
        <f t="shared" si="240"/>
        <v>AED</v>
      </c>
      <c r="U1104" s="7" t="str">
        <f t="shared" si="241"/>
        <v>CAD</v>
      </c>
      <c r="V1104" s="7" t="str">
        <f t="shared" si="242"/>
        <v>Brazil</v>
      </c>
      <c r="W1104" s="7" t="str">
        <f t="shared" si="243"/>
        <v>UAE</v>
      </c>
      <c r="X1104" s="7" t="str">
        <f t="shared" si="244"/>
        <v>Outer-Transaction</v>
      </c>
      <c r="Y1104" s="7">
        <f t="shared" si="245"/>
        <v>7272.24</v>
      </c>
      <c r="Z1104" s="7">
        <f t="shared" si="246"/>
        <v>76</v>
      </c>
      <c r="AA1104" s="7">
        <f t="shared" si="247"/>
        <v>2021</v>
      </c>
      <c r="AB1104" s="7">
        <f t="shared" si="248"/>
        <v>6</v>
      </c>
      <c r="AC1104" s="7">
        <f t="shared" si="249"/>
        <v>1</v>
      </c>
      <c r="AD1104" s="7" t="str">
        <f t="shared" si="250"/>
        <v>No</v>
      </c>
      <c r="AE1104" s="7" t="str">
        <f t="shared" si="251"/>
        <v>Normal</v>
      </c>
    </row>
    <row r="1105" spans="1:31">
      <c r="A1105" t="s">
        <v>3217</v>
      </c>
      <c r="B1105">
        <v>88896855</v>
      </c>
      <c r="C1105" t="s">
        <v>2224</v>
      </c>
      <c r="D1105" t="s">
        <v>3218</v>
      </c>
      <c r="E1105" t="s">
        <v>20</v>
      </c>
      <c r="F1105" t="s">
        <v>53</v>
      </c>
      <c r="G1105" t="s">
        <v>80</v>
      </c>
      <c r="H1105" t="s">
        <v>103</v>
      </c>
      <c r="I1105" t="s">
        <v>3374</v>
      </c>
      <c r="J1105">
        <v>14984.89</v>
      </c>
      <c r="K1105" t="s">
        <v>39</v>
      </c>
      <c r="L1105" t="s">
        <v>48</v>
      </c>
      <c r="M1105" s="1">
        <v>45480.304861111108</v>
      </c>
      <c r="N1105">
        <v>56</v>
      </c>
      <c r="O1105" t="s">
        <v>54</v>
      </c>
      <c r="P1105" t="s">
        <v>127</v>
      </c>
      <c r="Q1105" t="s">
        <v>3219</v>
      </c>
      <c r="R1105" t="str">
        <f t="shared" si="238"/>
        <v>Linda Volkov</v>
      </c>
      <c r="S1105" t="str">
        <f t="shared" si="239"/>
        <v>Richard Silva</v>
      </c>
      <c r="T1105" t="str">
        <f t="shared" si="240"/>
        <v>AED</v>
      </c>
      <c r="U1105" s="7" t="str">
        <f t="shared" si="241"/>
        <v>USD</v>
      </c>
      <c r="V1105" s="7" t="str">
        <f t="shared" si="242"/>
        <v>India</v>
      </c>
      <c r="W1105" s="7" t="str">
        <f t="shared" si="243"/>
        <v>Canada</v>
      </c>
      <c r="X1105" s="7" t="str">
        <f t="shared" si="244"/>
        <v>External</v>
      </c>
      <c r="Y1105" s="7">
        <f t="shared" si="245"/>
        <v>14984.89</v>
      </c>
      <c r="Z1105" s="7">
        <f t="shared" si="246"/>
        <v>56</v>
      </c>
      <c r="AA1105" s="7">
        <f t="shared" si="247"/>
        <v>2024</v>
      </c>
      <c r="AB1105" s="7">
        <f t="shared" si="248"/>
        <v>7</v>
      </c>
      <c r="AC1105" s="7">
        <f t="shared" si="249"/>
        <v>1</v>
      </c>
      <c r="AD1105" s="7" t="str">
        <f t="shared" si="250"/>
        <v>No</v>
      </c>
      <c r="AE1105" s="7" t="str">
        <f t="shared" si="251"/>
        <v>Normal</v>
      </c>
    </row>
    <row r="1106" spans="1:31">
      <c r="A1106" t="s">
        <v>3220</v>
      </c>
      <c r="B1106">
        <v>42815403</v>
      </c>
      <c r="C1106" t="s">
        <v>3221</v>
      </c>
      <c r="D1106" t="s">
        <v>2550</v>
      </c>
      <c r="E1106" t="s">
        <v>20</v>
      </c>
      <c r="F1106" t="s">
        <v>80</v>
      </c>
      <c r="G1106" t="s">
        <v>45</v>
      </c>
      <c r="I1106" t="s">
        <v>3377</v>
      </c>
      <c r="J1106">
        <v>12753.81</v>
      </c>
      <c r="K1106" t="s">
        <v>47</v>
      </c>
      <c r="L1106" t="s">
        <v>81</v>
      </c>
      <c r="M1106" s="1">
        <v>45776.638888888891</v>
      </c>
      <c r="N1106">
        <v>35</v>
      </c>
      <c r="O1106" t="s">
        <v>62</v>
      </c>
      <c r="P1106" t="s">
        <v>62</v>
      </c>
      <c r="Q1106" t="s">
        <v>3222</v>
      </c>
      <c r="R1106" t="str">
        <f t="shared" si="238"/>
        <v>JEAN-PIERRE AL-SAYED</v>
      </c>
      <c r="S1106" t="str">
        <f t="shared" si="239"/>
        <v>Jessica Malik</v>
      </c>
      <c r="T1106" t="str">
        <f t="shared" si="240"/>
        <v>USD</v>
      </c>
      <c r="U1106" s="7" t="str">
        <f t="shared" si="241"/>
        <v>ZAR</v>
      </c>
      <c r="V1106" s="7" t="str">
        <f t="shared" si="242"/>
        <v>Australia</v>
      </c>
      <c r="W1106" s="7" t="str">
        <f t="shared" si="243"/>
        <v>Australia</v>
      </c>
      <c r="X1106" s="7" t="str">
        <f t="shared" si="244"/>
        <v>Inter-Transaction</v>
      </c>
      <c r="Y1106" s="7">
        <f t="shared" si="245"/>
        <v>12753.81</v>
      </c>
      <c r="Z1106" s="7">
        <f t="shared" si="246"/>
        <v>35</v>
      </c>
      <c r="AA1106" s="7">
        <f t="shared" si="247"/>
        <v>2025</v>
      </c>
      <c r="AB1106" s="7">
        <f t="shared" si="248"/>
        <v>4</v>
      </c>
      <c r="AC1106" s="7">
        <f t="shared" si="249"/>
        <v>1</v>
      </c>
      <c r="AD1106" s="7" t="str">
        <f t="shared" si="250"/>
        <v>No</v>
      </c>
      <c r="AE1106" s="7" t="str">
        <f t="shared" si="251"/>
        <v>Normal</v>
      </c>
    </row>
    <row r="1107" spans="1:31">
      <c r="A1107" t="s">
        <v>3223</v>
      </c>
      <c r="B1107">
        <v>59509360</v>
      </c>
      <c r="C1107" t="s">
        <v>1865</v>
      </c>
      <c r="D1107" t="s">
        <v>3224</v>
      </c>
      <c r="E1107" t="s">
        <v>33</v>
      </c>
      <c r="F1107" t="s">
        <v>44</v>
      </c>
      <c r="G1107" t="s">
        <v>393</v>
      </c>
      <c r="H1107" t="s">
        <v>74</v>
      </c>
      <c r="I1107" t="s">
        <v>3377</v>
      </c>
      <c r="J1107">
        <v>14180.86</v>
      </c>
      <c r="K1107" t="s">
        <v>39</v>
      </c>
      <c r="L1107" t="s">
        <v>48</v>
      </c>
      <c r="M1107" s="1">
        <v>43914.537499999999</v>
      </c>
      <c r="N1107">
        <v>76</v>
      </c>
      <c r="O1107" t="s">
        <v>68</v>
      </c>
      <c r="P1107" t="s">
        <v>68</v>
      </c>
      <c r="Q1107" t="s">
        <v>3225</v>
      </c>
      <c r="R1107" t="str">
        <f t="shared" si="238"/>
        <v>Michael Souza</v>
      </c>
      <c r="S1107" t="str">
        <f t="shared" si="239"/>
        <v>Zayn Volkov</v>
      </c>
      <c r="T1107" t="str">
        <f t="shared" si="240"/>
        <v>SGD</v>
      </c>
      <c r="U1107" s="7" t="str">
        <f t="shared" si="241"/>
        <v>cad</v>
      </c>
      <c r="V1107" s="7" t="str">
        <f t="shared" si="242"/>
        <v>UAE</v>
      </c>
      <c r="W1107" s="7" t="str">
        <f t="shared" si="243"/>
        <v>UAE</v>
      </c>
      <c r="X1107" s="7" t="str">
        <f t="shared" si="244"/>
        <v>Inter-Transaction</v>
      </c>
      <c r="Y1107" s="7">
        <f t="shared" si="245"/>
        <v>14180.86</v>
      </c>
      <c r="Z1107" s="7">
        <f t="shared" si="246"/>
        <v>76</v>
      </c>
      <c r="AA1107" s="7">
        <f t="shared" si="247"/>
        <v>2020</v>
      </c>
      <c r="AB1107" s="7">
        <f t="shared" si="248"/>
        <v>3</v>
      </c>
      <c r="AC1107" s="7">
        <f t="shared" si="249"/>
        <v>2</v>
      </c>
      <c r="AD1107" s="7" t="str">
        <f t="shared" si="250"/>
        <v>No</v>
      </c>
      <c r="AE1107" s="7" t="str">
        <f t="shared" si="251"/>
        <v>Normal</v>
      </c>
    </row>
    <row r="1108" spans="1:31">
      <c r="A1108" t="s">
        <v>3226</v>
      </c>
      <c r="B1108">
        <v>42830348</v>
      </c>
      <c r="C1108" t="s">
        <v>574</v>
      </c>
      <c r="D1108" t="s">
        <v>2101</v>
      </c>
      <c r="E1108" t="s">
        <v>20</v>
      </c>
      <c r="F1108" t="s">
        <v>21</v>
      </c>
      <c r="G1108" t="s">
        <v>121</v>
      </c>
      <c r="H1108" t="s">
        <v>25</v>
      </c>
      <c r="I1108" t="s">
        <v>3372</v>
      </c>
      <c r="J1108">
        <v>13243.1</v>
      </c>
      <c r="K1108" t="s">
        <v>86</v>
      </c>
      <c r="L1108" t="s">
        <v>81</v>
      </c>
      <c r="M1108" s="1">
        <v>44101.975694444445</v>
      </c>
      <c r="N1108">
        <v>34</v>
      </c>
      <c r="O1108" t="s">
        <v>23</v>
      </c>
      <c r="P1108" t="s">
        <v>24</v>
      </c>
      <c r="Q1108" t="s">
        <v>3227</v>
      </c>
      <c r="R1108" t="str">
        <f t="shared" si="238"/>
        <v>Elizabeth Brown</v>
      </c>
      <c r="S1108" t="str">
        <f t="shared" si="239"/>
        <v>Karen Williams</v>
      </c>
      <c r="T1108" t="str">
        <f t="shared" si="240"/>
        <v>GBP</v>
      </c>
      <c r="U1108" s="7" t="str">
        <f t="shared" si="241"/>
        <v>INR</v>
      </c>
      <c r="V1108" s="7" t="str">
        <f t="shared" si="242"/>
        <v>France</v>
      </c>
      <c r="W1108" s="7" t="str">
        <f t="shared" si="243"/>
        <v>Brazil</v>
      </c>
      <c r="X1108" s="7" t="str">
        <f t="shared" si="244"/>
        <v>Outer-Transaction</v>
      </c>
      <c r="Y1108" s="7">
        <f t="shared" si="245"/>
        <v>13243.1</v>
      </c>
      <c r="Z1108" s="7">
        <f t="shared" si="246"/>
        <v>34</v>
      </c>
      <c r="AA1108" s="7">
        <f t="shared" si="247"/>
        <v>2020</v>
      </c>
      <c r="AB1108" s="7">
        <f t="shared" si="248"/>
        <v>9</v>
      </c>
      <c r="AC1108" s="7">
        <f t="shared" si="249"/>
        <v>1</v>
      </c>
      <c r="AD1108" s="7" t="str">
        <f t="shared" si="250"/>
        <v>No</v>
      </c>
      <c r="AE1108" s="7" t="str">
        <f t="shared" si="251"/>
        <v>Normal</v>
      </c>
    </row>
    <row r="1109" spans="1:31">
      <c r="A1109" t="s">
        <v>3228</v>
      </c>
      <c r="B1109">
        <v>62668823</v>
      </c>
      <c r="C1109" t="s">
        <v>1850</v>
      </c>
      <c r="D1109" t="s">
        <v>907</v>
      </c>
      <c r="E1109" t="s">
        <v>20</v>
      </c>
      <c r="F1109" t="s">
        <v>116</v>
      </c>
      <c r="G1109" t="s">
        <v>98</v>
      </c>
      <c r="H1109" t="s">
        <v>103</v>
      </c>
      <c r="I1109" t="s">
        <v>3376</v>
      </c>
      <c r="J1109">
        <v>4096.5</v>
      </c>
      <c r="K1109" t="s">
        <v>57</v>
      </c>
      <c r="L1109" t="s">
        <v>48</v>
      </c>
      <c r="M1109" s="1">
        <v>46122.928472222222</v>
      </c>
      <c r="N1109">
        <v>31</v>
      </c>
      <c r="O1109" t="s">
        <v>36</v>
      </c>
      <c r="P1109" t="s">
        <v>23</v>
      </c>
      <c r="Q1109" t="s">
        <v>3229</v>
      </c>
      <c r="R1109" t="str">
        <f t="shared" si="238"/>
        <v>Thomas Moore</v>
      </c>
      <c r="S1109" t="str">
        <f t="shared" si="239"/>
        <v>Richard Rostova</v>
      </c>
      <c r="T1109" t="str">
        <f t="shared" si="240"/>
        <v>CHF</v>
      </c>
      <c r="U1109" s="7" t="str">
        <f t="shared" si="241"/>
        <v>JPY</v>
      </c>
      <c r="V1109" s="7" t="str">
        <f t="shared" si="242"/>
        <v>Germany</v>
      </c>
      <c r="W1109" s="7" t="str">
        <f t="shared" si="243"/>
        <v>France</v>
      </c>
      <c r="X1109" s="7" t="str">
        <f t="shared" si="244"/>
        <v>Internal</v>
      </c>
      <c r="Y1109" s="7">
        <f t="shared" si="245"/>
        <v>4096.5</v>
      </c>
      <c r="Z1109" s="7">
        <f t="shared" si="246"/>
        <v>31</v>
      </c>
      <c r="AA1109" s="7">
        <f t="shared" si="247"/>
        <v>2026</v>
      </c>
      <c r="AB1109" s="7">
        <f t="shared" si="248"/>
        <v>4</v>
      </c>
      <c r="AC1109" s="7">
        <f t="shared" si="249"/>
        <v>1</v>
      </c>
      <c r="AD1109" s="7" t="str">
        <f t="shared" si="250"/>
        <v>No</v>
      </c>
      <c r="AE1109" s="7" t="str">
        <f t="shared" si="251"/>
        <v>Normal</v>
      </c>
    </row>
    <row r="1110" spans="1:31">
      <c r="A1110" t="s">
        <v>3230</v>
      </c>
      <c r="B1110">
        <v>13690499</v>
      </c>
      <c r="C1110" t="s">
        <v>3231</v>
      </c>
      <c r="D1110" t="s">
        <v>1911</v>
      </c>
      <c r="E1110" t="s">
        <v>20</v>
      </c>
      <c r="F1110" t="s">
        <v>92</v>
      </c>
      <c r="G1110" t="s">
        <v>98</v>
      </c>
      <c r="H1110" t="s">
        <v>56</v>
      </c>
      <c r="I1110" t="s">
        <v>3372</v>
      </c>
      <c r="J1110">
        <v>5326.83</v>
      </c>
      <c r="K1110" t="s">
        <v>57</v>
      </c>
      <c r="L1110" t="s">
        <v>81</v>
      </c>
      <c r="M1110" s="1">
        <v>44218.820138888892</v>
      </c>
      <c r="N1110">
        <v>48</v>
      </c>
      <c r="O1110" t="s">
        <v>68</v>
      </c>
      <c r="P1110" t="s">
        <v>127</v>
      </c>
      <c r="Q1110" t="s">
        <v>3232</v>
      </c>
      <c r="R1110" t="str">
        <f t="shared" si="238"/>
        <v>JEAN-PIERRE SILVA</v>
      </c>
      <c r="S1110" t="str">
        <f t="shared" si="239"/>
        <v>Elizabeth Thomas</v>
      </c>
      <c r="T1110" t="str">
        <f t="shared" si="240"/>
        <v>AUD</v>
      </c>
      <c r="U1110" s="7" t="str">
        <f t="shared" si="241"/>
        <v>JPY</v>
      </c>
      <c r="V1110" s="7" t="str">
        <f t="shared" si="242"/>
        <v>UAE</v>
      </c>
      <c r="W1110" s="7" t="str">
        <f t="shared" si="243"/>
        <v>Canada</v>
      </c>
      <c r="X1110" s="7" t="str">
        <f t="shared" si="244"/>
        <v>Outer-Transaction</v>
      </c>
      <c r="Y1110" s="7">
        <f t="shared" si="245"/>
        <v>5326.83</v>
      </c>
      <c r="Z1110" s="7">
        <f t="shared" si="246"/>
        <v>48</v>
      </c>
      <c r="AA1110" s="7">
        <f t="shared" si="247"/>
        <v>2021</v>
      </c>
      <c r="AB1110" s="7">
        <f t="shared" si="248"/>
        <v>1</v>
      </c>
      <c r="AC1110" s="7">
        <f t="shared" si="249"/>
        <v>1</v>
      </c>
      <c r="AD1110" s="7" t="str">
        <f t="shared" si="250"/>
        <v>No</v>
      </c>
      <c r="AE1110" s="7" t="str">
        <f t="shared" si="251"/>
        <v>Normal</v>
      </c>
    </row>
    <row r="1111" spans="1:31">
      <c r="A1111" t="s">
        <v>3233</v>
      </c>
      <c r="B1111">
        <v>88968417</v>
      </c>
      <c r="C1111" t="s">
        <v>52</v>
      </c>
      <c r="D1111" t="s">
        <v>943</v>
      </c>
      <c r="E1111" t="s">
        <v>33</v>
      </c>
      <c r="F1111" t="s">
        <v>116</v>
      </c>
      <c r="G1111" t="s">
        <v>53</v>
      </c>
      <c r="H1111" t="s">
        <v>74</v>
      </c>
      <c r="I1111" t="s">
        <v>3374</v>
      </c>
      <c r="J1111">
        <v>4364.67</v>
      </c>
      <c r="K1111" t="s">
        <v>57</v>
      </c>
      <c r="L1111" t="s">
        <v>75</v>
      </c>
      <c r="M1111" s="1">
        <v>44044.458333333336</v>
      </c>
      <c r="N1111">
        <v>41</v>
      </c>
      <c r="O1111" t="s">
        <v>24</v>
      </c>
      <c r="P1111" t="s">
        <v>36</v>
      </c>
      <c r="Q1111" t="s">
        <v>3234</v>
      </c>
      <c r="R1111" t="str">
        <f t="shared" si="238"/>
        <v>Mary Silva</v>
      </c>
      <c r="S1111" t="str">
        <f t="shared" si="239"/>
        <v>Mary Nair</v>
      </c>
      <c r="T1111" t="str">
        <f t="shared" si="240"/>
        <v>CHF</v>
      </c>
      <c r="U1111" s="7" t="str">
        <f t="shared" si="241"/>
        <v>AED</v>
      </c>
      <c r="V1111" s="7" t="str">
        <f t="shared" si="242"/>
        <v>Brazil</v>
      </c>
      <c r="W1111" s="7" t="str">
        <f t="shared" si="243"/>
        <v>Germany</v>
      </c>
      <c r="X1111" s="7" t="str">
        <f t="shared" si="244"/>
        <v>External</v>
      </c>
      <c r="Y1111" s="7">
        <f t="shared" si="245"/>
        <v>4364.67</v>
      </c>
      <c r="Z1111" s="7">
        <f t="shared" si="246"/>
        <v>41</v>
      </c>
      <c r="AA1111" s="7">
        <f t="shared" si="247"/>
        <v>2020</v>
      </c>
      <c r="AB1111" s="7">
        <f t="shared" si="248"/>
        <v>8</v>
      </c>
      <c r="AC1111" s="7">
        <f t="shared" si="249"/>
        <v>1</v>
      </c>
      <c r="AD1111" s="7" t="str">
        <f t="shared" si="250"/>
        <v>No</v>
      </c>
      <c r="AE1111" s="7" t="str">
        <f t="shared" si="251"/>
        <v>High Risk</v>
      </c>
    </row>
    <row r="1112" spans="1:31">
      <c r="A1112" t="s">
        <v>3235</v>
      </c>
      <c r="B1112">
        <v>27466246</v>
      </c>
      <c r="C1112" t="s">
        <v>3103</v>
      </c>
      <c r="D1112" t="s">
        <v>943</v>
      </c>
      <c r="E1112" t="s">
        <v>20</v>
      </c>
      <c r="F1112" t="s">
        <v>45</v>
      </c>
      <c r="G1112" t="s">
        <v>80</v>
      </c>
      <c r="H1112" t="s">
        <v>25</v>
      </c>
      <c r="I1112" t="s">
        <v>3377</v>
      </c>
      <c r="J1112">
        <v>908.35</v>
      </c>
      <c r="K1112" t="s">
        <v>47</v>
      </c>
      <c r="L1112" t="s">
        <v>75</v>
      </c>
      <c r="M1112" s="1">
        <v>43889.380555555559</v>
      </c>
      <c r="N1112">
        <v>77</v>
      </c>
      <c r="O1112" t="s">
        <v>23</v>
      </c>
      <c r="P1112" t="s">
        <v>93</v>
      </c>
      <c r="Q1112" t="s">
        <v>3236</v>
      </c>
      <c r="R1112" t="str">
        <f t="shared" si="238"/>
        <v>Jessica Wilson</v>
      </c>
      <c r="S1112" t="str">
        <f t="shared" si="239"/>
        <v>Mary Nair</v>
      </c>
      <c r="T1112" t="str">
        <f t="shared" si="240"/>
        <v>ZAR</v>
      </c>
      <c r="U1112" s="7" t="str">
        <f t="shared" si="241"/>
        <v>USD</v>
      </c>
      <c r="V1112" s="7" t="str">
        <f t="shared" si="242"/>
        <v>France</v>
      </c>
      <c r="W1112" s="7" t="str">
        <f t="shared" si="243"/>
        <v>USA</v>
      </c>
      <c r="X1112" s="7" t="str">
        <f t="shared" si="244"/>
        <v>Inter-Transaction</v>
      </c>
      <c r="Y1112" s="7">
        <f t="shared" si="245"/>
        <v>908.35</v>
      </c>
      <c r="Z1112" s="7">
        <f t="shared" si="246"/>
        <v>77</v>
      </c>
      <c r="AA1112" s="7">
        <f t="shared" si="247"/>
        <v>2020</v>
      </c>
      <c r="AB1112" s="7">
        <f t="shared" si="248"/>
        <v>2</v>
      </c>
      <c r="AC1112" s="7">
        <f t="shared" si="249"/>
        <v>1</v>
      </c>
      <c r="AD1112" s="7" t="str">
        <f t="shared" si="250"/>
        <v>No</v>
      </c>
      <c r="AE1112" s="7" t="str">
        <f t="shared" si="251"/>
        <v>High Risk</v>
      </c>
    </row>
    <row r="1113" spans="1:31">
      <c r="A1113" t="s">
        <v>3237</v>
      </c>
      <c r="B1113">
        <v>20784367</v>
      </c>
      <c r="C1113" t="s">
        <v>416</v>
      </c>
      <c r="D1113" t="s">
        <v>1864</v>
      </c>
      <c r="E1113" t="s">
        <v>3373</v>
      </c>
      <c r="F1113" t="s">
        <v>98</v>
      </c>
      <c r="G1113" t="s">
        <v>121</v>
      </c>
      <c r="I1113" t="s">
        <v>3378</v>
      </c>
      <c r="J1113">
        <v>7061.05</v>
      </c>
      <c r="K1113" t="s">
        <v>39</v>
      </c>
      <c r="L1113" t="s">
        <v>28</v>
      </c>
      <c r="M1113" s="1">
        <v>45456.124305555553</v>
      </c>
      <c r="N1113">
        <v>62</v>
      </c>
      <c r="O1113" t="s">
        <v>55</v>
      </c>
      <c r="P1113" t="s">
        <v>127</v>
      </c>
      <c r="Q1113" t="s">
        <v>3238</v>
      </c>
      <c r="R1113" t="str">
        <f t="shared" si="238"/>
        <v>Robert Moore</v>
      </c>
      <c r="S1113" t="str">
        <f t="shared" si="239"/>
        <v>Patricia Velez</v>
      </c>
      <c r="T1113" t="str">
        <f t="shared" si="240"/>
        <v>JPY</v>
      </c>
      <c r="U1113" s="7" t="str">
        <f t="shared" si="241"/>
        <v>INR</v>
      </c>
      <c r="V1113" s="7" t="str">
        <f t="shared" si="242"/>
        <v>UK</v>
      </c>
      <c r="W1113" s="7" t="str">
        <f t="shared" si="243"/>
        <v>Canada</v>
      </c>
      <c r="X1113" s="7" t="str">
        <f t="shared" si="244"/>
        <v>Inter-Transaction</v>
      </c>
      <c r="Y1113" s="7">
        <f t="shared" si="245"/>
        <v>7061.05</v>
      </c>
      <c r="Z1113" s="7">
        <f t="shared" si="246"/>
        <v>62</v>
      </c>
      <c r="AA1113" s="7">
        <f t="shared" si="247"/>
        <v>2024</v>
      </c>
      <c r="AB1113" s="7">
        <f t="shared" si="248"/>
        <v>6</v>
      </c>
      <c r="AC1113" s="7">
        <f t="shared" si="249"/>
        <v>1</v>
      </c>
      <c r="AD1113" s="7" t="str">
        <f t="shared" si="250"/>
        <v>No</v>
      </c>
      <c r="AE1113" s="7" t="str">
        <f t="shared" si="251"/>
        <v>Normal</v>
      </c>
    </row>
    <row r="1114" spans="1:31">
      <c r="A1114" t="s">
        <v>3239</v>
      </c>
      <c r="B1114">
        <v>63673036</v>
      </c>
      <c r="C1114" t="s">
        <v>84</v>
      </c>
      <c r="E1114" t="s">
        <v>3375</v>
      </c>
      <c r="F1114" t="s">
        <v>98</v>
      </c>
      <c r="G1114" t="s">
        <v>21</v>
      </c>
      <c r="H1114" t="s">
        <v>38</v>
      </c>
      <c r="I1114" t="s">
        <v>3376</v>
      </c>
      <c r="J1114">
        <v>5630.16</v>
      </c>
      <c r="K1114" t="s">
        <v>27</v>
      </c>
      <c r="L1114" t="s">
        <v>28</v>
      </c>
      <c r="M1114" s="1">
        <v>44673.767361111109</v>
      </c>
      <c r="N1114">
        <v>20</v>
      </c>
      <c r="O1114" t="s">
        <v>127</v>
      </c>
      <c r="P1114" t="s">
        <v>37</v>
      </c>
      <c r="Q1114" t="s">
        <v>3240</v>
      </c>
      <c r="R1114" t="str">
        <f t="shared" si="238"/>
        <v>Marta Nair</v>
      </c>
      <c r="S1114" t="str">
        <f t="shared" si="239"/>
        <v/>
      </c>
      <c r="T1114" t="str">
        <f t="shared" si="240"/>
        <v>JPY</v>
      </c>
      <c r="U1114" s="7" t="str">
        <f t="shared" si="241"/>
        <v>GBP</v>
      </c>
      <c r="V1114" s="7" t="str">
        <f t="shared" si="242"/>
        <v>Canada</v>
      </c>
      <c r="W1114" s="7" t="str">
        <f t="shared" si="243"/>
        <v>South Africa</v>
      </c>
      <c r="X1114" s="7" t="str">
        <f t="shared" si="244"/>
        <v>Internal</v>
      </c>
      <c r="Y1114" s="7">
        <f t="shared" si="245"/>
        <v>5630.16</v>
      </c>
      <c r="Z1114" s="7">
        <f t="shared" si="246"/>
        <v>20</v>
      </c>
      <c r="AA1114" s="7">
        <f t="shared" si="247"/>
        <v>2022</v>
      </c>
      <c r="AB1114" s="7">
        <f t="shared" si="248"/>
        <v>4</v>
      </c>
      <c r="AC1114" s="7">
        <f t="shared" si="249"/>
        <v>1</v>
      </c>
      <c r="AD1114" s="7" t="str">
        <f t="shared" si="250"/>
        <v>No</v>
      </c>
      <c r="AE1114" s="7" t="str">
        <f t="shared" si="251"/>
        <v>Normal</v>
      </c>
    </row>
    <row r="1115" spans="1:31">
      <c r="A1115" t="s">
        <v>3241</v>
      </c>
      <c r="B1115">
        <v>48355754</v>
      </c>
      <c r="C1115" t="s">
        <v>3242</v>
      </c>
      <c r="D1115" t="s">
        <v>3243</v>
      </c>
      <c r="E1115" t="s">
        <v>3375</v>
      </c>
      <c r="F1115" t="s">
        <v>45</v>
      </c>
      <c r="G1115" t="s">
        <v>121</v>
      </c>
      <c r="H1115" t="s">
        <v>25</v>
      </c>
      <c r="I1115" t="s">
        <v>3371</v>
      </c>
      <c r="J1115">
        <v>13136.3</v>
      </c>
      <c r="K1115" t="s">
        <v>27</v>
      </c>
      <c r="L1115" t="s">
        <v>81</v>
      </c>
      <c r="M1115" s="1">
        <v>45358.361805555556</v>
      </c>
      <c r="N1115">
        <v>54</v>
      </c>
      <c r="O1115" t="s">
        <v>93</v>
      </c>
      <c r="P1115" t="s">
        <v>37</v>
      </c>
      <c r="Q1115" t="s">
        <v>3244</v>
      </c>
      <c r="R1115" t="str">
        <f t="shared" si="238"/>
        <v>ZAYN SMITH</v>
      </c>
      <c r="S1115" t="str">
        <f t="shared" si="239"/>
        <v xml:space="preserve"> Richard Rodriguez   </v>
      </c>
      <c r="T1115" t="str">
        <f t="shared" si="240"/>
        <v>ZAR</v>
      </c>
      <c r="U1115" s="7" t="str">
        <f t="shared" si="241"/>
        <v>INR</v>
      </c>
      <c r="V1115" s="7" t="str">
        <f t="shared" si="242"/>
        <v>USA</v>
      </c>
      <c r="W1115" s="7" t="str">
        <f t="shared" si="243"/>
        <v>South Africa</v>
      </c>
      <c r="X1115" s="7" t="str">
        <f t="shared" si="244"/>
        <v>Outer-Transaction</v>
      </c>
      <c r="Y1115" s="7">
        <f t="shared" si="245"/>
        <v>13136.3</v>
      </c>
      <c r="Z1115" s="7">
        <f t="shared" si="246"/>
        <v>54</v>
      </c>
      <c r="AA1115" s="7">
        <f t="shared" si="247"/>
        <v>2024</v>
      </c>
      <c r="AB1115" s="7">
        <f t="shared" si="248"/>
        <v>3</v>
      </c>
      <c r="AC1115" s="7">
        <f t="shared" si="249"/>
        <v>1</v>
      </c>
      <c r="AD1115" s="7" t="str">
        <f t="shared" si="250"/>
        <v>No</v>
      </c>
      <c r="AE1115" s="7" t="str">
        <f t="shared" si="251"/>
        <v>Normal</v>
      </c>
    </row>
    <row r="1116" spans="1:31">
      <c r="A1116" t="s">
        <v>3245</v>
      </c>
      <c r="B1116">
        <v>77154863</v>
      </c>
      <c r="C1116" t="s">
        <v>570</v>
      </c>
      <c r="D1116" t="s">
        <v>1070</v>
      </c>
      <c r="E1116" t="s">
        <v>20</v>
      </c>
      <c r="F1116" t="s">
        <v>176</v>
      </c>
      <c r="G1116" t="s">
        <v>21</v>
      </c>
      <c r="I1116" t="s">
        <v>3374</v>
      </c>
      <c r="J1116">
        <v>2505.59</v>
      </c>
      <c r="K1116" t="s">
        <v>47</v>
      </c>
      <c r="L1116" t="s">
        <v>81</v>
      </c>
      <c r="M1116" s="1">
        <v>45560.760416666664</v>
      </c>
      <c r="N1116">
        <v>60</v>
      </c>
      <c r="O1116" t="s">
        <v>54</v>
      </c>
      <c r="P1116" t="s">
        <v>24</v>
      </c>
      <c r="Q1116" t="s">
        <v>3246</v>
      </c>
      <c r="R1116" t="str">
        <f t="shared" si="238"/>
        <v>Richard Garcia</v>
      </c>
      <c r="S1116" t="str">
        <f t="shared" si="239"/>
        <v>David Anderson</v>
      </c>
      <c r="T1116" t="str">
        <f t="shared" si="240"/>
        <v>aed</v>
      </c>
      <c r="U1116" s="7" t="str">
        <f t="shared" si="241"/>
        <v>GBP</v>
      </c>
      <c r="V1116" s="7" t="str">
        <f t="shared" si="242"/>
        <v>India</v>
      </c>
      <c r="W1116" s="7" t="str">
        <f t="shared" si="243"/>
        <v>Brazil</v>
      </c>
      <c r="X1116" s="7" t="str">
        <f t="shared" si="244"/>
        <v>External</v>
      </c>
      <c r="Y1116" s="7">
        <f t="shared" si="245"/>
        <v>2505.59</v>
      </c>
      <c r="Z1116" s="7">
        <f t="shared" si="246"/>
        <v>60</v>
      </c>
      <c r="AA1116" s="7">
        <f t="shared" si="247"/>
        <v>2024</v>
      </c>
      <c r="AB1116" s="7">
        <f t="shared" si="248"/>
        <v>9</v>
      </c>
      <c r="AC1116" s="7">
        <f t="shared" si="249"/>
        <v>1</v>
      </c>
      <c r="AD1116" s="7" t="str">
        <f t="shared" si="250"/>
        <v>No</v>
      </c>
      <c r="AE1116" s="7" t="str">
        <f t="shared" si="251"/>
        <v>Normal</v>
      </c>
    </row>
    <row r="1117" spans="1:31">
      <c r="A1117" t="s">
        <v>3247</v>
      </c>
      <c r="B1117">
        <v>76692866</v>
      </c>
      <c r="C1117" t="s">
        <v>1342</v>
      </c>
      <c r="D1117" t="s">
        <v>529</v>
      </c>
      <c r="E1117" t="s">
        <v>20</v>
      </c>
      <c r="F1117" t="s">
        <v>126</v>
      </c>
      <c r="G1117" t="s">
        <v>393</v>
      </c>
      <c r="H1117" t="s">
        <v>103</v>
      </c>
      <c r="I1117" t="s">
        <v>3372</v>
      </c>
      <c r="J1117">
        <v>11588.97</v>
      </c>
      <c r="K1117" t="s">
        <v>27</v>
      </c>
      <c r="L1117" t="s">
        <v>28</v>
      </c>
      <c r="M1117" s="1">
        <v>43953.992361111108</v>
      </c>
      <c r="N1117">
        <v>57</v>
      </c>
      <c r="O1117" t="s">
        <v>54</v>
      </c>
      <c r="P1117" t="s">
        <v>55</v>
      </c>
      <c r="Q1117" t="s">
        <v>3248</v>
      </c>
      <c r="R1117" t="str">
        <f t="shared" si="238"/>
        <v>Sarah Martinez</v>
      </c>
      <c r="S1117" t="str">
        <f t="shared" si="239"/>
        <v>Patricia Miller</v>
      </c>
      <c r="T1117" t="str">
        <f t="shared" si="240"/>
        <v>inr</v>
      </c>
      <c r="U1117" s="7" t="str">
        <f t="shared" si="241"/>
        <v>cad</v>
      </c>
      <c r="V1117" s="7" t="str">
        <f t="shared" si="242"/>
        <v>India</v>
      </c>
      <c r="W1117" s="7" t="str">
        <f t="shared" si="243"/>
        <v>UK</v>
      </c>
      <c r="X1117" s="7" t="str">
        <f t="shared" si="244"/>
        <v>Outer-Transaction</v>
      </c>
      <c r="Y1117" s="7">
        <f t="shared" si="245"/>
        <v>11588.97</v>
      </c>
      <c r="Z1117" s="7">
        <f t="shared" si="246"/>
        <v>57</v>
      </c>
      <c r="AA1117" s="7">
        <f t="shared" si="247"/>
        <v>2020</v>
      </c>
      <c r="AB1117" s="7">
        <f t="shared" si="248"/>
        <v>5</v>
      </c>
      <c r="AC1117" s="7">
        <f t="shared" si="249"/>
        <v>1</v>
      </c>
      <c r="AD1117" s="7" t="str">
        <f t="shared" si="250"/>
        <v>No</v>
      </c>
      <c r="AE1117" s="7" t="str">
        <f t="shared" si="251"/>
        <v>Normal</v>
      </c>
    </row>
    <row r="1118" spans="1:31">
      <c r="A1118" t="s">
        <v>3249</v>
      </c>
      <c r="B1118">
        <v>54005745</v>
      </c>
      <c r="C1118" t="s">
        <v>1728</v>
      </c>
      <c r="D1118" t="s">
        <v>449</v>
      </c>
      <c r="E1118" t="s">
        <v>20</v>
      </c>
      <c r="F1118" t="s">
        <v>116</v>
      </c>
      <c r="G1118" t="s">
        <v>98</v>
      </c>
      <c r="H1118" t="s">
        <v>38</v>
      </c>
      <c r="I1118" t="s">
        <v>3372</v>
      </c>
      <c r="J1118">
        <v>4961.08</v>
      </c>
      <c r="K1118" t="s">
        <v>27</v>
      </c>
      <c r="L1118" t="s">
        <v>28</v>
      </c>
      <c r="M1118" s="1">
        <v>45267.543055555558</v>
      </c>
      <c r="N1118">
        <v>72</v>
      </c>
      <c r="O1118" t="s">
        <v>93</v>
      </c>
      <c r="P1118" t="s">
        <v>37</v>
      </c>
      <c r="Q1118" t="s">
        <v>3250</v>
      </c>
      <c r="R1118" t="str">
        <f t="shared" si="238"/>
        <v>Richard Volkov</v>
      </c>
      <c r="S1118" t="str">
        <f t="shared" si="239"/>
        <v>Nancy Silva</v>
      </c>
      <c r="T1118" t="str">
        <f t="shared" si="240"/>
        <v>CHF</v>
      </c>
      <c r="U1118" s="7" t="str">
        <f t="shared" si="241"/>
        <v>JPY</v>
      </c>
      <c r="V1118" s="7" t="str">
        <f t="shared" si="242"/>
        <v>USA</v>
      </c>
      <c r="W1118" s="7" t="str">
        <f t="shared" si="243"/>
        <v>South Africa</v>
      </c>
      <c r="X1118" s="7" t="str">
        <f t="shared" si="244"/>
        <v>Outer-Transaction</v>
      </c>
      <c r="Y1118" s="7">
        <f t="shared" si="245"/>
        <v>4961.08</v>
      </c>
      <c r="Z1118" s="7">
        <f t="shared" si="246"/>
        <v>72</v>
      </c>
      <c r="AA1118" s="7">
        <f t="shared" si="247"/>
        <v>2023</v>
      </c>
      <c r="AB1118" s="7">
        <f t="shared" si="248"/>
        <v>12</v>
      </c>
      <c r="AC1118" s="7">
        <f t="shared" si="249"/>
        <v>1</v>
      </c>
      <c r="AD1118" s="7" t="str">
        <f t="shared" si="250"/>
        <v>No</v>
      </c>
      <c r="AE1118" s="7" t="str">
        <f t="shared" si="251"/>
        <v>Normal</v>
      </c>
    </row>
    <row r="1119" spans="1:31">
      <c r="A1119" t="s">
        <v>3251</v>
      </c>
      <c r="B1119">
        <v>81470064</v>
      </c>
      <c r="C1119" t="s">
        <v>563</v>
      </c>
      <c r="D1119" t="s">
        <v>416</v>
      </c>
      <c r="E1119" t="s">
        <v>3373</v>
      </c>
      <c r="F1119" t="s">
        <v>112</v>
      </c>
      <c r="G1119" t="s">
        <v>22</v>
      </c>
      <c r="H1119" t="s">
        <v>74</v>
      </c>
      <c r="I1119" t="s">
        <v>3378</v>
      </c>
      <c r="J1119">
        <v>1915.76</v>
      </c>
      <c r="K1119" t="s">
        <v>27</v>
      </c>
      <c r="L1119" t="s">
        <v>48</v>
      </c>
      <c r="M1119" s="1">
        <v>44993.063888888886</v>
      </c>
      <c r="N1119">
        <v>56</v>
      </c>
      <c r="O1119" t="s">
        <v>127</v>
      </c>
      <c r="P1119" t="s">
        <v>37</v>
      </c>
      <c r="Q1119" t="s">
        <v>3252</v>
      </c>
      <c r="R1119" t="str">
        <f t="shared" si="238"/>
        <v>Jean-Pierre Jackson</v>
      </c>
      <c r="S1119" t="str">
        <f t="shared" si="239"/>
        <v>Robert Moore</v>
      </c>
      <c r="T1119" t="str">
        <f t="shared" si="240"/>
        <v>usd</v>
      </c>
      <c r="U1119" s="7" t="str">
        <f t="shared" si="241"/>
        <v>BRL</v>
      </c>
      <c r="V1119" s="7" t="str">
        <f t="shared" si="242"/>
        <v>Canada</v>
      </c>
      <c r="W1119" s="7" t="str">
        <f t="shared" si="243"/>
        <v>South Africa</v>
      </c>
      <c r="X1119" s="7" t="str">
        <f t="shared" si="244"/>
        <v>Inter-Transaction</v>
      </c>
      <c r="Y1119" s="7">
        <f t="shared" si="245"/>
        <v>1915.76</v>
      </c>
      <c r="Z1119" s="7">
        <f t="shared" si="246"/>
        <v>56</v>
      </c>
      <c r="AA1119" s="7">
        <f t="shared" si="247"/>
        <v>2023</v>
      </c>
      <c r="AB1119" s="7">
        <f t="shared" si="248"/>
        <v>3</v>
      </c>
      <c r="AC1119" s="7">
        <f t="shared" si="249"/>
        <v>1</v>
      </c>
      <c r="AD1119" s="7" t="str">
        <f t="shared" si="250"/>
        <v>No</v>
      </c>
      <c r="AE1119" s="7" t="str">
        <f t="shared" si="251"/>
        <v>Normal</v>
      </c>
    </row>
    <row r="1120" spans="1:31">
      <c r="A1120" t="s">
        <v>3253</v>
      </c>
      <c r="B1120">
        <v>16982290</v>
      </c>
      <c r="C1120" t="s">
        <v>634</v>
      </c>
      <c r="D1120" t="s">
        <v>1353</v>
      </c>
      <c r="E1120" t="s">
        <v>20</v>
      </c>
      <c r="F1120" t="s">
        <v>35</v>
      </c>
      <c r="G1120" t="s">
        <v>98</v>
      </c>
      <c r="I1120" t="s">
        <v>3372</v>
      </c>
      <c r="J1120">
        <v>1330.93</v>
      </c>
      <c r="K1120" t="s">
        <v>47</v>
      </c>
      <c r="L1120" t="s">
        <v>28</v>
      </c>
      <c r="M1120" s="1">
        <v>46317.724305555559</v>
      </c>
      <c r="N1120">
        <v>32</v>
      </c>
      <c r="O1120" t="s">
        <v>36</v>
      </c>
      <c r="P1120" t="s">
        <v>23</v>
      </c>
      <c r="Q1120" t="s">
        <v>3254</v>
      </c>
      <c r="R1120" t="str">
        <f t="shared" si="238"/>
        <v>Amir Jackson</v>
      </c>
      <c r="S1120" t="str">
        <f t="shared" si="239"/>
        <v>Fatima Souza</v>
      </c>
      <c r="T1120" t="str">
        <f t="shared" si="240"/>
        <v>EUR</v>
      </c>
      <c r="U1120" s="7" t="str">
        <f t="shared" si="241"/>
        <v>JPY</v>
      </c>
      <c r="V1120" s="7" t="str">
        <f t="shared" si="242"/>
        <v>Germany</v>
      </c>
      <c r="W1120" s="7" t="str">
        <f t="shared" si="243"/>
        <v>France</v>
      </c>
      <c r="X1120" s="7" t="str">
        <f t="shared" si="244"/>
        <v>Outer-Transaction</v>
      </c>
      <c r="Y1120" s="7">
        <f t="shared" si="245"/>
        <v>1330.93</v>
      </c>
      <c r="Z1120" s="7">
        <f t="shared" si="246"/>
        <v>32</v>
      </c>
      <c r="AA1120" s="7">
        <f t="shared" si="247"/>
        <v>2026</v>
      </c>
      <c r="AB1120" s="7">
        <f t="shared" si="248"/>
        <v>10</v>
      </c>
      <c r="AC1120" s="7">
        <f t="shared" si="249"/>
        <v>1</v>
      </c>
      <c r="AD1120" s="7" t="str">
        <f t="shared" si="250"/>
        <v>No</v>
      </c>
      <c r="AE1120" s="7" t="str">
        <f t="shared" si="251"/>
        <v>Normal</v>
      </c>
    </row>
    <row r="1121" spans="1:31">
      <c r="A1121" t="s">
        <v>3255</v>
      </c>
      <c r="B1121">
        <v>51246696</v>
      </c>
      <c r="C1121" t="s">
        <v>1022</v>
      </c>
      <c r="D1121" t="s">
        <v>3256</v>
      </c>
      <c r="E1121" t="s">
        <v>20</v>
      </c>
      <c r="F1121" t="s">
        <v>45</v>
      </c>
      <c r="G1121" t="s">
        <v>22</v>
      </c>
      <c r="H1121" t="s">
        <v>38</v>
      </c>
      <c r="I1121" t="s">
        <v>3378</v>
      </c>
      <c r="J1121">
        <v>9958.02</v>
      </c>
      <c r="K1121" t="s">
        <v>57</v>
      </c>
      <c r="L1121" t="s">
        <v>75</v>
      </c>
      <c r="M1121" s="1">
        <v>44392.341666666667</v>
      </c>
      <c r="N1121">
        <v>21</v>
      </c>
      <c r="O1121" t="s">
        <v>127</v>
      </c>
      <c r="P1121" t="s">
        <v>24</v>
      </c>
      <c r="Q1121" t="s">
        <v>3257</v>
      </c>
      <c r="R1121" t="str">
        <f t="shared" si="238"/>
        <v>Barbara Smith</v>
      </c>
      <c r="S1121" t="str">
        <f t="shared" si="239"/>
        <v>Thomas Anderson</v>
      </c>
      <c r="T1121" t="str">
        <f t="shared" si="240"/>
        <v>ZAR</v>
      </c>
      <c r="U1121" s="7" t="str">
        <f t="shared" si="241"/>
        <v>BRL</v>
      </c>
      <c r="V1121" s="7" t="str">
        <f t="shared" si="242"/>
        <v>Canada</v>
      </c>
      <c r="W1121" s="7" t="str">
        <f t="shared" si="243"/>
        <v>Brazil</v>
      </c>
      <c r="X1121" s="7" t="str">
        <f t="shared" si="244"/>
        <v>Inter-Transaction</v>
      </c>
      <c r="Y1121" s="7">
        <f t="shared" si="245"/>
        <v>9958.02</v>
      </c>
      <c r="Z1121" s="7">
        <f t="shared" si="246"/>
        <v>21</v>
      </c>
      <c r="AA1121" s="7">
        <f t="shared" si="247"/>
        <v>2021</v>
      </c>
      <c r="AB1121" s="7">
        <f t="shared" si="248"/>
        <v>7</v>
      </c>
      <c r="AC1121" s="7">
        <f t="shared" si="249"/>
        <v>1</v>
      </c>
      <c r="AD1121" s="7" t="str">
        <f t="shared" si="250"/>
        <v>No</v>
      </c>
      <c r="AE1121" s="7" t="str">
        <f t="shared" si="251"/>
        <v>High Risk</v>
      </c>
    </row>
    <row r="1122" spans="1:31">
      <c r="A1122" t="s">
        <v>3258</v>
      </c>
      <c r="B1122">
        <v>84942046</v>
      </c>
      <c r="C1122" t="s">
        <v>3259</v>
      </c>
      <c r="D1122" t="s">
        <v>764</v>
      </c>
      <c r="E1122" t="s">
        <v>20</v>
      </c>
      <c r="F1122" t="s">
        <v>92</v>
      </c>
      <c r="G1122" t="s">
        <v>116</v>
      </c>
      <c r="H1122" t="s">
        <v>25</v>
      </c>
      <c r="I1122" t="s">
        <v>3376</v>
      </c>
      <c r="J1122">
        <v>13761.24</v>
      </c>
      <c r="K1122" t="s">
        <v>86</v>
      </c>
      <c r="L1122" t="s">
        <v>28</v>
      </c>
      <c r="M1122" s="1">
        <v>45996.04583333333</v>
      </c>
      <c r="N1122">
        <v>42</v>
      </c>
      <c r="O1122" t="s">
        <v>23</v>
      </c>
      <c r="P1122" t="s">
        <v>127</v>
      </c>
      <c r="Q1122" t="s">
        <v>3260</v>
      </c>
      <c r="R1122" t="str">
        <f t="shared" si="238"/>
        <v>FATIMA GARCIA</v>
      </c>
      <c r="S1122" t="str">
        <f t="shared" si="239"/>
        <v>Nancy Jackson</v>
      </c>
      <c r="T1122" t="str">
        <f t="shared" si="240"/>
        <v>AUD</v>
      </c>
      <c r="U1122" s="7" t="str">
        <f t="shared" si="241"/>
        <v>CHF</v>
      </c>
      <c r="V1122" s="7" t="str">
        <f t="shared" si="242"/>
        <v>France</v>
      </c>
      <c r="W1122" s="7" t="str">
        <f t="shared" si="243"/>
        <v>Canada</v>
      </c>
      <c r="X1122" s="7" t="str">
        <f t="shared" si="244"/>
        <v>Internal</v>
      </c>
      <c r="Y1122" s="7">
        <f t="shared" si="245"/>
        <v>13761.24</v>
      </c>
      <c r="Z1122" s="7">
        <f t="shared" si="246"/>
        <v>42</v>
      </c>
      <c r="AA1122" s="7">
        <f t="shared" si="247"/>
        <v>2025</v>
      </c>
      <c r="AB1122" s="7">
        <f t="shared" si="248"/>
        <v>12</v>
      </c>
      <c r="AC1122" s="7">
        <f t="shared" si="249"/>
        <v>1</v>
      </c>
      <c r="AD1122" s="7" t="str">
        <f t="shared" si="250"/>
        <v>No</v>
      </c>
      <c r="AE1122" s="7" t="str">
        <f t="shared" si="251"/>
        <v>Normal</v>
      </c>
    </row>
    <row r="1123" spans="1:31">
      <c r="A1123" t="s">
        <v>3261</v>
      </c>
      <c r="B1123">
        <v>80657083</v>
      </c>
      <c r="C1123" t="s">
        <v>188</v>
      </c>
      <c r="D1123" t="s">
        <v>3262</v>
      </c>
      <c r="E1123" t="s">
        <v>20</v>
      </c>
      <c r="F1123" t="s">
        <v>22</v>
      </c>
      <c r="G1123" t="s">
        <v>35</v>
      </c>
      <c r="H1123" t="s">
        <v>25</v>
      </c>
      <c r="I1123" t="s">
        <v>3374</v>
      </c>
      <c r="J1123">
        <v>12160.18</v>
      </c>
      <c r="K1123" t="s">
        <v>57</v>
      </c>
      <c r="L1123" t="s">
        <v>81</v>
      </c>
      <c r="M1123" s="1">
        <v>45568.638888888891</v>
      </c>
      <c r="N1123">
        <v>30</v>
      </c>
      <c r="O1123" t="s">
        <v>127</v>
      </c>
      <c r="P1123" t="s">
        <v>55</v>
      </c>
      <c r="Q1123" t="s">
        <v>3263</v>
      </c>
      <c r="R1123" t="str">
        <f t="shared" si="238"/>
        <v>Sanjay Jones</v>
      </c>
      <c r="S1123" t="str">
        <f t="shared" si="239"/>
        <v>Linda Velez</v>
      </c>
      <c r="T1123" t="str">
        <f t="shared" si="240"/>
        <v>BRL</v>
      </c>
      <c r="U1123" s="7" t="str">
        <f t="shared" si="241"/>
        <v>EUR</v>
      </c>
      <c r="V1123" s="7" t="str">
        <f t="shared" si="242"/>
        <v>Canada</v>
      </c>
      <c r="W1123" s="7" t="str">
        <f t="shared" si="243"/>
        <v>UK</v>
      </c>
      <c r="X1123" s="7" t="str">
        <f t="shared" si="244"/>
        <v>External</v>
      </c>
      <c r="Y1123" s="7">
        <f t="shared" si="245"/>
        <v>12160.18</v>
      </c>
      <c r="Z1123" s="7">
        <f t="shared" si="246"/>
        <v>30</v>
      </c>
      <c r="AA1123" s="7">
        <f t="shared" si="247"/>
        <v>2024</v>
      </c>
      <c r="AB1123" s="7">
        <f t="shared" si="248"/>
        <v>10</v>
      </c>
      <c r="AC1123" s="7">
        <f t="shared" si="249"/>
        <v>1</v>
      </c>
      <c r="AD1123" s="7" t="str">
        <f t="shared" si="250"/>
        <v>No</v>
      </c>
      <c r="AE1123" s="7" t="str">
        <f t="shared" si="251"/>
        <v>Normal</v>
      </c>
    </row>
    <row r="1124" spans="1:31">
      <c r="A1124" t="s">
        <v>3264</v>
      </c>
      <c r="B1124">
        <v>46371670</v>
      </c>
      <c r="C1124" t="s">
        <v>456</v>
      </c>
      <c r="D1124" t="s">
        <v>904</v>
      </c>
      <c r="E1124" t="s">
        <v>33</v>
      </c>
      <c r="F1124" t="s">
        <v>392</v>
      </c>
      <c r="G1124" t="s">
        <v>80</v>
      </c>
      <c r="I1124" t="s">
        <v>3378</v>
      </c>
      <c r="J1124">
        <v>7389.23</v>
      </c>
      <c r="K1124" t="s">
        <v>47</v>
      </c>
      <c r="L1124" t="s">
        <v>81</v>
      </c>
      <c r="M1124" s="1">
        <v>44735.76666666667</v>
      </c>
      <c r="N1124">
        <v>50</v>
      </c>
      <c r="O1124" t="s">
        <v>23</v>
      </c>
      <c r="P1124" t="s">
        <v>68</v>
      </c>
      <c r="Q1124" t="s">
        <v>3265</v>
      </c>
      <c r="R1124" t="str">
        <f t="shared" si="238"/>
        <v>Sarah Jackson</v>
      </c>
      <c r="S1124" t="str">
        <f t="shared" si="239"/>
        <v>Lucas Souza</v>
      </c>
      <c r="T1124" t="str">
        <f t="shared" si="240"/>
        <v>brl</v>
      </c>
      <c r="U1124" s="7" t="str">
        <f t="shared" si="241"/>
        <v>USD</v>
      </c>
      <c r="V1124" s="7" t="str">
        <f t="shared" si="242"/>
        <v>France</v>
      </c>
      <c r="W1124" s="7" t="str">
        <f t="shared" si="243"/>
        <v>UAE</v>
      </c>
      <c r="X1124" s="7" t="str">
        <f t="shared" si="244"/>
        <v>Inter-Transaction</v>
      </c>
      <c r="Y1124" s="7">
        <f t="shared" si="245"/>
        <v>7389.23</v>
      </c>
      <c r="Z1124" s="7">
        <f t="shared" si="246"/>
        <v>50</v>
      </c>
      <c r="AA1124" s="7">
        <f t="shared" si="247"/>
        <v>2022</v>
      </c>
      <c r="AB1124" s="7">
        <f t="shared" si="248"/>
        <v>6</v>
      </c>
      <c r="AC1124" s="7">
        <f t="shared" si="249"/>
        <v>1</v>
      </c>
      <c r="AD1124" s="7" t="str">
        <f t="shared" si="250"/>
        <v>No</v>
      </c>
      <c r="AE1124" s="7" t="str">
        <f t="shared" si="251"/>
        <v>Normal</v>
      </c>
    </row>
    <row r="1125" spans="1:31">
      <c r="A1125" t="s">
        <v>3266</v>
      </c>
      <c r="B1125">
        <v>55580382</v>
      </c>
      <c r="C1125" t="s">
        <v>3267</v>
      </c>
      <c r="D1125" t="s">
        <v>3268</v>
      </c>
      <c r="E1125" t="s">
        <v>20</v>
      </c>
      <c r="F1125" t="s">
        <v>121</v>
      </c>
      <c r="G1125" t="s">
        <v>98</v>
      </c>
      <c r="I1125" t="s">
        <v>3377</v>
      </c>
      <c r="J1125">
        <v>4974.43</v>
      </c>
      <c r="K1125" t="s">
        <v>27</v>
      </c>
      <c r="L1125" t="s">
        <v>28</v>
      </c>
      <c r="M1125" s="1">
        <v>44225.597916666666</v>
      </c>
      <c r="N1125">
        <v>33</v>
      </c>
      <c r="O1125" t="s">
        <v>127</v>
      </c>
      <c r="P1125" t="s">
        <v>93</v>
      </c>
      <c r="Q1125" t="s">
        <v>3269</v>
      </c>
      <c r="R1125" t="str">
        <f t="shared" si="238"/>
        <v>Nancy Thomas</v>
      </c>
      <c r="S1125" t="str">
        <f t="shared" si="239"/>
        <v>Fatima Jones</v>
      </c>
      <c r="T1125" t="str">
        <f t="shared" si="240"/>
        <v>INR</v>
      </c>
      <c r="U1125" s="7" t="str">
        <f t="shared" si="241"/>
        <v>JPY</v>
      </c>
      <c r="V1125" s="7" t="str">
        <f t="shared" si="242"/>
        <v>Canada</v>
      </c>
      <c r="W1125" s="7" t="str">
        <f t="shared" si="243"/>
        <v>USA</v>
      </c>
      <c r="X1125" s="7" t="str">
        <f t="shared" si="244"/>
        <v>Inter-Transaction</v>
      </c>
      <c r="Y1125" s="7">
        <f t="shared" si="245"/>
        <v>4974.43</v>
      </c>
      <c r="Z1125" s="7">
        <f t="shared" si="246"/>
        <v>33</v>
      </c>
      <c r="AA1125" s="7">
        <f t="shared" si="247"/>
        <v>2021</v>
      </c>
      <c r="AB1125" s="7">
        <f t="shared" si="248"/>
        <v>1</v>
      </c>
      <c r="AC1125" s="7">
        <f t="shared" si="249"/>
        <v>1</v>
      </c>
      <c r="AD1125" s="7" t="str">
        <f t="shared" si="250"/>
        <v>No</v>
      </c>
      <c r="AE1125" s="7" t="str">
        <f t="shared" si="251"/>
        <v>Normal</v>
      </c>
    </row>
    <row r="1126" spans="1:31">
      <c r="A1126" t="s">
        <v>3270</v>
      </c>
      <c r="B1126">
        <v>34418079</v>
      </c>
      <c r="C1126" t="s">
        <v>2075</v>
      </c>
      <c r="D1126" t="s">
        <v>1076</v>
      </c>
      <c r="E1126" t="s">
        <v>20</v>
      </c>
      <c r="F1126" t="s">
        <v>53</v>
      </c>
      <c r="G1126" t="s">
        <v>44</v>
      </c>
      <c r="H1126" t="s">
        <v>25</v>
      </c>
      <c r="I1126" t="s">
        <v>3374</v>
      </c>
      <c r="J1126">
        <v>8697.7800000000007</v>
      </c>
      <c r="K1126" t="s">
        <v>57</v>
      </c>
      <c r="L1126" t="s">
        <v>28</v>
      </c>
      <c r="M1126" s="1">
        <v>45557.438888888886</v>
      </c>
      <c r="N1126">
        <v>59</v>
      </c>
      <c r="O1126" t="s">
        <v>36</v>
      </c>
      <c r="P1126" t="s">
        <v>62</v>
      </c>
      <c r="Q1126" t="s">
        <v>3271</v>
      </c>
      <c r="R1126" t="str">
        <f t="shared" si="238"/>
        <v>David Smith</v>
      </c>
      <c r="S1126" t="str">
        <f t="shared" si="239"/>
        <v>Jessica Silva</v>
      </c>
      <c r="T1126" t="str">
        <f t="shared" si="240"/>
        <v>AED</v>
      </c>
      <c r="U1126" s="7" t="str">
        <f t="shared" si="241"/>
        <v>SGD</v>
      </c>
      <c r="V1126" s="7" t="str">
        <f t="shared" si="242"/>
        <v>Germany</v>
      </c>
      <c r="W1126" s="7" t="str">
        <f t="shared" si="243"/>
        <v>Australia</v>
      </c>
      <c r="X1126" s="7" t="str">
        <f t="shared" si="244"/>
        <v>External</v>
      </c>
      <c r="Y1126" s="7">
        <f t="shared" si="245"/>
        <v>8697.7800000000007</v>
      </c>
      <c r="Z1126" s="7">
        <f t="shared" si="246"/>
        <v>59</v>
      </c>
      <c r="AA1126" s="7">
        <f t="shared" si="247"/>
        <v>2024</v>
      </c>
      <c r="AB1126" s="7">
        <f t="shared" si="248"/>
        <v>9</v>
      </c>
      <c r="AC1126" s="7">
        <f t="shared" si="249"/>
        <v>1</v>
      </c>
      <c r="AD1126" s="7" t="str">
        <f t="shared" si="250"/>
        <v>No</v>
      </c>
      <c r="AE1126" s="7" t="str">
        <f t="shared" si="251"/>
        <v>Normal</v>
      </c>
    </row>
    <row r="1127" spans="1:31">
      <c r="A1127" t="s">
        <v>3272</v>
      </c>
      <c r="B1127">
        <v>54188355</v>
      </c>
      <c r="C1127" t="s">
        <v>685</v>
      </c>
      <c r="D1127" t="s">
        <v>1780</v>
      </c>
      <c r="E1127" t="s">
        <v>3375</v>
      </c>
      <c r="F1127" t="s">
        <v>121</v>
      </c>
      <c r="G1127" t="s">
        <v>98</v>
      </c>
      <c r="H1127" t="s">
        <v>103</v>
      </c>
      <c r="I1127" t="s">
        <v>3372</v>
      </c>
      <c r="J1127">
        <v>10461.879999999999</v>
      </c>
      <c r="K1127" t="s">
        <v>27</v>
      </c>
      <c r="L1127" t="s">
        <v>48</v>
      </c>
      <c r="M1127" s="1">
        <v>45547.859722222223</v>
      </c>
      <c r="N1127">
        <v>83</v>
      </c>
      <c r="O1127" t="s">
        <v>36</v>
      </c>
      <c r="P1127" t="s">
        <v>36</v>
      </c>
      <c r="Q1127" t="s">
        <v>3273</v>
      </c>
      <c r="R1127" t="str">
        <f t="shared" si="238"/>
        <v>Sanjay Khan</v>
      </c>
      <c r="S1127" t="str">
        <f t="shared" si="239"/>
        <v>Susan Wilson</v>
      </c>
      <c r="T1127" t="str">
        <f t="shared" si="240"/>
        <v>INR</v>
      </c>
      <c r="U1127" s="7" t="str">
        <f t="shared" si="241"/>
        <v>JPY</v>
      </c>
      <c r="V1127" s="7" t="str">
        <f t="shared" si="242"/>
        <v>Germany</v>
      </c>
      <c r="W1127" s="7" t="str">
        <f t="shared" si="243"/>
        <v>Germany</v>
      </c>
      <c r="X1127" s="7" t="str">
        <f t="shared" si="244"/>
        <v>Outer-Transaction</v>
      </c>
      <c r="Y1127" s="7">
        <f t="shared" si="245"/>
        <v>10461.879999999999</v>
      </c>
      <c r="Z1127" s="7">
        <f t="shared" si="246"/>
        <v>83</v>
      </c>
      <c r="AA1127" s="7">
        <f t="shared" si="247"/>
        <v>2024</v>
      </c>
      <c r="AB1127" s="7">
        <f t="shared" si="248"/>
        <v>9</v>
      </c>
      <c r="AC1127" s="7">
        <f t="shared" si="249"/>
        <v>1</v>
      </c>
      <c r="AD1127" s="7" t="str">
        <f t="shared" si="250"/>
        <v>No</v>
      </c>
      <c r="AE1127" s="7" t="str">
        <f t="shared" si="251"/>
        <v>Normal</v>
      </c>
    </row>
    <row r="1128" spans="1:31">
      <c r="A1128" t="s">
        <v>3274</v>
      </c>
      <c r="B1128">
        <v>21835886</v>
      </c>
      <c r="C1128" t="s">
        <v>957</v>
      </c>
      <c r="D1128" t="s">
        <v>346</v>
      </c>
      <c r="E1128" t="s">
        <v>20</v>
      </c>
      <c r="F1128" t="s">
        <v>92</v>
      </c>
      <c r="G1128" t="s">
        <v>80</v>
      </c>
      <c r="H1128" t="s">
        <v>25</v>
      </c>
      <c r="I1128" t="s">
        <v>3376</v>
      </c>
      <c r="J1128">
        <v>9234.83</v>
      </c>
      <c r="K1128" t="s">
        <v>47</v>
      </c>
      <c r="L1128" t="s">
        <v>28</v>
      </c>
      <c r="M1128" s="1">
        <v>44765.796527777777</v>
      </c>
      <c r="N1128">
        <v>72</v>
      </c>
      <c r="O1128" t="s">
        <v>24</v>
      </c>
      <c r="P1128" t="s">
        <v>37</v>
      </c>
      <c r="Q1128" t="s">
        <v>3275</v>
      </c>
      <c r="R1128" t="str">
        <f t="shared" si="238"/>
        <v>Patricia Silva</v>
      </c>
      <c r="S1128" t="str">
        <f t="shared" si="239"/>
        <v>Fatima Malik</v>
      </c>
      <c r="T1128" t="str">
        <f t="shared" si="240"/>
        <v>AUD</v>
      </c>
      <c r="U1128" s="7" t="str">
        <f t="shared" si="241"/>
        <v>USD</v>
      </c>
      <c r="V1128" s="7" t="str">
        <f t="shared" si="242"/>
        <v>Brazil</v>
      </c>
      <c r="W1128" s="7" t="str">
        <f t="shared" si="243"/>
        <v>South Africa</v>
      </c>
      <c r="X1128" s="7" t="str">
        <f t="shared" si="244"/>
        <v>Internal</v>
      </c>
      <c r="Y1128" s="7">
        <f t="shared" si="245"/>
        <v>9234.83</v>
      </c>
      <c r="Z1128" s="7">
        <f t="shared" si="246"/>
        <v>72</v>
      </c>
      <c r="AA1128" s="7">
        <f t="shared" si="247"/>
        <v>2022</v>
      </c>
      <c r="AB1128" s="7">
        <f t="shared" si="248"/>
        <v>7</v>
      </c>
      <c r="AC1128" s="7">
        <f t="shared" si="249"/>
        <v>1</v>
      </c>
      <c r="AD1128" s="7" t="str">
        <f t="shared" si="250"/>
        <v>No</v>
      </c>
      <c r="AE1128" s="7" t="str">
        <f t="shared" si="251"/>
        <v>Normal</v>
      </c>
    </row>
    <row r="1129" spans="1:31">
      <c r="A1129" t="s">
        <v>3276</v>
      </c>
      <c r="B1129">
        <v>43003049</v>
      </c>
      <c r="C1129" t="s">
        <v>865</v>
      </c>
      <c r="D1129" t="s">
        <v>3277</v>
      </c>
      <c r="E1129" t="s">
        <v>20</v>
      </c>
      <c r="F1129" t="s">
        <v>35</v>
      </c>
      <c r="G1129" t="s">
        <v>116</v>
      </c>
      <c r="H1129" t="s">
        <v>103</v>
      </c>
      <c r="I1129" t="s">
        <v>3371</v>
      </c>
      <c r="J1129">
        <v>4621.3100000000004</v>
      </c>
      <c r="K1129" t="s">
        <v>47</v>
      </c>
      <c r="L1129" t="s">
        <v>48</v>
      </c>
      <c r="M1129" s="1">
        <v>44932.4</v>
      </c>
      <c r="N1129">
        <v>59</v>
      </c>
      <c r="O1129" t="s">
        <v>93</v>
      </c>
      <c r="P1129" t="s">
        <v>24</v>
      </c>
      <c r="Q1129" t="s">
        <v>3278</v>
      </c>
      <c r="R1129" t="str">
        <f t="shared" si="238"/>
        <v>Karen Garcia</v>
      </c>
      <c r="S1129" t="str">
        <f t="shared" si="239"/>
        <v xml:space="preserve"> Elena Jackson   </v>
      </c>
      <c r="T1129" t="str">
        <f t="shared" si="240"/>
        <v>EUR</v>
      </c>
      <c r="U1129" s="7" t="str">
        <f t="shared" si="241"/>
        <v>CHF</v>
      </c>
      <c r="V1129" s="7" t="str">
        <f t="shared" si="242"/>
        <v>USA</v>
      </c>
      <c r="W1129" s="7" t="str">
        <f t="shared" si="243"/>
        <v>Brazil</v>
      </c>
      <c r="X1129" s="7" t="str">
        <f t="shared" si="244"/>
        <v>Outer-Transaction</v>
      </c>
      <c r="Y1129" s="7">
        <f t="shared" si="245"/>
        <v>4621.3100000000004</v>
      </c>
      <c r="Z1129" s="7">
        <f t="shared" si="246"/>
        <v>59</v>
      </c>
      <c r="AA1129" s="7">
        <f t="shared" si="247"/>
        <v>2023</v>
      </c>
      <c r="AB1129" s="7">
        <f t="shared" si="248"/>
        <v>1</v>
      </c>
      <c r="AC1129" s="7">
        <f t="shared" si="249"/>
        <v>1</v>
      </c>
      <c r="AD1129" s="7" t="str">
        <f t="shared" si="250"/>
        <v>No</v>
      </c>
      <c r="AE1129" s="7" t="str">
        <f t="shared" si="251"/>
        <v>Normal</v>
      </c>
    </row>
    <row r="1130" spans="1:31">
      <c r="A1130" t="s">
        <v>3279</v>
      </c>
      <c r="B1130">
        <v>62860739</v>
      </c>
      <c r="C1130" t="s">
        <v>350</v>
      </c>
      <c r="D1130" t="s">
        <v>547</v>
      </c>
      <c r="E1130" t="s">
        <v>20</v>
      </c>
      <c r="F1130" t="s">
        <v>98</v>
      </c>
      <c r="G1130" t="s">
        <v>98</v>
      </c>
      <c r="H1130" t="s">
        <v>56</v>
      </c>
      <c r="I1130" t="s">
        <v>3374</v>
      </c>
      <c r="J1130">
        <v>9915.83</v>
      </c>
      <c r="K1130" t="s">
        <v>27</v>
      </c>
      <c r="L1130" t="s">
        <v>48</v>
      </c>
      <c r="M1130" s="1">
        <v>45266.35</v>
      </c>
      <c r="N1130">
        <v>51</v>
      </c>
      <c r="O1130" t="s">
        <v>36</v>
      </c>
      <c r="P1130" t="s">
        <v>62</v>
      </c>
      <c r="Q1130" t="s">
        <v>3280</v>
      </c>
      <c r="R1130" t="str">
        <f t="shared" si="238"/>
        <v>Sarah Smith</v>
      </c>
      <c r="S1130" t="str">
        <f t="shared" si="239"/>
        <v>Lucas Moore</v>
      </c>
      <c r="T1130" t="str">
        <f t="shared" si="240"/>
        <v>JPY</v>
      </c>
      <c r="U1130" s="7" t="str">
        <f t="shared" si="241"/>
        <v>JPY</v>
      </c>
      <c r="V1130" s="7" t="str">
        <f t="shared" si="242"/>
        <v>Germany</v>
      </c>
      <c r="W1130" s="7" t="str">
        <f t="shared" si="243"/>
        <v>Australia</v>
      </c>
      <c r="X1130" s="7" t="str">
        <f t="shared" si="244"/>
        <v>External</v>
      </c>
      <c r="Y1130" s="7">
        <f t="shared" si="245"/>
        <v>9915.83</v>
      </c>
      <c r="Z1130" s="7">
        <f t="shared" si="246"/>
        <v>51</v>
      </c>
      <c r="AA1130" s="7">
        <f t="shared" si="247"/>
        <v>2023</v>
      </c>
      <c r="AB1130" s="7">
        <f t="shared" si="248"/>
        <v>12</v>
      </c>
      <c r="AC1130" s="7">
        <f t="shared" si="249"/>
        <v>1</v>
      </c>
      <c r="AD1130" s="7" t="str">
        <f t="shared" si="250"/>
        <v>No</v>
      </c>
      <c r="AE1130" s="7" t="str">
        <f t="shared" si="251"/>
        <v>Normal</v>
      </c>
    </row>
    <row r="1131" spans="1:31">
      <c r="A1131" t="s">
        <v>3281</v>
      </c>
      <c r="B1131">
        <v>10216145</v>
      </c>
      <c r="C1131" t="s">
        <v>277</v>
      </c>
      <c r="D1131" t="s">
        <v>1662</v>
      </c>
      <c r="E1131" t="s">
        <v>20</v>
      </c>
      <c r="F1131" t="s">
        <v>121</v>
      </c>
      <c r="G1131" t="s">
        <v>34</v>
      </c>
      <c r="H1131" t="s">
        <v>103</v>
      </c>
      <c r="I1131" t="s">
        <v>3374</v>
      </c>
      <c r="J1131">
        <v>14132.4</v>
      </c>
      <c r="K1131" t="s">
        <v>39</v>
      </c>
      <c r="L1131" t="s">
        <v>81</v>
      </c>
      <c r="M1131" s="1">
        <v>43905.000694444447</v>
      </c>
      <c r="N1131">
        <v>47</v>
      </c>
      <c r="O1131" t="s">
        <v>23</v>
      </c>
      <c r="P1131" t="s">
        <v>36</v>
      </c>
      <c r="Q1131" t="s">
        <v>3282</v>
      </c>
      <c r="R1131" t="str">
        <f t="shared" si="238"/>
        <v>Jean-Pierre Dubois</v>
      </c>
      <c r="S1131" t="str">
        <f t="shared" si="239"/>
        <v>Patricia Taylor</v>
      </c>
      <c r="T1131" t="str">
        <f t="shared" si="240"/>
        <v>INR</v>
      </c>
      <c r="U1131" s="7" t="str">
        <f t="shared" si="241"/>
        <v>CAD</v>
      </c>
      <c r="V1131" s="7" t="str">
        <f t="shared" si="242"/>
        <v>France</v>
      </c>
      <c r="W1131" s="7" t="str">
        <f t="shared" si="243"/>
        <v>Germany</v>
      </c>
      <c r="X1131" s="7" t="str">
        <f t="shared" si="244"/>
        <v>External</v>
      </c>
      <c r="Y1131" s="7">
        <f t="shared" si="245"/>
        <v>14132.4</v>
      </c>
      <c r="Z1131" s="7">
        <f t="shared" si="246"/>
        <v>47</v>
      </c>
      <c r="AA1131" s="7">
        <f t="shared" si="247"/>
        <v>2020</v>
      </c>
      <c r="AB1131" s="7">
        <f t="shared" si="248"/>
        <v>3</v>
      </c>
      <c r="AC1131" s="7">
        <f t="shared" si="249"/>
        <v>1</v>
      </c>
      <c r="AD1131" s="7" t="str">
        <f t="shared" si="250"/>
        <v>No</v>
      </c>
      <c r="AE1131" s="7" t="str">
        <f t="shared" si="251"/>
        <v>Normal</v>
      </c>
    </row>
    <row r="1132" spans="1:31">
      <c r="A1132" t="s">
        <v>3283</v>
      </c>
      <c r="B1132">
        <v>46077835</v>
      </c>
      <c r="C1132" t="s">
        <v>490</v>
      </c>
      <c r="D1132" t="s">
        <v>3284</v>
      </c>
      <c r="E1132" t="s">
        <v>3375</v>
      </c>
      <c r="F1132" t="s">
        <v>44</v>
      </c>
      <c r="G1132" t="s">
        <v>34</v>
      </c>
      <c r="H1132" t="s">
        <v>103</v>
      </c>
      <c r="I1132" t="s">
        <v>3374</v>
      </c>
      <c r="J1132">
        <v>11811.5</v>
      </c>
      <c r="K1132" t="s">
        <v>57</v>
      </c>
      <c r="L1132" t="s">
        <v>48</v>
      </c>
      <c r="M1132" s="1">
        <v>44125.78125</v>
      </c>
      <c r="N1132">
        <v>30</v>
      </c>
      <c r="O1132" t="s">
        <v>36</v>
      </c>
      <c r="P1132" t="s">
        <v>36</v>
      </c>
      <c r="Q1132" t="s">
        <v>3285</v>
      </c>
      <c r="R1132" t="str">
        <f t="shared" si="238"/>
        <v>Fatima Rodriguez</v>
      </c>
      <c r="S1132" t="str">
        <f t="shared" si="239"/>
        <v>Christopher Hernandez</v>
      </c>
      <c r="T1132" t="str">
        <f t="shared" si="240"/>
        <v>SGD</v>
      </c>
      <c r="U1132" s="7" t="str">
        <f t="shared" si="241"/>
        <v>CAD</v>
      </c>
      <c r="V1132" s="7" t="str">
        <f t="shared" si="242"/>
        <v>Germany</v>
      </c>
      <c r="W1132" s="7" t="str">
        <f t="shared" si="243"/>
        <v>Germany</v>
      </c>
      <c r="X1132" s="7" t="str">
        <f t="shared" si="244"/>
        <v>External</v>
      </c>
      <c r="Y1132" s="7">
        <f t="shared" si="245"/>
        <v>11811.5</v>
      </c>
      <c r="Z1132" s="7">
        <f t="shared" si="246"/>
        <v>30</v>
      </c>
      <c r="AA1132" s="7">
        <f t="shared" si="247"/>
        <v>2020</v>
      </c>
      <c r="AB1132" s="7">
        <f t="shared" si="248"/>
        <v>10</v>
      </c>
      <c r="AC1132" s="7">
        <f t="shared" si="249"/>
        <v>1</v>
      </c>
      <c r="AD1132" s="7" t="str">
        <f t="shared" si="250"/>
        <v>No</v>
      </c>
      <c r="AE1132" s="7" t="str">
        <f t="shared" si="251"/>
        <v>Normal</v>
      </c>
    </row>
    <row r="1133" spans="1:31">
      <c r="A1133" t="s">
        <v>3286</v>
      </c>
      <c r="B1133">
        <v>95377710</v>
      </c>
      <c r="C1133" t="s">
        <v>135</v>
      </c>
      <c r="D1133" t="s">
        <v>387</v>
      </c>
      <c r="E1133" t="s">
        <v>3373</v>
      </c>
      <c r="F1133" t="s">
        <v>21</v>
      </c>
      <c r="G1133" t="s">
        <v>92</v>
      </c>
      <c r="H1133" t="s">
        <v>38</v>
      </c>
      <c r="I1133" t="s">
        <v>3372</v>
      </c>
      <c r="J1133">
        <v>6371.77</v>
      </c>
      <c r="K1133" t="s">
        <v>57</v>
      </c>
      <c r="L1133" t="s">
        <v>48</v>
      </c>
      <c r="M1133" s="1">
        <v>43851.820138888892</v>
      </c>
      <c r="N1133">
        <v>30</v>
      </c>
      <c r="O1133" t="s">
        <v>24</v>
      </c>
      <c r="P1133" t="s">
        <v>68</v>
      </c>
      <c r="Q1133" t="s">
        <v>3287</v>
      </c>
      <c r="R1133" t="str">
        <f t="shared" si="238"/>
        <v>Barbara Taylor</v>
      </c>
      <c r="S1133" t="str">
        <f t="shared" si="239"/>
        <v>Joseph Velez</v>
      </c>
      <c r="T1133" t="str">
        <f t="shared" si="240"/>
        <v>GBP</v>
      </c>
      <c r="U1133" s="7" t="str">
        <f t="shared" si="241"/>
        <v>AUD</v>
      </c>
      <c r="V1133" s="7" t="str">
        <f t="shared" si="242"/>
        <v>Brazil</v>
      </c>
      <c r="W1133" s="7" t="str">
        <f t="shared" si="243"/>
        <v>UAE</v>
      </c>
      <c r="X1133" s="7" t="str">
        <f t="shared" si="244"/>
        <v>Outer-Transaction</v>
      </c>
      <c r="Y1133" s="7">
        <f t="shared" si="245"/>
        <v>6371.77</v>
      </c>
      <c r="Z1133" s="7">
        <f t="shared" si="246"/>
        <v>30</v>
      </c>
      <c r="AA1133" s="7">
        <f t="shared" si="247"/>
        <v>2020</v>
      </c>
      <c r="AB1133" s="7">
        <f t="shared" si="248"/>
        <v>1</v>
      </c>
      <c r="AC1133" s="7">
        <f t="shared" si="249"/>
        <v>2</v>
      </c>
      <c r="AD1133" s="7" t="str">
        <f t="shared" si="250"/>
        <v>No</v>
      </c>
      <c r="AE1133" s="7" t="str">
        <f t="shared" si="251"/>
        <v>Normal</v>
      </c>
    </row>
    <row r="1134" spans="1:31">
      <c r="A1134" t="s">
        <v>3288</v>
      </c>
      <c r="B1134">
        <v>92057677</v>
      </c>
      <c r="C1134" t="s">
        <v>2336</v>
      </c>
      <c r="D1134" t="s">
        <v>2384</v>
      </c>
      <c r="E1134" t="s">
        <v>20</v>
      </c>
      <c r="F1134" t="s">
        <v>22</v>
      </c>
      <c r="G1134" t="s">
        <v>80</v>
      </c>
      <c r="H1134" t="s">
        <v>74</v>
      </c>
      <c r="I1134" t="s">
        <v>3377</v>
      </c>
      <c r="J1134">
        <v>12527.7</v>
      </c>
      <c r="K1134" t="s">
        <v>39</v>
      </c>
      <c r="L1134" t="s">
        <v>48</v>
      </c>
      <c r="M1134" s="1">
        <v>44869.361805555556</v>
      </c>
      <c r="N1134">
        <v>35</v>
      </c>
      <c r="O1134" t="s">
        <v>54</v>
      </c>
      <c r="P1134" t="s">
        <v>68</v>
      </c>
      <c r="Q1134" t="s">
        <v>3289</v>
      </c>
      <c r="R1134" t="str">
        <f t="shared" si="238"/>
        <v>Joseph Anderson</v>
      </c>
      <c r="S1134" t="str">
        <f t="shared" si="239"/>
        <v>Charles Martin</v>
      </c>
      <c r="T1134" t="str">
        <f t="shared" si="240"/>
        <v>BRL</v>
      </c>
      <c r="U1134" s="7" t="str">
        <f t="shared" si="241"/>
        <v>USD</v>
      </c>
      <c r="V1134" s="7" t="str">
        <f t="shared" si="242"/>
        <v>India</v>
      </c>
      <c r="W1134" s="7" t="str">
        <f t="shared" si="243"/>
        <v>UAE</v>
      </c>
      <c r="X1134" s="7" t="str">
        <f t="shared" si="244"/>
        <v>Inter-Transaction</v>
      </c>
      <c r="Y1134" s="7">
        <f t="shared" si="245"/>
        <v>12527.7</v>
      </c>
      <c r="Z1134" s="7">
        <f t="shared" si="246"/>
        <v>35</v>
      </c>
      <c r="AA1134" s="7">
        <f t="shared" si="247"/>
        <v>2022</v>
      </c>
      <c r="AB1134" s="7">
        <f t="shared" si="248"/>
        <v>11</v>
      </c>
      <c r="AC1134" s="7">
        <f t="shared" si="249"/>
        <v>1</v>
      </c>
      <c r="AD1134" s="7" t="str">
        <f t="shared" si="250"/>
        <v>No</v>
      </c>
      <c r="AE1134" s="7" t="str">
        <f t="shared" si="251"/>
        <v>Normal</v>
      </c>
    </row>
    <row r="1135" spans="1:31">
      <c r="A1135" t="s">
        <v>3290</v>
      </c>
      <c r="C1135" t="s">
        <v>3291</v>
      </c>
      <c r="D1135" t="s">
        <v>1593</v>
      </c>
      <c r="E1135" t="s">
        <v>33</v>
      </c>
      <c r="F1135" t="s">
        <v>53</v>
      </c>
      <c r="G1135" t="s">
        <v>45</v>
      </c>
      <c r="H1135" t="s">
        <v>103</v>
      </c>
      <c r="I1135" t="s">
        <v>3372</v>
      </c>
      <c r="J1135">
        <v>9827.0499999999993</v>
      </c>
      <c r="K1135" t="s">
        <v>86</v>
      </c>
      <c r="L1135" t="s">
        <v>28</v>
      </c>
      <c r="M1135" s="1">
        <v>45065.219444444447</v>
      </c>
      <c r="N1135">
        <v>49</v>
      </c>
      <c r="O1135" t="s">
        <v>23</v>
      </c>
      <c r="P1135" t="s">
        <v>68</v>
      </c>
      <c r="Q1135" t="s">
        <v>3292</v>
      </c>
      <c r="R1135" t="str">
        <f t="shared" si="238"/>
        <v>DAVID DUBOIS</v>
      </c>
      <c r="S1135" t="str">
        <f t="shared" si="239"/>
        <v>Karen Silva</v>
      </c>
      <c r="T1135" t="str">
        <f t="shared" si="240"/>
        <v>AED</v>
      </c>
      <c r="U1135" s="7" t="str">
        <f t="shared" si="241"/>
        <v>ZAR</v>
      </c>
      <c r="V1135" s="7" t="str">
        <f t="shared" si="242"/>
        <v>France</v>
      </c>
      <c r="W1135" s="7" t="str">
        <f t="shared" si="243"/>
        <v>UAE</v>
      </c>
      <c r="X1135" s="7" t="str">
        <f t="shared" si="244"/>
        <v>Outer-Transaction</v>
      </c>
      <c r="Y1135" s="7">
        <f t="shared" si="245"/>
        <v>9827.0499999999993</v>
      </c>
      <c r="Z1135" s="7">
        <f t="shared" si="246"/>
        <v>49</v>
      </c>
      <c r="AA1135" s="7">
        <f t="shared" si="247"/>
        <v>2023</v>
      </c>
      <c r="AB1135" s="7">
        <f t="shared" si="248"/>
        <v>5</v>
      </c>
      <c r="AC1135" s="7">
        <f t="shared" si="249"/>
        <v>1</v>
      </c>
      <c r="AD1135" s="7" t="str">
        <f t="shared" si="250"/>
        <v>No</v>
      </c>
      <c r="AE1135" s="7" t="str">
        <f t="shared" si="251"/>
        <v>Normal</v>
      </c>
    </row>
    <row r="1136" spans="1:31">
      <c r="A1136" t="s">
        <v>3293</v>
      </c>
      <c r="B1136">
        <v>39416977</v>
      </c>
      <c r="C1136" t="s">
        <v>1578</v>
      </c>
      <c r="D1136" t="s">
        <v>614</v>
      </c>
      <c r="E1136" t="s">
        <v>3375</v>
      </c>
      <c r="F1136" t="s">
        <v>98</v>
      </c>
      <c r="G1136" t="s">
        <v>92</v>
      </c>
      <c r="H1136" t="s">
        <v>56</v>
      </c>
      <c r="I1136" t="s">
        <v>3377</v>
      </c>
      <c r="J1136">
        <v>5182.3</v>
      </c>
      <c r="K1136" t="s">
        <v>27</v>
      </c>
      <c r="L1136" t="s">
        <v>48</v>
      </c>
      <c r="M1136" s="1">
        <v>44390.210416666669</v>
      </c>
      <c r="N1136">
        <v>56</v>
      </c>
      <c r="O1136" t="s">
        <v>24</v>
      </c>
      <c r="P1136" t="s">
        <v>54</v>
      </c>
      <c r="Q1136" t="s">
        <v>3294</v>
      </c>
      <c r="R1136" t="str">
        <f t="shared" si="238"/>
        <v>Thomas Al-Sayed</v>
      </c>
      <c r="S1136" t="str">
        <f t="shared" si="239"/>
        <v>Elizabeth Lopez</v>
      </c>
      <c r="T1136" t="str">
        <f t="shared" si="240"/>
        <v>JPY</v>
      </c>
      <c r="U1136" s="7" t="str">
        <f t="shared" si="241"/>
        <v>AUD</v>
      </c>
      <c r="V1136" s="7" t="str">
        <f t="shared" si="242"/>
        <v>Brazil</v>
      </c>
      <c r="W1136" s="7" t="str">
        <f t="shared" si="243"/>
        <v>India</v>
      </c>
      <c r="X1136" s="7" t="str">
        <f t="shared" si="244"/>
        <v>Inter-Transaction</v>
      </c>
      <c r="Y1136" s="7">
        <f t="shared" si="245"/>
        <v>5182.3</v>
      </c>
      <c r="Z1136" s="7">
        <f t="shared" si="246"/>
        <v>56</v>
      </c>
      <c r="AA1136" s="7">
        <f t="shared" si="247"/>
        <v>2021</v>
      </c>
      <c r="AB1136" s="7">
        <f t="shared" si="248"/>
        <v>7</v>
      </c>
      <c r="AC1136" s="7">
        <f t="shared" si="249"/>
        <v>1</v>
      </c>
      <c r="AD1136" s="7" t="str">
        <f t="shared" si="250"/>
        <v>No</v>
      </c>
      <c r="AE1136" s="7" t="str">
        <f t="shared" si="251"/>
        <v>Normal</v>
      </c>
    </row>
    <row r="1137" spans="1:31">
      <c r="A1137" t="s">
        <v>3295</v>
      </c>
      <c r="B1137">
        <v>28493340</v>
      </c>
      <c r="C1137" t="s">
        <v>1738</v>
      </c>
      <c r="D1137" t="s">
        <v>943</v>
      </c>
      <c r="E1137" t="s">
        <v>20</v>
      </c>
      <c r="F1137" t="s">
        <v>121</v>
      </c>
      <c r="G1137" t="s">
        <v>92</v>
      </c>
      <c r="I1137" t="s">
        <v>3371</v>
      </c>
      <c r="J1137">
        <v>10661.85</v>
      </c>
      <c r="K1137" t="s">
        <v>57</v>
      </c>
      <c r="L1137" t="s">
        <v>81</v>
      </c>
      <c r="M1137" s="1">
        <v>44940.793055555558</v>
      </c>
      <c r="N1137">
        <v>63</v>
      </c>
      <c r="O1137" t="s">
        <v>62</v>
      </c>
      <c r="P1137" t="s">
        <v>54</v>
      </c>
      <c r="Q1137" t="s">
        <v>3296</v>
      </c>
      <c r="R1137" t="str">
        <f t="shared" si="238"/>
        <v>Sarah Jones</v>
      </c>
      <c r="S1137" t="str">
        <f t="shared" si="239"/>
        <v>Mary Nair</v>
      </c>
      <c r="T1137" t="str">
        <f t="shared" si="240"/>
        <v>INR</v>
      </c>
      <c r="U1137" s="7" t="str">
        <f t="shared" si="241"/>
        <v>AUD</v>
      </c>
      <c r="V1137" s="7" t="str">
        <f t="shared" si="242"/>
        <v>Australia</v>
      </c>
      <c r="W1137" s="7" t="str">
        <f t="shared" si="243"/>
        <v>India</v>
      </c>
      <c r="X1137" s="7" t="str">
        <f t="shared" si="244"/>
        <v>Outer-Transaction</v>
      </c>
      <c r="Y1137" s="7">
        <f t="shared" si="245"/>
        <v>10661.85</v>
      </c>
      <c r="Z1137" s="7">
        <f t="shared" si="246"/>
        <v>63</v>
      </c>
      <c r="AA1137" s="7">
        <f t="shared" si="247"/>
        <v>2023</v>
      </c>
      <c r="AB1137" s="7">
        <f t="shared" si="248"/>
        <v>1</v>
      </c>
      <c r="AC1137" s="7">
        <f t="shared" si="249"/>
        <v>1</v>
      </c>
      <c r="AD1137" s="7" t="str">
        <f t="shared" si="250"/>
        <v>No</v>
      </c>
      <c r="AE1137" s="7" t="str">
        <f t="shared" si="251"/>
        <v>Normal</v>
      </c>
    </row>
    <row r="1138" spans="1:31">
      <c r="A1138" t="s">
        <v>3297</v>
      </c>
      <c r="B1138">
        <v>57971671</v>
      </c>
      <c r="C1138" t="s">
        <v>2854</v>
      </c>
      <c r="D1138" t="s">
        <v>115</v>
      </c>
      <c r="E1138" t="s">
        <v>3375</v>
      </c>
      <c r="F1138" t="s">
        <v>45</v>
      </c>
      <c r="G1138" t="s">
        <v>121</v>
      </c>
      <c r="H1138" t="s">
        <v>38</v>
      </c>
      <c r="I1138" t="s">
        <v>3371</v>
      </c>
      <c r="J1138">
        <v>1349.22</v>
      </c>
      <c r="K1138" t="s">
        <v>47</v>
      </c>
      <c r="L1138" t="s">
        <v>81</v>
      </c>
      <c r="M1138" s="1">
        <v>45003.951388888891</v>
      </c>
      <c r="N1138">
        <v>46</v>
      </c>
      <c r="O1138" t="s">
        <v>62</v>
      </c>
      <c r="P1138" t="s">
        <v>36</v>
      </c>
      <c r="Q1138" t="s">
        <v>3298</v>
      </c>
      <c r="R1138" t="str">
        <f t="shared" si="238"/>
        <v>Richard Al-Sayed</v>
      </c>
      <c r="S1138" t="str">
        <f t="shared" si="239"/>
        <v>Carlos Malik</v>
      </c>
      <c r="T1138" t="str">
        <f t="shared" si="240"/>
        <v>ZAR</v>
      </c>
      <c r="U1138" s="7" t="str">
        <f t="shared" si="241"/>
        <v>INR</v>
      </c>
      <c r="V1138" s="7" t="str">
        <f t="shared" si="242"/>
        <v>Australia</v>
      </c>
      <c r="W1138" s="7" t="str">
        <f t="shared" si="243"/>
        <v>Germany</v>
      </c>
      <c r="X1138" s="7" t="str">
        <f t="shared" si="244"/>
        <v>Outer-Transaction</v>
      </c>
      <c r="Y1138" s="7">
        <f t="shared" si="245"/>
        <v>1349.22</v>
      </c>
      <c r="Z1138" s="7">
        <f t="shared" si="246"/>
        <v>46</v>
      </c>
      <c r="AA1138" s="7">
        <f t="shared" si="247"/>
        <v>2023</v>
      </c>
      <c r="AB1138" s="7">
        <f t="shared" si="248"/>
        <v>3</v>
      </c>
      <c r="AC1138" s="7">
        <f t="shared" si="249"/>
        <v>1</v>
      </c>
      <c r="AD1138" s="7" t="str">
        <f t="shared" si="250"/>
        <v>No</v>
      </c>
      <c r="AE1138" s="7" t="str">
        <f t="shared" si="251"/>
        <v>Normal</v>
      </c>
    </row>
    <row r="1139" spans="1:31">
      <c r="A1139" t="s">
        <v>3299</v>
      </c>
      <c r="B1139">
        <v>10339260</v>
      </c>
      <c r="C1139" t="s">
        <v>1850</v>
      </c>
      <c r="D1139" t="s">
        <v>1258</v>
      </c>
      <c r="E1139" t="s">
        <v>3375</v>
      </c>
      <c r="F1139" t="s">
        <v>44</v>
      </c>
      <c r="G1139" t="s">
        <v>34</v>
      </c>
      <c r="H1139" t="s">
        <v>38</v>
      </c>
      <c r="I1139" t="s">
        <v>3377</v>
      </c>
      <c r="J1139">
        <v>6846.71</v>
      </c>
      <c r="K1139" t="s">
        <v>57</v>
      </c>
      <c r="L1139" t="s">
        <v>75</v>
      </c>
      <c r="M1139" s="1">
        <v>44202.725694444445</v>
      </c>
      <c r="N1139">
        <v>79</v>
      </c>
      <c r="O1139" t="s">
        <v>55</v>
      </c>
      <c r="P1139" t="s">
        <v>68</v>
      </c>
      <c r="Q1139" t="s">
        <v>3300</v>
      </c>
      <c r="R1139" t="str">
        <f t="shared" si="238"/>
        <v>Thomas Moore</v>
      </c>
      <c r="S1139" t="str">
        <f t="shared" si="239"/>
        <v>Nancy Dubois</v>
      </c>
      <c r="T1139" t="str">
        <f t="shared" si="240"/>
        <v>SGD</v>
      </c>
      <c r="U1139" s="7" t="str">
        <f t="shared" si="241"/>
        <v>CAD</v>
      </c>
      <c r="V1139" s="7" t="str">
        <f t="shared" si="242"/>
        <v>UK</v>
      </c>
      <c r="W1139" s="7" t="str">
        <f t="shared" si="243"/>
        <v>UAE</v>
      </c>
      <c r="X1139" s="7" t="str">
        <f t="shared" si="244"/>
        <v>Inter-Transaction</v>
      </c>
      <c r="Y1139" s="7">
        <f t="shared" si="245"/>
        <v>6846.71</v>
      </c>
      <c r="Z1139" s="7">
        <f t="shared" si="246"/>
        <v>79</v>
      </c>
      <c r="AA1139" s="7">
        <f t="shared" si="247"/>
        <v>2021</v>
      </c>
      <c r="AB1139" s="7">
        <f t="shared" si="248"/>
        <v>1</v>
      </c>
      <c r="AC1139" s="7">
        <f t="shared" si="249"/>
        <v>1</v>
      </c>
      <c r="AD1139" s="7" t="str">
        <f t="shared" si="250"/>
        <v>No</v>
      </c>
      <c r="AE1139" s="7" t="str">
        <f t="shared" si="251"/>
        <v>High Risk</v>
      </c>
    </row>
    <row r="1140" spans="1:31">
      <c r="A1140" t="s">
        <v>3301</v>
      </c>
      <c r="B1140">
        <v>23463414</v>
      </c>
      <c r="C1140" t="s">
        <v>3302</v>
      </c>
      <c r="D1140" t="s">
        <v>3303</v>
      </c>
      <c r="E1140" t="s">
        <v>20</v>
      </c>
      <c r="F1140" t="s">
        <v>98</v>
      </c>
      <c r="G1140" t="s">
        <v>45</v>
      </c>
      <c r="H1140" t="s">
        <v>56</v>
      </c>
      <c r="I1140" t="s">
        <v>3372</v>
      </c>
      <c r="J1140">
        <v>6521.25</v>
      </c>
      <c r="K1140" t="s">
        <v>39</v>
      </c>
      <c r="L1140" t="s">
        <v>75</v>
      </c>
      <c r="M1140" s="1">
        <v>45858.982638888891</v>
      </c>
      <c r="N1140">
        <v>79</v>
      </c>
      <c r="O1140" t="s">
        <v>127</v>
      </c>
      <c r="P1140" t="s">
        <v>23</v>
      </c>
      <c r="Q1140" t="s">
        <v>3304</v>
      </c>
      <c r="R1140" t="str">
        <f t="shared" si="238"/>
        <v>Jessica Souza</v>
      </c>
      <c r="S1140" t="str">
        <f t="shared" si="239"/>
        <v>David Martin</v>
      </c>
      <c r="T1140" t="str">
        <f t="shared" si="240"/>
        <v>JPY</v>
      </c>
      <c r="U1140" s="7" t="str">
        <f t="shared" si="241"/>
        <v>ZAR</v>
      </c>
      <c r="V1140" s="7" t="str">
        <f t="shared" si="242"/>
        <v>Canada</v>
      </c>
      <c r="W1140" s="7" t="str">
        <f t="shared" si="243"/>
        <v>France</v>
      </c>
      <c r="X1140" s="7" t="str">
        <f t="shared" si="244"/>
        <v>Outer-Transaction</v>
      </c>
      <c r="Y1140" s="7">
        <f t="shared" si="245"/>
        <v>6521.25</v>
      </c>
      <c r="Z1140" s="7">
        <f t="shared" si="246"/>
        <v>79</v>
      </c>
      <c r="AA1140" s="7">
        <f t="shared" si="247"/>
        <v>2025</v>
      </c>
      <c r="AB1140" s="7">
        <f t="shared" si="248"/>
        <v>7</v>
      </c>
      <c r="AC1140" s="7">
        <f t="shared" si="249"/>
        <v>1</v>
      </c>
      <c r="AD1140" s="7" t="str">
        <f t="shared" si="250"/>
        <v>No</v>
      </c>
      <c r="AE1140" s="7" t="str">
        <f t="shared" si="251"/>
        <v>High Risk</v>
      </c>
    </row>
    <row r="1141" spans="1:31">
      <c r="A1141" t="s">
        <v>3305</v>
      </c>
      <c r="B1141">
        <v>51059566</v>
      </c>
      <c r="C1141" t="s">
        <v>751</v>
      </c>
      <c r="D1141" t="s">
        <v>2085</v>
      </c>
      <c r="E1141" t="s">
        <v>20</v>
      </c>
      <c r="F1141" t="s">
        <v>44</v>
      </c>
      <c r="G1141" t="s">
        <v>35</v>
      </c>
      <c r="H1141" t="s">
        <v>38</v>
      </c>
      <c r="I1141" t="s">
        <v>3378</v>
      </c>
      <c r="J1141">
        <v>11517.55</v>
      </c>
      <c r="K1141" t="s">
        <v>86</v>
      </c>
      <c r="L1141" t="s">
        <v>81</v>
      </c>
      <c r="M1141" s="1">
        <v>44648.302777777775</v>
      </c>
      <c r="N1141">
        <v>74</v>
      </c>
      <c r="O1141" t="s">
        <v>93</v>
      </c>
      <c r="P1141" t="s">
        <v>37</v>
      </c>
      <c r="Q1141" t="s">
        <v>3306</v>
      </c>
      <c r="R1141" t="str">
        <f t="shared" si="238"/>
        <v>Elizabeth Dubois</v>
      </c>
      <c r="S1141" t="str">
        <f t="shared" si="239"/>
        <v>Jessica Moore</v>
      </c>
      <c r="T1141" t="str">
        <f t="shared" si="240"/>
        <v>SGD</v>
      </c>
      <c r="U1141" s="7" t="str">
        <f t="shared" si="241"/>
        <v>EUR</v>
      </c>
      <c r="V1141" s="7" t="str">
        <f t="shared" si="242"/>
        <v>USA</v>
      </c>
      <c r="W1141" s="7" t="str">
        <f t="shared" si="243"/>
        <v>South Africa</v>
      </c>
      <c r="X1141" s="7" t="str">
        <f t="shared" si="244"/>
        <v>Inter-Transaction</v>
      </c>
      <c r="Y1141" s="7">
        <f t="shared" si="245"/>
        <v>11517.55</v>
      </c>
      <c r="Z1141" s="7">
        <f t="shared" si="246"/>
        <v>74</v>
      </c>
      <c r="AA1141" s="7">
        <f t="shared" si="247"/>
        <v>2022</v>
      </c>
      <c r="AB1141" s="7">
        <f t="shared" si="248"/>
        <v>3</v>
      </c>
      <c r="AC1141" s="7">
        <f t="shared" si="249"/>
        <v>1</v>
      </c>
      <c r="AD1141" s="7" t="str">
        <f t="shared" si="250"/>
        <v>No</v>
      </c>
      <c r="AE1141" s="7" t="str">
        <f t="shared" si="251"/>
        <v>Normal</v>
      </c>
    </row>
    <row r="1142" spans="1:31">
      <c r="A1142" t="s">
        <v>3307</v>
      </c>
      <c r="B1142">
        <v>99119251</v>
      </c>
      <c r="C1142" t="s">
        <v>1480</v>
      </c>
      <c r="D1142" t="s">
        <v>500</v>
      </c>
      <c r="E1142" t="s">
        <v>20</v>
      </c>
      <c r="F1142" t="s">
        <v>44</v>
      </c>
      <c r="G1142" t="s">
        <v>44</v>
      </c>
      <c r="I1142" t="s">
        <v>3378</v>
      </c>
      <c r="J1142">
        <v>10416.57</v>
      </c>
      <c r="K1142" t="s">
        <v>39</v>
      </c>
      <c r="L1142" t="s">
        <v>48</v>
      </c>
      <c r="M1142" s="1">
        <v>45005.197222222225</v>
      </c>
      <c r="N1142">
        <v>33</v>
      </c>
      <c r="O1142" t="s">
        <v>37</v>
      </c>
      <c r="P1142" t="s">
        <v>62</v>
      </c>
      <c r="Q1142" t="s">
        <v>3308</v>
      </c>
      <c r="R1142" t="str">
        <f t="shared" si="238"/>
        <v>Mary Brown</v>
      </c>
      <c r="S1142" t="str">
        <f t="shared" si="239"/>
        <v>Patricia Hernandez</v>
      </c>
      <c r="T1142" t="str">
        <f t="shared" si="240"/>
        <v>SGD</v>
      </c>
      <c r="U1142" s="7" t="str">
        <f t="shared" si="241"/>
        <v>SGD</v>
      </c>
      <c r="V1142" s="7" t="str">
        <f t="shared" si="242"/>
        <v>South Africa</v>
      </c>
      <c r="W1142" s="7" t="str">
        <f t="shared" si="243"/>
        <v>Australia</v>
      </c>
      <c r="X1142" s="7" t="str">
        <f t="shared" si="244"/>
        <v>Inter-Transaction</v>
      </c>
      <c r="Y1142" s="7">
        <f t="shared" si="245"/>
        <v>10416.57</v>
      </c>
      <c r="Z1142" s="7">
        <f t="shared" si="246"/>
        <v>33</v>
      </c>
      <c r="AA1142" s="7">
        <f t="shared" si="247"/>
        <v>2023</v>
      </c>
      <c r="AB1142" s="7">
        <f t="shared" si="248"/>
        <v>3</v>
      </c>
      <c r="AC1142" s="7">
        <f t="shared" si="249"/>
        <v>1</v>
      </c>
      <c r="AD1142" s="7" t="str">
        <f t="shared" si="250"/>
        <v>No</v>
      </c>
      <c r="AE1142" s="7" t="str">
        <f t="shared" si="251"/>
        <v>Normal</v>
      </c>
    </row>
    <row r="1143" spans="1:31">
      <c r="A1143" t="s">
        <v>3309</v>
      </c>
      <c r="B1143">
        <v>95077934</v>
      </c>
      <c r="C1143" t="s">
        <v>1342</v>
      </c>
      <c r="D1143" t="s">
        <v>1700</v>
      </c>
      <c r="E1143" t="s">
        <v>20</v>
      </c>
      <c r="F1143" t="s">
        <v>45</v>
      </c>
      <c r="G1143" t="s">
        <v>34</v>
      </c>
      <c r="H1143" t="s">
        <v>103</v>
      </c>
      <c r="I1143" t="s">
        <v>3378</v>
      </c>
      <c r="J1143">
        <v>5249.28</v>
      </c>
      <c r="K1143" t="s">
        <v>86</v>
      </c>
      <c r="L1143" t="s">
        <v>75</v>
      </c>
      <c r="M1143" s="1">
        <v>44995.018055555556</v>
      </c>
      <c r="N1143">
        <v>73</v>
      </c>
      <c r="O1143" t="s">
        <v>68</v>
      </c>
      <c r="P1143" t="s">
        <v>62</v>
      </c>
      <c r="Q1143" t="s">
        <v>3310</v>
      </c>
      <c r="R1143" t="str">
        <f t="shared" si="238"/>
        <v>Sarah Martinez</v>
      </c>
      <c r="S1143" t="str">
        <f t="shared" si="239"/>
        <v>Patricia Gonzalez</v>
      </c>
      <c r="T1143" t="str">
        <f t="shared" si="240"/>
        <v>ZAR</v>
      </c>
      <c r="U1143" s="7" t="str">
        <f t="shared" si="241"/>
        <v>CAD</v>
      </c>
      <c r="V1143" s="7" t="str">
        <f t="shared" si="242"/>
        <v>UAE</v>
      </c>
      <c r="W1143" s="7" t="str">
        <f t="shared" si="243"/>
        <v>Australia</v>
      </c>
      <c r="X1143" s="7" t="str">
        <f t="shared" si="244"/>
        <v>Inter-Transaction</v>
      </c>
      <c r="Y1143" s="7">
        <f t="shared" si="245"/>
        <v>5249.28</v>
      </c>
      <c r="Z1143" s="7">
        <f t="shared" si="246"/>
        <v>73</v>
      </c>
      <c r="AA1143" s="7">
        <f t="shared" si="247"/>
        <v>2023</v>
      </c>
      <c r="AB1143" s="7">
        <f t="shared" si="248"/>
        <v>3</v>
      </c>
      <c r="AC1143" s="7">
        <f t="shared" si="249"/>
        <v>1</v>
      </c>
      <c r="AD1143" s="7" t="str">
        <f t="shared" si="250"/>
        <v>No</v>
      </c>
      <c r="AE1143" s="7" t="str">
        <f t="shared" si="251"/>
        <v>High Risk</v>
      </c>
    </row>
    <row r="1144" spans="1:31">
      <c r="A1144" t="s">
        <v>3311</v>
      </c>
      <c r="B1144">
        <v>81256600</v>
      </c>
      <c r="C1144" t="s">
        <v>2007</v>
      </c>
      <c r="D1144" t="s">
        <v>2241</v>
      </c>
      <c r="E1144" t="s">
        <v>20</v>
      </c>
      <c r="F1144" t="s">
        <v>121</v>
      </c>
      <c r="G1144" t="s">
        <v>92</v>
      </c>
      <c r="H1144" t="s">
        <v>56</v>
      </c>
      <c r="I1144" t="s">
        <v>3377</v>
      </c>
      <c r="J1144">
        <v>4515.74</v>
      </c>
      <c r="K1144" t="s">
        <v>39</v>
      </c>
      <c r="L1144" t="s">
        <v>28</v>
      </c>
      <c r="M1144" s="1">
        <v>44923.502083333333</v>
      </c>
      <c r="N1144">
        <v>27</v>
      </c>
      <c r="O1144" t="s">
        <v>24</v>
      </c>
      <c r="P1144" t="s">
        <v>54</v>
      </c>
      <c r="Q1144" t="s">
        <v>3312</v>
      </c>
      <c r="R1144" t="str">
        <f t="shared" si="238"/>
        <v>Jean-Pierre Souza</v>
      </c>
      <c r="S1144" t="str">
        <f t="shared" si="239"/>
        <v>David Nair</v>
      </c>
      <c r="T1144" t="str">
        <f t="shared" si="240"/>
        <v>INR</v>
      </c>
      <c r="U1144" s="7" t="str">
        <f t="shared" si="241"/>
        <v>AUD</v>
      </c>
      <c r="V1144" s="7" t="str">
        <f t="shared" si="242"/>
        <v>Brazil</v>
      </c>
      <c r="W1144" s="7" t="str">
        <f t="shared" si="243"/>
        <v>India</v>
      </c>
      <c r="X1144" s="7" t="str">
        <f t="shared" si="244"/>
        <v>Inter-Transaction</v>
      </c>
      <c r="Y1144" s="7">
        <f t="shared" si="245"/>
        <v>4515.74</v>
      </c>
      <c r="Z1144" s="7">
        <f t="shared" si="246"/>
        <v>27</v>
      </c>
      <c r="AA1144" s="7">
        <f t="shared" si="247"/>
        <v>2022</v>
      </c>
      <c r="AB1144" s="7">
        <f t="shared" si="248"/>
        <v>12</v>
      </c>
      <c r="AC1144" s="7">
        <f t="shared" si="249"/>
        <v>1</v>
      </c>
      <c r="AD1144" s="7" t="str">
        <f t="shared" si="250"/>
        <v>No</v>
      </c>
      <c r="AE1144" s="7" t="str">
        <f t="shared" si="251"/>
        <v>Normal</v>
      </c>
    </row>
    <row r="1145" spans="1:31">
      <c r="A1145" t="s">
        <v>3313</v>
      </c>
      <c r="B1145">
        <v>89170637</v>
      </c>
      <c r="C1145" t="s">
        <v>748</v>
      </c>
      <c r="D1145" t="s">
        <v>3314</v>
      </c>
      <c r="E1145" t="s">
        <v>3375</v>
      </c>
      <c r="F1145" t="s">
        <v>121</v>
      </c>
      <c r="G1145" t="s">
        <v>53</v>
      </c>
      <c r="I1145" t="s">
        <v>3371</v>
      </c>
      <c r="J1145">
        <v>7494.71</v>
      </c>
      <c r="K1145" t="s">
        <v>57</v>
      </c>
      <c r="L1145" t="s">
        <v>75</v>
      </c>
      <c r="M1145" s="1">
        <v>45114.892361111109</v>
      </c>
      <c r="N1145">
        <v>47</v>
      </c>
      <c r="O1145" t="s">
        <v>54</v>
      </c>
      <c r="P1145" t="s">
        <v>36</v>
      </c>
      <c r="Q1145" t="s">
        <v>3315</v>
      </c>
      <c r="R1145" t="str">
        <f t="shared" si="238"/>
        <v>Sarah Al-Sayed</v>
      </c>
      <c r="S1145" t="str">
        <f t="shared" si="239"/>
        <v xml:space="preserve"> Lucas Silva   </v>
      </c>
      <c r="T1145" t="str">
        <f t="shared" si="240"/>
        <v>INR</v>
      </c>
      <c r="U1145" s="7" t="str">
        <f t="shared" si="241"/>
        <v>AED</v>
      </c>
      <c r="V1145" s="7" t="str">
        <f t="shared" si="242"/>
        <v>India</v>
      </c>
      <c r="W1145" s="7" t="str">
        <f t="shared" si="243"/>
        <v>Germany</v>
      </c>
      <c r="X1145" s="7" t="str">
        <f t="shared" si="244"/>
        <v>Outer-Transaction</v>
      </c>
      <c r="Y1145" s="7">
        <f t="shared" si="245"/>
        <v>7494.71</v>
      </c>
      <c r="Z1145" s="7">
        <f t="shared" si="246"/>
        <v>47</v>
      </c>
      <c r="AA1145" s="7">
        <f t="shared" si="247"/>
        <v>2023</v>
      </c>
      <c r="AB1145" s="7">
        <f t="shared" si="248"/>
        <v>7</v>
      </c>
      <c r="AC1145" s="7">
        <f t="shared" si="249"/>
        <v>1</v>
      </c>
      <c r="AD1145" s="7" t="str">
        <f t="shared" si="250"/>
        <v>No</v>
      </c>
      <c r="AE1145" s="7" t="str">
        <f t="shared" si="251"/>
        <v>High Risk</v>
      </c>
    </row>
    <row r="1146" spans="1:31">
      <c r="A1146" t="s">
        <v>3316</v>
      </c>
      <c r="B1146">
        <v>14192932</v>
      </c>
      <c r="C1146" t="s">
        <v>886</v>
      </c>
      <c r="D1146" t="s">
        <v>3317</v>
      </c>
      <c r="E1146" t="s">
        <v>20</v>
      </c>
      <c r="F1146" t="s">
        <v>22</v>
      </c>
      <c r="G1146" t="s">
        <v>80</v>
      </c>
      <c r="H1146" t="s">
        <v>38</v>
      </c>
      <c r="I1146" t="s">
        <v>3372</v>
      </c>
      <c r="J1146">
        <v>10513.93</v>
      </c>
      <c r="K1146" t="s">
        <v>47</v>
      </c>
      <c r="L1146" t="s">
        <v>75</v>
      </c>
      <c r="M1146" s="1">
        <v>45842.989583333336</v>
      </c>
      <c r="N1146">
        <v>42</v>
      </c>
      <c r="O1146" t="s">
        <v>68</v>
      </c>
      <c r="P1146" t="s">
        <v>24</v>
      </c>
      <c r="Q1146" t="s">
        <v>3318</v>
      </c>
      <c r="R1146" t="str">
        <f t="shared" si="238"/>
        <v>Marta Malik</v>
      </c>
      <c r="S1146" t="str">
        <f t="shared" si="239"/>
        <v xml:space="preserve"> Mary Dubois   </v>
      </c>
      <c r="T1146" t="str">
        <f t="shared" si="240"/>
        <v>BRL</v>
      </c>
      <c r="U1146" s="7" t="str">
        <f t="shared" si="241"/>
        <v>USD</v>
      </c>
      <c r="V1146" s="7" t="str">
        <f t="shared" si="242"/>
        <v>UAE</v>
      </c>
      <c r="W1146" s="7" t="str">
        <f t="shared" si="243"/>
        <v>Brazil</v>
      </c>
      <c r="X1146" s="7" t="str">
        <f t="shared" si="244"/>
        <v>Outer-Transaction</v>
      </c>
      <c r="Y1146" s="7">
        <f t="shared" si="245"/>
        <v>10513.93</v>
      </c>
      <c r="Z1146" s="7">
        <f t="shared" si="246"/>
        <v>42</v>
      </c>
      <c r="AA1146" s="7">
        <f t="shared" si="247"/>
        <v>2025</v>
      </c>
      <c r="AB1146" s="7">
        <f t="shared" si="248"/>
        <v>7</v>
      </c>
      <c r="AC1146" s="7">
        <f t="shared" si="249"/>
        <v>1</v>
      </c>
      <c r="AD1146" s="7" t="str">
        <f t="shared" si="250"/>
        <v>No</v>
      </c>
      <c r="AE1146" s="7" t="str">
        <f t="shared" si="251"/>
        <v>High Risk</v>
      </c>
    </row>
    <row r="1147" spans="1:31">
      <c r="A1147" t="s">
        <v>3319</v>
      </c>
      <c r="B1147">
        <v>99198749</v>
      </c>
      <c r="C1147" t="s">
        <v>916</v>
      </c>
      <c r="D1147" t="s">
        <v>904</v>
      </c>
      <c r="E1147" t="s">
        <v>20</v>
      </c>
      <c r="F1147" t="s">
        <v>44</v>
      </c>
      <c r="G1147" t="s">
        <v>92</v>
      </c>
      <c r="H1147" t="s">
        <v>103</v>
      </c>
      <c r="I1147" t="s">
        <v>3374</v>
      </c>
      <c r="J1147">
        <v>11935.8</v>
      </c>
      <c r="K1147" t="s">
        <v>27</v>
      </c>
      <c r="L1147" t="s">
        <v>81</v>
      </c>
      <c r="M1147" s="1">
        <v>44676.10833333333</v>
      </c>
      <c r="N1147">
        <v>22</v>
      </c>
      <c r="O1147" t="s">
        <v>54</v>
      </c>
      <c r="P1147" t="s">
        <v>127</v>
      </c>
      <c r="Q1147" t="s">
        <v>3320</v>
      </c>
      <c r="R1147" t="str">
        <f t="shared" si="238"/>
        <v>Karen Dubois</v>
      </c>
      <c r="S1147" t="str">
        <f t="shared" si="239"/>
        <v>Lucas Souza</v>
      </c>
      <c r="T1147" t="str">
        <f t="shared" si="240"/>
        <v>SGD</v>
      </c>
      <c r="U1147" s="7" t="str">
        <f t="shared" si="241"/>
        <v>AUD</v>
      </c>
      <c r="V1147" s="7" t="str">
        <f t="shared" si="242"/>
        <v>India</v>
      </c>
      <c r="W1147" s="7" t="str">
        <f t="shared" si="243"/>
        <v>Canada</v>
      </c>
      <c r="X1147" s="7" t="str">
        <f t="shared" si="244"/>
        <v>External</v>
      </c>
      <c r="Y1147" s="7">
        <f t="shared" si="245"/>
        <v>11935.8</v>
      </c>
      <c r="Z1147" s="7">
        <f t="shared" si="246"/>
        <v>22</v>
      </c>
      <c r="AA1147" s="7">
        <f t="shared" si="247"/>
        <v>2022</v>
      </c>
      <c r="AB1147" s="7">
        <f t="shared" si="248"/>
        <v>4</v>
      </c>
      <c r="AC1147" s="7">
        <f t="shared" si="249"/>
        <v>1</v>
      </c>
      <c r="AD1147" s="7" t="str">
        <f t="shared" si="250"/>
        <v>No</v>
      </c>
      <c r="AE1147" s="7" t="str">
        <f t="shared" si="251"/>
        <v>Normal</v>
      </c>
    </row>
    <row r="1148" spans="1:31">
      <c r="A1148" t="s">
        <v>3321</v>
      </c>
      <c r="B1148">
        <v>56359602</v>
      </c>
      <c r="C1148" t="s">
        <v>487</v>
      </c>
      <c r="D1148" t="s">
        <v>183</v>
      </c>
      <c r="E1148" t="s">
        <v>20</v>
      </c>
      <c r="F1148" t="s">
        <v>35</v>
      </c>
      <c r="G1148" t="s">
        <v>53</v>
      </c>
      <c r="H1148" t="s">
        <v>103</v>
      </c>
      <c r="I1148" t="s">
        <v>3376</v>
      </c>
      <c r="J1148">
        <v>3408.4</v>
      </c>
      <c r="K1148" t="s">
        <v>39</v>
      </c>
      <c r="L1148" t="s">
        <v>48</v>
      </c>
      <c r="M1148" s="1">
        <v>45822.272222222222</v>
      </c>
      <c r="N1148">
        <v>82</v>
      </c>
      <c r="O1148" t="s">
        <v>68</v>
      </c>
      <c r="P1148" t="s">
        <v>127</v>
      </c>
      <c r="Q1148" t="s">
        <v>3322</v>
      </c>
      <c r="R1148" t="str">
        <f t="shared" si="238"/>
        <v>Amir Brown</v>
      </c>
      <c r="S1148" t="str">
        <f t="shared" si="239"/>
        <v>Jean-Pierre Miller</v>
      </c>
      <c r="T1148" t="str">
        <f t="shared" si="240"/>
        <v>EUR</v>
      </c>
      <c r="U1148" s="7" t="str">
        <f t="shared" si="241"/>
        <v>AED</v>
      </c>
      <c r="V1148" s="7" t="str">
        <f t="shared" si="242"/>
        <v>UAE</v>
      </c>
      <c r="W1148" s="7" t="str">
        <f t="shared" si="243"/>
        <v>Canada</v>
      </c>
      <c r="X1148" s="7" t="str">
        <f t="shared" si="244"/>
        <v>Internal</v>
      </c>
      <c r="Y1148" s="7">
        <f t="shared" si="245"/>
        <v>3408.4</v>
      </c>
      <c r="Z1148" s="7">
        <f t="shared" si="246"/>
        <v>82</v>
      </c>
      <c r="AA1148" s="7">
        <f t="shared" si="247"/>
        <v>2025</v>
      </c>
      <c r="AB1148" s="7">
        <f t="shared" si="248"/>
        <v>6</v>
      </c>
      <c r="AC1148" s="7">
        <f t="shared" si="249"/>
        <v>1</v>
      </c>
      <c r="AD1148" s="7" t="str">
        <f t="shared" si="250"/>
        <v>No</v>
      </c>
      <c r="AE1148" s="7" t="str">
        <f t="shared" si="251"/>
        <v>Normal</v>
      </c>
    </row>
    <row r="1149" spans="1:31">
      <c r="A1149" t="s">
        <v>3323</v>
      </c>
      <c r="B1149">
        <v>79814700</v>
      </c>
      <c r="C1149" t="s">
        <v>3324</v>
      </c>
      <c r="D1149" t="s">
        <v>1881</v>
      </c>
      <c r="E1149" t="s">
        <v>3373</v>
      </c>
      <c r="F1149" t="s">
        <v>45</v>
      </c>
      <c r="G1149" t="s">
        <v>80</v>
      </c>
      <c r="I1149" t="s">
        <v>3372</v>
      </c>
      <c r="J1149">
        <v>12653.78</v>
      </c>
      <c r="K1149" t="s">
        <v>27</v>
      </c>
      <c r="L1149" t="s">
        <v>48</v>
      </c>
      <c r="M1149" s="1">
        <v>44351.924305555556</v>
      </c>
      <c r="N1149">
        <v>66</v>
      </c>
      <c r="O1149" t="s">
        <v>24</v>
      </c>
      <c r="P1149" t="s">
        <v>54</v>
      </c>
      <c r="Q1149" t="s">
        <v>3325</v>
      </c>
      <c r="R1149" t="str">
        <f t="shared" si="238"/>
        <v>John Miller</v>
      </c>
      <c r="S1149" t="str">
        <f t="shared" si="239"/>
        <v>Elena Dubois</v>
      </c>
      <c r="T1149" t="str">
        <f t="shared" si="240"/>
        <v>ZAR</v>
      </c>
      <c r="U1149" s="7" t="str">
        <f t="shared" si="241"/>
        <v>USD</v>
      </c>
      <c r="V1149" s="7" t="str">
        <f t="shared" si="242"/>
        <v>Brazil</v>
      </c>
      <c r="W1149" s="7" t="str">
        <f t="shared" si="243"/>
        <v>India</v>
      </c>
      <c r="X1149" s="7" t="str">
        <f t="shared" si="244"/>
        <v>Outer-Transaction</v>
      </c>
      <c r="Y1149" s="7">
        <f t="shared" si="245"/>
        <v>12653.78</v>
      </c>
      <c r="Z1149" s="7">
        <f t="shared" si="246"/>
        <v>66</v>
      </c>
      <c r="AA1149" s="7">
        <f t="shared" si="247"/>
        <v>2021</v>
      </c>
      <c r="AB1149" s="7">
        <f t="shared" si="248"/>
        <v>6</v>
      </c>
      <c r="AC1149" s="7">
        <f t="shared" si="249"/>
        <v>1</v>
      </c>
      <c r="AD1149" s="7" t="str">
        <f t="shared" si="250"/>
        <v>No</v>
      </c>
      <c r="AE1149" s="7" t="str">
        <f t="shared" si="251"/>
        <v>Normal</v>
      </c>
    </row>
    <row r="1150" spans="1:31">
      <c r="A1150" t="s">
        <v>3326</v>
      </c>
      <c r="B1150">
        <v>73199846</v>
      </c>
      <c r="C1150" t="s">
        <v>2111</v>
      </c>
      <c r="D1150" t="s">
        <v>1468</v>
      </c>
      <c r="E1150" t="s">
        <v>3375</v>
      </c>
      <c r="F1150" t="s">
        <v>35</v>
      </c>
      <c r="G1150" t="s">
        <v>21</v>
      </c>
      <c r="H1150" t="s">
        <v>25</v>
      </c>
      <c r="I1150" t="s">
        <v>3371</v>
      </c>
      <c r="J1150">
        <v>10086.56</v>
      </c>
      <c r="K1150" t="s">
        <v>47</v>
      </c>
      <c r="L1150" t="s">
        <v>48</v>
      </c>
      <c r="M1150" s="1">
        <v>44201.432638888888</v>
      </c>
      <c r="N1150">
        <v>20</v>
      </c>
      <c r="O1150" t="s">
        <v>37</v>
      </c>
      <c r="P1150" t="s">
        <v>24</v>
      </c>
      <c r="Q1150" t="s">
        <v>3327</v>
      </c>
      <c r="R1150" t="str">
        <f t="shared" si="238"/>
        <v>Lucas Jackson</v>
      </c>
      <c r="S1150" t="str">
        <f t="shared" si="239"/>
        <v>David Rostova</v>
      </c>
      <c r="T1150" t="str">
        <f t="shared" si="240"/>
        <v>EUR</v>
      </c>
      <c r="U1150" s="7" t="str">
        <f t="shared" si="241"/>
        <v>GBP</v>
      </c>
      <c r="V1150" s="7" t="str">
        <f t="shared" si="242"/>
        <v>South Africa</v>
      </c>
      <c r="W1150" s="7" t="str">
        <f t="shared" si="243"/>
        <v>Brazil</v>
      </c>
      <c r="X1150" s="7" t="str">
        <f t="shared" si="244"/>
        <v>Outer-Transaction</v>
      </c>
      <c r="Y1150" s="7">
        <f t="shared" si="245"/>
        <v>10086.56</v>
      </c>
      <c r="Z1150" s="7">
        <f t="shared" si="246"/>
        <v>20</v>
      </c>
      <c r="AA1150" s="7">
        <f t="shared" si="247"/>
        <v>2021</v>
      </c>
      <c r="AB1150" s="7">
        <f t="shared" si="248"/>
        <v>1</v>
      </c>
      <c r="AC1150" s="7">
        <f t="shared" si="249"/>
        <v>1</v>
      </c>
      <c r="AD1150" s="7" t="str">
        <f t="shared" si="250"/>
        <v>No</v>
      </c>
      <c r="AE1150" s="7" t="str">
        <f t="shared" si="251"/>
        <v>Normal</v>
      </c>
    </row>
    <row r="1151" spans="1:31">
      <c r="A1151" t="s">
        <v>3328</v>
      </c>
      <c r="B1151">
        <v>96155859</v>
      </c>
      <c r="C1151" t="s">
        <v>1971</v>
      </c>
      <c r="D1151" t="s">
        <v>504</v>
      </c>
      <c r="E1151" t="s">
        <v>3375</v>
      </c>
      <c r="F1151" t="s">
        <v>116</v>
      </c>
      <c r="G1151" t="s">
        <v>53</v>
      </c>
      <c r="H1151" t="s">
        <v>103</v>
      </c>
      <c r="I1151" t="s">
        <v>3372</v>
      </c>
      <c r="J1151">
        <v>13721.56</v>
      </c>
      <c r="K1151" t="s">
        <v>47</v>
      </c>
      <c r="L1151" t="s">
        <v>48</v>
      </c>
      <c r="M1151" s="1">
        <v>45273.313194444447</v>
      </c>
      <c r="N1151">
        <v>62</v>
      </c>
      <c r="O1151" t="s">
        <v>68</v>
      </c>
      <c r="P1151" t="s">
        <v>54</v>
      </c>
      <c r="Q1151" t="s">
        <v>3329</v>
      </c>
      <c r="R1151" t="str">
        <f t="shared" si="238"/>
        <v>Karen Jackson</v>
      </c>
      <c r="S1151" t="str">
        <f t="shared" si="239"/>
        <v>Lucas Jones</v>
      </c>
      <c r="T1151" t="str">
        <f t="shared" si="240"/>
        <v>CHF</v>
      </c>
      <c r="U1151" s="7" t="str">
        <f t="shared" si="241"/>
        <v>AED</v>
      </c>
      <c r="V1151" s="7" t="str">
        <f t="shared" si="242"/>
        <v>UAE</v>
      </c>
      <c r="W1151" s="7" t="str">
        <f t="shared" si="243"/>
        <v>India</v>
      </c>
      <c r="X1151" s="7" t="str">
        <f t="shared" si="244"/>
        <v>Outer-Transaction</v>
      </c>
      <c r="Y1151" s="7">
        <f t="shared" si="245"/>
        <v>13721.56</v>
      </c>
      <c r="Z1151" s="7">
        <f t="shared" si="246"/>
        <v>62</v>
      </c>
      <c r="AA1151" s="7">
        <f t="shared" si="247"/>
        <v>2023</v>
      </c>
      <c r="AB1151" s="7">
        <f t="shared" si="248"/>
        <v>12</v>
      </c>
      <c r="AC1151" s="7">
        <f t="shared" si="249"/>
        <v>1</v>
      </c>
      <c r="AD1151" s="7" t="str">
        <f t="shared" si="250"/>
        <v>No</v>
      </c>
      <c r="AE1151" s="7" t="str">
        <f t="shared" si="251"/>
        <v>Normal</v>
      </c>
    </row>
    <row r="1152" spans="1:31">
      <c r="A1152" t="s">
        <v>2253</v>
      </c>
      <c r="B1152">
        <v>32327365</v>
      </c>
      <c r="C1152" t="s">
        <v>1002</v>
      </c>
      <c r="D1152" t="s">
        <v>1099</v>
      </c>
      <c r="E1152" t="s">
        <v>33</v>
      </c>
      <c r="F1152" t="s">
        <v>35</v>
      </c>
      <c r="G1152" t="s">
        <v>92</v>
      </c>
      <c r="I1152" t="s">
        <v>3374</v>
      </c>
      <c r="J1152">
        <v>14177.84</v>
      </c>
      <c r="K1152" t="s">
        <v>86</v>
      </c>
      <c r="L1152" t="s">
        <v>75</v>
      </c>
      <c r="M1152" s="1">
        <v>43931.249305555553</v>
      </c>
      <c r="N1152">
        <v>31</v>
      </c>
      <c r="O1152" t="s">
        <v>24</v>
      </c>
      <c r="P1152" t="s">
        <v>127</v>
      </c>
      <c r="Q1152" t="s">
        <v>3330</v>
      </c>
      <c r="R1152" t="str">
        <f t="shared" si="238"/>
        <v>Nancy Martin</v>
      </c>
      <c r="S1152" t="str">
        <f t="shared" si="239"/>
        <v>Mary Anderson</v>
      </c>
      <c r="T1152" t="str">
        <f t="shared" si="240"/>
        <v>EUR</v>
      </c>
      <c r="U1152" s="7" t="str">
        <f t="shared" si="241"/>
        <v>AUD</v>
      </c>
      <c r="V1152" s="7" t="str">
        <f t="shared" si="242"/>
        <v>Brazil</v>
      </c>
      <c r="W1152" s="7" t="str">
        <f t="shared" si="243"/>
        <v>Canada</v>
      </c>
      <c r="X1152" s="7" t="str">
        <f t="shared" si="244"/>
        <v>External</v>
      </c>
      <c r="Y1152" s="7">
        <f t="shared" si="245"/>
        <v>14177.84</v>
      </c>
      <c r="Z1152" s="7">
        <f t="shared" si="246"/>
        <v>31</v>
      </c>
      <c r="AA1152" s="7">
        <f t="shared" si="247"/>
        <v>2020</v>
      </c>
      <c r="AB1152" s="7">
        <f t="shared" si="248"/>
        <v>4</v>
      </c>
      <c r="AC1152" s="7">
        <f t="shared" si="249"/>
        <v>2</v>
      </c>
      <c r="AD1152" s="7" t="str">
        <f t="shared" si="250"/>
        <v>No</v>
      </c>
      <c r="AE1152" s="7" t="str">
        <f t="shared" si="251"/>
        <v>High Risk</v>
      </c>
    </row>
    <row r="1153" spans="1:31">
      <c r="A1153" t="s">
        <v>714</v>
      </c>
      <c r="B1153">
        <v>57365168</v>
      </c>
      <c r="C1153" t="s">
        <v>192</v>
      </c>
      <c r="D1153" t="s">
        <v>715</v>
      </c>
      <c r="E1153" t="s">
        <v>3375</v>
      </c>
      <c r="F1153" t="s">
        <v>116</v>
      </c>
      <c r="G1153" t="s">
        <v>80</v>
      </c>
      <c r="H1153" t="s">
        <v>74</v>
      </c>
      <c r="I1153" t="s">
        <v>3371</v>
      </c>
      <c r="J1153">
        <v>2811.72</v>
      </c>
      <c r="K1153" t="s">
        <v>57</v>
      </c>
      <c r="L1153" t="s">
        <v>28</v>
      </c>
      <c r="M1153" s="1">
        <v>44491.897916666669</v>
      </c>
      <c r="N1153">
        <v>47</v>
      </c>
      <c r="O1153" t="s">
        <v>36</v>
      </c>
      <c r="P1153" t="s">
        <v>24</v>
      </c>
      <c r="Q1153" t="s">
        <v>3331</v>
      </c>
      <c r="R1153" t="str">
        <f t="shared" si="238"/>
        <v>Amir Malik</v>
      </c>
      <c r="S1153" t="str">
        <f t="shared" si="239"/>
        <v>Susan Thomas</v>
      </c>
      <c r="T1153" t="str">
        <f t="shared" si="240"/>
        <v>CHF</v>
      </c>
      <c r="U1153" s="7" t="str">
        <f t="shared" si="241"/>
        <v>USD</v>
      </c>
      <c r="V1153" s="7" t="str">
        <f t="shared" si="242"/>
        <v>Germany</v>
      </c>
      <c r="W1153" s="7" t="str">
        <f t="shared" si="243"/>
        <v>Brazil</v>
      </c>
      <c r="X1153" s="7" t="str">
        <f t="shared" si="244"/>
        <v>Outer-Transaction</v>
      </c>
      <c r="Y1153" s="7">
        <f t="shared" si="245"/>
        <v>2811.72</v>
      </c>
      <c r="Z1153" s="7">
        <f t="shared" si="246"/>
        <v>47</v>
      </c>
      <c r="AA1153" s="7">
        <f t="shared" si="247"/>
        <v>2021</v>
      </c>
      <c r="AB1153" s="7">
        <f t="shared" si="248"/>
        <v>10</v>
      </c>
      <c r="AC1153" s="7">
        <f t="shared" si="249"/>
        <v>2</v>
      </c>
      <c r="AD1153" s="7" t="str">
        <f t="shared" si="250"/>
        <v>No</v>
      </c>
      <c r="AE1153" s="7" t="str">
        <f t="shared" si="251"/>
        <v>Normal</v>
      </c>
    </row>
    <row r="1154" spans="1:31">
      <c r="A1154" t="s">
        <v>1527</v>
      </c>
      <c r="B1154">
        <v>73317523</v>
      </c>
      <c r="C1154" t="s">
        <v>1164</v>
      </c>
      <c r="D1154" t="s">
        <v>1265</v>
      </c>
      <c r="E1154" t="s">
        <v>33</v>
      </c>
      <c r="F1154" t="s">
        <v>98</v>
      </c>
      <c r="G1154" t="s">
        <v>45</v>
      </c>
      <c r="H1154" t="s">
        <v>38</v>
      </c>
      <c r="I1154" t="s">
        <v>3372</v>
      </c>
      <c r="J1154">
        <v>1022.87</v>
      </c>
      <c r="K1154" t="s">
        <v>86</v>
      </c>
      <c r="L1154" t="s">
        <v>48</v>
      </c>
      <c r="M1154" s="1">
        <v>45512.785416666666</v>
      </c>
      <c r="N1154">
        <v>85</v>
      </c>
      <c r="O1154" t="s">
        <v>37</v>
      </c>
      <c r="P1154" t="s">
        <v>68</v>
      </c>
      <c r="Q1154" t="s">
        <v>3332</v>
      </c>
      <c r="R1154" t="str">
        <f t="shared" ref="R1154:R1166" si="252">TRIM(C1154)</f>
        <v>Nancy Velez</v>
      </c>
      <c r="S1154" t="str">
        <f t="shared" ref="S1154:S1166" si="253">PROPER(D1154)</f>
        <v>Linda Jackson</v>
      </c>
      <c r="T1154" t="str">
        <f t="shared" ref="T1154:T1166" si="254">TRIM(F1154)</f>
        <v>JPY</v>
      </c>
      <c r="U1154" s="7" t="str">
        <f t="shared" ref="U1154:U1166" si="255">TRIM(G1154)</f>
        <v>ZAR</v>
      </c>
      <c r="V1154" s="7" t="str">
        <f t="shared" ref="V1154:V1166" si="256">TRIM(O1154)</f>
        <v>South Africa</v>
      </c>
      <c r="W1154" s="7" t="str">
        <f t="shared" ref="W1154:W1166" si="257">TRIM(P1154)</f>
        <v>UAE</v>
      </c>
      <c r="X1154" s="7" t="str">
        <f t="shared" ref="X1154:X1166" si="258">PROPER(I1154)</f>
        <v>Outer-Transaction</v>
      </c>
      <c r="Y1154" s="7">
        <f t="shared" ref="Y1154:Y1166" si="259">IF(J1154="",AVERAGE($J:$J),J1154)</f>
        <v>1022.87</v>
      </c>
      <c r="Z1154" s="7">
        <f t="shared" ref="Z1154:Z1166" si="260">IF(N1154="",AVERAGE($N:$N),N1154)</f>
        <v>85</v>
      </c>
      <c r="AA1154" s="7">
        <f t="shared" ref="AA1154:AA1166" si="261">YEAR(M1154)</f>
        <v>2024</v>
      </c>
      <c r="AB1154" s="7">
        <f t="shared" ref="AB1154:AB1166" si="262">MONTH(M1154)</f>
        <v>8</v>
      </c>
      <c r="AC1154" s="7">
        <f t="shared" ref="AC1154:AC1166" si="263">COUNTIF(A:A,A1154)</f>
        <v>2</v>
      </c>
      <c r="AD1154" s="7" t="str">
        <f t="shared" ref="AD1154:AD1166" si="264">IF(C1154="YES","Yes","No")</f>
        <v>No</v>
      </c>
      <c r="AE1154" s="7" t="str">
        <f t="shared" ref="AE1154:AE1166" si="265">IF(L1154="HIGH","High Risk","Normal")</f>
        <v>Normal</v>
      </c>
    </row>
    <row r="1155" spans="1:31">
      <c r="A1155" t="s">
        <v>2455</v>
      </c>
      <c r="B1155">
        <v>41717630</v>
      </c>
      <c r="C1155" t="s">
        <v>2456</v>
      </c>
      <c r="D1155" t="s">
        <v>994</v>
      </c>
      <c r="E1155" t="s">
        <v>20</v>
      </c>
      <c r="F1155" t="s">
        <v>98</v>
      </c>
      <c r="G1155" t="s">
        <v>53</v>
      </c>
      <c r="H1155" t="s">
        <v>74</v>
      </c>
      <c r="I1155" t="s">
        <v>3372</v>
      </c>
      <c r="J1155">
        <v>2625.98</v>
      </c>
      <c r="K1155" t="s">
        <v>86</v>
      </c>
      <c r="L1155" t="s">
        <v>75</v>
      </c>
      <c r="M1155" s="1">
        <v>44073.829861111109</v>
      </c>
      <c r="N1155">
        <v>35</v>
      </c>
      <c r="O1155" t="s">
        <v>23</v>
      </c>
      <c r="P1155" t="s">
        <v>36</v>
      </c>
      <c r="Q1155" t="s">
        <v>3333</v>
      </c>
      <c r="R1155" t="str">
        <f t="shared" si="252"/>
        <v>JOHN THOMAS</v>
      </c>
      <c r="S1155" t="str">
        <f t="shared" si="253"/>
        <v>Marta Hernandez</v>
      </c>
      <c r="T1155" t="str">
        <f t="shared" si="254"/>
        <v>JPY</v>
      </c>
      <c r="U1155" s="7" t="str">
        <f t="shared" si="255"/>
        <v>AED</v>
      </c>
      <c r="V1155" s="7" t="str">
        <f t="shared" si="256"/>
        <v>France</v>
      </c>
      <c r="W1155" s="7" t="str">
        <f t="shared" si="257"/>
        <v>Germany</v>
      </c>
      <c r="X1155" s="7" t="str">
        <f t="shared" si="258"/>
        <v>Outer-Transaction</v>
      </c>
      <c r="Y1155" s="7">
        <f t="shared" si="259"/>
        <v>2625.98</v>
      </c>
      <c r="Z1155" s="7">
        <f t="shared" si="260"/>
        <v>35</v>
      </c>
      <c r="AA1155" s="7">
        <f t="shared" si="261"/>
        <v>2020</v>
      </c>
      <c r="AB1155" s="7">
        <f t="shared" si="262"/>
        <v>8</v>
      </c>
      <c r="AC1155" s="7">
        <f t="shared" si="263"/>
        <v>2</v>
      </c>
      <c r="AD1155" s="7" t="str">
        <f t="shared" si="264"/>
        <v>No</v>
      </c>
      <c r="AE1155" s="7" t="str">
        <f t="shared" si="265"/>
        <v>High Risk</v>
      </c>
    </row>
    <row r="1156" spans="1:31">
      <c r="A1156" t="s">
        <v>2795</v>
      </c>
      <c r="B1156">
        <v>71242137</v>
      </c>
      <c r="C1156" t="s">
        <v>943</v>
      </c>
      <c r="D1156" t="s">
        <v>1039</v>
      </c>
      <c r="E1156" t="s">
        <v>20</v>
      </c>
      <c r="F1156" t="s">
        <v>92</v>
      </c>
      <c r="G1156" t="s">
        <v>121</v>
      </c>
      <c r="H1156" t="s">
        <v>56</v>
      </c>
      <c r="I1156" t="s">
        <v>3374</v>
      </c>
      <c r="J1156">
        <v>9767.9</v>
      </c>
      <c r="K1156" t="s">
        <v>57</v>
      </c>
      <c r="L1156" t="s">
        <v>75</v>
      </c>
      <c r="M1156" s="1">
        <v>44342.563888888886</v>
      </c>
      <c r="N1156">
        <v>79</v>
      </c>
      <c r="O1156" t="s">
        <v>54</v>
      </c>
      <c r="P1156" t="s">
        <v>62</v>
      </c>
      <c r="Q1156" t="s">
        <v>3334</v>
      </c>
      <c r="R1156" t="str">
        <f t="shared" si="252"/>
        <v>Mary Nair</v>
      </c>
      <c r="S1156" t="str">
        <f t="shared" si="253"/>
        <v>Jean-Pierre Silva</v>
      </c>
      <c r="T1156" t="str">
        <f t="shared" si="254"/>
        <v>AUD</v>
      </c>
      <c r="U1156" s="7" t="str">
        <f t="shared" si="255"/>
        <v>INR</v>
      </c>
      <c r="V1156" s="7" t="str">
        <f t="shared" si="256"/>
        <v>India</v>
      </c>
      <c r="W1156" s="7" t="str">
        <f t="shared" si="257"/>
        <v>Australia</v>
      </c>
      <c r="X1156" s="7" t="str">
        <f t="shared" si="258"/>
        <v>External</v>
      </c>
      <c r="Y1156" s="7">
        <f t="shared" si="259"/>
        <v>9767.9</v>
      </c>
      <c r="Z1156" s="7">
        <f t="shared" si="260"/>
        <v>79</v>
      </c>
      <c r="AA1156" s="7">
        <f t="shared" si="261"/>
        <v>2021</v>
      </c>
      <c r="AB1156" s="7">
        <f t="shared" si="262"/>
        <v>5</v>
      </c>
      <c r="AC1156" s="7">
        <f t="shared" si="263"/>
        <v>2</v>
      </c>
      <c r="AD1156" s="7" t="str">
        <f t="shared" si="264"/>
        <v>No</v>
      </c>
      <c r="AE1156" s="7" t="str">
        <f t="shared" si="265"/>
        <v>High Risk</v>
      </c>
    </row>
    <row r="1157" spans="1:31">
      <c r="A1157" t="s">
        <v>1374</v>
      </c>
      <c r="B1157">
        <v>29882943</v>
      </c>
      <c r="C1157" t="s">
        <v>1375</v>
      </c>
      <c r="D1157" t="s">
        <v>150</v>
      </c>
      <c r="E1157" t="s">
        <v>20</v>
      </c>
      <c r="F1157" t="s">
        <v>80</v>
      </c>
      <c r="G1157" t="s">
        <v>45</v>
      </c>
      <c r="I1157" t="s">
        <v>3376</v>
      </c>
      <c r="J1157">
        <v>14583.56</v>
      </c>
      <c r="K1157" t="s">
        <v>57</v>
      </c>
      <c r="L1157" t="s">
        <v>28</v>
      </c>
      <c r="M1157" s="1">
        <v>46104.385416666664</v>
      </c>
      <c r="N1157">
        <v>54</v>
      </c>
      <c r="O1157" t="s">
        <v>62</v>
      </c>
      <c r="P1157" t="s">
        <v>23</v>
      </c>
      <c r="Q1157" t="s">
        <v>3335</v>
      </c>
      <c r="R1157" t="str">
        <f t="shared" si="252"/>
        <v>Carlos Rodriguez</v>
      </c>
      <c r="S1157" t="str">
        <f t="shared" si="253"/>
        <v>Priya Jones</v>
      </c>
      <c r="T1157" t="str">
        <f t="shared" si="254"/>
        <v>USD</v>
      </c>
      <c r="U1157" s="7" t="str">
        <f t="shared" si="255"/>
        <v>ZAR</v>
      </c>
      <c r="V1157" s="7" t="str">
        <f t="shared" si="256"/>
        <v>Australia</v>
      </c>
      <c r="W1157" s="7" t="str">
        <f t="shared" si="257"/>
        <v>France</v>
      </c>
      <c r="X1157" s="7" t="str">
        <f t="shared" si="258"/>
        <v>Internal</v>
      </c>
      <c r="Y1157" s="7">
        <f t="shared" si="259"/>
        <v>14583.56</v>
      </c>
      <c r="Z1157" s="7">
        <f t="shared" si="260"/>
        <v>54</v>
      </c>
      <c r="AA1157" s="7">
        <f t="shared" si="261"/>
        <v>2026</v>
      </c>
      <c r="AB1157" s="7">
        <f t="shared" si="262"/>
        <v>3</v>
      </c>
      <c r="AC1157" s="7">
        <f t="shared" si="263"/>
        <v>2</v>
      </c>
      <c r="AD1157" s="7" t="str">
        <f t="shared" si="264"/>
        <v>No</v>
      </c>
      <c r="AE1157" s="7" t="str">
        <f t="shared" si="265"/>
        <v>Normal</v>
      </c>
    </row>
    <row r="1158" spans="1:31">
      <c r="A1158" t="s">
        <v>3084</v>
      </c>
      <c r="B1158">
        <v>72911386</v>
      </c>
      <c r="C1158" t="s">
        <v>2208</v>
      </c>
      <c r="D1158" t="s">
        <v>1091</v>
      </c>
      <c r="E1158" t="s">
        <v>3373</v>
      </c>
      <c r="F1158" t="s">
        <v>121</v>
      </c>
      <c r="G1158" t="s">
        <v>121</v>
      </c>
      <c r="H1158" t="s">
        <v>38</v>
      </c>
      <c r="I1158" t="s">
        <v>3371</v>
      </c>
      <c r="J1158">
        <v>1625.88</v>
      </c>
      <c r="K1158" t="s">
        <v>27</v>
      </c>
      <c r="L1158" t="s">
        <v>81</v>
      </c>
      <c r="M1158" s="1">
        <v>45372.143055555556</v>
      </c>
      <c r="N1158">
        <v>42</v>
      </c>
      <c r="O1158" t="s">
        <v>127</v>
      </c>
      <c r="P1158" t="s">
        <v>55</v>
      </c>
      <c r="Q1158" t="s">
        <v>3336</v>
      </c>
      <c r="R1158" t="str">
        <f t="shared" si="252"/>
        <v>Priya Hernandez</v>
      </c>
      <c r="S1158" t="str">
        <f t="shared" si="253"/>
        <v>Nancy Anderson</v>
      </c>
      <c r="T1158" t="str">
        <f t="shared" si="254"/>
        <v>INR</v>
      </c>
      <c r="U1158" s="7" t="str">
        <f t="shared" si="255"/>
        <v>INR</v>
      </c>
      <c r="V1158" s="7" t="str">
        <f t="shared" si="256"/>
        <v>Canada</v>
      </c>
      <c r="W1158" s="7" t="str">
        <f t="shared" si="257"/>
        <v>UK</v>
      </c>
      <c r="X1158" s="7" t="str">
        <f t="shared" si="258"/>
        <v>Outer-Transaction</v>
      </c>
      <c r="Y1158" s="7">
        <f t="shared" si="259"/>
        <v>1625.88</v>
      </c>
      <c r="Z1158" s="7">
        <f t="shared" si="260"/>
        <v>42</v>
      </c>
      <c r="AA1158" s="7">
        <f t="shared" si="261"/>
        <v>2024</v>
      </c>
      <c r="AB1158" s="7">
        <f t="shared" si="262"/>
        <v>3</v>
      </c>
      <c r="AC1158" s="7">
        <f t="shared" si="263"/>
        <v>2</v>
      </c>
      <c r="AD1158" s="7" t="str">
        <f t="shared" si="264"/>
        <v>No</v>
      </c>
      <c r="AE1158" s="7" t="str">
        <f t="shared" si="265"/>
        <v>Normal</v>
      </c>
    </row>
    <row r="1159" spans="1:31">
      <c r="A1159" t="s">
        <v>210</v>
      </c>
      <c r="B1159">
        <v>65026398</v>
      </c>
      <c r="C1159" t="s">
        <v>211</v>
      </c>
      <c r="D1159" t="s">
        <v>212</v>
      </c>
      <c r="E1159" t="s">
        <v>20</v>
      </c>
      <c r="F1159" t="s">
        <v>53</v>
      </c>
      <c r="G1159" t="s">
        <v>34</v>
      </c>
      <c r="H1159" t="s">
        <v>38</v>
      </c>
      <c r="I1159" t="s">
        <v>3372</v>
      </c>
      <c r="J1159">
        <v>14312.55</v>
      </c>
      <c r="K1159" t="s">
        <v>39</v>
      </c>
      <c r="L1159" t="s">
        <v>28</v>
      </c>
      <c r="M1159" s="1">
        <v>46092.427083333336</v>
      </c>
      <c r="N1159">
        <v>65</v>
      </c>
      <c r="O1159" t="s">
        <v>62</v>
      </c>
      <c r="P1159" t="s">
        <v>36</v>
      </c>
      <c r="Q1159" t="s">
        <v>3337</v>
      </c>
      <c r="R1159" t="str">
        <f t="shared" si="252"/>
        <v>Zayn Nair</v>
      </c>
      <c r="S1159" t="str">
        <f t="shared" si="253"/>
        <v>Michael Williams</v>
      </c>
      <c r="T1159" t="str">
        <f t="shared" si="254"/>
        <v>AED</v>
      </c>
      <c r="U1159" s="7" t="str">
        <f t="shared" si="255"/>
        <v>CAD</v>
      </c>
      <c r="V1159" s="7" t="str">
        <f t="shared" si="256"/>
        <v>Australia</v>
      </c>
      <c r="W1159" s="7" t="str">
        <f t="shared" si="257"/>
        <v>Germany</v>
      </c>
      <c r="X1159" s="7" t="str">
        <f t="shared" si="258"/>
        <v>Outer-Transaction</v>
      </c>
      <c r="Y1159" s="7">
        <f t="shared" si="259"/>
        <v>14312.55</v>
      </c>
      <c r="Z1159" s="7">
        <f t="shared" si="260"/>
        <v>65</v>
      </c>
      <c r="AA1159" s="7">
        <f t="shared" si="261"/>
        <v>2026</v>
      </c>
      <c r="AB1159" s="7">
        <f t="shared" si="262"/>
        <v>3</v>
      </c>
      <c r="AC1159" s="7">
        <f t="shared" si="263"/>
        <v>2</v>
      </c>
      <c r="AD1159" s="7" t="str">
        <f t="shared" si="264"/>
        <v>No</v>
      </c>
      <c r="AE1159" s="7" t="str">
        <f t="shared" si="265"/>
        <v>Normal</v>
      </c>
    </row>
    <row r="1160" spans="1:31">
      <c r="A1160" t="s">
        <v>2230</v>
      </c>
      <c r="B1160">
        <v>31684442</v>
      </c>
      <c r="C1160" t="s">
        <v>1762</v>
      </c>
      <c r="D1160" t="s">
        <v>409</v>
      </c>
      <c r="E1160">
        <v>1</v>
      </c>
      <c r="F1160" t="s">
        <v>116</v>
      </c>
      <c r="G1160" t="s">
        <v>34</v>
      </c>
      <c r="I1160" t="s">
        <v>3377</v>
      </c>
      <c r="J1160">
        <v>2715.1</v>
      </c>
      <c r="K1160" t="s">
        <v>39</v>
      </c>
      <c r="L1160" t="s">
        <v>81</v>
      </c>
      <c r="M1160" s="1">
        <v>45945.813888888886</v>
      </c>
      <c r="N1160">
        <v>82</v>
      </c>
      <c r="O1160" t="s">
        <v>37</v>
      </c>
      <c r="P1160" t="s">
        <v>68</v>
      </c>
      <c r="Q1160" t="s">
        <v>3338</v>
      </c>
      <c r="R1160" t="str">
        <f t="shared" si="252"/>
        <v>Lucas Gonzalez</v>
      </c>
      <c r="S1160" t="str">
        <f t="shared" si="253"/>
        <v>Barbara Davis</v>
      </c>
      <c r="T1160" t="str">
        <f t="shared" si="254"/>
        <v>CHF</v>
      </c>
      <c r="U1160" s="7" t="str">
        <f t="shared" si="255"/>
        <v>CAD</v>
      </c>
      <c r="V1160" s="7" t="str">
        <f t="shared" si="256"/>
        <v>South Africa</v>
      </c>
      <c r="W1160" s="7" t="str">
        <f t="shared" si="257"/>
        <v>UAE</v>
      </c>
      <c r="X1160" s="7" t="str">
        <f t="shared" si="258"/>
        <v>Inter-Transaction</v>
      </c>
      <c r="Y1160" s="7">
        <f t="shared" si="259"/>
        <v>2715.1</v>
      </c>
      <c r="Z1160" s="7">
        <f t="shared" si="260"/>
        <v>82</v>
      </c>
      <c r="AA1160" s="7">
        <f t="shared" si="261"/>
        <v>2025</v>
      </c>
      <c r="AB1160" s="7">
        <f t="shared" si="262"/>
        <v>10</v>
      </c>
      <c r="AC1160" s="7">
        <f t="shared" si="263"/>
        <v>2</v>
      </c>
      <c r="AD1160" s="7" t="str">
        <f t="shared" si="264"/>
        <v>No</v>
      </c>
      <c r="AE1160" s="7" t="str">
        <f t="shared" si="265"/>
        <v>Normal</v>
      </c>
    </row>
    <row r="1161" spans="1:31">
      <c r="A1161" t="s">
        <v>1111</v>
      </c>
      <c r="B1161">
        <v>76481027</v>
      </c>
      <c r="C1161" t="s">
        <v>285</v>
      </c>
      <c r="D1161" t="s">
        <v>869</v>
      </c>
      <c r="E1161" t="s">
        <v>20</v>
      </c>
      <c r="F1161" t="s">
        <v>686</v>
      </c>
      <c r="G1161" t="s">
        <v>92</v>
      </c>
      <c r="H1161" t="s">
        <v>103</v>
      </c>
      <c r="I1161" t="s">
        <v>3371</v>
      </c>
      <c r="J1161">
        <v>7851.15</v>
      </c>
      <c r="K1161" t="s">
        <v>57</v>
      </c>
      <c r="L1161" t="s">
        <v>28</v>
      </c>
      <c r="M1161" s="1">
        <v>44226.637499999997</v>
      </c>
      <c r="N1161">
        <v>70</v>
      </c>
      <c r="O1161" t="s">
        <v>23</v>
      </c>
      <c r="P1161" t="s">
        <v>127</v>
      </c>
      <c r="Q1161" t="s">
        <v>3339</v>
      </c>
      <c r="R1161" t="str">
        <f t="shared" si="252"/>
        <v>Charles Nair</v>
      </c>
      <c r="S1161" t="str">
        <f t="shared" si="253"/>
        <v>Sanjay Taylor</v>
      </c>
      <c r="T1161" t="str">
        <f t="shared" si="254"/>
        <v>sgd</v>
      </c>
      <c r="U1161" s="7" t="str">
        <f t="shared" si="255"/>
        <v>AUD</v>
      </c>
      <c r="V1161" s="7" t="str">
        <f t="shared" si="256"/>
        <v>France</v>
      </c>
      <c r="W1161" s="7" t="str">
        <f t="shared" si="257"/>
        <v>Canada</v>
      </c>
      <c r="X1161" s="7" t="str">
        <f t="shared" si="258"/>
        <v>Outer-Transaction</v>
      </c>
      <c r="Y1161" s="7">
        <f t="shared" si="259"/>
        <v>7851.15</v>
      </c>
      <c r="Z1161" s="7">
        <f t="shared" si="260"/>
        <v>70</v>
      </c>
      <c r="AA1161" s="7">
        <f t="shared" si="261"/>
        <v>2021</v>
      </c>
      <c r="AB1161" s="7">
        <f t="shared" si="262"/>
        <v>1</v>
      </c>
      <c r="AC1161" s="7">
        <f t="shared" si="263"/>
        <v>2</v>
      </c>
      <c r="AD1161" s="7" t="str">
        <f t="shared" si="264"/>
        <v>No</v>
      </c>
      <c r="AE1161" s="7" t="str">
        <f t="shared" si="265"/>
        <v>Normal</v>
      </c>
    </row>
    <row r="1162" spans="1:31">
      <c r="A1162" t="s">
        <v>513</v>
      </c>
      <c r="B1162">
        <v>99399687</v>
      </c>
      <c r="C1162" t="s">
        <v>232</v>
      </c>
      <c r="D1162" t="s">
        <v>514</v>
      </c>
      <c r="E1162" t="s">
        <v>20</v>
      </c>
      <c r="F1162" t="s">
        <v>22</v>
      </c>
      <c r="G1162" t="s">
        <v>21</v>
      </c>
      <c r="I1162" t="s">
        <v>3378</v>
      </c>
      <c r="J1162">
        <v>2512.77</v>
      </c>
      <c r="K1162" t="s">
        <v>47</v>
      </c>
      <c r="L1162" t="s">
        <v>75</v>
      </c>
      <c r="M1162" s="1">
        <v>44442.847916666666</v>
      </c>
      <c r="N1162">
        <v>32</v>
      </c>
      <c r="O1162" t="s">
        <v>54</v>
      </c>
      <c r="P1162" t="s">
        <v>68</v>
      </c>
      <c r="Q1162" t="s">
        <v>3340</v>
      </c>
      <c r="R1162" t="str">
        <f t="shared" si="252"/>
        <v>Fatima Velez</v>
      </c>
      <c r="S1162" t="str">
        <f t="shared" si="253"/>
        <v>Fatima Garcia</v>
      </c>
      <c r="T1162" t="str">
        <f t="shared" si="254"/>
        <v>BRL</v>
      </c>
      <c r="U1162" s="7" t="str">
        <f t="shared" si="255"/>
        <v>GBP</v>
      </c>
      <c r="V1162" s="7" t="str">
        <f t="shared" si="256"/>
        <v>India</v>
      </c>
      <c r="W1162" s="7" t="str">
        <f t="shared" si="257"/>
        <v>UAE</v>
      </c>
      <c r="X1162" s="7" t="str">
        <f t="shared" si="258"/>
        <v>Inter-Transaction</v>
      </c>
      <c r="Y1162" s="7">
        <f t="shared" si="259"/>
        <v>2512.77</v>
      </c>
      <c r="Z1162" s="7">
        <f t="shared" si="260"/>
        <v>32</v>
      </c>
      <c r="AA1162" s="7">
        <f t="shared" si="261"/>
        <v>2021</v>
      </c>
      <c r="AB1162" s="7">
        <f t="shared" si="262"/>
        <v>9</v>
      </c>
      <c r="AC1162" s="7">
        <f t="shared" si="263"/>
        <v>2</v>
      </c>
      <c r="AD1162" s="7" t="str">
        <f t="shared" si="264"/>
        <v>No</v>
      </c>
      <c r="AE1162" s="7" t="str">
        <f t="shared" si="265"/>
        <v>High Risk</v>
      </c>
    </row>
    <row r="1163" spans="1:31">
      <c r="A1163" t="s">
        <v>1487</v>
      </c>
      <c r="B1163">
        <v>24384568</v>
      </c>
      <c r="C1163" t="s">
        <v>146</v>
      </c>
      <c r="D1163" t="s">
        <v>79</v>
      </c>
      <c r="E1163" t="s">
        <v>3373</v>
      </c>
      <c r="F1163" t="s">
        <v>91</v>
      </c>
      <c r="G1163" t="s">
        <v>53</v>
      </c>
      <c r="H1163" t="s">
        <v>25</v>
      </c>
      <c r="I1163" t="s">
        <v>3378</v>
      </c>
      <c r="J1163">
        <v>6477.79</v>
      </c>
      <c r="K1163" t="s">
        <v>47</v>
      </c>
      <c r="L1163" t="s">
        <v>81</v>
      </c>
      <c r="M1163" s="1">
        <v>45091.338888888888</v>
      </c>
      <c r="N1163">
        <v>66</v>
      </c>
      <c r="O1163" t="s">
        <v>23</v>
      </c>
      <c r="P1163" t="s">
        <v>54</v>
      </c>
      <c r="Q1163" t="s">
        <v>3341</v>
      </c>
      <c r="R1163" t="str">
        <f t="shared" si="252"/>
        <v>Fatima Brown</v>
      </c>
      <c r="S1163" t="str">
        <f t="shared" si="253"/>
        <v>Elizabeth Smith</v>
      </c>
      <c r="T1163" t="str">
        <f t="shared" si="254"/>
        <v>gbp</v>
      </c>
      <c r="U1163" s="7" t="str">
        <f t="shared" si="255"/>
        <v>AED</v>
      </c>
      <c r="V1163" s="7" t="str">
        <f t="shared" si="256"/>
        <v>France</v>
      </c>
      <c r="W1163" s="7" t="str">
        <f t="shared" si="257"/>
        <v>India</v>
      </c>
      <c r="X1163" s="7" t="str">
        <f t="shared" si="258"/>
        <v>Inter-Transaction</v>
      </c>
      <c r="Y1163" s="7">
        <f t="shared" si="259"/>
        <v>6477.79</v>
      </c>
      <c r="Z1163" s="7">
        <f t="shared" si="260"/>
        <v>66</v>
      </c>
      <c r="AA1163" s="7">
        <f t="shared" si="261"/>
        <v>2023</v>
      </c>
      <c r="AB1163" s="7">
        <f t="shared" si="262"/>
        <v>6</v>
      </c>
      <c r="AC1163" s="7">
        <f t="shared" si="263"/>
        <v>2</v>
      </c>
      <c r="AD1163" s="7" t="str">
        <f t="shared" si="264"/>
        <v>No</v>
      </c>
      <c r="AE1163" s="7" t="str">
        <f t="shared" si="265"/>
        <v>Normal</v>
      </c>
    </row>
    <row r="1164" spans="1:31">
      <c r="A1164" t="s">
        <v>3286</v>
      </c>
      <c r="B1164">
        <v>95377710</v>
      </c>
      <c r="C1164" t="s">
        <v>135</v>
      </c>
      <c r="D1164" t="s">
        <v>387</v>
      </c>
      <c r="E1164" t="s">
        <v>3373</v>
      </c>
      <c r="F1164" t="s">
        <v>21</v>
      </c>
      <c r="G1164" t="s">
        <v>92</v>
      </c>
      <c r="H1164" t="s">
        <v>38</v>
      </c>
      <c r="I1164" t="s">
        <v>3372</v>
      </c>
      <c r="J1164">
        <v>6371.77</v>
      </c>
      <c r="K1164" t="s">
        <v>57</v>
      </c>
      <c r="L1164" t="s">
        <v>48</v>
      </c>
      <c r="M1164" s="1">
        <v>45688.351388888892</v>
      </c>
      <c r="N1164">
        <v>85</v>
      </c>
      <c r="O1164" t="s">
        <v>68</v>
      </c>
      <c r="P1164" t="s">
        <v>24</v>
      </c>
      <c r="Q1164" t="s">
        <v>3342</v>
      </c>
      <c r="R1164" t="str">
        <f t="shared" si="252"/>
        <v>Barbara Taylor</v>
      </c>
      <c r="S1164" t="str">
        <f t="shared" si="253"/>
        <v>Joseph Velez</v>
      </c>
      <c r="T1164" t="str">
        <f t="shared" si="254"/>
        <v>GBP</v>
      </c>
      <c r="U1164" s="7" t="str">
        <f t="shared" si="255"/>
        <v>AUD</v>
      </c>
      <c r="V1164" s="7" t="str">
        <f t="shared" si="256"/>
        <v>UAE</v>
      </c>
      <c r="W1164" s="7" t="str">
        <f t="shared" si="257"/>
        <v>Brazil</v>
      </c>
      <c r="X1164" s="7" t="str">
        <f t="shared" si="258"/>
        <v>Outer-Transaction</v>
      </c>
      <c r="Y1164" s="7">
        <f t="shared" si="259"/>
        <v>6371.77</v>
      </c>
      <c r="Z1164" s="7">
        <f t="shared" si="260"/>
        <v>85</v>
      </c>
      <c r="AA1164" s="7">
        <f t="shared" si="261"/>
        <v>2025</v>
      </c>
      <c r="AB1164" s="7">
        <f t="shared" si="262"/>
        <v>1</v>
      </c>
      <c r="AC1164" s="7">
        <f t="shared" si="263"/>
        <v>2</v>
      </c>
      <c r="AD1164" s="7" t="str">
        <f t="shared" si="264"/>
        <v>No</v>
      </c>
      <c r="AE1164" s="7" t="str">
        <f t="shared" si="265"/>
        <v>Normal</v>
      </c>
    </row>
    <row r="1165" spans="1:31">
      <c r="A1165" t="s">
        <v>3223</v>
      </c>
      <c r="B1165">
        <v>59509360</v>
      </c>
      <c r="C1165" t="s">
        <v>1865</v>
      </c>
      <c r="D1165" t="s">
        <v>3224</v>
      </c>
      <c r="E1165" t="s">
        <v>33</v>
      </c>
      <c r="F1165" t="s">
        <v>44</v>
      </c>
      <c r="G1165" t="s">
        <v>393</v>
      </c>
      <c r="H1165" t="s">
        <v>74</v>
      </c>
      <c r="I1165" t="s">
        <v>3377</v>
      </c>
      <c r="J1165">
        <v>14180.86</v>
      </c>
      <c r="K1165" t="s">
        <v>39</v>
      </c>
      <c r="L1165" t="s">
        <v>48</v>
      </c>
      <c r="M1165" s="1">
        <v>44600.696527777778</v>
      </c>
      <c r="N1165">
        <v>29</v>
      </c>
      <c r="O1165" t="s">
        <v>54</v>
      </c>
      <c r="P1165" t="s">
        <v>62</v>
      </c>
      <c r="Q1165" t="s">
        <v>3343</v>
      </c>
      <c r="R1165" t="str">
        <f t="shared" si="252"/>
        <v>Michael Souza</v>
      </c>
      <c r="S1165" t="str">
        <f t="shared" si="253"/>
        <v>Zayn Volkov</v>
      </c>
      <c r="T1165" t="str">
        <f t="shared" si="254"/>
        <v>SGD</v>
      </c>
      <c r="U1165" s="7" t="str">
        <f t="shared" si="255"/>
        <v>cad</v>
      </c>
      <c r="V1165" s="7" t="str">
        <f t="shared" si="256"/>
        <v>India</v>
      </c>
      <c r="W1165" s="7" t="str">
        <f t="shared" si="257"/>
        <v>Australia</v>
      </c>
      <c r="X1165" s="7" t="str">
        <f t="shared" si="258"/>
        <v>Inter-Transaction</v>
      </c>
      <c r="Y1165" s="7">
        <f t="shared" si="259"/>
        <v>14180.86</v>
      </c>
      <c r="Z1165" s="7">
        <f t="shared" si="260"/>
        <v>29</v>
      </c>
      <c r="AA1165" s="7">
        <f t="shared" si="261"/>
        <v>2022</v>
      </c>
      <c r="AB1165" s="7">
        <f t="shared" si="262"/>
        <v>2</v>
      </c>
      <c r="AC1165" s="7">
        <f t="shared" si="263"/>
        <v>2</v>
      </c>
      <c r="AD1165" s="7" t="str">
        <f t="shared" si="264"/>
        <v>No</v>
      </c>
      <c r="AE1165" s="7" t="str">
        <f t="shared" si="265"/>
        <v>Normal</v>
      </c>
    </row>
    <row r="1166" spans="1:31">
      <c r="A1166" t="s">
        <v>813</v>
      </c>
      <c r="B1166">
        <v>15527388</v>
      </c>
      <c r="C1166" t="s">
        <v>814</v>
      </c>
      <c r="D1166" t="s">
        <v>815</v>
      </c>
      <c r="E1166" t="s">
        <v>20</v>
      </c>
      <c r="F1166" t="s">
        <v>22</v>
      </c>
      <c r="G1166" t="s">
        <v>121</v>
      </c>
      <c r="H1166" t="s">
        <v>38</v>
      </c>
      <c r="I1166" t="s">
        <v>3376</v>
      </c>
      <c r="J1166">
        <v>1360.34</v>
      </c>
      <c r="K1166" t="s">
        <v>39</v>
      </c>
      <c r="L1166" t="s">
        <v>75</v>
      </c>
      <c r="M1166" s="1">
        <v>45253.504861111112</v>
      </c>
      <c r="N1166">
        <v>76</v>
      </c>
      <c r="O1166" t="s">
        <v>68</v>
      </c>
      <c r="P1166" t="s">
        <v>37</v>
      </c>
      <c r="Q1166" t="s">
        <v>3344</v>
      </c>
      <c r="R1166" t="str">
        <f t="shared" si="252"/>
        <v>Richard Moore</v>
      </c>
      <c r="S1166" t="str">
        <f t="shared" si="253"/>
        <v>Christopher Jones</v>
      </c>
      <c r="T1166" t="str">
        <f t="shared" si="254"/>
        <v>BRL</v>
      </c>
      <c r="U1166" s="7" t="str">
        <f t="shared" si="255"/>
        <v>INR</v>
      </c>
      <c r="V1166" s="7" t="str">
        <f t="shared" si="256"/>
        <v>UAE</v>
      </c>
      <c r="W1166" s="7" t="str">
        <f t="shared" si="257"/>
        <v>South Africa</v>
      </c>
      <c r="X1166" s="7" t="str">
        <f t="shared" si="258"/>
        <v>Internal</v>
      </c>
      <c r="Y1166" s="7">
        <f t="shared" si="259"/>
        <v>1360.34</v>
      </c>
      <c r="Z1166" s="7">
        <f t="shared" si="260"/>
        <v>76</v>
      </c>
      <c r="AA1166" s="7">
        <f t="shared" si="261"/>
        <v>2023</v>
      </c>
      <c r="AB1166" s="7">
        <f t="shared" si="262"/>
        <v>11</v>
      </c>
      <c r="AC1166" s="7">
        <f t="shared" si="263"/>
        <v>2</v>
      </c>
      <c r="AD1166" s="7" t="str">
        <f t="shared" si="264"/>
        <v>No</v>
      </c>
      <c r="AE1166" s="7" t="str">
        <f t="shared" si="265"/>
        <v>High Risk</v>
      </c>
    </row>
    <row r="1168" spans="1:31">
      <c r="A1168" s="2" t="s">
        <v>3345</v>
      </c>
    </row>
    <row r="1169" spans="1:2">
      <c r="A1169" s="3" t="s">
        <v>3346</v>
      </c>
      <c r="B1169">
        <f>COUNTA(A1:A1166)</f>
        <v>1166</v>
      </c>
    </row>
    <row r="1170" spans="1:2">
      <c r="A1170" s="3" t="s">
        <v>3347</v>
      </c>
      <c r="B1170">
        <f>SUM(J1:J1166)</f>
        <v>8722753.1600000039</v>
      </c>
    </row>
    <row r="1171" spans="1:2">
      <c r="A1171" s="3" t="s">
        <v>3348</v>
      </c>
      <c r="B1171">
        <f>AVERAGE(J1:J1166)</f>
        <v>7487.3417682403469</v>
      </c>
    </row>
    <row r="1172" spans="1:2">
      <c r="A1172" s="3" t="s">
        <v>3349</v>
      </c>
      <c r="B1172">
        <f>COUNTIF(L:L,"High")</f>
        <v>280</v>
      </c>
    </row>
    <row r="1173" spans="1:2">
      <c r="A1173" s="3" t="s">
        <v>3350</v>
      </c>
      <c r="B1173">
        <f>COUNTIF(H:H,"Verified")</f>
        <v>176</v>
      </c>
    </row>
    <row r="1174" spans="1:2">
      <c r="A1174" s="3" t="s">
        <v>3351</v>
      </c>
      <c r="B1174">
        <f>COUNTIF(E:E,"Yes")</f>
        <v>60</v>
      </c>
    </row>
    <row r="1175" spans="1:2">
      <c r="A1175" s="3" t="s">
        <v>3352</v>
      </c>
      <c r="B1175">
        <f>AVERAGE(N:N)</f>
        <v>51.068669527896994</v>
      </c>
    </row>
    <row r="1176" spans="1:2">
      <c r="A1176" s="3" t="s">
        <v>3353</v>
      </c>
      <c r="B1176">
        <f>COUNTIF(K:K,"Web Portal")</f>
        <v>249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2026-06-16T01:41:51Z</dcterms:created>
  <dcterms:modified xsi:type="dcterms:W3CDTF">2026-06-18T14:14:24Z</dcterms:modified>
  <cp:category/>
  <cp:contentStatus/>
</cp:coreProperties>
</file>